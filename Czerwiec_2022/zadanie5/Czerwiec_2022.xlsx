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\matura2026_informatyka\Czerwiec_2022\zadanie5\"/>
    </mc:Choice>
  </mc:AlternateContent>
  <xr:revisionPtr revIDLastSave="0" documentId="8_{5D48B85A-E6F8-46DC-8BFA-D0C01475A141}" xr6:coauthVersionLast="47" xr6:coauthVersionMax="47" xr10:uidLastSave="{00000000-0000-0000-0000-000000000000}"/>
  <bookViews>
    <workbookView xWindow="-120" yWindow="-120" windowWidth="29040" windowHeight="15720" activeTab="3" xr2:uid="{3FB6A106-AFCD-4735-BE0C-44AAF3BF24BF}"/>
  </bookViews>
  <sheets>
    <sheet name="Zadanie5.2." sheetId="2" r:id="rId1"/>
    <sheet name="Arkusz3" sheetId="3" r:id="rId2"/>
    <sheet name="Arkusz1" sheetId="1" r:id="rId3"/>
    <sheet name="Zadanie5.4." sheetId="4" r:id="rId4"/>
  </sheets>
  <definedNames>
    <definedName name="temperatury" localSheetId="2">Arkusz1!$B$2:$C$93</definedName>
  </definedNames>
  <calcPr calcId="191029"/>
  <pivotCaches>
    <pivotCache cacheId="3" r:id="rId5"/>
    <pivotCache cacheId="2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" i="4" l="1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2" i="4"/>
  <c r="H2" i="4"/>
  <c r="H3" i="4"/>
  <c r="C4" i="4" s="1"/>
  <c r="F3" i="4"/>
  <c r="E3" i="4"/>
  <c r="D3" i="4"/>
  <c r="F2" i="4"/>
  <c r="E2" i="4"/>
  <c r="D2" i="4"/>
  <c r="C6" i="3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5" i="3"/>
  <c r="C4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2" i="1"/>
  <c r="G4" i="1"/>
  <c r="G5" i="1" s="1"/>
  <c r="G6" i="1" s="1"/>
  <c r="G7" i="1" s="1"/>
  <c r="G8" i="1" s="1"/>
  <c r="G9" i="1" s="1"/>
  <c r="G10" i="1" s="1"/>
  <c r="G11" i="1" s="1"/>
  <c r="G12" i="1"/>
  <c r="G13" i="1"/>
  <c r="G14" i="1"/>
  <c r="G15" i="1"/>
  <c r="G16" i="1"/>
  <c r="G17" i="1"/>
  <c r="G18" i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/>
  <c r="G30" i="1" s="1"/>
  <c r="G31" i="1" s="1"/>
  <c r="G32" i="1" s="1"/>
  <c r="G33" i="1" s="1"/>
  <c r="G34" i="1" s="1"/>
  <c r="G35" i="1" s="1"/>
  <c r="G36" i="1" s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/>
  <c r="G65" i="1"/>
  <c r="G66" i="1"/>
  <c r="G67" i="1"/>
  <c r="G68" i="1" s="1"/>
  <c r="G69" i="1" s="1"/>
  <c r="G70" i="1" s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3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D2" i="1"/>
  <c r="E2" i="1"/>
  <c r="F2" i="1"/>
  <c r="D3" i="1"/>
  <c r="E3" i="1"/>
  <c r="F3" i="1"/>
  <c r="D6" i="1"/>
  <c r="D7" i="1"/>
  <c r="D5" i="1"/>
  <c r="D4" i="1"/>
  <c r="F4" i="1"/>
  <c r="E4" i="1"/>
  <c r="H4" i="4" l="1"/>
  <c r="C5" i="4" s="1"/>
  <c r="D5" i="4" s="1"/>
  <c r="F4" i="4"/>
  <c r="E4" i="4"/>
  <c r="D4" i="4"/>
  <c r="G4" i="4" s="1"/>
  <c r="H5" i="4"/>
  <c r="C6" i="4" s="1"/>
  <c r="G3" i="4"/>
  <c r="G2" i="4"/>
  <c r="F5" i="4" l="1"/>
  <c r="E5" i="4"/>
  <c r="G5" i="4" s="1"/>
  <c r="F6" i="4"/>
  <c r="D6" i="4"/>
  <c r="H6" i="4"/>
  <c r="C7" i="4" s="1"/>
  <c r="E6" i="4"/>
  <c r="G6" i="4" l="1"/>
  <c r="H7" i="4"/>
  <c r="C8" i="4" s="1"/>
  <c r="F7" i="4"/>
  <c r="E7" i="4"/>
  <c r="D7" i="4"/>
  <c r="G7" i="4" s="1"/>
  <c r="F8" i="4" l="1"/>
  <c r="E8" i="4"/>
  <c r="D8" i="4"/>
  <c r="G8" i="4" s="1"/>
  <c r="H8" i="4"/>
  <c r="C9" i="4" s="1"/>
  <c r="F9" i="4" l="1"/>
  <c r="E9" i="4"/>
  <c r="D9" i="4"/>
  <c r="G9" i="4" s="1"/>
  <c r="H9" i="4"/>
  <c r="C10" i="4" s="1"/>
  <c r="F10" i="4" l="1"/>
  <c r="E10" i="4"/>
  <c r="D10" i="4"/>
  <c r="H10" i="4"/>
  <c r="C11" i="4" s="1"/>
  <c r="G10" i="4" l="1"/>
  <c r="H11" i="4"/>
  <c r="C12" i="4" s="1"/>
  <c r="F11" i="4"/>
  <c r="E11" i="4"/>
  <c r="D11" i="4"/>
  <c r="G11" i="4" l="1"/>
  <c r="H12" i="4"/>
  <c r="C13" i="4" s="1"/>
  <c r="F12" i="4"/>
  <c r="E12" i="4"/>
  <c r="D12" i="4"/>
  <c r="G12" i="4" l="1"/>
  <c r="H13" i="4"/>
  <c r="C14" i="4" s="1"/>
  <c r="F13" i="4"/>
  <c r="E13" i="4"/>
  <c r="D13" i="4"/>
  <c r="G13" i="4" l="1"/>
  <c r="H14" i="4"/>
  <c r="C15" i="4" s="1"/>
  <c r="F14" i="4"/>
  <c r="E14" i="4"/>
  <c r="D14" i="4"/>
  <c r="G14" i="4" l="1"/>
  <c r="F15" i="4"/>
  <c r="E15" i="4"/>
  <c r="D15" i="4"/>
  <c r="G15" i="4" s="1"/>
  <c r="H15" i="4"/>
  <c r="C16" i="4" s="1"/>
  <c r="D16" i="4" l="1"/>
  <c r="H16" i="4"/>
  <c r="C17" i="4" s="1"/>
  <c r="F16" i="4"/>
  <c r="E16" i="4"/>
  <c r="D17" i="4" l="1"/>
  <c r="E17" i="4"/>
  <c r="H17" i="4"/>
  <c r="C18" i="4" s="1"/>
  <c r="F17" i="4"/>
  <c r="G16" i="4"/>
  <c r="H18" i="4" l="1"/>
  <c r="C19" i="4" s="1"/>
  <c r="F18" i="4"/>
  <c r="E18" i="4"/>
  <c r="D18" i="4"/>
  <c r="G17" i="4"/>
  <c r="G18" i="4" l="1"/>
  <c r="F19" i="4"/>
  <c r="E19" i="4"/>
  <c r="D19" i="4"/>
  <c r="H19" i="4"/>
  <c r="C20" i="4" s="1"/>
  <c r="F20" i="4" l="1"/>
  <c r="E20" i="4"/>
  <c r="D20" i="4"/>
  <c r="H20" i="4"/>
  <c r="C21" i="4" s="1"/>
  <c r="G19" i="4"/>
  <c r="E21" i="4" l="1"/>
  <c r="D21" i="4"/>
  <c r="H21" i="4"/>
  <c r="C22" i="4" s="1"/>
  <c r="F21" i="4"/>
  <c r="G20" i="4"/>
  <c r="E22" i="4" l="1"/>
  <c r="H22" i="4"/>
  <c r="C23" i="4" s="1"/>
  <c r="D22" i="4"/>
  <c r="F22" i="4"/>
  <c r="G21" i="4"/>
  <c r="G22" i="4" l="1"/>
  <c r="F23" i="4"/>
  <c r="E23" i="4"/>
  <c r="D23" i="4"/>
  <c r="H23" i="4"/>
  <c r="C24" i="4" s="1"/>
  <c r="F24" i="4" l="1"/>
  <c r="E24" i="4"/>
  <c r="D24" i="4"/>
  <c r="H24" i="4"/>
  <c r="C25" i="4" s="1"/>
  <c r="G23" i="4"/>
  <c r="G24" i="4" l="1"/>
  <c r="F25" i="4"/>
  <c r="E25" i="4"/>
  <c r="D25" i="4"/>
  <c r="H25" i="4"/>
  <c r="C26" i="4" s="1"/>
  <c r="G25" i="4" l="1"/>
  <c r="F26" i="4"/>
  <c r="E26" i="4"/>
  <c r="D26" i="4"/>
  <c r="G26" i="4" s="1"/>
  <c r="H26" i="4"/>
  <c r="C27" i="4" s="1"/>
  <c r="H27" i="4" l="1"/>
  <c r="C28" i="4" s="1"/>
  <c r="F27" i="4"/>
  <c r="E27" i="4"/>
  <c r="D27" i="4"/>
  <c r="G27" i="4" l="1"/>
  <c r="H28" i="4"/>
  <c r="C29" i="4" s="1"/>
  <c r="F28" i="4"/>
  <c r="E28" i="4"/>
  <c r="D28" i="4"/>
  <c r="G28" i="4" l="1"/>
  <c r="H29" i="4"/>
  <c r="C30" i="4" s="1"/>
  <c r="F29" i="4"/>
  <c r="E29" i="4"/>
  <c r="D29" i="4"/>
  <c r="G29" i="4" s="1"/>
  <c r="H30" i="4" l="1"/>
  <c r="C31" i="4" s="1"/>
  <c r="F30" i="4"/>
  <c r="E30" i="4"/>
  <c r="D30" i="4"/>
  <c r="G30" i="4" l="1"/>
  <c r="F31" i="4"/>
  <c r="E31" i="4"/>
  <c r="D31" i="4"/>
  <c r="G31" i="4" s="1"/>
  <c r="H31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79D671-3A47-42A2-BABD-1BBAE2E98BEC}" name="temperatury" type="6" refreshedVersion="8" background="1" saveData="1">
    <textPr codePage="852" sourceFile="D:\prog\matura2026_informatyka\Czerwiec_2022\DANE\temperatury.txt" decimal="," thousands=" " tab="0" semicolon="1">
      <textFields count="2">
        <textField type="YMD"/>
        <textField/>
      </textFields>
    </textPr>
  </connection>
</connections>
</file>

<file path=xl/sharedStrings.xml><?xml version="1.0" encoding="utf-8"?>
<sst xmlns="http://schemas.openxmlformats.org/spreadsheetml/2006/main" count="53" uniqueCount="35">
  <si>
    <t>Data</t>
  </si>
  <si>
    <t>Prognozowana Temperatura</t>
  </si>
  <si>
    <t>p</t>
  </si>
  <si>
    <t>hot-dog</t>
  </si>
  <si>
    <t>lody</t>
  </si>
  <si>
    <t>kukurydza</t>
  </si>
  <si>
    <t>w</t>
  </si>
  <si>
    <t>Hot-Dogi</t>
  </si>
  <si>
    <t>Lody</t>
  </si>
  <si>
    <t>Kukurydza</t>
  </si>
  <si>
    <t>ceny/szt.</t>
  </si>
  <si>
    <t>produkt</t>
  </si>
  <si>
    <t>ciepły_streak</t>
  </si>
  <si>
    <t>Zadanie 5.1</t>
  </si>
  <si>
    <t>Najdłuższy</t>
  </si>
  <si>
    <t>Daty od i koniec</t>
  </si>
  <si>
    <t>Etykiety wierszy</t>
  </si>
  <si>
    <t>Suma końcowa</t>
  </si>
  <si>
    <t>cze</t>
  </si>
  <si>
    <t>lip</t>
  </si>
  <si>
    <t>sie</t>
  </si>
  <si>
    <t>Suma z Hot-Dogi</t>
  </si>
  <si>
    <t>Suma z Lody</t>
  </si>
  <si>
    <t>Suma z Kukurydza</t>
  </si>
  <si>
    <t>Miesiąc</t>
  </si>
  <si>
    <t>Czerwiec</t>
  </si>
  <si>
    <t>Lipiec</t>
  </si>
  <si>
    <t>Sierpień</t>
  </si>
  <si>
    <t>Dzienny utarg</t>
  </si>
  <si>
    <t>Suma z Dzienny utarg</t>
  </si>
  <si>
    <t>UTARG</t>
  </si>
  <si>
    <t>PRZEKRACZA</t>
  </si>
  <si>
    <t>pomocnik</t>
  </si>
  <si>
    <t>Nowy dzienny utarg</t>
  </si>
  <si>
    <t>liczba gr dodana do ceny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</si>
</sst>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6" formatCode="0.0000"/>
    <numFmt numFmtId="167" formatCode="#,##0.00\ &quot;zł&quot;"/>
    <numFmt numFmtId="171" formatCode="#,##0\ &quot;zł&quot;"/>
    <numFmt numFmtId="173" formatCode="[$-415]mmm\ yy;@"/>
    <numFmt numFmtId="175" formatCode="_-* #,##0.00\ [$zł-415]_-;\-* #,##0.00\ [$zł-415]_-;_-* &quot;-&quot;??\ [$zł-415]_-;_-@_-"/>
  </numFmts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/>
    </xf>
    <xf numFmtId="166" fontId="0" fillId="0" borderId="0" xfId="0" applyNumberFormat="1"/>
    <xf numFmtId="167" fontId="0" fillId="0" borderId="0" xfId="0" applyNumberFormat="1"/>
    <xf numFmtId="171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/>
    <xf numFmtId="173" fontId="0" fillId="0" borderId="0" xfId="0" applyNumberFormat="1" applyAlignment="1">
      <alignment horizontal="left"/>
    </xf>
    <xf numFmtId="17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1" fontId="0" fillId="0" borderId="0" xfId="0" applyNumberFormat="1" applyBorder="1"/>
    <xf numFmtId="0" fontId="0" fillId="0" borderId="0" xfId="0" applyBorder="1"/>
    <xf numFmtId="175" fontId="0" fillId="0" borderId="0" xfId="0" applyNumberFormat="1"/>
  </cellXfs>
  <cellStyles count="1">
    <cellStyle name="Normalny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73" formatCode="[$-415]mmm\ 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Zestawienie sprzedanych produktów w poszczególnych miesiącach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3959492563429571"/>
          <c:y val="0.25083333333333335"/>
          <c:w val="0.82984951881014868"/>
          <c:h val="0.461210994459025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'Zadanie5.2.'!$G$5</c:f>
              <c:strCache>
                <c:ptCount val="1"/>
                <c:pt idx="0">
                  <c:v>Czerwiec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'Zadanie5.2.'!$H$4:$J$4</c:f>
              <c:strCache>
                <c:ptCount val="3"/>
                <c:pt idx="0">
                  <c:v>Hot-Dogi</c:v>
                </c:pt>
                <c:pt idx="1">
                  <c:v>Lody</c:v>
                </c:pt>
                <c:pt idx="2">
                  <c:v>Kukurydza</c:v>
                </c:pt>
              </c:strCache>
            </c:strRef>
          </c:cat>
          <c:val>
            <c:numRef>
              <c:f>'Zadanie5.2.'!$H$5:$J$5</c:f>
              <c:numCache>
                <c:formatCode>General</c:formatCode>
                <c:ptCount val="3"/>
                <c:pt idx="0">
                  <c:v>2639</c:v>
                </c:pt>
                <c:pt idx="1">
                  <c:v>3527</c:v>
                </c:pt>
                <c:pt idx="2">
                  <c:v>2355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AD-4E99-B98B-6EEA34B61098}"/>
            </c:ext>
          </c:extLst>
        </c:ser>
        <c:ser>
          <c:idx val="1"/>
          <c:order val="1"/>
          <c:tx>
            <c:strRef>
              <c:f>'Zadanie5.2.'!$G$6</c:f>
              <c:strCache>
                <c:ptCount val="1"/>
                <c:pt idx="0">
                  <c:v>Lipiec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0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'Zadanie5.2.'!$H$4:$J$4</c:f>
              <c:strCache>
                <c:ptCount val="3"/>
                <c:pt idx="0">
                  <c:v>Hot-Dogi</c:v>
                </c:pt>
                <c:pt idx="1">
                  <c:v>Lody</c:v>
                </c:pt>
                <c:pt idx="2">
                  <c:v>Kukurydza</c:v>
                </c:pt>
              </c:strCache>
            </c:strRef>
          </c:cat>
          <c:val>
            <c:numRef>
              <c:f>'Zadanie5.2.'!$H$6:$J$6</c:f>
              <c:numCache>
                <c:formatCode>General</c:formatCode>
                <c:ptCount val="3"/>
                <c:pt idx="0">
                  <c:v>2747</c:v>
                </c:pt>
                <c:pt idx="1">
                  <c:v>3675</c:v>
                </c:pt>
                <c:pt idx="2">
                  <c:v>2448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AD-4E99-B98B-6EEA34B61098}"/>
            </c:ext>
          </c:extLst>
        </c:ser>
        <c:ser>
          <c:idx val="2"/>
          <c:order val="2"/>
          <c:tx>
            <c:strRef>
              <c:f>'Zadanie5.2.'!$G$7</c:f>
              <c:strCache>
                <c:ptCount val="1"/>
                <c:pt idx="0">
                  <c:v>Sierpień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'Zadanie5.2.'!$H$4:$J$4</c:f>
              <c:strCache>
                <c:ptCount val="3"/>
                <c:pt idx="0">
                  <c:v>Hot-Dogi</c:v>
                </c:pt>
                <c:pt idx="1">
                  <c:v>Lody</c:v>
                </c:pt>
                <c:pt idx="2">
                  <c:v>Kukurydza</c:v>
                </c:pt>
              </c:strCache>
            </c:strRef>
          </c:cat>
          <c:val>
            <c:numRef>
              <c:f>'Zadanie5.2.'!$H$7:$J$7</c:f>
              <c:numCache>
                <c:formatCode>General</c:formatCode>
                <c:ptCount val="3"/>
                <c:pt idx="0">
                  <c:v>2665</c:v>
                </c:pt>
                <c:pt idx="1">
                  <c:v>3579</c:v>
                </c:pt>
                <c:pt idx="2">
                  <c:v>2390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AD-4E99-B98B-6EEA34B6109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20345551"/>
        <c:axId val="2120346511"/>
      </c:barChart>
      <c:catAx>
        <c:axId val="21203455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miesiące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120346511"/>
        <c:crosses val="autoZero"/>
        <c:auto val="1"/>
        <c:lblAlgn val="ctr"/>
        <c:lblOffset val="100"/>
        <c:noMultiLvlLbl val="0"/>
      </c:catAx>
      <c:valAx>
        <c:axId val="2120346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ilość sprzedanych produktów</a:t>
                </a:r>
              </a:p>
            </c:rich>
          </c:tx>
          <c:layout>
            <c:manualLayout>
              <c:xMode val="edge"/>
              <c:yMode val="edge"/>
              <c:x val="1.9444444444444445E-2"/>
              <c:y val="0.190648148148148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120345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'Zadanie5.2.'!$H$4</c:f>
              <c:strCache>
                <c:ptCount val="1"/>
                <c:pt idx="0">
                  <c:v>Hot-Dogi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'Zadanie5.2.'!$G$5:$G$7</c:f>
              <c:strCache>
                <c:ptCount val="3"/>
                <c:pt idx="0">
                  <c:v>Czerwiec</c:v>
                </c:pt>
                <c:pt idx="1">
                  <c:v>Lipiec</c:v>
                </c:pt>
                <c:pt idx="2">
                  <c:v>Sierpień</c:v>
                </c:pt>
              </c:strCache>
            </c:strRef>
          </c:cat>
          <c:val>
            <c:numRef>
              <c:f>'Zadanie5.2.'!$H$5:$H$7</c:f>
              <c:numCache>
                <c:formatCode>General</c:formatCode>
                <c:ptCount val="3"/>
                <c:pt idx="0">
                  <c:v>2639</c:v>
                </c:pt>
                <c:pt idx="1">
                  <c:v>2747</c:v>
                </c:pt>
                <c:pt idx="2">
                  <c:v>2665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5F-4862-B40D-0DFF77CD9F95}"/>
            </c:ext>
          </c:extLst>
        </c:ser>
        <c:ser>
          <c:idx val="1"/>
          <c:order val="1"/>
          <c:tx>
            <c:strRef>
              <c:f>'Zadanie5.2.'!$I$4</c:f>
              <c:strCache>
                <c:ptCount val="1"/>
                <c:pt idx="0">
                  <c:v>Lody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'Zadanie5.2.'!$G$5:$G$7</c:f>
              <c:strCache>
                <c:ptCount val="3"/>
                <c:pt idx="0">
                  <c:v>Czerwiec</c:v>
                </c:pt>
                <c:pt idx="1">
                  <c:v>Lipiec</c:v>
                </c:pt>
                <c:pt idx="2">
                  <c:v>Sierpień</c:v>
                </c:pt>
              </c:strCache>
            </c:strRef>
          </c:cat>
          <c:val>
            <c:numRef>
              <c:f>'Zadanie5.2.'!$I$5:$I$7</c:f>
              <c:numCache>
                <c:formatCode>General</c:formatCode>
                <c:ptCount val="3"/>
                <c:pt idx="0">
                  <c:v>3527</c:v>
                </c:pt>
                <c:pt idx="1">
                  <c:v>3675</c:v>
                </c:pt>
                <c:pt idx="2">
                  <c:v>3579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5F-4862-B40D-0DFF77CD9F95}"/>
            </c:ext>
          </c:extLst>
        </c:ser>
        <c:ser>
          <c:idx val="2"/>
          <c:order val="2"/>
          <c:tx>
            <c:strRef>
              <c:f>'Zadanie5.2.'!$J$4</c:f>
              <c:strCache>
                <c:ptCount val="1"/>
                <c:pt idx="0">
                  <c:v>Kukurydza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'Zadanie5.2.'!$G$5:$G$7</c:f>
              <c:strCache>
                <c:ptCount val="3"/>
                <c:pt idx="0">
                  <c:v>Czerwiec</c:v>
                </c:pt>
                <c:pt idx="1">
                  <c:v>Lipiec</c:v>
                </c:pt>
                <c:pt idx="2">
                  <c:v>Sierpień</c:v>
                </c:pt>
              </c:strCache>
            </c:strRef>
          </c:cat>
          <c:val>
            <c:numRef>
              <c:f>'Zadanie5.2.'!$J$5:$J$7</c:f>
              <c:numCache>
                <c:formatCode>General</c:formatCode>
                <c:ptCount val="3"/>
                <c:pt idx="0">
                  <c:v>2355</c:v>
                </c:pt>
                <c:pt idx="1">
                  <c:v>2448</c:v>
                </c:pt>
                <c:pt idx="2">
                  <c:v>2390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5F-4862-B40D-0DFF77CD9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4198095"/>
        <c:axId val="2064193775"/>
      </c:barChart>
      <c:catAx>
        <c:axId val="2064198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64193775"/>
        <c:crosses val="autoZero"/>
        <c:auto val="1"/>
        <c:lblAlgn val="ctr"/>
        <c:lblOffset val="100"/>
        <c:noMultiLvlLbl val="0"/>
      </c:catAx>
      <c:valAx>
        <c:axId val="2064193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64198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381000</xdr:colOff>
      <xdr:row>13</xdr:row>
      <xdr:rowOff>95250</xdr:rowOff>
    </xdr:from>
    <xdr:to>
      <xdr:col>10</xdr:col>
      <xdr:colOff>419100</xdr:colOff>
      <xdr:row>28</xdr:row>
      <xdr:rowOff>57150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C17CB78C-23F2-C234-1031-F9E5D4FCCE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161925</xdr:colOff>
      <xdr:row>6</xdr:row>
      <xdr:rowOff>19050</xdr:rowOff>
    </xdr:from>
    <xdr:to>
      <xdr:col>18</xdr:col>
      <xdr:colOff>466725</xdr:colOff>
      <xdr:row>20</xdr:row>
      <xdr:rowOff>95250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27E773D2-8ACA-A926-277C-EB6155171D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ORUS" refreshedDate="46131.964251736114" createdVersion="8" refreshedVersion="8" minRefreshableVersion="3" recordCount="92" xr:uid="{4BD39DC7-32F2-4A81-A61F-6C8D494A920C}">
  <cacheSource type="worksheet">
    <worksheetSource ref="B1:F93" sheet="Arkusz1"/>
  </cacheSource>
  <cacheFields count="7">
    <cacheField name="Data" numFmtId="14">
      <sharedItems containsSemiMixedTypes="0" containsNonDate="0" containsDate="1" containsString="0" minDate="2022-06-01T00:00:00" maxDate="2022-09-01T00:00:00" count="92"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</sharedItems>
      <fieldGroup par="6"/>
    </cacheField>
    <cacheField name="Prognozowana Temperatura" numFmtId="0">
      <sharedItems containsSemiMixedTypes="0" containsString="0" containsNumber="1" containsInteger="1" minValue="15" maxValue="33"/>
    </cacheField>
    <cacheField name="Hot-Dogi" numFmtId="0">
      <sharedItems containsSemiMixedTypes="0" containsString="0" containsNumber="1" containsInteger="1" minValue="58" maxValue="121"/>
    </cacheField>
    <cacheField name="Lody" numFmtId="0">
      <sharedItems containsSemiMixedTypes="0" containsString="0" containsNumber="1" containsInteger="1" minValue="82" maxValue="157"/>
    </cacheField>
    <cacheField name="Kukurydza" numFmtId="0">
      <sharedItems containsSemiMixedTypes="0" containsString="0" containsNumber="1" containsInteger="1" minValue="58" maxValue="101"/>
    </cacheField>
    <cacheField name="Dni (Data)" numFmtId="0" databaseField="0">
      <fieldGroup base="0">
        <rangePr groupBy="days" startDate="2022-06-01T00:00:00" endDate="2022-09-01T00:00:00"/>
        <groupItems count="368">
          <s v="&lt;01.06.2022"/>
          <s v="01.sty"/>
          <s v="02.sty"/>
          <s v="03.sty"/>
          <s v="04.sty"/>
          <s v="05.sty"/>
          <s v="06.sty"/>
          <s v="07.sty"/>
          <s v="08.sty"/>
          <s v="09.sty"/>
          <s v="10.sty"/>
          <s v="11.sty"/>
          <s v="12.sty"/>
          <s v="13.sty"/>
          <s v="14.sty"/>
          <s v="15.sty"/>
          <s v="16.sty"/>
          <s v="17.sty"/>
          <s v="18.sty"/>
          <s v="19.sty"/>
          <s v="20.sty"/>
          <s v="21.sty"/>
          <s v="22.sty"/>
          <s v="23.sty"/>
          <s v="24.sty"/>
          <s v="25.sty"/>
          <s v="26.sty"/>
          <s v="27.sty"/>
          <s v="28.sty"/>
          <s v="29.sty"/>
          <s v="30.sty"/>
          <s v="31.sty"/>
          <s v="01.lut"/>
          <s v="02.lut"/>
          <s v="03.lut"/>
          <s v="04.lut"/>
          <s v="05.lut"/>
          <s v="06.lut"/>
          <s v="07.lut"/>
          <s v="08.lut"/>
          <s v="09.lut"/>
          <s v="10.lut"/>
          <s v="11.lut"/>
          <s v="12.lut"/>
          <s v="13.lut"/>
          <s v="14.lut"/>
          <s v="15.lut"/>
          <s v="16.lut"/>
          <s v="17.lut"/>
          <s v="18.lut"/>
          <s v="19.lut"/>
          <s v="20.lut"/>
          <s v="21.lut"/>
          <s v="22.lut"/>
          <s v="23.lut"/>
          <s v="24.lut"/>
          <s v="25.lut"/>
          <s v="26.lut"/>
          <s v="27.lut"/>
          <s v="28.lut"/>
          <s v="29.lut"/>
          <s v="01.mar"/>
          <s v="02.mar"/>
          <s v="03.mar"/>
          <s v="04.mar"/>
          <s v="05.mar"/>
          <s v="06.mar"/>
          <s v="07.mar"/>
          <s v="08.mar"/>
          <s v="0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01.kwi"/>
          <s v="02.kwi"/>
          <s v="03.kwi"/>
          <s v="04.kwi"/>
          <s v="05.kwi"/>
          <s v="06.kwi"/>
          <s v="07.kwi"/>
          <s v="08.kwi"/>
          <s v="09.kwi"/>
          <s v="10.kwi"/>
          <s v="11.kwi"/>
          <s v="12.kwi"/>
          <s v="13.kwi"/>
          <s v="14.kwi"/>
          <s v="15.kwi"/>
          <s v="16.kwi"/>
          <s v="17.kwi"/>
          <s v="18.kwi"/>
          <s v="19.kwi"/>
          <s v="20.kwi"/>
          <s v="21.kwi"/>
          <s v="22.kwi"/>
          <s v="23.kwi"/>
          <s v="24.kwi"/>
          <s v="25.kwi"/>
          <s v="26.kwi"/>
          <s v="27.kwi"/>
          <s v="28.kwi"/>
          <s v="29.kwi"/>
          <s v="30.kwi"/>
          <s v="01.maj"/>
          <s v="02.maj"/>
          <s v="03.maj"/>
          <s v="04.maj"/>
          <s v="05.maj"/>
          <s v="06.maj"/>
          <s v="07.maj"/>
          <s v="08.maj"/>
          <s v="09.maj"/>
          <s v="10.maj"/>
          <s v="11.maj"/>
          <s v="12.maj"/>
          <s v="13.maj"/>
          <s v="14.maj"/>
          <s v="15.maj"/>
          <s v="16.maj"/>
          <s v="17.maj"/>
          <s v="18.maj"/>
          <s v="19.maj"/>
          <s v="20.maj"/>
          <s v="21.maj"/>
          <s v="22.maj"/>
          <s v="23.maj"/>
          <s v="24.maj"/>
          <s v="25.maj"/>
          <s v="26.maj"/>
          <s v="27.maj"/>
          <s v="28.maj"/>
          <s v="29.maj"/>
          <s v="30.maj"/>
          <s v="31.maj"/>
          <s v="01.cze"/>
          <s v="02.cze"/>
          <s v="03.cze"/>
          <s v="04.cze"/>
          <s v="05.cze"/>
          <s v="06.cze"/>
          <s v="07.cze"/>
          <s v="08.cze"/>
          <s v="09.cze"/>
          <s v="10.cze"/>
          <s v="11.cze"/>
          <s v="12.cze"/>
          <s v="13.cze"/>
          <s v="14.cze"/>
          <s v="15.cze"/>
          <s v="16.cze"/>
          <s v="17.cze"/>
          <s v="18.cze"/>
          <s v="19.cze"/>
          <s v="20.cze"/>
          <s v="21.cze"/>
          <s v="22.cze"/>
          <s v="23.cze"/>
          <s v="24.cze"/>
          <s v="25.cze"/>
          <s v="26.cze"/>
          <s v="27.cze"/>
          <s v="28.cze"/>
          <s v="29.cze"/>
          <s v="30.cze"/>
          <s v="01.lip"/>
          <s v="02.lip"/>
          <s v="03.lip"/>
          <s v="04.lip"/>
          <s v="05.lip"/>
          <s v="06.lip"/>
          <s v="07.lip"/>
          <s v="08.lip"/>
          <s v="09.lip"/>
          <s v="10.lip"/>
          <s v="11.lip"/>
          <s v="12.lip"/>
          <s v="13.lip"/>
          <s v="14.lip"/>
          <s v="15.lip"/>
          <s v="16.lip"/>
          <s v="17.lip"/>
          <s v="18.lip"/>
          <s v="19.lip"/>
          <s v="20.lip"/>
          <s v="21.lip"/>
          <s v="22.lip"/>
          <s v="23.lip"/>
          <s v="24.lip"/>
          <s v="25.lip"/>
          <s v="26.lip"/>
          <s v="27.lip"/>
          <s v="28.lip"/>
          <s v="29.lip"/>
          <s v="30.lip"/>
          <s v="31.lip"/>
          <s v="01.sie"/>
          <s v="02.sie"/>
          <s v="03.sie"/>
          <s v="04.sie"/>
          <s v="05.sie"/>
          <s v="06.sie"/>
          <s v="07.sie"/>
          <s v="08.sie"/>
          <s v="09.sie"/>
          <s v="10.sie"/>
          <s v="11.sie"/>
          <s v="12.sie"/>
          <s v="13.sie"/>
          <s v="14.sie"/>
          <s v="15.sie"/>
          <s v="16.sie"/>
          <s v="17.sie"/>
          <s v="18.sie"/>
          <s v="19.sie"/>
          <s v="20.sie"/>
          <s v="21.sie"/>
          <s v="22.sie"/>
          <s v="23.sie"/>
          <s v="24.sie"/>
          <s v="25.sie"/>
          <s v="26.sie"/>
          <s v="27.sie"/>
          <s v="28.sie"/>
          <s v="29.sie"/>
          <s v="30.sie"/>
          <s v="31.sie"/>
          <s v="01.wrz"/>
          <s v="02.wrz"/>
          <s v="03.wrz"/>
          <s v="04.wrz"/>
          <s v="05.wrz"/>
          <s v="06.wrz"/>
          <s v="07.wrz"/>
          <s v="08.wrz"/>
          <s v="09.wrz"/>
          <s v="10.wrz"/>
          <s v="11.wrz"/>
          <s v="12.wrz"/>
          <s v="13.wrz"/>
          <s v="14.wrz"/>
          <s v="15.wrz"/>
          <s v="16.wrz"/>
          <s v="17.wrz"/>
          <s v="18.wrz"/>
          <s v="19.wrz"/>
          <s v="20.wrz"/>
          <s v="21.wrz"/>
          <s v="22.wrz"/>
          <s v="23.wrz"/>
          <s v="24.wrz"/>
          <s v="25.wrz"/>
          <s v="26.wrz"/>
          <s v="27.wrz"/>
          <s v="28.wrz"/>
          <s v="29.wrz"/>
          <s v="30.wrz"/>
          <s v="01.paź"/>
          <s v="02.paź"/>
          <s v="03.paź"/>
          <s v="04.paź"/>
          <s v="05.paź"/>
          <s v="06.paź"/>
          <s v="07.paź"/>
          <s v="08.paź"/>
          <s v="09.paź"/>
          <s v="10.paź"/>
          <s v="11.paź"/>
          <s v="12.paź"/>
          <s v="13.paź"/>
          <s v="14.paź"/>
          <s v="15.paź"/>
          <s v="16.paź"/>
          <s v="17.paź"/>
          <s v="18.paź"/>
          <s v="19.paź"/>
          <s v="20.paź"/>
          <s v="21.paź"/>
          <s v="22.paź"/>
          <s v="23.paź"/>
          <s v="24.paź"/>
          <s v="25.paź"/>
          <s v="26.paź"/>
          <s v="27.paź"/>
          <s v="28.paź"/>
          <s v="29.paź"/>
          <s v="30.paź"/>
          <s v="31.paź"/>
          <s v="01.lis"/>
          <s v="02.lis"/>
          <s v="03.lis"/>
          <s v="04.lis"/>
          <s v="05.lis"/>
          <s v="06.lis"/>
          <s v="07.lis"/>
          <s v="08.lis"/>
          <s v="09.lis"/>
          <s v="10.lis"/>
          <s v="11.lis"/>
          <s v="12.lis"/>
          <s v="13.lis"/>
          <s v="14.lis"/>
          <s v="15.lis"/>
          <s v="16.lis"/>
          <s v="17.lis"/>
          <s v="18.lis"/>
          <s v="19.lis"/>
          <s v="20.lis"/>
          <s v="21.lis"/>
          <s v="22.lis"/>
          <s v="23.lis"/>
          <s v="24.lis"/>
          <s v="25.lis"/>
          <s v="26.lis"/>
          <s v="27.lis"/>
          <s v="28.lis"/>
          <s v="29.lis"/>
          <s v="30.lis"/>
          <s v="01.gru"/>
          <s v="02.gru"/>
          <s v="03.gru"/>
          <s v="04.gru"/>
          <s v="05.gru"/>
          <s v="06.gru"/>
          <s v="07.gru"/>
          <s v="08.gru"/>
          <s v="09.gru"/>
          <s v="10.gru"/>
          <s v="11.gru"/>
          <s v="12.gru"/>
          <s v="13.gru"/>
          <s v="14.gru"/>
          <s v="15.gru"/>
          <s v="16.gru"/>
          <s v="17.gru"/>
          <s v="18.gru"/>
          <s v="19.gru"/>
          <s v="20.gru"/>
          <s v="21.gru"/>
          <s v="22.gru"/>
          <s v="23.gru"/>
          <s v="24.gru"/>
          <s v="25.gru"/>
          <s v="26.gru"/>
          <s v="27.gru"/>
          <s v="28.gru"/>
          <s v="29.gru"/>
          <s v="30.gru"/>
          <s v="31.gru"/>
          <s v="&gt;01.09.2022"/>
        </groupItems>
      </fieldGroup>
    </cacheField>
    <cacheField name="Miesiące (Data)" numFmtId="0" databaseField="0">
      <fieldGroup base="0">
        <rangePr groupBy="months" startDate="2022-06-01T00:00:00" endDate="2022-09-01T00:00:00"/>
        <groupItems count="14">
          <s v="&lt;01.06.2022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01.09.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ORUS" refreshedDate="46131.9780880787" createdVersion="8" refreshedVersion="8" minRefreshableVersion="3" recordCount="92" xr:uid="{1A9DD55A-6023-4928-8122-B028DFBBF48C}">
  <cacheSource type="worksheet">
    <worksheetSource ref="B1:H93" sheet="Arkusz1"/>
  </cacheSource>
  <cacheFields count="9">
    <cacheField name="Data" numFmtId="14">
      <sharedItems containsSemiMixedTypes="0" containsNonDate="0" containsDate="1" containsString="0" minDate="2022-06-01T00:00:00" maxDate="2022-09-01T00:00:00" count="92"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</sharedItems>
      <fieldGroup par="8"/>
    </cacheField>
    <cacheField name="Prognozowana Temperatura" numFmtId="0">
      <sharedItems containsSemiMixedTypes="0" containsString="0" containsNumber="1" containsInteger="1" minValue="15" maxValue="33"/>
    </cacheField>
    <cacheField name="Hot-Dogi" numFmtId="0">
      <sharedItems containsSemiMixedTypes="0" containsString="0" containsNumber="1" containsInteger="1" minValue="58" maxValue="121"/>
    </cacheField>
    <cacheField name="Lody" numFmtId="0">
      <sharedItems containsSemiMixedTypes="0" containsString="0" containsNumber="1" containsInteger="1" minValue="82" maxValue="157"/>
    </cacheField>
    <cacheField name="Kukurydza" numFmtId="0">
      <sharedItems containsSemiMixedTypes="0" containsString="0" containsNumber="1" containsInteger="1" minValue="58" maxValue="101"/>
    </cacheField>
    <cacheField name="ciepły_streak" numFmtId="0">
      <sharedItems containsSemiMixedTypes="0" containsString="0" containsNumber="1" containsInteger="1" minValue="0" maxValue="15"/>
    </cacheField>
    <cacheField name="Dzienny utarg" numFmtId="171">
      <sharedItems containsSemiMixedTypes="0" containsString="0" containsNumber="1" containsInteger="1" minValue="1164" maxValue="2238"/>
    </cacheField>
    <cacheField name="Dni (Data)" numFmtId="0" databaseField="0">
      <fieldGroup base="0">
        <rangePr groupBy="days" startDate="2022-06-01T00:00:00" endDate="2022-09-01T00:00:00"/>
        <groupItems count="368">
          <s v="&lt;01.06.2022"/>
          <s v="01.sty"/>
          <s v="02.sty"/>
          <s v="03.sty"/>
          <s v="04.sty"/>
          <s v="05.sty"/>
          <s v="06.sty"/>
          <s v="07.sty"/>
          <s v="08.sty"/>
          <s v="09.sty"/>
          <s v="10.sty"/>
          <s v="11.sty"/>
          <s v="12.sty"/>
          <s v="13.sty"/>
          <s v="14.sty"/>
          <s v="15.sty"/>
          <s v="16.sty"/>
          <s v="17.sty"/>
          <s v="18.sty"/>
          <s v="19.sty"/>
          <s v="20.sty"/>
          <s v="21.sty"/>
          <s v="22.sty"/>
          <s v="23.sty"/>
          <s v="24.sty"/>
          <s v="25.sty"/>
          <s v="26.sty"/>
          <s v="27.sty"/>
          <s v="28.sty"/>
          <s v="29.sty"/>
          <s v="30.sty"/>
          <s v="31.sty"/>
          <s v="01.lut"/>
          <s v="02.lut"/>
          <s v="03.lut"/>
          <s v="04.lut"/>
          <s v="05.lut"/>
          <s v="06.lut"/>
          <s v="07.lut"/>
          <s v="08.lut"/>
          <s v="09.lut"/>
          <s v="10.lut"/>
          <s v="11.lut"/>
          <s v="12.lut"/>
          <s v="13.lut"/>
          <s v="14.lut"/>
          <s v="15.lut"/>
          <s v="16.lut"/>
          <s v="17.lut"/>
          <s v="18.lut"/>
          <s v="19.lut"/>
          <s v="20.lut"/>
          <s v="21.lut"/>
          <s v="22.lut"/>
          <s v="23.lut"/>
          <s v="24.lut"/>
          <s v="25.lut"/>
          <s v="26.lut"/>
          <s v="27.lut"/>
          <s v="28.lut"/>
          <s v="29.lut"/>
          <s v="01.mar"/>
          <s v="02.mar"/>
          <s v="03.mar"/>
          <s v="04.mar"/>
          <s v="05.mar"/>
          <s v="06.mar"/>
          <s v="07.mar"/>
          <s v="08.mar"/>
          <s v="0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01.kwi"/>
          <s v="02.kwi"/>
          <s v="03.kwi"/>
          <s v="04.kwi"/>
          <s v="05.kwi"/>
          <s v="06.kwi"/>
          <s v="07.kwi"/>
          <s v="08.kwi"/>
          <s v="09.kwi"/>
          <s v="10.kwi"/>
          <s v="11.kwi"/>
          <s v="12.kwi"/>
          <s v="13.kwi"/>
          <s v="14.kwi"/>
          <s v="15.kwi"/>
          <s v="16.kwi"/>
          <s v="17.kwi"/>
          <s v="18.kwi"/>
          <s v="19.kwi"/>
          <s v="20.kwi"/>
          <s v="21.kwi"/>
          <s v="22.kwi"/>
          <s v="23.kwi"/>
          <s v="24.kwi"/>
          <s v="25.kwi"/>
          <s v="26.kwi"/>
          <s v="27.kwi"/>
          <s v="28.kwi"/>
          <s v="29.kwi"/>
          <s v="30.kwi"/>
          <s v="01.maj"/>
          <s v="02.maj"/>
          <s v="03.maj"/>
          <s v="04.maj"/>
          <s v="05.maj"/>
          <s v="06.maj"/>
          <s v="07.maj"/>
          <s v="08.maj"/>
          <s v="09.maj"/>
          <s v="10.maj"/>
          <s v="11.maj"/>
          <s v="12.maj"/>
          <s v="13.maj"/>
          <s v="14.maj"/>
          <s v="15.maj"/>
          <s v="16.maj"/>
          <s v="17.maj"/>
          <s v="18.maj"/>
          <s v="19.maj"/>
          <s v="20.maj"/>
          <s v="21.maj"/>
          <s v="22.maj"/>
          <s v="23.maj"/>
          <s v="24.maj"/>
          <s v="25.maj"/>
          <s v="26.maj"/>
          <s v="27.maj"/>
          <s v="28.maj"/>
          <s v="29.maj"/>
          <s v="30.maj"/>
          <s v="31.maj"/>
          <s v="01.cze"/>
          <s v="02.cze"/>
          <s v="03.cze"/>
          <s v="04.cze"/>
          <s v="05.cze"/>
          <s v="06.cze"/>
          <s v="07.cze"/>
          <s v="08.cze"/>
          <s v="09.cze"/>
          <s v="10.cze"/>
          <s v="11.cze"/>
          <s v="12.cze"/>
          <s v="13.cze"/>
          <s v="14.cze"/>
          <s v="15.cze"/>
          <s v="16.cze"/>
          <s v="17.cze"/>
          <s v="18.cze"/>
          <s v="19.cze"/>
          <s v="20.cze"/>
          <s v="21.cze"/>
          <s v="22.cze"/>
          <s v="23.cze"/>
          <s v="24.cze"/>
          <s v="25.cze"/>
          <s v="26.cze"/>
          <s v="27.cze"/>
          <s v="28.cze"/>
          <s v="29.cze"/>
          <s v="30.cze"/>
          <s v="01.lip"/>
          <s v="02.lip"/>
          <s v="03.lip"/>
          <s v="04.lip"/>
          <s v="05.lip"/>
          <s v="06.lip"/>
          <s v="07.lip"/>
          <s v="08.lip"/>
          <s v="09.lip"/>
          <s v="10.lip"/>
          <s v="11.lip"/>
          <s v="12.lip"/>
          <s v="13.lip"/>
          <s v="14.lip"/>
          <s v="15.lip"/>
          <s v="16.lip"/>
          <s v="17.lip"/>
          <s v="18.lip"/>
          <s v="19.lip"/>
          <s v="20.lip"/>
          <s v="21.lip"/>
          <s v="22.lip"/>
          <s v="23.lip"/>
          <s v="24.lip"/>
          <s v="25.lip"/>
          <s v="26.lip"/>
          <s v="27.lip"/>
          <s v="28.lip"/>
          <s v="29.lip"/>
          <s v="30.lip"/>
          <s v="31.lip"/>
          <s v="01.sie"/>
          <s v="02.sie"/>
          <s v="03.sie"/>
          <s v="04.sie"/>
          <s v="05.sie"/>
          <s v="06.sie"/>
          <s v="07.sie"/>
          <s v="08.sie"/>
          <s v="09.sie"/>
          <s v="10.sie"/>
          <s v="11.sie"/>
          <s v="12.sie"/>
          <s v="13.sie"/>
          <s v="14.sie"/>
          <s v="15.sie"/>
          <s v="16.sie"/>
          <s v="17.sie"/>
          <s v="18.sie"/>
          <s v="19.sie"/>
          <s v="20.sie"/>
          <s v="21.sie"/>
          <s v="22.sie"/>
          <s v="23.sie"/>
          <s v="24.sie"/>
          <s v="25.sie"/>
          <s v="26.sie"/>
          <s v="27.sie"/>
          <s v="28.sie"/>
          <s v="29.sie"/>
          <s v="30.sie"/>
          <s v="31.sie"/>
          <s v="01.wrz"/>
          <s v="02.wrz"/>
          <s v="03.wrz"/>
          <s v="04.wrz"/>
          <s v="05.wrz"/>
          <s v="06.wrz"/>
          <s v="07.wrz"/>
          <s v="08.wrz"/>
          <s v="09.wrz"/>
          <s v="10.wrz"/>
          <s v="11.wrz"/>
          <s v="12.wrz"/>
          <s v="13.wrz"/>
          <s v="14.wrz"/>
          <s v="15.wrz"/>
          <s v="16.wrz"/>
          <s v="17.wrz"/>
          <s v="18.wrz"/>
          <s v="19.wrz"/>
          <s v="20.wrz"/>
          <s v="21.wrz"/>
          <s v="22.wrz"/>
          <s v="23.wrz"/>
          <s v="24.wrz"/>
          <s v="25.wrz"/>
          <s v="26.wrz"/>
          <s v="27.wrz"/>
          <s v="28.wrz"/>
          <s v="29.wrz"/>
          <s v="30.wrz"/>
          <s v="01.paź"/>
          <s v="02.paź"/>
          <s v="03.paź"/>
          <s v="04.paź"/>
          <s v="05.paź"/>
          <s v="06.paź"/>
          <s v="07.paź"/>
          <s v="08.paź"/>
          <s v="09.paź"/>
          <s v="10.paź"/>
          <s v="11.paź"/>
          <s v="12.paź"/>
          <s v="13.paź"/>
          <s v="14.paź"/>
          <s v="15.paź"/>
          <s v="16.paź"/>
          <s v="17.paź"/>
          <s v="18.paź"/>
          <s v="19.paź"/>
          <s v="20.paź"/>
          <s v="21.paź"/>
          <s v="22.paź"/>
          <s v="23.paź"/>
          <s v="24.paź"/>
          <s v="25.paź"/>
          <s v="26.paź"/>
          <s v="27.paź"/>
          <s v="28.paź"/>
          <s v="29.paź"/>
          <s v="30.paź"/>
          <s v="31.paź"/>
          <s v="01.lis"/>
          <s v="02.lis"/>
          <s v="03.lis"/>
          <s v="04.lis"/>
          <s v="05.lis"/>
          <s v="06.lis"/>
          <s v="07.lis"/>
          <s v="08.lis"/>
          <s v="09.lis"/>
          <s v="10.lis"/>
          <s v="11.lis"/>
          <s v="12.lis"/>
          <s v="13.lis"/>
          <s v="14.lis"/>
          <s v="15.lis"/>
          <s v="16.lis"/>
          <s v="17.lis"/>
          <s v="18.lis"/>
          <s v="19.lis"/>
          <s v="20.lis"/>
          <s v="21.lis"/>
          <s v="22.lis"/>
          <s v="23.lis"/>
          <s v="24.lis"/>
          <s v="25.lis"/>
          <s v="26.lis"/>
          <s v="27.lis"/>
          <s v="28.lis"/>
          <s v="29.lis"/>
          <s v="30.lis"/>
          <s v="01.gru"/>
          <s v="02.gru"/>
          <s v="03.gru"/>
          <s v="04.gru"/>
          <s v="05.gru"/>
          <s v="06.gru"/>
          <s v="07.gru"/>
          <s v="08.gru"/>
          <s v="09.gru"/>
          <s v="10.gru"/>
          <s v="11.gru"/>
          <s v="12.gru"/>
          <s v="13.gru"/>
          <s v="14.gru"/>
          <s v="15.gru"/>
          <s v="16.gru"/>
          <s v="17.gru"/>
          <s v="18.gru"/>
          <s v="19.gru"/>
          <s v="20.gru"/>
          <s v="21.gru"/>
          <s v="22.gru"/>
          <s v="23.gru"/>
          <s v="24.gru"/>
          <s v="25.gru"/>
          <s v="26.gru"/>
          <s v="27.gru"/>
          <s v="28.gru"/>
          <s v="29.gru"/>
          <s v="30.gru"/>
          <s v="31.gru"/>
          <s v="&gt;01.09.2022"/>
        </groupItems>
      </fieldGroup>
    </cacheField>
    <cacheField name="Miesiące (Data)" numFmtId="0" databaseField="0">
      <fieldGroup base="0">
        <rangePr groupBy="months" startDate="2022-06-01T00:00:00" endDate="2022-09-01T00:00:00"/>
        <groupItems count="14">
          <s v="&lt;01.06.2022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01.09.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">
  <r>
    <x v="0"/>
    <n v="24"/>
    <n v="90"/>
    <n v="120"/>
    <n v="80"/>
  </r>
  <r>
    <x v="1"/>
    <n v="25"/>
    <n v="93"/>
    <n v="124"/>
    <n v="82"/>
  </r>
  <r>
    <x v="2"/>
    <n v="27"/>
    <n v="100"/>
    <n v="132"/>
    <n v="87"/>
  </r>
  <r>
    <x v="3"/>
    <n v="27"/>
    <n v="100"/>
    <n v="132"/>
    <n v="87"/>
  </r>
  <r>
    <x v="4"/>
    <n v="27"/>
    <n v="100"/>
    <n v="132"/>
    <n v="87"/>
  </r>
  <r>
    <x v="5"/>
    <n v="22"/>
    <n v="83"/>
    <n v="111"/>
    <n v="75"/>
  </r>
  <r>
    <x v="6"/>
    <n v="25"/>
    <n v="93"/>
    <n v="124"/>
    <n v="82"/>
  </r>
  <r>
    <x v="7"/>
    <n v="25"/>
    <n v="93"/>
    <n v="124"/>
    <n v="82"/>
  </r>
  <r>
    <x v="8"/>
    <n v="21"/>
    <n v="79"/>
    <n v="107"/>
    <n v="72"/>
  </r>
  <r>
    <x v="9"/>
    <n v="21"/>
    <n v="79"/>
    <n v="107"/>
    <n v="72"/>
  </r>
  <r>
    <x v="10"/>
    <n v="19"/>
    <n v="72"/>
    <n v="99"/>
    <n v="68"/>
  </r>
  <r>
    <x v="11"/>
    <n v="19"/>
    <n v="72"/>
    <n v="99"/>
    <n v="68"/>
  </r>
  <r>
    <x v="12"/>
    <n v="15"/>
    <n v="58"/>
    <n v="82"/>
    <n v="58"/>
  </r>
  <r>
    <x v="13"/>
    <n v="21"/>
    <n v="79"/>
    <n v="107"/>
    <n v="72"/>
  </r>
  <r>
    <x v="14"/>
    <n v="23"/>
    <n v="86"/>
    <n v="115"/>
    <n v="77"/>
  </r>
  <r>
    <x v="15"/>
    <n v="23"/>
    <n v="86"/>
    <n v="115"/>
    <n v="77"/>
  </r>
  <r>
    <x v="16"/>
    <n v="16"/>
    <n v="62"/>
    <n v="86"/>
    <n v="61"/>
  </r>
  <r>
    <x v="17"/>
    <n v="21"/>
    <n v="79"/>
    <n v="107"/>
    <n v="72"/>
  </r>
  <r>
    <x v="18"/>
    <n v="22"/>
    <n v="83"/>
    <n v="111"/>
    <n v="75"/>
  </r>
  <r>
    <x v="19"/>
    <n v="22"/>
    <n v="83"/>
    <n v="111"/>
    <n v="75"/>
  </r>
  <r>
    <x v="20"/>
    <n v="22"/>
    <n v="83"/>
    <n v="111"/>
    <n v="75"/>
  </r>
  <r>
    <x v="21"/>
    <n v="28"/>
    <n v="103"/>
    <n v="136"/>
    <n v="89"/>
  </r>
  <r>
    <x v="22"/>
    <n v="31"/>
    <n v="114"/>
    <n v="148"/>
    <n v="96"/>
  </r>
  <r>
    <x v="23"/>
    <n v="33"/>
    <n v="121"/>
    <n v="157"/>
    <n v="101"/>
  </r>
  <r>
    <x v="24"/>
    <n v="33"/>
    <n v="121"/>
    <n v="157"/>
    <n v="101"/>
  </r>
  <r>
    <x v="25"/>
    <n v="23"/>
    <n v="86"/>
    <n v="115"/>
    <n v="77"/>
  </r>
  <r>
    <x v="26"/>
    <n v="23"/>
    <n v="86"/>
    <n v="115"/>
    <n v="77"/>
  </r>
  <r>
    <x v="27"/>
    <n v="19"/>
    <n v="72"/>
    <n v="99"/>
    <n v="68"/>
  </r>
  <r>
    <x v="28"/>
    <n v="24"/>
    <n v="90"/>
    <n v="120"/>
    <n v="80"/>
  </r>
  <r>
    <x v="29"/>
    <n v="25"/>
    <n v="93"/>
    <n v="124"/>
    <n v="82"/>
  </r>
  <r>
    <x v="30"/>
    <n v="27"/>
    <n v="100"/>
    <n v="132"/>
    <n v="87"/>
  </r>
  <r>
    <x v="31"/>
    <n v="27"/>
    <n v="100"/>
    <n v="132"/>
    <n v="87"/>
  </r>
  <r>
    <x v="32"/>
    <n v="21"/>
    <n v="79"/>
    <n v="107"/>
    <n v="72"/>
  </r>
  <r>
    <x v="33"/>
    <n v="21"/>
    <n v="79"/>
    <n v="107"/>
    <n v="72"/>
  </r>
  <r>
    <x v="34"/>
    <n v="25"/>
    <n v="93"/>
    <n v="124"/>
    <n v="82"/>
  </r>
  <r>
    <x v="35"/>
    <n v="19"/>
    <n v="72"/>
    <n v="99"/>
    <n v="68"/>
  </r>
  <r>
    <x v="36"/>
    <n v="21"/>
    <n v="79"/>
    <n v="107"/>
    <n v="72"/>
  </r>
  <r>
    <x v="37"/>
    <n v="24"/>
    <n v="90"/>
    <n v="120"/>
    <n v="80"/>
  </r>
  <r>
    <x v="38"/>
    <n v="19"/>
    <n v="72"/>
    <n v="99"/>
    <n v="68"/>
  </r>
  <r>
    <x v="39"/>
    <n v="28"/>
    <n v="103"/>
    <n v="136"/>
    <n v="89"/>
  </r>
  <r>
    <x v="40"/>
    <n v="27"/>
    <n v="100"/>
    <n v="132"/>
    <n v="87"/>
  </r>
  <r>
    <x v="41"/>
    <n v="24"/>
    <n v="90"/>
    <n v="120"/>
    <n v="80"/>
  </r>
  <r>
    <x v="42"/>
    <n v="22"/>
    <n v="83"/>
    <n v="111"/>
    <n v="75"/>
  </r>
  <r>
    <x v="43"/>
    <n v="17"/>
    <n v="65"/>
    <n v="91"/>
    <n v="63"/>
  </r>
  <r>
    <x v="44"/>
    <n v="18"/>
    <n v="69"/>
    <n v="95"/>
    <n v="65"/>
  </r>
  <r>
    <x v="45"/>
    <n v="23"/>
    <n v="86"/>
    <n v="115"/>
    <n v="77"/>
  </r>
  <r>
    <x v="46"/>
    <n v="23"/>
    <n v="86"/>
    <n v="115"/>
    <n v="77"/>
  </r>
  <r>
    <x v="47"/>
    <n v="19"/>
    <n v="72"/>
    <n v="99"/>
    <n v="68"/>
  </r>
  <r>
    <x v="48"/>
    <n v="21"/>
    <n v="79"/>
    <n v="107"/>
    <n v="72"/>
  </r>
  <r>
    <x v="49"/>
    <n v="25"/>
    <n v="93"/>
    <n v="124"/>
    <n v="82"/>
  </r>
  <r>
    <x v="50"/>
    <n v="28"/>
    <n v="103"/>
    <n v="136"/>
    <n v="89"/>
  </r>
  <r>
    <x v="51"/>
    <n v="27"/>
    <n v="100"/>
    <n v="132"/>
    <n v="87"/>
  </r>
  <r>
    <x v="52"/>
    <n v="23"/>
    <n v="86"/>
    <n v="115"/>
    <n v="77"/>
  </r>
  <r>
    <x v="53"/>
    <n v="26"/>
    <n v="96"/>
    <n v="128"/>
    <n v="84"/>
  </r>
  <r>
    <x v="54"/>
    <n v="29"/>
    <n v="107"/>
    <n v="140"/>
    <n v="91"/>
  </r>
  <r>
    <x v="55"/>
    <n v="26"/>
    <n v="96"/>
    <n v="128"/>
    <n v="84"/>
  </r>
  <r>
    <x v="56"/>
    <n v="27"/>
    <n v="100"/>
    <n v="132"/>
    <n v="87"/>
  </r>
  <r>
    <x v="57"/>
    <n v="24"/>
    <n v="90"/>
    <n v="120"/>
    <n v="80"/>
  </r>
  <r>
    <x v="58"/>
    <n v="26"/>
    <n v="96"/>
    <n v="128"/>
    <n v="84"/>
  </r>
  <r>
    <x v="59"/>
    <n v="25"/>
    <n v="93"/>
    <n v="124"/>
    <n v="82"/>
  </r>
  <r>
    <x v="60"/>
    <n v="24"/>
    <n v="90"/>
    <n v="120"/>
    <n v="80"/>
  </r>
  <r>
    <x v="61"/>
    <n v="22"/>
    <n v="83"/>
    <n v="111"/>
    <n v="75"/>
  </r>
  <r>
    <x v="62"/>
    <n v="19"/>
    <n v="72"/>
    <n v="99"/>
    <n v="68"/>
  </r>
  <r>
    <x v="63"/>
    <n v="21"/>
    <n v="79"/>
    <n v="107"/>
    <n v="72"/>
  </r>
  <r>
    <x v="64"/>
    <n v="26"/>
    <n v="96"/>
    <n v="128"/>
    <n v="84"/>
  </r>
  <r>
    <x v="65"/>
    <n v="19"/>
    <n v="72"/>
    <n v="99"/>
    <n v="68"/>
  </r>
  <r>
    <x v="66"/>
    <n v="21"/>
    <n v="79"/>
    <n v="107"/>
    <n v="72"/>
  </r>
  <r>
    <x v="67"/>
    <n v="23"/>
    <n v="86"/>
    <n v="115"/>
    <n v="77"/>
  </r>
  <r>
    <x v="68"/>
    <n v="27"/>
    <n v="100"/>
    <n v="132"/>
    <n v="87"/>
  </r>
  <r>
    <x v="69"/>
    <n v="20"/>
    <n v="76"/>
    <n v="103"/>
    <n v="70"/>
  </r>
  <r>
    <x v="70"/>
    <n v="18"/>
    <n v="69"/>
    <n v="95"/>
    <n v="65"/>
  </r>
  <r>
    <x v="71"/>
    <n v="17"/>
    <n v="65"/>
    <n v="91"/>
    <n v="63"/>
  </r>
  <r>
    <x v="72"/>
    <n v="19"/>
    <n v="72"/>
    <n v="99"/>
    <n v="68"/>
  </r>
  <r>
    <x v="73"/>
    <n v="26"/>
    <n v="96"/>
    <n v="128"/>
    <n v="84"/>
  </r>
  <r>
    <x v="74"/>
    <n v="21"/>
    <n v="79"/>
    <n v="107"/>
    <n v="72"/>
  </r>
  <r>
    <x v="75"/>
    <n v="19"/>
    <n v="72"/>
    <n v="99"/>
    <n v="68"/>
  </r>
  <r>
    <x v="76"/>
    <n v="19"/>
    <n v="72"/>
    <n v="99"/>
    <n v="68"/>
  </r>
  <r>
    <x v="77"/>
    <n v="21"/>
    <n v="79"/>
    <n v="107"/>
    <n v="72"/>
  </r>
  <r>
    <x v="78"/>
    <n v="21"/>
    <n v="79"/>
    <n v="107"/>
    <n v="72"/>
  </r>
  <r>
    <x v="79"/>
    <n v="24"/>
    <n v="90"/>
    <n v="120"/>
    <n v="80"/>
  </r>
  <r>
    <x v="80"/>
    <n v="26"/>
    <n v="96"/>
    <n v="128"/>
    <n v="84"/>
  </r>
  <r>
    <x v="81"/>
    <n v="23"/>
    <n v="86"/>
    <n v="115"/>
    <n v="77"/>
  </r>
  <r>
    <x v="82"/>
    <n v="23"/>
    <n v="86"/>
    <n v="115"/>
    <n v="77"/>
  </r>
  <r>
    <x v="83"/>
    <n v="24"/>
    <n v="90"/>
    <n v="120"/>
    <n v="80"/>
  </r>
  <r>
    <x v="84"/>
    <n v="26"/>
    <n v="96"/>
    <n v="128"/>
    <n v="84"/>
  </r>
  <r>
    <x v="85"/>
    <n v="28"/>
    <n v="103"/>
    <n v="136"/>
    <n v="89"/>
  </r>
  <r>
    <x v="86"/>
    <n v="32"/>
    <n v="117"/>
    <n v="153"/>
    <n v="98"/>
  </r>
  <r>
    <x v="87"/>
    <n v="26"/>
    <n v="96"/>
    <n v="128"/>
    <n v="84"/>
  </r>
  <r>
    <x v="88"/>
    <n v="32"/>
    <n v="117"/>
    <n v="153"/>
    <n v="98"/>
  </r>
  <r>
    <x v="89"/>
    <n v="23"/>
    <n v="86"/>
    <n v="115"/>
    <n v="77"/>
  </r>
  <r>
    <x v="90"/>
    <n v="22"/>
    <n v="83"/>
    <n v="111"/>
    <n v="75"/>
  </r>
  <r>
    <x v="91"/>
    <n v="25"/>
    <n v="93"/>
    <n v="124"/>
    <n v="8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">
  <r>
    <x v="0"/>
    <n v="24"/>
    <n v="90"/>
    <n v="120"/>
    <n v="80"/>
    <n v="1"/>
    <n v="1710"/>
  </r>
  <r>
    <x v="1"/>
    <n v="25"/>
    <n v="93"/>
    <n v="124"/>
    <n v="82"/>
    <n v="2"/>
    <n v="1763"/>
  </r>
  <r>
    <x v="2"/>
    <n v="27"/>
    <n v="100"/>
    <n v="132"/>
    <n v="87"/>
    <n v="3"/>
    <n v="1882"/>
  </r>
  <r>
    <x v="3"/>
    <n v="27"/>
    <n v="100"/>
    <n v="132"/>
    <n v="87"/>
    <n v="4"/>
    <n v="1882"/>
  </r>
  <r>
    <x v="4"/>
    <n v="27"/>
    <n v="100"/>
    <n v="132"/>
    <n v="87"/>
    <n v="5"/>
    <n v="1882"/>
  </r>
  <r>
    <x v="5"/>
    <n v="22"/>
    <n v="83"/>
    <n v="111"/>
    <n v="75"/>
    <n v="6"/>
    <n v="1586"/>
  </r>
  <r>
    <x v="6"/>
    <n v="25"/>
    <n v="93"/>
    <n v="124"/>
    <n v="82"/>
    <n v="7"/>
    <n v="1763"/>
  </r>
  <r>
    <x v="7"/>
    <n v="25"/>
    <n v="93"/>
    <n v="124"/>
    <n v="82"/>
    <n v="8"/>
    <n v="1763"/>
  </r>
  <r>
    <x v="8"/>
    <n v="21"/>
    <n v="79"/>
    <n v="107"/>
    <n v="72"/>
    <n v="9"/>
    <n v="1520"/>
  </r>
  <r>
    <x v="9"/>
    <n v="21"/>
    <n v="79"/>
    <n v="107"/>
    <n v="72"/>
    <n v="10"/>
    <n v="1520"/>
  </r>
  <r>
    <x v="10"/>
    <n v="19"/>
    <n v="72"/>
    <n v="99"/>
    <n v="68"/>
    <n v="0"/>
    <n v="1407"/>
  </r>
  <r>
    <x v="11"/>
    <n v="19"/>
    <n v="72"/>
    <n v="99"/>
    <n v="68"/>
    <n v="0"/>
    <n v="1407"/>
  </r>
  <r>
    <x v="12"/>
    <n v="15"/>
    <n v="58"/>
    <n v="82"/>
    <n v="58"/>
    <n v="0"/>
    <n v="1164"/>
  </r>
  <r>
    <x v="13"/>
    <n v="21"/>
    <n v="79"/>
    <n v="107"/>
    <n v="72"/>
    <n v="1"/>
    <n v="1520"/>
  </r>
  <r>
    <x v="14"/>
    <n v="23"/>
    <n v="86"/>
    <n v="115"/>
    <n v="77"/>
    <n v="2"/>
    <n v="1639"/>
  </r>
  <r>
    <x v="15"/>
    <n v="23"/>
    <n v="86"/>
    <n v="115"/>
    <n v="77"/>
    <n v="3"/>
    <n v="1639"/>
  </r>
  <r>
    <x v="16"/>
    <n v="16"/>
    <n v="62"/>
    <n v="86"/>
    <n v="61"/>
    <n v="0"/>
    <n v="1230"/>
  </r>
  <r>
    <x v="17"/>
    <n v="21"/>
    <n v="79"/>
    <n v="107"/>
    <n v="72"/>
    <n v="1"/>
    <n v="1520"/>
  </r>
  <r>
    <x v="18"/>
    <n v="22"/>
    <n v="83"/>
    <n v="111"/>
    <n v="75"/>
    <n v="2"/>
    <n v="1586"/>
  </r>
  <r>
    <x v="19"/>
    <n v="22"/>
    <n v="83"/>
    <n v="111"/>
    <n v="75"/>
    <n v="3"/>
    <n v="1586"/>
  </r>
  <r>
    <x v="20"/>
    <n v="22"/>
    <n v="83"/>
    <n v="111"/>
    <n v="75"/>
    <n v="4"/>
    <n v="1586"/>
  </r>
  <r>
    <x v="21"/>
    <n v="28"/>
    <n v="103"/>
    <n v="136"/>
    <n v="89"/>
    <n v="5"/>
    <n v="1935"/>
  </r>
  <r>
    <x v="22"/>
    <n v="31"/>
    <n v="114"/>
    <n v="148"/>
    <n v="96"/>
    <n v="6"/>
    <n v="2114"/>
  </r>
  <r>
    <x v="23"/>
    <n v="33"/>
    <n v="121"/>
    <n v="157"/>
    <n v="101"/>
    <n v="7"/>
    <n v="2238"/>
  </r>
  <r>
    <x v="24"/>
    <n v="33"/>
    <n v="121"/>
    <n v="157"/>
    <n v="101"/>
    <n v="8"/>
    <n v="2238"/>
  </r>
  <r>
    <x v="25"/>
    <n v="23"/>
    <n v="86"/>
    <n v="115"/>
    <n v="77"/>
    <n v="9"/>
    <n v="1639"/>
  </r>
  <r>
    <x v="26"/>
    <n v="23"/>
    <n v="86"/>
    <n v="115"/>
    <n v="77"/>
    <n v="10"/>
    <n v="1639"/>
  </r>
  <r>
    <x v="27"/>
    <n v="19"/>
    <n v="72"/>
    <n v="99"/>
    <n v="68"/>
    <n v="0"/>
    <n v="1407"/>
  </r>
  <r>
    <x v="28"/>
    <n v="24"/>
    <n v="90"/>
    <n v="120"/>
    <n v="80"/>
    <n v="1"/>
    <n v="1710"/>
  </r>
  <r>
    <x v="29"/>
    <n v="25"/>
    <n v="93"/>
    <n v="124"/>
    <n v="82"/>
    <n v="2"/>
    <n v="1763"/>
  </r>
  <r>
    <x v="30"/>
    <n v="27"/>
    <n v="100"/>
    <n v="132"/>
    <n v="87"/>
    <n v="3"/>
    <n v="1882"/>
  </r>
  <r>
    <x v="31"/>
    <n v="27"/>
    <n v="100"/>
    <n v="132"/>
    <n v="87"/>
    <n v="4"/>
    <n v="1882"/>
  </r>
  <r>
    <x v="32"/>
    <n v="21"/>
    <n v="79"/>
    <n v="107"/>
    <n v="72"/>
    <n v="5"/>
    <n v="1520"/>
  </r>
  <r>
    <x v="33"/>
    <n v="21"/>
    <n v="79"/>
    <n v="107"/>
    <n v="72"/>
    <n v="6"/>
    <n v="1520"/>
  </r>
  <r>
    <x v="34"/>
    <n v="25"/>
    <n v="93"/>
    <n v="124"/>
    <n v="82"/>
    <n v="7"/>
    <n v="1763"/>
  </r>
  <r>
    <x v="35"/>
    <n v="19"/>
    <n v="72"/>
    <n v="99"/>
    <n v="68"/>
    <n v="0"/>
    <n v="1407"/>
  </r>
  <r>
    <x v="36"/>
    <n v="21"/>
    <n v="79"/>
    <n v="107"/>
    <n v="72"/>
    <n v="1"/>
    <n v="1520"/>
  </r>
  <r>
    <x v="37"/>
    <n v="24"/>
    <n v="90"/>
    <n v="120"/>
    <n v="80"/>
    <n v="2"/>
    <n v="1710"/>
  </r>
  <r>
    <x v="38"/>
    <n v="19"/>
    <n v="72"/>
    <n v="99"/>
    <n v="68"/>
    <n v="0"/>
    <n v="1407"/>
  </r>
  <r>
    <x v="39"/>
    <n v="28"/>
    <n v="103"/>
    <n v="136"/>
    <n v="89"/>
    <n v="1"/>
    <n v="1935"/>
  </r>
  <r>
    <x v="40"/>
    <n v="27"/>
    <n v="100"/>
    <n v="132"/>
    <n v="87"/>
    <n v="2"/>
    <n v="1882"/>
  </r>
  <r>
    <x v="41"/>
    <n v="24"/>
    <n v="90"/>
    <n v="120"/>
    <n v="80"/>
    <n v="3"/>
    <n v="1710"/>
  </r>
  <r>
    <x v="42"/>
    <n v="22"/>
    <n v="83"/>
    <n v="111"/>
    <n v="75"/>
    <n v="4"/>
    <n v="1586"/>
  </r>
  <r>
    <x v="43"/>
    <n v="17"/>
    <n v="65"/>
    <n v="91"/>
    <n v="63"/>
    <n v="0"/>
    <n v="1288"/>
  </r>
  <r>
    <x v="44"/>
    <n v="18"/>
    <n v="69"/>
    <n v="95"/>
    <n v="65"/>
    <n v="0"/>
    <n v="1348"/>
  </r>
  <r>
    <x v="45"/>
    <n v="23"/>
    <n v="86"/>
    <n v="115"/>
    <n v="77"/>
    <n v="1"/>
    <n v="1639"/>
  </r>
  <r>
    <x v="46"/>
    <n v="23"/>
    <n v="86"/>
    <n v="115"/>
    <n v="77"/>
    <n v="2"/>
    <n v="1639"/>
  </r>
  <r>
    <x v="47"/>
    <n v="19"/>
    <n v="72"/>
    <n v="99"/>
    <n v="68"/>
    <n v="0"/>
    <n v="1407"/>
  </r>
  <r>
    <x v="48"/>
    <n v="21"/>
    <n v="79"/>
    <n v="107"/>
    <n v="72"/>
    <n v="1"/>
    <n v="1520"/>
  </r>
  <r>
    <x v="49"/>
    <n v="25"/>
    <n v="93"/>
    <n v="124"/>
    <n v="82"/>
    <n v="2"/>
    <n v="1763"/>
  </r>
  <r>
    <x v="50"/>
    <n v="28"/>
    <n v="103"/>
    <n v="136"/>
    <n v="89"/>
    <n v="3"/>
    <n v="1935"/>
  </r>
  <r>
    <x v="51"/>
    <n v="27"/>
    <n v="100"/>
    <n v="132"/>
    <n v="87"/>
    <n v="4"/>
    <n v="1882"/>
  </r>
  <r>
    <x v="52"/>
    <n v="23"/>
    <n v="86"/>
    <n v="115"/>
    <n v="77"/>
    <n v="5"/>
    <n v="1639"/>
  </r>
  <r>
    <x v="53"/>
    <n v="26"/>
    <n v="96"/>
    <n v="128"/>
    <n v="84"/>
    <n v="6"/>
    <n v="1816"/>
  </r>
  <r>
    <x v="54"/>
    <n v="29"/>
    <n v="107"/>
    <n v="140"/>
    <n v="91"/>
    <n v="7"/>
    <n v="1995"/>
  </r>
  <r>
    <x v="55"/>
    <n v="26"/>
    <n v="96"/>
    <n v="128"/>
    <n v="84"/>
    <n v="8"/>
    <n v="1816"/>
  </r>
  <r>
    <x v="56"/>
    <n v="27"/>
    <n v="100"/>
    <n v="132"/>
    <n v="87"/>
    <n v="9"/>
    <n v="1882"/>
  </r>
  <r>
    <x v="57"/>
    <n v="24"/>
    <n v="90"/>
    <n v="120"/>
    <n v="80"/>
    <n v="10"/>
    <n v="1710"/>
  </r>
  <r>
    <x v="58"/>
    <n v="26"/>
    <n v="96"/>
    <n v="128"/>
    <n v="84"/>
    <n v="11"/>
    <n v="1816"/>
  </r>
  <r>
    <x v="59"/>
    <n v="25"/>
    <n v="93"/>
    <n v="124"/>
    <n v="82"/>
    <n v="12"/>
    <n v="1763"/>
  </r>
  <r>
    <x v="60"/>
    <n v="24"/>
    <n v="90"/>
    <n v="120"/>
    <n v="80"/>
    <n v="13"/>
    <n v="1710"/>
  </r>
  <r>
    <x v="61"/>
    <n v="22"/>
    <n v="83"/>
    <n v="111"/>
    <n v="75"/>
    <n v="14"/>
    <n v="1586"/>
  </r>
  <r>
    <x v="62"/>
    <n v="19"/>
    <n v="72"/>
    <n v="99"/>
    <n v="68"/>
    <n v="0"/>
    <n v="1407"/>
  </r>
  <r>
    <x v="63"/>
    <n v="21"/>
    <n v="79"/>
    <n v="107"/>
    <n v="72"/>
    <n v="1"/>
    <n v="1520"/>
  </r>
  <r>
    <x v="64"/>
    <n v="26"/>
    <n v="96"/>
    <n v="128"/>
    <n v="84"/>
    <n v="2"/>
    <n v="1816"/>
  </r>
  <r>
    <x v="65"/>
    <n v="19"/>
    <n v="72"/>
    <n v="99"/>
    <n v="68"/>
    <n v="0"/>
    <n v="1407"/>
  </r>
  <r>
    <x v="66"/>
    <n v="21"/>
    <n v="79"/>
    <n v="107"/>
    <n v="72"/>
    <n v="1"/>
    <n v="1520"/>
  </r>
  <r>
    <x v="67"/>
    <n v="23"/>
    <n v="86"/>
    <n v="115"/>
    <n v="77"/>
    <n v="2"/>
    <n v="1639"/>
  </r>
  <r>
    <x v="68"/>
    <n v="27"/>
    <n v="100"/>
    <n v="132"/>
    <n v="87"/>
    <n v="3"/>
    <n v="1882"/>
  </r>
  <r>
    <x v="69"/>
    <n v="20"/>
    <n v="76"/>
    <n v="103"/>
    <n v="70"/>
    <n v="0"/>
    <n v="1467"/>
  </r>
  <r>
    <x v="70"/>
    <n v="18"/>
    <n v="69"/>
    <n v="95"/>
    <n v="65"/>
    <n v="0"/>
    <n v="1348"/>
  </r>
  <r>
    <x v="71"/>
    <n v="17"/>
    <n v="65"/>
    <n v="91"/>
    <n v="63"/>
    <n v="0"/>
    <n v="1288"/>
  </r>
  <r>
    <x v="72"/>
    <n v="19"/>
    <n v="72"/>
    <n v="99"/>
    <n v="68"/>
    <n v="0"/>
    <n v="1407"/>
  </r>
  <r>
    <x v="73"/>
    <n v="26"/>
    <n v="96"/>
    <n v="128"/>
    <n v="84"/>
    <n v="1"/>
    <n v="1816"/>
  </r>
  <r>
    <x v="74"/>
    <n v="21"/>
    <n v="79"/>
    <n v="107"/>
    <n v="72"/>
    <n v="2"/>
    <n v="1520"/>
  </r>
  <r>
    <x v="75"/>
    <n v="19"/>
    <n v="72"/>
    <n v="99"/>
    <n v="68"/>
    <n v="0"/>
    <n v="1407"/>
  </r>
  <r>
    <x v="76"/>
    <n v="19"/>
    <n v="72"/>
    <n v="99"/>
    <n v="68"/>
    <n v="0"/>
    <n v="1407"/>
  </r>
  <r>
    <x v="77"/>
    <n v="21"/>
    <n v="79"/>
    <n v="107"/>
    <n v="72"/>
    <n v="1"/>
    <n v="1520"/>
  </r>
  <r>
    <x v="78"/>
    <n v="21"/>
    <n v="79"/>
    <n v="107"/>
    <n v="72"/>
    <n v="2"/>
    <n v="1520"/>
  </r>
  <r>
    <x v="79"/>
    <n v="24"/>
    <n v="90"/>
    <n v="120"/>
    <n v="80"/>
    <n v="3"/>
    <n v="1710"/>
  </r>
  <r>
    <x v="80"/>
    <n v="26"/>
    <n v="96"/>
    <n v="128"/>
    <n v="84"/>
    <n v="4"/>
    <n v="1816"/>
  </r>
  <r>
    <x v="81"/>
    <n v="23"/>
    <n v="86"/>
    <n v="115"/>
    <n v="77"/>
    <n v="5"/>
    <n v="1639"/>
  </r>
  <r>
    <x v="82"/>
    <n v="23"/>
    <n v="86"/>
    <n v="115"/>
    <n v="77"/>
    <n v="6"/>
    <n v="1639"/>
  </r>
  <r>
    <x v="83"/>
    <n v="24"/>
    <n v="90"/>
    <n v="120"/>
    <n v="80"/>
    <n v="7"/>
    <n v="1710"/>
  </r>
  <r>
    <x v="84"/>
    <n v="26"/>
    <n v="96"/>
    <n v="128"/>
    <n v="84"/>
    <n v="8"/>
    <n v="1816"/>
  </r>
  <r>
    <x v="85"/>
    <n v="28"/>
    <n v="103"/>
    <n v="136"/>
    <n v="89"/>
    <n v="9"/>
    <n v="1935"/>
  </r>
  <r>
    <x v="86"/>
    <n v="32"/>
    <n v="117"/>
    <n v="153"/>
    <n v="98"/>
    <n v="10"/>
    <n v="2172"/>
  </r>
  <r>
    <x v="87"/>
    <n v="26"/>
    <n v="96"/>
    <n v="128"/>
    <n v="84"/>
    <n v="11"/>
    <n v="1816"/>
  </r>
  <r>
    <x v="88"/>
    <n v="32"/>
    <n v="117"/>
    <n v="153"/>
    <n v="98"/>
    <n v="12"/>
    <n v="2172"/>
  </r>
  <r>
    <x v="89"/>
    <n v="23"/>
    <n v="86"/>
    <n v="115"/>
    <n v="77"/>
    <n v="13"/>
    <n v="1639"/>
  </r>
  <r>
    <x v="90"/>
    <n v="22"/>
    <n v="83"/>
    <n v="111"/>
    <n v="75"/>
    <n v="14"/>
    <n v="1586"/>
  </r>
  <r>
    <x v="91"/>
    <n v="25"/>
    <n v="93"/>
    <n v="124"/>
    <n v="82"/>
    <n v="15"/>
    <n v="176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4AD6EE-D105-433C-8E7F-8ABEACCB2DDF}" name="Tabela przestawna1" cacheId="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D7" firstHeaderRow="0" firstDataRow="1" firstDataCol="1"/>
  <pivotFields count="7">
    <pivotField numFmtId="14"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showAll="0"/>
    <pivotField dataField="1" showAll="0"/>
    <pivotField dataField="1"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6"/>
  </rowFields>
  <rowItems count="4"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z Hot-Dogi" fld="2" baseField="0" baseItem="0"/>
    <dataField name="Suma z Lody" fld="3" baseField="0" baseItem="0"/>
    <dataField name="Suma z Kukurydza" fld="4" baseField="0" baseItem="0"/>
  </dataFields>
  <formats count="1">
    <format dxfId="8">
      <pivotArea dataOnly="0" labelOnly="1" fieldPosition="0">
        <references count="1">
          <reference field="6" count="1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BCF88C-A396-4780-9E86-6204AF50E5F3}" name="Tabela przestawna10" cacheId="2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B96" firstHeaderRow="1" firstDataRow="1" firstDataCol="1"/>
  <pivotFields count="9">
    <pivotField axis="axisRow" numFmtId="14"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showAll="0"/>
    <pivotField showAll="0"/>
    <pivotField showAll="0"/>
    <pivotField showAll="0"/>
    <pivotField showAll="0"/>
    <pivotField dataField="1" numFmtId="17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9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 t="grand">
      <x/>
    </i>
  </rowItems>
  <colItems count="1">
    <i/>
  </colItems>
  <dataFields count="1">
    <dataField name="Suma z Dzienny utarg" fld="6" baseField="7" baseItem="153" numFmtId="17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mperatury" connectionId="1" xr16:uid="{37C64733-1164-4751-BF3C-4D2FAD3428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F4C3F-D1A7-4658-A404-47B355AF919A}">
  <dimension ref="A3:J7"/>
  <sheetViews>
    <sheetView workbookViewId="0">
      <selection activeCell="G4" sqref="G4:J7"/>
    </sheetView>
  </sheetViews>
  <sheetFormatPr defaultRowHeight="15" x14ac:dyDescent="0.25"/>
  <cols>
    <col min="1" max="1" width="17.85546875" bestFit="1" customWidth="1"/>
    <col min="2" max="2" width="16" bestFit="1" customWidth="1"/>
    <col min="3" max="3" width="12" bestFit="1" customWidth="1"/>
    <col min="4" max="4" width="17" bestFit="1" customWidth="1"/>
    <col min="8" max="8" width="9.140625" bestFit="1" customWidth="1"/>
    <col min="9" max="9" width="10" customWidth="1"/>
    <col min="10" max="10" width="10.140625" bestFit="1" customWidth="1"/>
  </cols>
  <sheetData>
    <row r="3" spans="1:10" x14ac:dyDescent="0.25">
      <c r="A3" s="6" t="s">
        <v>16</v>
      </c>
      <c r="B3" t="s">
        <v>21</v>
      </c>
      <c r="C3" t="s">
        <v>22</v>
      </c>
      <c r="D3" t="s">
        <v>23</v>
      </c>
    </row>
    <row r="4" spans="1:10" x14ac:dyDescent="0.25">
      <c r="A4" s="10" t="s">
        <v>18</v>
      </c>
      <c r="B4" s="9">
        <v>2639</v>
      </c>
      <c r="C4" s="9">
        <v>3527</v>
      </c>
      <c r="D4" s="9">
        <v>2355</v>
      </c>
      <c r="G4" s="2" t="s">
        <v>24</v>
      </c>
      <c r="H4" s="2" t="s">
        <v>7</v>
      </c>
      <c r="I4" s="2" t="s">
        <v>8</v>
      </c>
      <c r="J4" s="2" t="s">
        <v>9</v>
      </c>
    </row>
    <row r="5" spans="1:10" x14ac:dyDescent="0.25">
      <c r="A5" s="8" t="s">
        <v>19</v>
      </c>
      <c r="B5" s="9">
        <v>2747</v>
      </c>
      <c r="C5" s="9">
        <v>3675</v>
      </c>
      <c r="D5" s="9">
        <v>2448</v>
      </c>
      <c r="G5" s="11" t="s">
        <v>25</v>
      </c>
      <c r="H5" s="12">
        <v>2639</v>
      </c>
      <c r="I5" s="12">
        <v>3527</v>
      </c>
      <c r="J5" s="12">
        <v>2355</v>
      </c>
    </row>
    <row r="6" spans="1:10" x14ac:dyDescent="0.25">
      <c r="A6" s="8" t="s">
        <v>20</v>
      </c>
      <c r="B6" s="9">
        <v>2665</v>
      </c>
      <c r="C6" s="9">
        <v>3579</v>
      </c>
      <c r="D6" s="9">
        <v>2390</v>
      </c>
      <c r="G6" s="13" t="s">
        <v>26</v>
      </c>
      <c r="H6" s="12">
        <v>2747</v>
      </c>
      <c r="I6" s="12">
        <v>3675</v>
      </c>
      <c r="J6" s="12">
        <v>2448</v>
      </c>
    </row>
    <row r="7" spans="1:10" x14ac:dyDescent="0.25">
      <c r="A7" s="8" t="s">
        <v>17</v>
      </c>
      <c r="B7" s="9">
        <v>8051</v>
      </c>
      <c r="C7" s="9">
        <v>10781</v>
      </c>
      <c r="D7" s="9">
        <v>7193</v>
      </c>
      <c r="G7" s="13" t="s">
        <v>27</v>
      </c>
      <c r="H7" s="12">
        <v>2665</v>
      </c>
      <c r="I7" s="12">
        <v>3579</v>
      </c>
      <c r="J7" s="12">
        <v>2390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4DCDA-63F1-499F-9DA4-17F48D2D5880}">
  <dimension ref="A3:D96"/>
  <sheetViews>
    <sheetView workbookViewId="0">
      <selection activeCell="C30" sqref="C30"/>
    </sheetView>
  </sheetViews>
  <sheetFormatPr defaultRowHeight="15" x14ac:dyDescent="0.25"/>
  <cols>
    <col min="1" max="1" width="17.85546875" bestFit="1" customWidth="1"/>
    <col min="2" max="2" width="20.28515625" bestFit="1" customWidth="1"/>
    <col min="3" max="5" width="17" bestFit="1" customWidth="1"/>
  </cols>
  <sheetData>
    <row r="3" spans="1:4" x14ac:dyDescent="0.25">
      <c r="A3" s="6" t="s">
        <v>16</v>
      </c>
      <c r="B3" t="s">
        <v>29</v>
      </c>
      <c r="C3" t="s">
        <v>30</v>
      </c>
      <c r="D3">
        <v>0</v>
      </c>
    </row>
    <row r="4" spans="1:4" x14ac:dyDescent="0.25">
      <c r="A4" s="7">
        <v>44713</v>
      </c>
      <c r="B4" s="5">
        <v>1710</v>
      </c>
      <c r="C4" s="5">
        <f>B4</f>
        <v>1710</v>
      </c>
    </row>
    <row r="5" spans="1:4" x14ac:dyDescent="0.25">
      <c r="A5" s="7">
        <v>44714</v>
      </c>
      <c r="B5" s="5">
        <v>1763</v>
      </c>
      <c r="C5" s="5">
        <f>B5+C4</f>
        <v>3473</v>
      </c>
    </row>
    <row r="6" spans="1:4" x14ac:dyDescent="0.25">
      <c r="A6" s="7">
        <v>44715</v>
      </c>
      <c r="B6" s="5">
        <v>1882</v>
      </c>
      <c r="C6" s="5">
        <f t="shared" ref="C6:C69" si="0">B6+C5</f>
        <v>5355</v>
      </c>
    </row>
    <row r="7" spans="1:4" x14ac:dyDescent="0.25">
      <c r="A7" s="7">
        <v>44716</v>
      </c>
      <c r="B7" s="5">
        <v>1882</v>
      </c>
      <c r="C7" s="5">
        <f t="shared" si="0"/>
        <v>7237</v>
      </c>
    </row>
    <row r="8" spans="1:4" x14ac:dyDescent="0.25">
      <c r="A8" s="7">
        <v>44717</v>
      </c>
      <c r="B8" s="5">
        <v>1882</v>
      </c>
      <c r="C8" s="5">
        <f t="shared" si="0"/>
        <v>9119</v>
      </c>
    </row>
    <row r="9" spans="1:4" x14ac:dyDescent="0.25">
      <c r="A9" s="7">
        <v>44718</v>
      </c>
      <c r="B9" s="5">
        <v>1586</v>
      </c>
      <c r="C9" s="5">
        <f t="shared" si="0"/>
        <v>10705</v>
      </c>
    </row>
    <row r="10" spans="1:4" x14ac:dyDescent="0.25">
      <c r="A10" s="7">
        <v>44719</v>
      </c>
      <c r="B10" s="5">
        <v>1763</v>
      </c>
      <c r="C10" s="5">
        <f t="shared" si="0"/>
        <v>12468</v>
      </c>
    </row>
    <row r="11" spans="1:4" x14ac:dyDescent="0.25">
      <c r="A11" s="7">
        <v>44720</v>
      </c>
      <c r="B11" s="5">
        <v>1763</v>
      </c>
      <c r="C11" s="5">
        <f t="shared" si="0"/>
        <v>14231</v>
      </c>
    </row>
    <row r="12" spans="1:4" x14ac:dyDescent="0.25">
      <c r="A12" s="7">
        <v>44721</v>
      </c>
      <c r="B12" s="5">
        <v>1520</v>
      </c>
      <c r="C12" s="5">
        <f t="shared" si="0"/>
        <v>15751</v>
      </c>
    </row>
    <row r="13" spans="1:4" x14ac:dyDescent="0.25">
      <c r="A13" s="7">
        <v>44722</v>
      </c>
      <c r="B13" s="5">
        <v>1520</v>
      </c>
      <c r="C13" s="5">
        <f t="shared" si="0"/>
        <v>17271</v>
      </c>
    </row>
    <row r="14" spans="1:4" x14ac:dyDescent="0.25">
      <c r="A14" s="7">
        <v>44723</v>
      </c>
      <c r="B14" s="5">
        <v>1407</v>
      </c>
      <c r="C14" s="5">
        <f t="shared" si="0"/>
        <v>18678</v>
      </c>
    </row>
    <row r="15" spans="1:4" x14ac:dyDescent="0.25">
      <c r="A15" s="7">
        <v>44724</v>
      </c>
      <c r="B15" s="5">
        <v>1407</v>
      </c>
      <c r="C15" s="5">
        <f t="shared" si="0"/>
        <v>20085</v>
      </c>
    </row>
    <row r="16" spans="1:4" x14ac:dyDescent="0.25">
      <c r="A16" s="7">
        <v>44725</v>
      </c>
      <c r="B16" s="5">
        <v>1164</v>
      </c>
      <c r="C16" s="5">
        <f t="shared" si="0"/>
        <v>21249</v>
      </c>
    </row>
    <row r="17" spans="1:4" x14ac:dyDescent="0.25">
      <c r="A17" s="7">
        <v>44726</v>
      </c>
      <c r="B17" s="5">
        <v>1520</v>
      </c>
      <c r="C17" s="5">
        <f t="shared" si="0"/>
        <v>22769</v>
      </c>
    </row>
    <row r="18" spans="1:4" x14ac:dyDescent="0.25">
      <c r="A18" s="7">
        <v>44727</v>
      </c>
      <c r="B18" s="5">
        <v>1639</v>
      </c>
      <c r="C18" s="5">
        <f t="shared" si="0"/>
        <v>24408</v>
      </c>
    </row>
    <row r="19" spans="1:4" x14ac:dyDescent="0.25">
      <c r="A19" s="7">
        <v>44728</v>
      </c>
      <c r="B19" s="5">
        <v>1639</v>
      </c>
      <c r="C19" s="5">
        <f t="shared" si="0"/>
        <v>26047</v>
      </c>
    </row>
    <row r="20" spans="1:4" x14ac:dyDescent="0.25">
      <c r="A20" s="7">
        <v>44729</v>
      </c>
      <c r="B20" s="5">
        <v>1230</v>
      </c>
      <c r="C20" s="5">
        <f t="shared" si="0"/>
        <v>27277</v>
      </c>
    </row>
    <row r="21" spans="1:4" x14ac:dyDescent="0.25">
      <c r="A21" s="7">
        <v>44730</v>
      </c>
      <c r="B21" s="5">
        <v>1520</v>
      </c>
      <c r="C21" s="5">
        <f t="shared" si="0"/>
        <v>28797</v>
      </c>
    </row>
    <row r="22" spans="1:4" x14ac:dyDescent="0.25">
      <c r="A22" s="7">
        <v>44731</v>
      </c>
      <c r="B22" s="5">
        <v>1586</v>
      </c>
      <c r="C22" s="5">
        <f t="shared" si="0"/>
        <v>30383</v>
      </c>
    </row>
    <row r="23" spans="1:4" x14ac:dyDescent="0.25">
      <c r="A23" s="7">
        <v>44732</v>
      </c>
      <c r="B23" s="5">
        <v>1586</v>
      </c>
      <c r="C23" s="5">
        <f t="shared" si="0"/>
        <v>31969</v>
      </c>
    </row>
    <row r="24" spans="1:4" x14ac:dyDescent="0.25">
      <c r="A24" s="7">
        <v>44733</v>
      </c>
      <c r="B24" s="5">
        <v>1586</v>
      </c>
      <c r="C24" s="5">
        <f t="shared" si="0"/>
        <v>33555</v>
      </c>
    </row>
    <row r="25" spans="1:4" x14ac:dyDescent="0.25">
      <c r="A25" s="7">
        <v>44734</v>
      </c>
      <c r="B25" s="5">
        <v>1935</v>
      </c>
      <c r="C25" s="5">
        <f t="shared" si="0"/>
        <v>35490</v>
      </c>
    </row>
    <row r="26" spans="1:4" x14ac:dyDescent="0.25">
      <c r="A26" s="7">
        <v>44735</v>
      </c>
      <c r="B26" s="5">
        <v>2114</v>
      </c>
      <c r="C26" s="5">
        <f t="shared" si="0"/>
        <v>37604</v>
      </c>
    </row>
    <row r="27" spans="1:4" x14ac:dyDescent="0.25">
      <c r="A27" s="7">
        <v>44736</v>
      </c>
      <c r="B27" s="5">
        <v>2238</v>
      </c>
      <c r="C27" s="5">
        <f t="shared" si="0"/>
        <v>39842</v>
      </c>
    </row>
    <row r="28" spans="1:4" x14ac:dyDescent="0.25">
      <c r="A28" s="7">
        <v>44737</v>
      </c>
      <c r="B28" s="5">
        <v>2238</v>
      </c>
      <c r="C28" s="5">
        <f t="shared" si="0"/>
        <v>42080</v>
      </c>
    </row>
    <row r="29" spans="1:4" x14ac:dyDescent="0.25">
      <c r="A29" s="7">
        <v>44738</v>
      </c>
      <c r="B29" s="5">
        <v>1639</v>
      </c>
      <c r="C29" s="5">
        <f t="shared" si="0"/>
        <v>43719</v>
      </c>
    </row>
    <row r="30" spans="1:4" x14ac:dyDescent="0.25">
      <c r="A30" s="7">
        <v>44739</v>
      </c>
      <c r="B30" s="5">
        <v>1639</v>
      </c>
      <c r="C30" s="5">
        <f t="shared" si="0"/>
        <v>45358</v>
      </c>
      <c r="D30" t="s">
        <v>31</v>
      </c>
    </row>
    <row r="31" spans="1:4" x14ac:dyDescent="0.25">
      <c r="A31" s="7">
        <v>44740</v>
      </c>
      <c r="B31" s="5">
        <v>1407</v>
      </c>
      <c r="C31" s="5">
        <f t="shared" si="0"/>
        <v>46765</v>
      </c>
    </row>
    <row r="32" spans="1:4" x14ac:dyDescent="0.25">
      <c r="A32" s="7">
        <v>44741</v>
      </c>
      <c r="B32" s="5">
        <v>1710</v>
      </c>
      <c r="C32" s="5">
        <f t="shared" si="0"/>
        <v>48475</v>
      </c>
    </row>
    <row r="33" spans="1:3" x14ac:dyDescent="0.25">
      <c r="A33" s="7">
        <v>44742</v>
      </c>
      <c r="B33" s="5">
        <v>1763</v>
      </c>
      <c r="C33" s="5">
        <f t="shared" si="0"/>
        <v>50238</v>
      </c>
    </row>
    <row r="34" spans="1:3" x14ac:dyDescent="0.25">
      <c r="A34" s="7">
        <v>44743</v>
      </c>
      <c r="B34" s="5">
        <v>1882</v>
      </c>
      <c r="C34" s="5">
        <f t="shared" si="0"/>
        <v>52120</v>
      </c>
    </row>
    <row r="35" spans="1:3" x14ac:dyDescent="0.25">
      <c r="A35" s="7">
        <v>44744</v>
      </c>
      <c r="B35" s="5">
        <v>1882</v>
      </c>
      <c r="C35" s="5">
        <f t="shared" si="0"/>
        <v>54002</v>
      </c>
    </row>
    <row r="36" spans="1:3" x14ac:dyDescent="0.25">
      <c r="A36" s="7">
        <v>44745</v>
      </c>
      <c r="B36" s="5">
        <v>1520</v>
      </c>
      <c r="C36" s="5">
        <f t="shared" si="0"/>
        <v>55522</v>
      </c>
    </row>
    <row r="37" spans="1:3" x14ac:dyDescent="0.25">
      <c r="A37" s="7">
        <v>44746</v>
      </c>
      <c r="B37" s="5">
        <v>1520</v>
      </c>
      <c r="C37" s="5">
        <f t="shared" si="0"/>
        <v>57042</v>
      </c>
    </row>
    <row r="38" spans="1:3" x14ac:dyDescent="0.25">
      <c r="A38" s="7">
        <v>44747</v>
      </c>
      <c r="B38" s="5">
        <v>1763</v>
      </c>
      <c r="C38" s="5">
        <f t="shared" si="0"/>
        <v>58805</v>
      </c>
    </row>
    <row r="39" spans="1:3" x14ac:dyDescent="0.25">
      <c r="A39" s="7">
        <v>44748</v>
      </c>
      <c r="B39" s="5">
        <v>1407</v>
      </c>
      <c r="C39" s="5">
        <f t="shared" si="0"/>
        <v>60212</v>
      </c>
    </row>
    <row r="40" spans="1:3" x14ac:dyDescent="0.25">
      <c r="A40" s="7">
        <v>44749</v>
      </c>
      <c r="B40" s="5">
        <v>1520</v>
      </c>
      <c r="C40" s="5">
        <f t="shared" si="0"/>
        <v>61732</v>
      </c>
    </row>
    <row r="41" spans="1:3" x14ac:dyDescent="0.25">
      <c r="A41" s="7">
        <v>44750</v>
      </c>
      <c r="B41" s="5">
        <v>1710</v>
      </c>
      <c r="C41" s="5">
        <f t="shared" si="0"/>
        <v>63442</v>
      </c>
    </row>
    <row r="42" spans="1:3" x14ac:dyDescent="0.25">
      <c r="A42" s="7">
        <v>44751</v>
      </c>
      <c r="B42" s="5">
        <v>1407</v>
      </c>
      <c r="C42" s="5">
        <f t="shared" si="0"/>
        <v>64849</v>
      </c>
    </row>
    <row r="43" spans="1:3" x14ac:dyDescent="0.25">
      <c r="A43" s="7">
        <v>44752</v>
      </c>
      <c r="B43" s="5">
        <v>1935</v>
      </c>
      <c r="C43" s="5">
        <f t="shared" si="0"/>
        <v>66784</v>
      </c>
    </row>
    <row r="44" spans="1:3" x14ac:dyDescent="0.25">
      <c r="A44" s="7">
        <v>44753</v>
      </c>
      <c r="B44" s="5">
        <v>1882</v>
      </c>
      <c r="C44" s="5">
        <f t="shared" si="0"/>
        <v>68666</v>
      </c>
    </row>
    <row r="45" spans="1:3" x14ac:dyDescent="0.25">
      <c r="A45" s="7">
        <v>44754</v>
      </c>
      <c r="B45" s="5">
        <v>1710</v>
      </c>
      <c r="C45" s="5">
        <f t="shared" si="0"/>
        <v>70376</v>
      </c>
    </row>
    <row r="46" spans="1:3" x14ac:dyDescent="0.25">
      <c r="A46" s="7">
        <v>44755</v>
      </c>
      <c r="B46" s="5">
        <v>1586</v>
      </c>
      <c r="C46" s="5">
        <f t="shared" si="0"/>
        <v>71962</v>
      </c>
    </row>
    <row r="47" spans="1:3" x14ac:dyDescent="0.25">
      <c r="A47" s="7">
        <v>44756</v>
      </c>
      <c r="B47" s="5">
        <v>1288</v>
      </c>
      <c r="C47" s="5">
        <f t="shared" si="0"/>
        <v>73250</v>
      </c>
    </row>
    <row r="48" spans="1:3" x14ac:dyDescent="0.25">
      <c r="A48" s="7">
        <v>44757</v>
      </c>
      <c r="B48" s="5">
        <v>1348</v>
      </c>
      <c r="C48" s="5">
        <f t="shared" si="0"/>
        <v>74598</v>
      </c>
    </row>
    <row r="49" spans="1:3" x14ac:dyDescent="0.25">
      <c r="A49" s="7">
        <v>44758</v>
      </c>
      <c r="B49" s="5">
        <v>1639</v>
      </c>
      <c r="C49" s="5">
        <f t="shared" si="0"/>
        <v>76237</v>
      </c>
    </row>
    <row r="50" spans="1:3" x14ac:dyDescent="0.25">
      <c r="A50" s="7">
        <v>44759</v>
      </c>
      <c r="B50" s="5">
        <v>1639</v>
      </c>
      <c r="C50" s="5">
        <f t="shared" si="0"/>
        <v>77876</v>
      </c>
    </row>
    <row r="51" spans="1:3" x14ac:dyDescent="0.25">
      <c r="A51" s="7">
        <v>44760</v>
      </c>
      <c r="B51" s="5">
        <v>1407</v>
      </c>
      <c r="C51" s="5">
        <f t="shared" si="0"/>
        <v>79283</v>
      </c>
    </row>
    <row r="52" spans="1:3" x14ac:dyDescent="0.25">
      <c r="A52" s="7">
        <v>44761</v>
      </c>
      <c r="B52" s="5">
        <v>1520</v>
      </c>
      <c r="C52" s="5">
        <f t="shared" si="0"/>
        <v>80803</v>
      </c>
    </row>
    <row r="53" spans="1:3" x14ac:dyDescent="0.25">
      <c r="A53" s="7">
        <v>44762</v>
      </c>
      <c r="B53" s="5">
        <v>1763</v>
      </c>
      <c r="C53" s="5">
        <f t="shared" si="0"/>
        <v>82566</v>
      </c>
    </row>
    <row r="54" spans="1:3" x14ac:dyDescent="0.25">
      <c r="A54" s="7">
        <v>44763</v>
      </c>
      <c r="B54" s="5">
        <v>1935</v>
      </c>
      <c r="C54" s="5">
        <f t="shared" si="0"/>
        <v>84501</v>
      </c>
    </row>
    <row r="55" spans="1:3" x14ac:dyDescent="0.25">
      <c r="A55" s="7">
        <v>44764</v>
      </c>
      <c r="B55" s="5">
        <v>1882</v>
      </c>
      <c r="C55" s="5">
        <f t="shared" si="0"/>
        <v>86383</v>
      </c>
    </row>
    <row r="56" spans="1:3" x14ac:dyDescent="0.25">
      <c r="A56" s="7">
        <v>44765</v>
      </c>
      <c r="B56" s="5">
        <v>1639</v>
      </c>
      <c r="C56" s="5">
        <f t="shared" si="0"/>
        <v>88022</v>
      </c>
    </row>
    <row r="57" spans="1:3" x14ac:dyDescent="0.25">
      <c r="A57" s="7">
        <v>44766</v>
      </c>
      <c r="B57" s="5">
        <v>1816</v>
      </c>
      <c r="C57" s="5">
        <f t="shared" si="0"/>
        <v>89838</v>
      </c>
    </row>
    <row r="58" spans="1:3" x14ac:dyDescent="0.25">
      <c r="A58" s="7">
        <v>44767</v>
      </c>
      <c r="B58" s="5">
        <v>1995</v>
      </c>
      <c r="C58" s="5">
        <f t="shared" si="0"/>
        <v>91833</v>
      </c>
    </row>
    <row r="59" spans="1:3" x14ac:dyDescent="0.25">
      <c r="A59" s="7">
        <v>44768</v>
      </c>
      <c r="B59" s="5">
        <v>1816</v>
      </c>
      <c r="C59" s="5">
        <f t="shared" si="0"/>
        <v>93649</v>
      </c>
    </row>
    <row r="60" spans="1:3" x14ac:dyDescent="0.25">
      <c r="A60" s="7">
        <v>44769</v>
      </c>
      <c r="B60" s="5">
        <v>1882</v>
      </c>
      <c r="C60" s="5">
        <f t="shared" si="0"/>
        <v>95531</v>
      </c>
    </row>
    <row r="61" spans="1:3" x14ac:dyDescent="0.25">
      <c r="A61" s="7">
        <v>44770</v>
      </c>
      <c r="B61" s="5">
        <v>1710</v>
      </c>
      <c r="C61" s="5">
        <f t="shared" si="0"/>
        <v>97241</v>
      </c>
    </row>
    <row r="62" spans="1:3" x14ac:dyDescent="0.25">
      <c r="A62" s="7">
        <v>44771</v>
      </c>
      <c r="B62" s="5">
        <v>1816</v>
      </c>
      <c r="C62" s="5">
        <f t="shared" si="0"/>
        <v>99057</v>
      </c>
    </row>
    <row r="63" spans="1:3" x14ac:dyDescent="0.25">
      <c r="A63" s="7">
        <v>44772</v>
      </c>
      <c r="B63" s="5">
        <v>1763</v>
      </c>
      <c r="C63" s="5">
        <f t="shared" si="0"/>
        <v>100820</v>
      </c>
    </row>
    <row r="64" spans="1:3" x14ac:dyDescent="0.25">
      <c r="A64" s="7">
        <v>44773</v>
      </c>
      <c r="B64" s="5">
        <v>1710</v>
      </c>
      <c r="C64" s="5">
        <f t="shared" si="0"/>
        <v>102530</v>
      </c>
    </row>
    <row r="65" spans="1:3" x14ac:dyDescent="0.25">
      <c r="A65" s="7">
        <v>44774</v>
      </c>
      <c r="B65" s="5">
        <v>1586</v>
      </c>
      <c r="C65" s="5">
        <f t="shared" si="0"/>
        <v>104116</v>
      </c>
    </row>
    <row r="66" spans="1:3" x14ac:dyDescent="0.25">
      <c r="A66" s="7">
        <v>44775</v>
      </c>
      <c r="B66" s="5">
        <v>1407</v>
      </c>
      <c r="C66" s="5">
        <f t="shared" si="0"/>
        <v>105523</v>
      </c>
    </row>
    <row r="67" spans="1:3" x14ac:dyDescent="0.25">
      <c r="A67" s="7">
        <v>44776</v>
      </c>
      <c r="B67" s="5">
        <v>1520</v>
      </c>
      <c r="C67" s="5">
        <f t="shared" si="0"/>
        <v>107043</v>
      </c>
    </row>
    <row r="68" spans="1:3" x14ac:dyDescent="0.25">
      <c r="A68" s="7">
        <v>44777</v>
      </c>
      <c r="B68" s="5">
        <v>1816</v>
      </c>
      <c r="C68" s="5">
        <f t="shared" si="0"/>
        <v>108859</v>
      </c>
    </row>
    <row r="69" spans="1:3" x14ac:dyDescent="0.25">
      <c r="A69" s="7">
        <v>44778</v>
      </c>
      <c r="B69" s="5">
        <v>1407</v>
      </c>
      <c r="C69" s="5">
        <f t="shared" si="0"/>
        <v>110266</v>
      </c>
    </row>
    <row r="70" spans="1:3" x14ac:dyDescent="0.25">
      <c r="A70" s="7">
        <v>44779</v>
      </c>
      <c r="B70" s="5">
        <v>1520</v>
      </c>
      <c r="C70" s="5">
        <f t="shared" ref="C70:C96" si="1">B70+C69</f>
        <v>111786</v>
      </c>
    </row>
    <row r="71" spans="1:3" x14ac:dyDescent="0.25">
      <c r="A71" s="7">
        <v>44780</v>
      </c>
      <c r="B71" s="5">
        <v>1639</v>
      </c>
      <c r="C71" s="5">
        <f t="shared" si="1"/>
        <v>113425</v>
      </c>
    </row>
    <row r="72" spans="1:3" x14ac:dyDescent="0.25">
      <c r="A72" s="7">
        <v>44781</v>
      </c>
      <c r="B72" s="5">
        <v>1882</v>
      </c>
      <c r="C72" s="5">
        <f t="shared" si="1"/>
        <v>115307</v>
      </c>
    </row>
    <row r="73" spans="1:3" x14ac:dyDescent="0.25">
      <c r="A73" s="7">
        <v>44782</v>
      </c>
      <c r="B73" s="5">
        <v>1467</v>
      </c>
      <c r="C73" s="5">
        <f t="shared" si="1"/>
        <v>116774</v>
      </c>
    </row>
    <row r="74" spans="1:3" x14ac:dyDescent="0.25">
      <c r="A74" s="7">
        <v>44783</v>
      </c>
      <c r="B74" s="5">
        <v>1348</v>
      </c>
      <c r="C74" s="5">
        <f t="shared" si="1"/>
        <v>118122</v>
      </c>
    </row>
    <row r="75" spans="1:3" x14ac:dyDescent="0.25">
      <c r="A75" s="7">
        <v>44784</v>
      </c>
      <c r="B75" s="5">
        <v>1288</v>
      </c>
      <c r="C75" s="5">
        <f t="shared" si="1"/>
        <v>119410</v>
      </c>
    </row>
    <row r="76" spans="1:3" x14ac:dyDescent="0.25">
      <c r="A76" s="7">
        <v>44785</v>
      </c>
      <c r="B76" s="5">
        <v>1407</v>
      </c>
      <c r="C76" s="5">
        <f t="shared" si="1"/>
        <v>120817</v>
      </c>
    </row>
    <row r="77" spans="1:3" x14ac:dyDescent="0.25">
      <c r="A77" s="7">
        <v>44786</v>
      </c>
      <c r="B77" s="5">
        <v>1816</v>
      </c>
      <c r="C77" s="5">
        <f t="shared" si="1"/>
        <v>122633</v>
      </c>
    </row>
    <row r="78" spans="1:3" x14ac:dyDescent="0.25">
      <c r="A78" s="7">
        <v>44787</v>
      </c>
      <c r="B78" s="5">
        <v>1520</v>
      </c>
      <c r="C78" s="5">
        <f t="shared" si="1"/>
        <v>124153</v>
      </c>
    </row>
    <row r="79" spans="1:3" x14ac:dyDescent="0.25">
      <c r="A79" s="7">
        <v>44788</v>
      </c>
      <c r="B79" s="5">
        <v>1407</v>
      </c>
      <c r="C79" s="5">
        <f t="shared" si="1"/>
        <v>125560</v>
      </c>
    </row>
    <row r="80" spans="1:3" x14ac:dyDescent="0.25">
      <c r="A80" s="7">
        <v>44789</v>
      </c>
      <c r="B80" s="5">
        <v>1407</v>
      </c>
      <c r="C80" s="5">
        <f t="shared" si="1"/>
        <v>126967</v>
      </c>
    </row>
    <row r="81" spans="1:3" x14ac:dyDescent="0.25">
      <c r="A81" s="7">
        <v>44790</v>
      </c>
      <c r="B81" s="5">
        <v>1520</v>
      </c>
      <c r="C81" s="5">
        <f t="shared" si="1"/>
        <v>128487</v>
      </c>
    </row>
    <row r="82" spans="1:3" x14ac:dyDescent="0.25">
      <c r="A82" s="7">
        <v>44791</v>
      </c>
      <c r="B82" s="5">
        <v>1520</v>
      </c>
      <c r="C82" s="5">
        <f t="shared" si="1"/>
        <v>130007</v>
      </c>
    </row>
    <row r="83" spans="1:3" x14ac:dyDescent="0.25">
      <c r="A83" s="7">
        <v>44792</v>
      </c>
      <c r="B83" s="5">
        <v>1710</v>
      </c>
      <c r="C83" s="5">
        <f t="shared" si="1"/>
        <v>131717</v>
      </c>
    </row>
    <row r="84" spans="1:3" x14ac:dyDescent="0.25">
      <c r="A84" s="7">
        <v>44793</v>
      </c>
      <c r="B84" s="5">
        <v>1816</v>
      </c>
      <c r="C84" s="5">
        <f t="shared" si="1"/>
        <v>133533</v>
      </c>
    </row>
    <row r="85" spans="1:3" x14ac:dyDescent="0.25">
      <c r="A85" s="7">
        <v>44794</v>
      </c>
      <c r="B85" s="5">
        <v>1639</v>
      </c>
      <c r="C85" s="5">
        <f t="shared" si="1"/>
        <v>135172</v>
      </c>
    </row>
    <row r="86" spans="1:3" x14ac:dyDescent="0.25">
      <c r="A86" s="7">
        <v>44795</v>
      </c>
      <c r="B86" s="5">
        <v>1639</v>
      </c>
      <c r="C86" s="5">
        <f t="shared" si="1"/>
        <v>136811</v>
      </c>
    </row>
    <row r="87" spans="1:3" x14ac:dyDescent="0.25">
      <c r="A87" s="7">
        <v>44796</v>
      </c>
      <c r="B87" s="5">
        <v>1710</v>
      </c>
      <c r="C87" s="5">
        <f t="shared" si="1"/>
        <v>138521</v>
      </c>
    </row>
    <row r="88" spans="1:3" x14ac:dyDescent="0.25">
      <c r="A88" s="7">
        <v>44797</v>
      </c>
      <c r="B88" s="5">
        <v>1816</v>
      </c>
      <c r="C88" s="5">
        <f t="shared" si="1"/>
        <v>140337</v>
      </c>
    </row>
    <row r="89" spans="1:3" x14ac:dyDescent="0.25">
      <c r="A89" s="7">
        <v>44798</v>
      </c>
      <c r="B89" s="5">
        <v>1935</v>
      </c>
      <c r="C89" s="5">
        <f t="shared" si="1"/>
        <v>142272</v>
      </c>
    </row>
    <row r="90" spans="1:3" x14ac:dyDescent="0.25">
      <c r="A90" s="7">
        <v>44799</v>
      </c>
      <c r="B90" s="5">
        <v>2172</v>
      </c>
      <c r="C90" s="5">
        <f t="shared" si="1"/>
        <v>144444</v>
      </c>
    </row>
    <row r="91" spans="1:3" x14ac:dyDescent="0.25">
      <c r="A91" s="7">
        <v>44800</v>
      </c>
      <c r="B91" s="5">
        <v>1816</v>
      </c>
      <c r="C91" s="5">
        <f t="shared" si="1"/>
        <v>146260</v>
      </c>
    </row>
    <row r="92" spans="1:3" x14ac:dyDescent="0.25">
      <c r="A92" s="7">
        <v>44801</v>
      </c>
      <c r="B92" s="5">
        <v>2172</v>
      </c>
      <c r="C92" s="5">
        <f t="shared" si="1"/>
        <v>148432</v>
      </c>
    </row>
    <row r="93" spans="1:3" x14ac:dyDescent="0.25">
      <c r="A93" s="7">
        <v>44802</v>
      </c>
      <c r="B93" s="5">
        <v>1639</v>
      </c>
      <c r="C93" s="5">
        <f t="shared" si="1"/>
        <v>150071</v>
      </c>
    </row>
    <row r="94" spans="1:3" x14ac:dyDescent="0.25">
      <c r="A94" s="7">
        <v>44803</v>
      </c>
      <c r="B94" s="5">
        <v>1586</v>
      </c>
      <c r="C94" s="5">
        <f t="shared" si="1"/>
        <v>151657</v>
      </c>
    </row>
    <row r="95" spans="1:3" x14ac:dyDescent="0.25">
      <c r="A95" s="7">
        <v>44804</v>
      </c>
      <c r="B95" s="5">
        <v>1763</v>
      </c>
      <c r="C95" s="5">
        <f t="shared" si="1"/>
        <v>153420</v>
      </c>
    </row>
    <row r="96" spans="1:3" x14ac:dyDescent="0.25">
      <c r="A96" s="7" t="s">
        <v>17</v>
      </c>
      <c r="B96" s="5">
        <v>153420</v>
      </c>
      <c r="C96" s="5">
        <f t="shared" si="1"/>
        <v>306840</v>
      </c>
    </row>
  </sheetData>
  <conditionalFormatting sqref="C1:C1048576">
    <cfRule type="cellIs" dxfId="4" priority="1" operator="greaterThan">
      <formula>45000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31619-27D0-4395-B950-679140DD40ED}">
  <dimension ref="B1:M93"/>
  <sheetViews>
    <sheetView workbookViewId="0">
      <selection activeCell="I3" sqref="I3"/>
    </sheetView>
  </sheetViews>
  <sheetFormatPr defaultRowHeight="15" x14ac:dyDescent="0.25"/>
  <cols>
    <col min="1" max="2" width="10.140625" bestFit="1" customWidth="1"/>
    <col min="3" max="3" width="26.42578125" bestFit="1" customWidth="1"/>
    <col min="4" max="4" width="10" customWidth="1"/>
    <col min="6" max="6" width="10.140625" bestFit="1" customWidth="1"/>
    <col min="7" max="7" width="12.85546875" bestFit="1" customWidth="1"/>
    <col min="8" max="8" width="14.28515625" customWidth="1"/>
    <col min="9" max="9" width="13.7109375" bestFit="1" customWidth="1"/>
    <col min="10" max="10" width="15.140625" customWidth="1"/>
    <col min="11" max="12" width="10.140625" bestFit="1" customWidth="1"/>
  </cols>
  <sheetData>
    <row r="1" spans="2:13" x14ac:dyDescent="0.25">
      <c r="B1" s="2" t="s">
        <v>0</v>
      </c>
      <c r="C1" s="2" t="s">
        <v>1</v>
      </c>
      <c r="D1" s="2" t="s">
        <v>7</v>
      </c>
      <c r="E1" s="2" t="s">
        <v>8</v>
      </c>
      <c r="F1" s="2" t="s">
        <v>9</v>
      </c>
      <c r="G1" s="2" t="s">
        <v>12</v>
      </c>
      <c r="H1" s="2" t="s">
        <v>28</v>
      </c>
      <c r="I1" s="2"/>
    </row>
    <row r="2" spans="2:13" x14ac:dyDescent="0.25">
      <c r="B2" s="1">
        <v>44713</v>
      </c>
      <c r="C2">
        <v>24</v>
      </c>
      <c r="D2">
        <f>ROUNDDOWN($K$3 * (1+$L$3 * (($C2-24)/2)),0)</f>
        <v>90</v>
      </c>
      <c r="E2">
        <f>ROUNDDOWN($K$4 * (1+$L$4 * (($C2-24)/2)),0)</f>
        <v>120</v>
      </c>
      <c r="F2">
        <f>ROUNDDOWN($K$5 * (1+$L$5 * ((C2-24)/2)),0)</f>
        <v>80</v>
      </c>
      <c r="G2">
        <v>1</v>
      </c>
      <c r="H2" s="5">
        <f>(D2*$M$3)+(E2*$M$4)+(F2*$M$5)</f>
        <v>1710</v>
      </c>
      <c r="I2" s="5"/>
      <c r="J2" s="2" t="s">
        <v>11</v>
      </c>
      <c r="K2" s="2" t="s">
        <v>2</v>
      </c>
      <c r="L2" s="2" t="s">
        <v>6</v>
      </c>
      <c r="M2" s="2" t="s">
        <v>10</v>
      </c>
    </row>
    <row r="3" spans="2:13" x14ac:dyDescent="0.25">
      <c r="B3" s="1">
        <v>44714</v>
      </c>
      <c r="C3">
        <v>25</v>
      </c>
      <c r="D3">
        <f>ROUNDDOWN($K$3 * (1+$L$3 * (($C3-24)/2)),0)</f>
        <v>93</v>
      </c>
      <c r="E3">
        <f>ROUNDDOWN($K$4 * (1+$L$4 * (($C3-24)/2)),0)</f>
        <v>124</v>
      </c>
      <c r="F3">
        <f>ROUNDDOWN($K$5 * (1+$L$5 * ((C3-24)/2)),0)</f>
        <v>82</v>
      </c>
      <c r="G3">
        <f>IF(C3&gt;20,G2+1,0)</f>
        <v>2</v>
      </c>
      <c r="H3" s="5">
        <f t="shared" ref="H3:H66" si="0">(D3*$M$3)+(E3*$M$4)+(F3*$M$5)</f>
        <v>1763</v>
      </c>
      <c r="I3" s="5"/>
      <c r="J3" t="s">
        <v>3</v>
      </c>
      <c r="K3">
        <v>90</v>
      </c>
      <c r="L3" s="3">
        <v>7.6923076923076927E-2</v>
      </c>
      <c r="M3" s="5">
        <v>7</v>
      </c>
    </row>
    <row r="4" spans="2:13" x14ac:dyDescent="0.25">
      <c r="B4" s="1">
        <v>44715</v>
      </c>
      <c r="C4">
        <v>27</v>
      </c>
      <c r="D4">
        <f>ROUNDDOWN($K$3 * (1+$L$3 * (($C4-24)/2)),0)</f>
        <v>100</v>
      </c>
      <c r="E4">
        <f>ROUNDDOWN($K$4 * (1+$L$4 * (($C4-24)/2)),0)</f>
        <v>132</v>
      </c>
      <c r="F4">
        <f>ROUNDDOWN($K$5 * (1+$L$5 * ((C4-24)/2)),0)</f>
        <v>87</v>
      </c>
      <c r="G4">
        <f t="shared" ref="G4:G67" si="1">IF(C4&gt;20,G3+1,0)</f>
        <v>3</v>
      </c>
      <c r="H4" s="5">
        <f t="shared" si="0"/>
        <v>1882</v>
      </c>
      <c r="I4" s="5"/>
      <c r="J4" t="s">
        <v>4</v>
      </c>
      <c r="K4">
        <v>120</v>
      </c>
      <c r="L4" s="3">
        <v>6.8965517241379309E-2</v>
      </c>
      <c r="M4" s="5">
        <v>5</v>
      </c>
    </row>
    <row r="5" spans="2:13" x14ac:dyDescent="0.25">
      <c r="B5" s="1">
        <v>44716</v>
      </c>
      <c r="C5">
        <v>27</v>
      </c>
      <c r="D5">
        <f>ROUNDDOWN($K$3 * (1+$L$3 * (($C5-24)/2)),0)</f>
        <v>100</v>
      </c>
      <c r="E5">
        <f>ROUNDDOWN($K$4 * (1+$L$4 * (($C5-24)/2)),0)</f>
        <v>132</v>
      </c>
      <c r="F5">
        <f>ROUNDDOWN($K$5 * (1+$L$5 * ((C5-24)/2)),0)</f>
        <v>87</v>
      </c>
      <c r="G5">
        <f t="shared" si="1"/>
        <v>4</v>
      </c>
      <c r="H5" s="5">
        <f t="shared" si="0"/>
        <v>1882</v>
      </c>
      <c r="I5" s="5"/>
      <c r="J5" t="s">
        <v>5</v>
      </c>
      <c r="K5">
        <v>80</v>
      </c>
      <c r="L5" s="3">
        <v>5.8823529411764705E-2</v>
      </c>
      <c r="M5" s="5">
        <v>6</v>
      </c>
    </row>
    <row r="6" spans="2:13" x14ac:dyDescent="0.25">
      <c r="B6" s="1">
        <v>44717</v>
      </c>
      <c r="C6">
        <v>27</v>
      </c>
      <c r="D6">
        <f>ROUNDDOWN($K$3 * (1+$L$3 * (($C6-24)/2)),0)</f>
        <v>100</v>
      </c>
      <c r="E6">
        <f>ROUNDDOWN($K$4 * (1+$L$4 * (($C6-24)/2)),0)</f>
        <v>132</v>
      </c>
      <c r="F6">
        <f>ROUNDDOWN($K$5 * (1+$L$5 * ((C6-24)/2)),0)</f>
        <v>87</v>
      </c>
      <c r="G6">
        <f t="shared" si="1"/>
        <v>5</v>
      </c>
      <c r="H6" s="5">
        <f t="shared" si="0"/>
        <v>1882</v>
      </c>
      <c r="I6" s="5"/>
    </row>
    <row r="7" spans="2:13" x14ac:dyDescent="0.25">
      <c r="B7" s="1">
        <v>44718</v>
      </c>
      <c r="C7">
        <v>22</v>
      </c>
      <c r="D7">
        <f>ROUNDDOWN($K$3 * (1+$L$3 * (($C7-24)/2)),0)</f>
        <v>83</v>
      </c>
      <c r="E7">
        <f>ROUNDDOWN($K$4 * (1+$L$4 * (($C7-24)/2)),0)</f>
        <v>111</v>
      </c>
      <c r="F7">
        <f>ROUNDDOWN($K$5 * (1+$L$5 * ((C7-24)/2)),0)</f>
        <v>75</v>
      </c>
      <c r="G7">
        <f t="shared" si="1"/>
        <v>6</v>
      </c>
      <c r="H7" s="5">
        <f t="shared" si="0"/>
        <v>1586</v>
      </c>
      <c r="I7" s="5"/>
    </row>
    <row r="8" spans="2:13" x14ac:dyDescent="0.25">
      <c r="B8" s="1">
        <v>44719</v>
      </c>
      <c r="C8">
        <v>25</v>
      </c>
      <c r="D8">
        <f>ROUNDDOWN($K$3 * (1+$L$3 * (($C8-24)/2)),0)</f>
        <v>93</v>
      </c>
      <c r="E8">
        <f>ROUNDDOWN($K$4 * (1+$L$4 * (($C8-24)/2)),0)</f>
        <v>124</v>
      </c>
      <c r="F8">
        <f>ROUNDDOWN($K$5 * (1+$L$5 * ((C8-24)/2)),0)</f>
        <v>82</v>
      </c>
      <c r="G8">
        <f t="shared" si="1"/>
        <v>7</v>
      </c>
      <c r="H8" s="5">
        <f t="shared" si="0"/>
        <v>1763</v>
      </c>
      <c r="I8" s="5"/>
    </row>
    <row r="9" spans="2:13" x14ac:dyDescent="0.25">
      <c r="B9" s="1">
        <v>44720</v>
      </c>
      <c r="C9">
        <v>25</v>
      </c>
      <c r="D9">
        <f>ROUNDDOWN($K$3 * (1+$L$3 * (($C9-24)/2)),0)</f>
        <v>93</v>
      </c>
      <c r="E9">
        <f>ROUNDDOWN($K$4 * (1+$L$4 * (($C9-24)/2)),0)</f>
        <v>124</v>
      </c>
      <c r="F9">
        <f>ROUNDDOWN($K$5 * (1+$L$5 * ((C9-24)/2)),0)</f>
        <v>82</v>
      </c>
      <c r="G9">
        <f t="shared" si="1"/>
        <v>8</v>
      </c>
      <c r="H9" s="5">
        <f t="shared" si="0"/>
        <v>1763</v>
      </c>
      <c r="I9" s="5"/>
      <c r="J9" t="s">
        <v>13</v>
      </c>
    </row>
    <row r="10" spans="2:13" x14ac:dyDescent="0.25">
      <c r="B10" s="1">
        <v>44721</v>
      </c>
      <c r="C10">
        <v>21</v>
      </c>
      <c r="D10">
        <f>ROUNDDOWN($K$3 * (1+$L$3 * (($C10-24)/2)),0)</f>
        <v>79</v>
      </c>
      <c r="E10">
        <f>ROUNDDOWN($K$4 * (1+$L$4 * (($C10-24)/2)),0)</f>
        <v>107</v>
      </c>
      <c r="F10">
        <f>ROUNDDOWN($K$5 * (1+$L$5 * ((C10-24)/2)),0)</f>
        <v>72</v>
      </c>
      <c r="G10">
        <f t="shared" si="1"/>
        <v>9</v>
      </c>
      <c r="H10" s="5">
        <f t="shared" si="0"/>
        <v>1520</v>
      </c>
      <c r="I10" s="5"/>
      <c r="J10" t="s">
        <v>14</v>
      </c>
      <c r="K10">
        <v>15</v>
      </c>
    </row>
    <row r="11" spans="2:13" x14ac:dyDescent="0.25">
      <c r="B11" s="1">
        <v>44722</v>
      </c>
      <c r="C11">
        <v>21</v>
      </c>
      <c r="D11">
        <f>ROUNDDOWN($K$3 * (1+$L$3 * (($C11-24)/2)),0)</f>
        <v>79</v>
      </c>
      <c r="E11">
        <f>ROUNDDOWN($K$4 * (1+$L$4 * (($C11-24)/2)),0)</f>
        <v>107</v>
      </c>
      <c r="F11">
        <f>ROUNDDOWN($K$5 * (1+$L$5 * ((C11-24)/2)),0)</f>
        <v>72</v>
      </c>
      <c r="G11">
        <f t="shared" si="1"/>
        <v>10</v>
      </c>
      <c r="H11" s="5">
        <f t="shared" si="0"/>
        <v>1520</v>
      </c>
      <c r="I11" s="5"/>
      <c r="J11" t="s">
        <v>15</v>
      </c>
      <c r="K11" s="1">
        <v>44790</v>
      </c>
      <c r="L11" s="1">
        <v>44804</v>
      </c>
    </row>
    <row r="12" spans="2:13" x14ac:dyDescent="0.25">
      <c r="B12" s="1">
        <v>44723</v>
      </c>
      <c r="C12">
        <v>19</v>
      </c>
      <c r="D12">
        <f>ROUNDDOWN($K$3 * (1+$L$3 * (($C12-24)/2)),0)</f>
        <v>72</v>
      </c>
      <c r="E12">
        <f>ROUNDDOWN($K$4 * (1+$L$4 * (($C12-24)/2)),0)</f>
        <v>99</v>
      </c>
      <c r="F12">
        <f>ROUNDDOWN($K$5 * (1+$L$5 * ((C12-24)/2)),0)</f>
        <v>68</v>
      </c>
      <c r="G12">
        <f t="shared" si="1"/>
        <v>0</v>
      </c>
      <c r="H12" s="5">
        <f t="shared" si="0"/>
        <v>1407</v>
      </c>
      <c r="I12" s="5"/>
    </row>
    <row r="13" spans="2:13" x14ac:dyDescent="0.25">
      <c r="B13" s="1">
        <v>44724</v>
      </c>
      <c r="C13">
        <v>19</v>
      </c>
      <c r="D13">
        <f>ROUNDDOWN($K$3 * (1+$L$3 * (($C13-24)/2)),0)</f>
        <v>72</v>
      </c>
      <c r="E13">
        <f>ROUNDDOWN($K$4 * (1+$L$4 * (($C13-24)/2)),0)</f>
        <v>99</v>
      </c>
      <c r="F13">
        <f>ROUNDDOWN($K$5 * (1+$L$5 * ((C13-24)/2)),0)</f>
        <v>68</v>
      </c>
      <c r="G13">
        <f t="shared" si="1"/>
        <v>0</v>
      </c>
      <c r="H13" s="5">
        <f t="shared" si="0"/>
        <v>1407</v>
      </c>
      <c r="I13" s="5"/>
    </row>
    <row r="14" spans="2:13" x14ac:dyDescent="0.25">
      <c r="B14" s="1">
        <v>44725</v>
      </c>
      <c r="C14">
        <v>15</v>
      </c>
      <c r="D14">
        <f>ROUNDDOWN($K$3 * (1+$L$3 * (($C14-24)/2)),0)</f>
        <v>58</v>
      </c>
      <c r="E14">
        <f>ROUNDDOWN($K$4 * (1+$L$4 * (($C14-24)/2)),0)</f>
        <v>82</v>
      </c>
      <c r="F14">
        <f>ROUNDDOWN($K$5 * (1+$L$5 * ((C14-24)/2)),0)</f>
        <v>58</v>
      </c>
      <c r="G14">
        <f t="shared" si="1"/>
        <v>0</v>
      </c>
      <c r="H14" s="5">
        <f t="shared" si="0"/>
        <v>1164</v>
      </c>
      <c r="I14" s="5"/>
    </row>
    <row r="15" spans="2:13" x14ac:dyDescent="0.25">
      <c r="B15" s="1">
        <v>44726</v>
      </c>
      <c r="C15">
        <v>21</v>
      </c>
      <c r="D15">
        <f>ROUNDDOWN($K$3 * (1+$L$3 * (($C15-24)/2)),0)</f>
        <v>79</v>
      </c>
      <c r="E15">
        <f>ROUNDDOWN($K$4 * (1+$L$4 * (($C15-24)/2)),0)</f>
        <v>107</v>
      </c>
      <c r="F15">
        <f>ROUNDDOWN($K$5 * (1+$L$5 * ((C15-24)/2)),0)</f>
        <v>72</v>
      </c>
      <c r="G15">
        <f t="shared" si="1"/>
        <v>1</v>
      </c>
      <c r="H15" s="5">
        <f t="shared" si="0"/>
        <v>1520</v>
      </c>
      <c r="I15" s="5"/>
    </row>
    <row r="16" spans="2:13" x14ac:dyDescent="0.25">
      <c r="B16" s="1">
        <v>44727</v>
      </c>
      <c r="C16">
        <v>23</v>
      </c>
      <c r="D16">
        <f>ROUNDDOWN($K$3 * (1+$L$3 * (($C16-24)/2)),0)</f>
        <v>86</v>
      </c>
      <c r="E16">
        <f>ROUNDDOWN($K$4 * (1+$L$4 * (($C16-24)/2)),0)</f>
        <v>115</v>
      </c>
      <c r="F16">
        <f>ROUNDDOWN($K$5 * (1+$L$5 * ((C16-24)/2)),0)</f>
        <v>77</v>
      </c>
      <c r="G16">
        <f t="shared" si="1"/>
        <v>2</v>
      </c>
      <c r="H16" s="5">
        <f t="shared" si="0"/>
        <v>1639</v>
      </c>
      <c r="I16" s="5"/>
    </row>
    <row r="17" spans="2:10" x14ac:dyDescent="0.25">
      <c r="B17" s="1">
        <v>44728</v>
      </c>
      <c r="C17">
        <v>23</v>
      </c>
      <c r="D17">
        <f>ROUNDDOWN($K$3 * (1+$L$3 * (($C17-24)/2)),0)</f>
        <v>86</v>
      </c>
      <c r="E17">
        <f>ROUNDDOWN($K$4 * (1+$L$4 * (($C17-24)/2)),0)</f>
        <v>115</v>
      </c>
      <c r="F17">
        <f>ROUNDDOWN($K$5 * (1+$L$5 * ((C17-24)/2)),0)</f>
        <v>77</v>
      </c>
      <c r="G17">
        <f t="shared" si="1"/>
        <v>3</v>
      </c>
      <c r="H17" s="5">
        <f t="shared" si="0"/>
        <v>1639</v>
      </c>
      <c r="I17" s="5"/>
    </row>
    <row r="18" spans="2:10" x14ac:dyDescent="0.25">
      <c r="B18" s="1">
        <v>44729</v>
      </c>
      <c r="C18">
        <v>16</v>
      </c>
      <c r="D18">
        <f>ROUNDDOWN($K$3 * (1+$L$3 * (($C18-24)/2)),0)</f>
        <v>62</v>
      </c>
      <c r="E18">
        <f>ROUNDDOWN($K$4 * (1+$L$4 * (($C18-24)/2)),0)</f>
        <v>86</v>
      </c>
      <c r="F18">
        <f>ROUNDDOWN($K$5 * (1+$L$5 * ((C18-24)/2)),0)</f>
        <v>61</v>
      </c>
      <c r="G18">
        <f t="shared" si="1"/>
        <v>0</v>
      </c>
      <c r="H18" s="5">
        <f t="shared" si="0"/>
        <v>1230</v>
      </c>
      <c r="I18" s="5"/>
    </row>
    <row r="19" spans="2:10" x14ac:dyDescent="0.25">
      <c r="B19" s="1">
        <v>44730</v>
      </c>
      <c r="C19">
        <v>21</v>
      </c>
      <c r="D19">
        <f>ROUNDDOWN($K$3 * (1+$L$3 * (($C19-24)/2)),0)</f>
        <v>79</v>
      </c>
      <c r="E19">
        <f>ROUNDDOWN($K$4 * (1+$L$4 * (($C19-24)/2)),0)</f>
        <v>107</v>
      </c>
      <c r="F19">
        <f>ROUNDDOWN($K$5 * (1+$L$5 * ((C19-24)/2)),0)</f>
        <v>72</v>
      </c>
      <c r="G19">
        <f t="shared" si="1"/>
        <v>1</v>
      </c>
      <c r="H19" s="5">
        <f t="shared" si="0"/>
        <v>1520</v>
      </c>
      <c r="I19" s="5"/>
    </row>
    <row r="20" spans="2:10" x14ac:dyDescent="0.25">
      <c r="B20" s="1">
        <v>44731</v>
      </c>
      <c r="C20">
        <v>22</v>
      </c>
      <c r="D20">
        <f>ROUNDDOWN($K$3 * (1+$L$3 * (($C20-24)/2)),0)</f>
        <v>83</v>
      </c>
      <c r="E20">
        <f>ROUNDDOWN($K$4 * (1+$L$4 * (($C20-24)/2)),0)</f>
        <v>111</v>
      </c>
      <c r="F20">
        <f>ROUNDDOWN($K$5 * (1+$L$5 * ((C20-24)/2)),0)</f>
        <v>75</v>
      </c>
      <c r="G20">
        <f t="shared" si="1"/>
        <v>2</v>
      </c>
      <c r="H20" s="5">
        <f t="shared" si="0"/>
        <v>1586</v>
      </c>
      <c r="I20" s="5"/>
    </row>
    <row r="21" spans="2:10" x14ac:dyDescent="0.25">
      <c r="B21" s="1">
        <v>44732</v>
      </c>
      <c r="C21">
        <v>22</v>
      </c>
      <c r="D21">
        <f>ROUNDDOWN($K$3 * (1+$L$3 * (($C21-24)/2)),0)</f>
        <v>83</v>
      </c>
      <c r="E21">
        <f>ROUNDDOWN($K$4 * (1+$L$4 * (($C21-24)/2)),0)</f>
        <v>111</v>
      </c>
      <c r="F21">
        <f>ROUNDDOWN($K$5 * (1+$L$5 * ((C21-24)/2)),0)</f>
        <v>75</v>
      </c>
      <c r="G21">
        <f t="shared" si="1"/>
        <v>3</v>
      </c>
      <c r="H21" s="5">
        <f t="shared" si="0"/>
        <v>1586</v>
      </c>
      <c r="I21" s="5"/>
    </row>
    <row r="22" spans="2:10" x14ac:dyDescent="0.25">
      <c r="B22" s="1">
        <v>44733</v>
      </c>
      <c r="C22">
        <v>22</v>
      </c>
      <c r="D22">
        <f>ROUNDDOWN($K$3 * (1+$L$3 * (($C22-24)/2)),0)</f>
        <v>83</v>
      </c>
      <c r="E22">
        <f>ROUNDDOWN($K$4 * (1+$L$4 * (($C22-24)/2)),0)</f>
        <v>111</v>
      </c>
      <c r="F22">
        <f>ROUNDDOWN($K$5 * (1+$L$5 * ((C22-24)/2)),0)</f>
        <v>75</v>
      </c>
      <c r="G22">
        <f t="shared" si="1"/>
        <v>4</v>
      </c>
      <c r="H22" s="5">
        <f t="shared" si="0"/>
        <v>1586</v>
      </c>
      <c r="I22" s="5"/>
    </row>
    <row r="23" spans="2:10" x14ac:dyDescent="0.25">
      <c r="B23" s="1">
        <v>44734</v>
      </c>
      <c r="C23">
        <v>28</v>
      </c>
      <c r="D23">
        <f>ROUNDDOWN($K$3 * (1+$L$3 * (($C23-24)/2)),0)</f>
        <v>103</v>
      </c>
      <c r="E23">
        <f>ROUNDDOWN($K$4 * (1+$L$4 * (($C23-24)/2)),0)</f>
        <v>136</v>
      </c>
      <c r="F23">
        <f>ROUNDDOWN($K$5 * (1+$L$5 * ((C23-24)/2)),0)</f>
        <v>89</v>
      </c>
      <c r="G23">
        <f t="shared" si="1"/>
        <v>5</v>
      </c>
      <c r="H23" s="5">
        <f t="shared" si="0"/>
        <v>1935</v>
      </c>
      <c r="I23" s="5"/>
    </row>
    <row r="24" spans="2:10" x14ac:dyDescent="0.25">
      <c r="B24" s="1">
        <v>44735</v>
      </c>
      <c r="C24">
        <v>31</v>
      </c>
      <c r="D24">
        <f>ROUNDDOWN($K$3 * (1+$L$3 * (($C24-24)/2)),0)</f>
        <v>114</v>
      </c>
      <c r="E24">
        <f>ROUNDDOWN($K$4 * (1+$L$4 * (($C24-24)/2)),0)</f>
        <v>148</v>
      </c>
      <c r="F24">
        <f>ROUNDDOWN($K$5 * (1+$L$5 * ((C24-24)/2)),0)</f>
        <v>96</v>
      </c>
      <c r="G24">
        <f t="shared" si="1"/>
        <v>6</v>
      </c>
      <c r="H24" s="5">
        <f t="shared" si="0"/>
        <v>2114</v>
      </c>
      <c r="I24" s="5"/>
    </row>
    <row r="25" spans="2:10" x14ac:dyDescent="0.25">
      <c r="B25" s="1">
        <v>44736</v>
      </c>
      <c r="C25">
        <v>33</v>
      </c>
      <c r="D25">
        <f>ROUNDDOWN($K$3 * (1+$L$3 * (($C25-24)/2)),0)</f>
        <v>121</v>
      </c>
      <c r="E25">
        <f>ROUNDDOWN($K$4 * (1+$L$4 * (($C25-24)/2)),0)</f>
        <v>157</v>
      </c>
      <c r="F25">
        <f>ROUNDDOWN($K$5 * (1+$L$5 * ((C25-24)/2)),0)</f>
        <v>101</v>
      </c>
      <c r="G25">
        <f t="shared" si="1"/>
        <v>7</v>
      </c>
      <c r="H25" s="5">
        <f t="shared" si="0"/>
        <v>2238</v>
      </c>
      <c r="I25" s="5"/>
    </row>
    <row r="26" spans="2:10" x14ac:dyDescent="0.25">
      <c r="B26" s="1">
        <v>44737</v>
      </c>
      <c r="C26">
        <v>33</v>
      </c>
      <c r="D26">
        <f>ROUNDDOWN($K$3 * (1+$L$3 * (($C26-24)/2)),0)</f>
        <v>121</v>
      </c>
      <c r="E26">
        <f>ROUNDDOWN($K$4 * (1+$L$4 * (($C26-24)/2)),0)</f>
        <v>157</v>
      </c>
      <c r="F26">
        <f>ROUNDDOWN($K$5 * (1+$L$5 * ((C26-24)/2)),0)</f>
        <v>101</v>
      </c>
      <c r="G26">
        <f t="shared" si="1"/>
        <v>8</v>
      </c>
      <c r="H26" s="5">
        <f t="shared" si="0"/>
        <v>2238</v>
      </c>
      <c r="I26" s="5"/>
    </row>
    <row r="27" spans="2:10" x14ac:dyDescent="0.25">
      <c r="B27" s="1">
        <v>44738</v>
      </c>
      <c r="C27">
        <v>23</v>
      </c>
      <c r="D27">
        <f>ROUNDDOWN($K$3 * (1+$L$3 * (($C27-24)/2)),0)</f>
        <v>86</v>
      </c>
      <c r="E27">
        <f>ROUNDDOWN($K$4 * (1+$L$4 * (($C27-24)/2)),0)</f>
        <v>115</v>
      </c>
      <c r="F27">
        <f>ROUNDDOWN($K$5 * (1+$L$5 * ((C27-24)/2)),0)</f>
        <v>77</v>
      </c>
      <c r="G27">
        <f t="shared" si="1"/>
        <v>9</v>
      </c>
      <c r="H27" s="5">
        <f t="shared" si="0"/>
        <v>1639</v>
      </c>
      <c r="I27" s="5"/>
    </row>
    <row r="28" spans="2:10" x14ac:dyDescent="0.25">
      <c r="B28" s="1">
        <v>44739</v>
      </c>
      <c r="C28">
        <v>23</v>
      </c>
      <c r="D28">
        <f>ROUNDDOWN($K$3 * (1+$L$3 * (($C28-24)/2)),0)</f>
        <v>86</v>
      </c>
      <c r="E28">
        <f>ROUNDDOWN($K$4 * (1+$L$4 * (($C28-24)/2)),0)</f>
        <v>115</v>
      </c>
      <c r="F28">
        <f>ROUNDDOWN($K$5 * (1+$L$5 * ((C28-24)/2)),0)</f>
        <v>77</v>
      </c>
      <c r="G28">
        <f t="shared" si="1"/>
        <v>10</v>
      </c>
      <c r="H28" s="5">
        <f t="shared" si="0"/>
        <v>1639</v>
      </c>
      <c r="I28" s="5"/>
      <c r="J28" s="5"/>
    </row>
    <row r="29" spans="2:10" x14ac:dyDescent="0.25">
      <c r="B29" s="1">
        <v>44740</v>
      </c>
      <c r="C29">
        <v>19</v>
      </c>
      <c r="D29">
        <f>ROUNDDOWN($K$3 * (1+$L$3 * (($C29-24)/2)),0)</f>
        <v>72</v>
      </c>
      <c r="E29">
        <f>ROUNDDOWN($K$4 * (1+$L$4 * (($C29-24)/2)),0)</f>
        <v>99</v>
      </c>
      <c r="F29">
        <f>ROUNDDOWN($K$5 * (1+$L$5 * ((C29-24)/2)),0)</f>
        <v>68</v>
      </c>
      <c r="G29">
        <f t="shared" si="1"/>
        <v>0</v>
      </c>
      <c r="H29" s="5">
        <f t="shared" si="0"/>
        <v>1407</v>
      </c>
      <c r="I29" s="5"/>
    </row>
    <row r="30" spans="2:10" x14ac:dyDescent="0.25">
      <c r="B30" s="1">
        <v>44741</v>
      </c>
      <c r="C30">
        <v>24</v>
      </c>
      <c r="D30">
        <f>ROUNDDOWN($K$3 * (1+$L$3 * (($C30-24)/2)),0)</f>
        <v>90</v>
      </c>
      <c r="E30">
        <f>ROUNDDOWN($K$4 * (1+$L$4 * (($C30-24)/2)),0)</f>
        <v>120</v>
      </c>
      <c r="F30">
        <f>ROUNDDOWN($K$5 * (1+$L$5 * ((C30-24)/2)),0)</f>
        <v>80</v>
      </c>
      <c r="G30">
        <f t="shared" si="1"/>
        <v>1</v>
      </c>
      <c r="H30" s="5">
        <f t="shared" si="0"/>
        <v>1710</v>
      </c>
      <c r="I30" s="5"/>
    </row>
    <row r="31" spans="2:10" x14ac:dyDescent="0.25">
      <c r="B31" s="1">
        <v>44742</v>
      </c>
      <c r="C31">
        <v>25</v>
      </c>
      <c r="D31">
        <f>ROUNDDOWN($K$3 * (1+$L$3 * (($C31-24)/2)),0)</f>
        <v>93</v>
      </c>
      <c r="E31">
        <f>ROUNDDOWN($K$4 * (1+$L$4 * (($C31-24)/2)),0)</f>
        <v>124</v>
      </c>
      <c r="F31">
        <f>ROUNDDOWN($K$5 * (1+$L$5 * ((C31-24)/2)),0)</f>
        <v>82</v>
      </c>
      <c r="G31">
        <f t="shared" si="1"/>
        <v>2</v>
      </c>
      <c r="H31" s="5">
        <f t="shared" si="0"/>
        <v>1763</v>
      </c>
      <c r="I31" s="5"/>
    </row>
    <row r="32" spans="2:10" x14ac:dyDescent="0.25">
      <c r="B32" s="1">
        <v>44743</v>
      </c>
      <c r="C32">
        <v>27</v>
      </c>
      <c r="D32">
        <f>ROUNDDOWN($K$3 * (1+$L$3 * (($C32-24)/2)),0)</f>
        <v>100</v>
      </c>
      <c r="E32">
        <f>ROUNDDOWN($K$4 * (1+$L$4 * (($C32-24)/2)),0)</f>
        <v>132</v>
      </c>
      <c r="F32">
        <f>ROUNDDOWN($K$5 * (1+$L$5 * ((C32-24)/2)),0)</f>
        <v>87</v>
      </c>
      <c r="G32">
        <f t="shared" si="1"/>
        <v>3</v>
      </c>
      <c r="H32" s="5">
        <f t="shared" si="0"/>
        <v>1882</v>
      </c>
      <c r="I32" s="5"/>
    </row>
    <row r="33" spans="2:9" x14ac:dyDescent="0.25">
      <c r="B33" s="1">
        <v>44744</v>
      </c>
      <c r="C33">
        <v>27</v>
      </c>
      <c r="D33">
        <f>ROUNDDOWN($K$3 * (1+$L$3 * (($C33-24)/2)),0)</f>
        <v>100</v>
      </c>
      <c r="E33">
        <f>ROUNDDOWN($K$4 * (1+$L$4 * (($C33-24)/2)),0)</f>
        <v>132</v>
      </c>
      <c r="F33">
        <f>ROUNDDOWN($K$5 * (1+$L$5 * ((C33-24)/2)),0)</f>
        <v>87</v>
      </c>
      <c r="G33">
        <f t="shared" si="1"/>
        <v>4</v>
      </c>
      <c r="H33" s="5">
        <f t="shared" si="0"/>
        <v>1882</v>
      </c>
      <c r="I33" s="5"/>
    </row>
    <row r="34" spans="2:9" x14ac:dyDescent="0.25">
      <c r="B34" s="1">
        <v>44745</v>
      </c>
      <c r="C34">
        <v>21</v>
      </c>
      <c r="D34">
        <f>ROUNDDOWN($K$3 * (1+$L$3 * (($C34-24)/2)),0)</f>
        <v>79</v>
      </c>
      <c r="E34">
        <f>ROUNDDOWN($K$4 * (1+$L$4 * (($C34-24)/2)),0)</f>
        <v>107</v>
      </c>
      <c r="F34">
        <f>ROUNDDOWN($K$5 * (1+$L$5 * ((C34-24)/2)),0)</f>
        <v>72</v>
      </c>
      <c r="G34">
        <f t="shared" si="1"/>
        <v>5</v>
      </c>
      <c r="H34" s="5">
        <f t="shared" si="0"/>
        <v>1520</v>
      </c>
      <c r="I34" s="5"/>
    </row>
    <row r="35" spans="2:9" x14ac:dyDescent="0.25">
      <c r="B35" s="1">
        <v>44746</v>
      </c>
      <c r="C35">
        <v>21</v>
      </c>
      <c r="D35">
        <f>ROUNDDOWN($K$3 * (1+$L$3 * (($C35-24)/2)),0)</f>
        <v>79</v>
      </c>
      <c r="E35">
        <f>ROUNDDOWN($K$4 * (1+$L$4 * (($C35-24)/2)),0)</f>
        <v>107</v>
      </c>
      <c r="F35">
        <f>ROUNDDOWN($K$5 * (1+$L$5 * ((C35-24)/2)),0)</f>
        <v>72</v>
      </c>
      <c r="G35">
        <f t="shared" si="1"/>
        <v>6</v>
      </c>
      <c r="H35" s="5">
        <f t="shared" si="0"/>
        <v>1520</v>
      </c>
      <c r="I35" s="5"/>
    </row>
    <row r="36" spans="2:9" x14ac:dyDescent="0.25">
      <c r="B36" s="1">
        <v>44747</v>
      </c>
      <c r="C36">
        <v>25</v>
      </c>
      <c r="D36">
        <f>ROUNDDOWN($K$3 * (1+$L$3 * (($C36-24)/2)),0)</f>
        <v>93</v>
      </c>
      <c r="E36">
        <f>ROUNDDOWN($K$4 * (1+$L$4 * (($C36-24)/2)),0)</f>
        <v>124</v>
      </c>
      <c r="F36">
        <f>ROUNDDOWN($K$5 * (1+$L$5 * ((C36-24)/2)),0)</f>
        <v>82</v>
      </c>
      <c r="G36">
        <f t="shared" si="1"/>
        <v>7</v>
      </c>
      <c r="H36" s="5">
        <f t="shared" si="0"/>
        <v>1763</v>
      </c>
      <c r="I36" s="5"/>
    </row>
    <row r="37" spans="2:9" x14ac:dyDescent="0.25">
      <c r="B37" s="1">
        <v>44748</v>
      </c>
      <c r="C37">
        <v>19</v>
      </c>
      <c r="D37">
        <f>ROUNDDOWN($K$3 * (1+$L$3 * (($C37-24)/2)),0)</f>
        <v>72</v>
      </c>
      <c r="E37">
        <f>ROUNDDOWN($K$4 * (1+$L$4 * (($C37-24)/2)),0)</f>
        <v>99</v>
      </c>
      <c r="F37">
        <f>ROUNDDOWN($K$5 * (1+$L$5 * ((C37-24)/2)),0)</f>
        <v>68</v>
      </c>
      <c r="G37">
        <f t="shared" si="1"/>
        <v>0</v>
      </c>
      <c r="H37" s="5">
        <f t="shared" si="0"/>
        <v>1407</v>
      </c>
      <c r="I37" s="5"/>
    </row>
    <row r="38" spans="2:9" x14ac:dyDescent="0.25">
      <c r="B38" s="1">
        <v>44749</v>
      </c>
      <c r="C38">
        <v>21</v>
      </c>
      <c r="D38">
        <f>ROUNDDOWN($K$3 * (1+$L$3 * (($C38-24)/2)),0)</f>
        <v>79</v>
      </c>
      <c r="E38">
        <f>ROUNDDOWN($K$4 * (1+$L$4 * (($C38-24)/2)),0)</f>
        <v>107</v>
      </c>
      <c r="F38">
        <f>ROUNDDOWN($K$5 * (1+$L$5 * ((C38-24)/2)),0)</f>
        <v>72</v>
      </c>
      <c r="G38">
        <f t="shared" si="1"/>
        <v>1</v>
      </c>
      <c r="H38" s="5">
        <f t="shared" si="0"/>
        <v>1520</v>
      </c>
      <c r="I38" s="5"/>
    </row>
    <row r="39" spans="2:9" x14ac:dyDescent="0.25">
      <c r="B39" s="1">
        <v>44750</v>
      </c>
      <c r="C39">
        <v>24</v>
      </c>
      <c r="D39">
        <f>ROUNDDOWN($K$3 * (1+$L$3 * (($C39-24)/2)),0)</f>
        <v>90</v>
      </c>
      <c r="E39">
        <f>ROUNDDOWN($K$4 * (1+$L$4 * (($C39-24)/2)),0)</f>
        <v>120</v>
      </c>
      <c r="F39">
        <f>ROUNDDOWN($K$5 * (1+$L$5 * ((C39-24)/2)),0)</f>
        <v>80</v>
      </c>
      <c r="G39">
        <f t="shared" si="1"/>
        <v>2</v>
      </c>
      <c r="H39" s="5">
        <f t="shared" si="0"/>
        <v>1710</v>
      </c>
      <c r="I39" s="5"/>
    </row>
    <row r="40" spans="2:9" x14ac:dyDescent="0.25">
      <c r="B40" s="1">
        <v>44751</v>
      </c>
      <c r="C40">
        <v>19</v>
      </c>
      <c r="D40">
        <f>ROUNDDOWN($K$3 * (1+$L$3 * (($C40-24)/2)),0)</f>
        <v>72</v>
      </c>
      <c r="E40">
        <f>ROUNDDOWN($K$4 * (1+$L$4 * (($C40-24)/2)),0)</f>
        <v>99</v>
      </c>
      <c r="F40">
        <f>ROUNDDOWN($K$5 * (1+$L$5 * ((C40-24)/2)),0)</f>
        <v>68</v>
      </c>
      <c r="G40">
        <f t="shared" si="1"/>
        <v>0</v>
      </c>
      <c r="H40" s="5">
        <f t="shared" si="0"/>
        <v>1407</v>
      </c>
      <c r="I40" s="5"/>
    </row>
    <row r="41" spans="2:9" x14ac:dyDescent="0.25">
      <c r="B41" s="1">
        <v>44752</v>
      </c>
      <c r="C41">
        <v>28</v>
      </c>
      <c r="D41">
        <f>ROUNDDOWN($K$3 * (1+$L$3 * (($C41-24)/2)),0)</f>
        <v>103</v>
      </c>
      <c r="E41">
        <f>ROUNDDOWN($K$4 * (1+$L$4 * (($C41-24)/2)),0)</f>
        <v>136</v>
      </c>
      <c r="F41">
        <f>ROUNDDOWN($K$5 * (1+$L$5 * ((C41-24)/2)),0)</f>
        <v>89</v>
      </c>
      <c r="G41">
        <f t="shared" si="1"/>
        <v>1</v>
      </c>
      <c r="H41" s="5">
        <f t="shared" si="0"/>
        <v>1935</v>
      </c>
      <c r="I41" s="5"/>
    </row>
    <row r="42" spans="2:9" x14ac:dyDescent="0.25">
      <c r="B42" s="1">
        <v>44753</v>
      </c>
      <c r="C42">
        <v>27</v>
      </c>
      <c r="D42">
        <f>ROUNDDOWN($K$3 * (1+$L$3 * (($C42-24)/2)),0)</f>
        <v>100</v>
      </c>
      <c r="E42">
        <f>ROUNDDOWN($K$4 * (1+$L$4 * (($C42-24)/2)),0)</f>
        <v>132</v>
      </c>
      <c r="F42">
        <f>ROUNDDOWN($K$5 * (1+$L$5 * ((C42-24)/2)),0)</f>
        <v>87</v>
      </c>
      <c r="G42">
        <f t="shared" si="1"/>
        <v>2</v>
      </c>
      <c r="H42" s="5">
        <f t="shared" si="0"/>
        <v>1882</v>
      </c>
      <c r="I42" s="5"/>
    </row>
    <row r="43" spans="2:9" x14ac:dyDescent="0.25">
      <c r="B43" s="1">
        <v>44754</v>
      </c>
      <c r="C43">
        <v>24</v>
      </c>
      <c r="D43">
        <f>ROUNDDOWN($K$3 * (1+$L$3 * (($C43-24)/2)),0)</f>
        <v>90</v>
      </c>
      <c r="E43">
        <f>ROUNDDOWN($K$4 * (1+$L$4 * (($C43-24)/2)),0)</f>
        <v>120</v>
      </c>
      <c r="F43">
        <f>ROUNDDOWN($K$5 * (1+$L$5 * ((C43-24)/2)),0)</f>
        <v>80</v>
      </c>
      <c r="G43">
        <f t="shared" si="1"/>
        <v>3</v>
      </c>
      <c r="H43" s="5">
        <f t="shared" si="0"/>
        <v>1710</v>
      </c>
      <c r="I43" s="5"/>
    </row>
    <row r="44" spans="2:9" x14ac:dyDescent="0.25">
      <c r="B44" s="1">
        <v>44755</v>
      </c>
      <c r="C44">
        <v>22</v>
      </c>
      <c r="D44">
        <f>ROUNDDOWN($K$3 * (1+$L$3 * (($C44-24)/2)),0)</f>
        <v>83</v>
      </c>
      <c r="E44">
        <f>ROUNDDOWN($K$4 * (1+$L$4 * (($C44-24)/2)),0)</f>
        <v>111</v>
      </c>
      <c r="F44">
        <f>ROUNDDOWN($K$5 * (1+$L$5 * ((C44-24)/2)),0)</f>
        <v>75</v>
      </c>
      <c r="G44">
        <f t="shared" si="1"/>
        <v>4</v>
      </c>
      <c r="H44" s="5">
        <f t="shared" si="0"/>
        <v>1586</v>
      </c>
      <c r="I44" s="5"/>
    </row>
    <row r="45" spans="2:9" x14ac:dyDescent="0.25">
      <c r="B45" s="1">
        <v>44756</v>
      </c>
      <c r="C45">
        <v>17</v>
      </c>
      <c r="D45">
        <f>ROUNDDOWN($K$3 * (1+$L$3 * (($C45-24)/2)),0)</f>
        <v>65</v>
      </c>
      <c r="E45">
        <f>ROUNDDOWN($K$4 * (1+$L$4 * (($C45-24)/2)),0)</f>
        <v>91</v>
      </c>
      <c r="F45">
        <f>ROUNDDOWN($K$5 * (1+$L$5 * ((C45-24)/2)),0)</f>
        <v>63</v>
      </c>
      <c r="G45">
        <f t="shared" si="1"/>
        <v>0</v>
      </c>
      <c r="H45" s="5">
        <f t="shared" si="0"/>
        <v>1288</v>
      </c>
      <c r="I45" s="5"/>
    </row>
    <row r="46" spans="2:9" x14ac:dyDescent="0.25">
      <c r="B46" s="1">
        <v>44757</v>
      </c>
      <c r="C46">
        <v>18</v>
      </c>
      <c r="D46">
        <f>ROUNDDOWN($K$3 * (1+$L$3 * (($C46-24)/2)),0)</f>
        <v>69</v>
      </c>
      <c r="E46">
        <f>ROUNDDOWN($K$4 * (1+$L$4 * (($C46-24)/2)),0)</f>
        <v>95</v>
      </c>
      <c r="F46">
        <f>ROUNDDOWN($K$5 * (1+$L$5 * ((C46-24)/2)),0)</f>
        <v>65</v>
      </c>
      <c r="G46">
        <f t="shared" si="1"/>
        <v>0</v>
      </c>
      <c r="H46" s="5">
        <f t="shared" si="0"/>
        <v>1348</v>
      </c>
      <c r="I46" s="5"/>
    </row>
    <row r="47" spans="2:9" x14ac:dyDescent="0.25">
      <c r="B47" s="1">
        <v>44758</v>
      </c>
      <c r="C47">
        <v>23</v>
      </c>
      <c r="D47">
        <f>ROUNDDOWN($K$3 * (1+$L$3 * (($C47-24)/2)),0)</f>
        <v>86</v>
      </c>
      <c r="E47">
        <f>ROUNDDOWN($K$4 * (1+$L$4 * (($C47-24)/2)),0)</f>
        <v>115</v>
      </c>
      <c r="F47">
        <f>ROUNDDOWN($K$5 * (1+$L$5 * ((C47-24)/2)),0)</f>
        <v>77</v>
      </c>
      <c r="G47">
        <f t="shared" si="1"/>
        <v>1</v>
      </c>
      <c r="H47" s="5">
        <f t="shared" si="0"/>
        <v>1639</v>
      </c>
      <c r="I47" s="5"/>
    </row>
    <row r="48" spans="2:9" x14ac:dyDescent="0.25">
      <c r="B48" s="1">
        <v>44759</v>
      </c>
      <c r="C48">
        <v>23</v>
      </c>
      <c r="D48">
        <f>ROUNDDOWN($K$3 * (1+$L$3 * (($C48-24)/2)),0)</f>
        <v>86</v>
      </c>
      <c r="E48">
        <f>ROUNDDOWN($K$4 * (1+$L$4 * (($C48-24)/2)),0)</f>
        <v>115</v>
      </c>
      <c r="F48">
        <f>ROUNDDOWN($K$5 * (1+$L$5 * ((C48-24)/2)),0)</f>
        <v>77</v>
      </c>
      <c r="G48">
        <f t="shared" si="1"/>
        <v>2</v>
      </c>
      <c r="H48" s="5">
        <f t="shared" si="0"/>
        <v>1639</v>
      </c>
      <c r="I48" s="5"/>
    </row>
    <row r="49" spans="2:9" x14ac:dyDescent="0.25">
      <c r="B49" s="1">
        <v>44760</v>
      </c>
      <c r="C49">
        <v>19</v>
      </c>
      <c r="D49">
        <f>ROUNDDOWN($K$3 * (1+$L$3 * (($C49-24)/2)),0)</f>
        <v>72</v>
      </c>
      <c r="E49">
        <f>ROUNDDOWN($K$4 * (1+$L$4 * (($C49-24)/2)),0)</f>
        <v>99</v>
      </c>
      <c r="F49">
        <f>ROUNDDOWN($K$5 * (1+$L$5 * ((C49-24)/2)),0)</f>
        <v>68</v>
      </c>
      <c r="G49">
        <f t="shared" si="1"/>
        <v>0</v>
      </c>
      <c r="H49" s="5">
        <f t="shared" si="0"/>
        <v>1407</v>
      </c>
      <c r="I49" s="5"/>
    </row>
    <row r="50" spans="2:9" x14ac:dyDescent="0.25">
      <c r="B50" s="1">
        <v>44761</v>
      </c>
      <c r="C50">
        <v>21</v>
      </c>
      <c r="D50">
        <f>ROUNDDOWN($K$3 * (1+$L$3 * (($C50-24)/2)),0)</f>
        <v>79</v>
      </c>
      <c r="E50">
        <f>ROUNDDOWN($K$4 * (1+$L$4 * (($C50-24)/2)),0)</f>
        <v>107</v>
      </c>
      <c r="F50">
        <f>ROUNDDOWN($K$5 * (1+$L$5 * ((C50-24)/2)),0)</f>
        <v>72</v>
      </c>
      <c r="G50">
        <f t="shared" si="1"/>
        <v>1</v>
      </c>
      <c r="H50" s="5">
        <f t="shared" si="0"/>
        <v>1520</v>
      </c>
      <c r="I50" s="5"/>
    </row>
    <row r="51" spans="2:9" x14ac:dyDescent="0.25">
      <c r="B51" s="1">
        <v>44762</v>
      </c>
      <c r="C51">
        <v>25</v>
      </c>
      <c r="D51">
        <f>ROUNDDOWN($K$3 * (1+$L$3 * (($C51-24)/2)),0)</f>
        <v>93</v>
      </c>
      <c r="E51">
        <f>ROUNDDOWN($K$4 * (1+$L$4 * (($C51-24)/2)),0)</f>
        <v>124</v>
      </c>
      <c r="F51">
        <f>ROUNDDOWN($K$5 * (1+$L$5 * ((C51-24)/2)),0)</f>
        <v>82</v>
      </c>
      <c r="G51">
        <f t="shared" si="1"/>
        <v>2</v>
      </c>
      <c r="H51" s="5">
        <f t="shared" si="0"/>
        <v>1763</v>
      </c>
      <c r="I51" s="5"/>
    </row>
    <row r="52" spans="2:9" x14ac:dyDescent="0.25">
      <c r="B52" s="1">
        <v>44763</v>
      </c>
      <c r="C52">
        <v>28</v>
      </c>
      <c r="D52">
        <f>ROUNDDOWN($K$3 * (1+$L$3 * (($C52-24)/2)),0)</f>
        <v>103</v>
      </c>
      <c r="E52">
        <f>ROUNDDOWN($K$4 * (1+$L$4 * (($C52-24)/2)),0)</f>
        <v>136</v>
      </c>
      <c r="F52">
        <f>ROUNDDOWN($K$5 * (1+$L$5 * ((C52-24)/2)),0)</f>
        <v>89</v>
      </c>
      <c r="G52">
        <f t="shared" si="1"/>
        <v>3</v>
      </c>
      <c r="H52" s="5">
        <f t="shared" si="0"/>
        <v>1935</v>
      </c>
      <c r="I52" s="5"/>
    </row>
    <row r="53" spans="2:9" x14ac:dyDescent="0.25">
      <c r="B53" s="1">
        <v>44764</v>
      </c>
      <c r="C53">
        <v>27</v>
      </c>
      <c r="D53">
        <f>ROUNDDOWN($K$3 * (1+$L$3 * (($C53-24)/2)),0)</f>
        <v>100</v>
      </c>
      <c r="E53">
        <f>ROUNDDOWN($K$4 * (1+$L$4 * (($C53-24)/2)),0)</f>
        <v>132</v>
      </c>
      <c r="F53">
        <f>ROUNDDOWN($K$5 * (1+$L$5 * ((C53-24)/2)),0)</f>
        <v>87</v>
      </c>
      <c r="G53">
        <f t="shared" si="1"/>
        <v>4</v>
      </c>
      <c r="H53" s="5">
        <f t="shared" si="0"/>
        <v>1882</v>
      </c>
      <c r="I53" s="5"/>
    </row>
    <row r="54" spans="2:9" x14ac:dyDescent="0.25">
      <c r="B54" s="1">
        <v>44765</v>
      </c>
      <c r="C54">
        <v>23</v>
      </c>
      <c r="D54">
        <f>ROUNDDOWN($K$3 * (1+$L$3 * (($C54-24)/2)),0)</f>
        <v>86</v>
      </c>
      <c r="E54">
        <f>ROUNDDOWN($K$4 * (1+$L$4 * (($C54-24)/2)),0)</f>
        <v>115</v>
      </c>
      <c r="F54">
        <f>ROUNDDOWN($K$5 * (1+$L$5 * ((C54-24)/2)),0)</f>
        <v>77</v>
      </c>
      <c r="G54">
        <f t="shared" si="1"/>
        <v>5</v>
      </c>
      <c r="H54" s="5">
        <f t="shared" si="0"/>
        <v>1639</v>
      </c>
      <c r="I54" s="5"/>
    </row>
    <row r="55" spans="2:9" x14ac:dyDescent="0.25">
      <c r="B55" s="1">
        <v>44766</v>
      </c>
      <c r="C55">
        <v>26</v>
      </c>
      <c r="D55">
        <f>ROUNDDOWN($K$3 * (1+$L$3 * (($C55-24)/2)),0)</f>
        <v>96</v>
      </c>
      <c r="E55">
        <f>ROUNDDOWN($K$4 * (1+$L$4 * (($C55-24)/2)),0)</f>
        <v>128</v>
      </c>
      <c r="F55">
        <f>ROUNDDOWN($K$5 * (1+$L$5 * ((C55-24)/2)),0)</f>
        <v>84</v>
      </c>
      <c r="G55">
        <f t="shared" si="1"/>
        <v>6</v>
      </c>
      <c r="H55" s="5">
        <f t="shared" si="0"/>
        <v>1816</v>
      </c>
      <c r="I55" s="5"/>
    </row>
    <row r="56" spans="2:9" x14ac:dyDescent="0.25">
      <c r="B56" s="1">
        <v>44767</v>
      </c>
      <c r="C56">
        <v>29</v>
      </c>
      <c r="D56">
        <f>ROUNDDOWN($K$3 * (1+$L$3 * (($C56-24)/2)),0)</f>
        <v>107</v>
      </c>
      <c r="E56">
        <f>ROUNDDOWN($K$4 * (1+$L$4 * (($C56-24)/2)),0)</f>
        <v>140</v>
      </c>
      <c r="F56">
        <f>ROUNDDOWN($K$5 * (1+$L$5 * ((C56-24)/2)),0)</f>
        <v>91</v>
      </c>
      <c r="G56">
        <f t="shared" si="1"/>
        <v>7</v>
      </c>
      <c r="H56" s="5">
        <f t="shared" si="0"/>
        <v>1995</v>
      </c>
      <c r="I56" s="5"/>
    </row>
    <row r="57" spans="2:9" x14ac:dyDescent="0.25">
      <c r="B57" s="1">
        <v>44768</v>
      </c>
      <c r="C57">
        <v>26</v>
      </c>
      <c r="D57">
        <f>ROUNDDOWN($K$3 * (1+$L$3 * (($C57-24)/2)),0)</f>
        <v>96</v>
      </c>
      <c r="E57">
        <f>ROUNDDOWN($K$4 * (1+$L$4 * (($C57-24)/2)),0)</f>
        <v>128</v>
      </c>
      <c r="F57">
        <f>ROUNDDOWN($K$5 * (1+$L$5 * ((C57-24)/2)),0)</f>
        <v>84</v>
      </c>
      <c r="G57">
        <f t="shared" si="1"/>
        <v>8</v>
      </c>
      <c r="H57" s="5">
        <f t="shared" si="0"/>
        <v>1816</v>
      </c>
      <c r="I57" s="5"/>
    </row>
    <row r="58" spans="2:9" x14ac:dyDescent="0.25">
      <c r="B58" s="1">
        <v>44769</v>
      </c>
      <c r="C58">
        <v>27</v>
      </c>
      <c r="D58">
        <f>ROUNDDOWN($K$3 * (1+$L$3 * (($C58-24)/2)),0)</f>
        <v>100</v>
      </c>
      <c r="E58">
        <f>ROUNDDOWN($K$4 * (1+$L$4 * (($C58-24)/2)),0)</f>
        <v>132</v>
      </c>
      <c r="F58">
        <f>ROUNDDOWN($K$5 * (1+$L$5 * ((C58-24)/2)),0)</f>
        <v>87</v>
      </c>
      <c r="G58">
        <f t="shared" si="1"/>
        <v>9</v>
      </c>
      <c r="H58" s="5">
        <f t="shared" si="0"/>
        <v>1882</v>
      </c>
      <c r="I58" s="5"/>
    </row>
    <row r="59" spans="2:9" x14ac:dyDescent="0.25">
      <c r="B59" s="1">
        <v>44770</v>
      </c>
      <c r="C59">
        <v>24</v>
      </c>
      <c r="D59">
        <f>ROUNDDOWN($K$3 * (1+$L$3 * (($C59-24)/2)),0)</f>
        <v>90</v>
      </c>
      <c r="E59">
        <f>ROUNDDOWN($K$4 * (1+$L$4 * (($C59-24)/2)),0)</f>
        <v>120</v>
      </c>
      <c r="F59">
        <f>ROUNDDOWN($K$5 * (1+$L$5 * ((C59-24)/2)),0)</f>
        <v>80</v>
      </c>
      <c r="G59">
        <f t="shared" si="1"/>
        <v>10</v>
      </c>
      <c r="H59" s="5">
        <f t="shared" si="0"/>
        <v>1710</v>
      </c>
      <c r="I59" s="5"/>
    </row>
    <row r="60" spans="2:9" x14ac:dyDescent="0.25">
      <c r="B60" s="1">
        <v>44771</v>
      </c>
      <c r="C60">
        <v>26</v>
      </c>
      <c r="D60">
        <f>ROUNDDOWN($K$3 * (1+$L$3 * (($C60-24)/2)),0)</f>
        <v>96</v>
      </c>
      <c r="E60">
        <f>ROUNDDOWN($K$4 * (1+$L$4 * (($C60-24)/2)),0)</f>
        <v>128</v>
      </c>
      <c r="F60">
        <f>ROUNDDOWN($K$5 * (1+$L$5 * ((C60-24)/2)),0)</f>
        <v>84</v>
      </c>
      <c r="G60">
        <f t="shared" si="1"/>
        <v>11</v>
      </c>
      <c r="H60" s="5">
        <f t="shared" si="0"/>
        <v>1816</v>
      </c>
      <c r="I60" s="5"/>
    </row>
    <row r="61" spans="2:9" x14ac:dyDescent="0.25">
      <c r="B61" s="1">
        <v>44772</v>
      </c>
      <c r="C61">
        <v>25</v>
      </c>
      <c r="D61">
        <f>ROUNDDOWN($K$3 * (1+$L$3 * (($C61-24)/2)),0)</f>
        <v>93</v>
      </c>
      <c r="E61">
        <f>ROUNDDOWN($K$4 * (1+$L$4 * (($C61-24)/2)),0)</f>
        <v>124</v>
      </c>
      <c r="F61">
        <f>ROUNDDOWN($K$5 * (1+$L$5 * ((C61-24)/2)),0)</f>
        <v>82</v>
      </c>
      <c r="G61">
        <f t="shared" si="1"/>
        <v>12</v>
      </c>
      <c r="H61" s="5">
        <f t="shared" si="0"/>
        <v>1763</v>
      </c>
      <c r="I61" s="5"/>
    </row>
    <row r="62" spans="2:9" x14ac:dyDescent="0.25">
      <c r="B62" s="1">
        <v>44773</v>
      </c>
      <c r="C62">
        <v>24</v>
      </c>
      <c r="D62">
        <f>ROUNDDOWN($K$3 * (1+$L$3 * (($C62-24)/2)),0)</f>
        <v>90</v>
      </c>
      <c r="E62">
        <f>ROUNDDOWN($K$4 * (1+$L$4 * (($C62-24)/2)),0)</f>
        <v>120</v>
      </c>
      <c r="F62">
        <f>ROUNDDOWN($K$5 * (1+$L$5 * ((C62-24)/2)),0)</f>
        <v>80</v>
      </c>
      <c r="G62">
        <f t="shared" si="1"/>
        <v>13</v>
      </c>
      <c r="H62" s="5">
        <f t="shared" si="0"/>
        <v>1710</v>
      </c>
      <c r="I62" s="5"/>
    </row>
    <row r="63" spans="2:9" x14ac:dyDescent="0.25">
      <c r="B63" s="1">
        <v>44774</v>
      </c>
      <c r="C63">
        <v>22</v>
      </c>
      <c r="D63">
        <f>ROUNDDOWN($K$3 * (1+$L$3 * (($C63-24)/2)),0)</f>
        <v>83</v>
      </c>
      <c r="E63">
        <f>ROUNDDOWN($K$4 * (1+$L$4 * (($C63-24)/2)),0)</f>
        <v>111</v>
      </c>
      <c r="F63">
        <f>ROUNDDOWN($K$5 * (1+$L$5 * ((C63-24)/2)),0)</f>
        <v>75</v>
      </c>
      <c r="G63">
        <f t="shared" si="1"/>
        <v>14</v>
      </c>
      <c r="H63" s="5">
        <f t="shared" si="0"/>
        <v>1586</v>
      </c>
      <c r="I63" s="5"/>
    </row>
    <row r="64" spans="2:9" x14ac:dyDescent="0.25">
      <c r="B64" s="1">
        <v>44775</v>
      </c>
      <c r="C64">
        <v>19</v>
      </c>
      <c r="D64">
        <f>ROUNDDOWN($K$3 * (1+$L$3 * (($C64-24)/2)),0)</f>
        <v>72</v>
      </c>
      <c r="E64">
        <f>ROUNDDOWN($K$4 * (1+$L$4 * (($C64-24)/2)),0)</f>
        <v>99</v>
      </c>
      <c r="F64">
        <f>ROUNDDOWN($K$5 * (1+$L$5 * ((C64-24)/2)),0)</f>
        <v>68</v>
      </c>
      <c r="G64">
        <f t="shared" si="1"/>
        <v>0</v>
      </c>
      <c r="H64" s="5">
        <f t="shared" si="0"/>
        <v>1407</v>
      </c>
      <c r="I64" s="5"/>
    </row>
    <row r="65" spans="2:9" x14ac:dyDescent="0.25">
      <c r="B65" s="1">
        <v>44776</v>
      </c>
      <c r="C65">
        <v>21</v>
      </c>
      <c r="D65">
        <f>ROUNDDOWN($K$3 * (1+$L$3 * (($C65-24)/2)),0)</f>
        <v>79</v>
      </c>
      <c r="E65">
        <f>ROUNDDOWN($K$4 * (1+$L$4 * (($C65-24)/2)),0)</f>
        <v>107</v>
      </c>
      <c r="F65">
        <f>ROUNDDOWN($K$5 * (1+$L$5 * ((C65-24)/2)),0)</f>
        <v>72</v>
      </c>
      <c r="G65">
        <f t="shared" si="1"/>
        <v>1</v>
      </c>
      <c r="H65" s="5">
        <f t="shared" si="0"/>
        <v>1520</v>
      </c>
      <c r="I65" s="5"/>
    </row>
    <row r="66" spans="2:9" x14ac:dyDescent="0.25">
      <c r="B66" s="1">
        <v>44777</v>
      </c>
      <c r="C66">
        <v>26</v>
      </c>
      <c r="D66">
        <f>ROUNDDOWN($K$3 * (1+$L$3 * (($C66-24)/2)),0)</f>
        <v>96</v>
      </c>
      <c r="E66">
        <f>ROUNDDOWN($K$4 * (1+$L$4 * (($C66-24)/2)),0)</f>
        <v>128</v>
      </c>
      <c r="F66">
        <f>ROUNDDOWN($K$5 * (1+$L$5 * ((C66-24)/2)),0)</f>
        <v>84</v>
      </c>
      <c r="G66">
        <f t="shared" si="1"/>
        <v>2</v>
      </c>
      <c r="H66" s="5">
        <f t="shared" si="0"/>
        <v>1816</v>
      </c>
      <c r="I66" s="5"/>
    </row>
    <row r="67" spans="2:9" x14ac:dyDescent="0.25">
      <c r="B67" s="1">
        <v>44778</v>
      </c>
      <c r="C67">
        <v>19</v>
      </c>
      <c r="D67">
        <f>ROUNDDOWN($K$3 * (1+$L$3 * (($C67-24)/2)),0)</f>
        <v>72</v>
      </c>
      <c r="E67">
        <f>ROUNDDOWN($K$4 * (1+$L$4 * (($C67-24)/2)),0)</f>
        <v>99</v>
      </c>
      <c r="F67">
        <f>ROUNDDOWN($K$5 * (1+$L$5 * ((C67-24)/2)),0)</f>
        <v>68</v>
      </c>
      <c r="G67">
        <f t="shared" si="1"/>
        <v>0</v>
      </c>
      <c r="H67" s="5">
        <f t="shared" ref="H67:H93" si="2">(D67*$M$3)+(E67*$M$4)+(F67*$M$5)</f>
        <v>1407</v>
      </c>
      <c r="I67" s="5"/>
    </row>
    <row r="68" spans="2:9" x14ac:dyDescent="0.25">
      <c r="B68" s="1">
        <v>44779</v>
      </c>
      <c r="C68">
        <v>21</v>
      </c>
      <c r="D68">
        <f>ROUNDDOWN($K$3 * (1+$L$3 * (($C68-24)/2)),0)</f>
        <v>79</v>
      </c>
      <c r="E68">
        <f>ROUNDDOWN($K$4 * (1+$L$4 * (($C68-24)/2)),0)</f>
        <v>107</v>
      </c>
      <c r="F68">
        <f>ROUNDDOWN($K$5 * (1+$L$5 * ((C68-24)/2)),0)</f>
        <v>72</v>
      </c>
      <c r="G68">
        <f t="shared" ref="G68:G93" si="3">IF(C68&gt;20,G67+1,0)</f>
        <v>1</v>
      </c>
      <c r="H68" s="5">
        <f t="shared" si="2"/>
        <v>1520</v>
      </c>
      <c r="I68" s="5"/>
    </row>
    <row r="69" spans="2:9" x14ac:dyDescent="0.25">
      <c r="B69" s="1">
        <v>44780</v>
      </c>
      <c r="C69">
        <v>23</v>
      </c>
      <c r="D69">
        <f>ROUNDDOWN($K$3 * (1+$L$3 * (($C69-24)/2)),0)</f>
        <v>86</v>
      </c>
      <c r="E69">
        <f>ROUNDDOWN($K$4 * (1+$L$4 * (($C69-24)/2)),0)</f>
        <v>115</v>
      </c>
      <c r="F69">
        <f>ROUNDDOWN($K$5 * (1+$L$5 * ((C69-24)/2)),0)</f>
        <v>77</v>
      </c>
      <c r="G69">
        <f t="shared" si="3"/>
        <v>2</v>
      </c>
      <c r="H69" s="5">
        <f t="shared" si="2"/>
        <v>1639</v>
      </c>
      <c r="I69" s="5"/>
    </row>
    <row r="70" spans="2:9" x14ac:dyDescent="0.25">
      <c r="B70" s="1">
        <v>44781</v>
      </c>
      <c r="C70">
        <v>27</v>
      </c>
      <c r="D70">
        <f>ROUNDDOWN($K$3 * (1+$L$3 * (($C70-24)/2)),0)</f>
        <v>100</v>
      </c>
      <c r="E70">
        <f>ROUNDDOWN($K$4 * (1+$L$4 * (($C70-24)/2)),0)</f>
        <v>132</v>
      </c>
      <c r="F70">
        <f>ROUNDDOWN($K$5 * (1+$L$5 * ((C70-24)/2)),0)</f>
        <v>87</v>
      </c>
      <c r="G70">
        <f t="shared" si="3"/>
        <v>3</v>
      </c>
      <c r="H70" s="5">
        <f t="shared" si="2"/>
        <v>1882</v>
      </c>
      <c r="I70" s="5"/>
    </row>
    <row r="71" spans="2:9" x14ac:dyDescent="0.25">
      <c r="B71" s="1">
        <v>44782</v>
      </c>
      <c r="C71">
        <v>20</v>
      </c>
      <c r="D71">
        <f>ROUNDDOWN($K$3 * (1+$L$3 * (($C71-24)/2)),0)</f>
        <v>76</v>
      </c>
      <c r="E71">
        <f>ROUNDDOWN($K$4 * (1+$L$4 * (($C71-24)/2)),0)</f>
        <v>103</v>
      </c>
      <c r="F71">
        <f>ROUNDDOWN($K$5 * (1+$L$5 * ((C71-24)/2)),0)</f>
        <v>70</v>
      </c>
      <c r="G71">
        <f t="shared" si="3"/>
        <v>0</v>
      </c>
      <c r="H71" s="5">
        <f t="shared" si="2"/>
        <v>1467</v>
      </c>
      <c r="I71" s="5"/>
    </row>
    <row r="72" spans="2:9" x14ac:dyDescent="0.25">
      <c r="B72" s="1">
        <v>44783</v>
      </c>
      <c r="C72">
        <v>18</v>
      </c>
      <c r="D72">
        <f>ROUNDDOWN($K$3 * (1+$L$3 * (($C72-24)/2)),0)</f>
        <v>69</v>
      </c>
      <c r="E72">
        <f>ROUNDDOWN($K$4 * (1+$L$4 * (($C72-24)/2)),0)</f>
        <v>95</v>
      </c>
      <c r="F72">
        <f>ROUNDDOWN($K$5 * (1+$L$5 * ((C72-24)/2)),0)</f>
        <v>65</v>
      </c>
      <c r="G72">
        <f t="shared" si="3"/>
        <v>0</v>
      </c>
      <c r="H72" s="5">
        <f t="shared" si="2"/>
        <v>1348</v>
      </c>
      <c r="I72" s="5"/>
    </row>
    <row r="73" spans="2:9" x14ac:dyDescent="0.25">
      <c r="B73" s="1">
        <v>44784</v>
      </c>
      <c r="C73">
        <v>17</v>
      </c>
      <c r="D73">
        <f>ROUNDDOWN($K$3 * (1+$L$3 * (($C73-24)/2)),0)</f>
        <v>65</v>
      </c>
      <c r="E73">
        <f>ROUNDDOWN($K$4 * (1+$L$4 * (($C73-24)/2)),0)</f>
        <v>91</v>
      </c>
      <c r="F73">
        <f>ROUNDDOWN($K$5 * (1+$L$5 * ((C73-24)/2)),0)</f>
        <v>63</v>
      </c>
      <c r="G73">
        <f t="shared" si="3"/>
        <v>0</v>
      </c>
      <c r="H73" s="5">
        <f t="shared" si="2"/>
        <v>1288</v>
      </c>
      <c r="I73" s="5"/>
    </row>
    <row r="74" spans="2:9" x14ac:dyDescent="0.25">
      <c r="B74" s="1">
        <v>44785</v>
      </c>
      <c r="C74">
        <v>19</v>
      </c>
      <c r="D74">
        <f>ROUNDDOWN($K$3 * (1+$L$3 * (($C74-24)/2)),0)</f>
        <v>72</v>
      </c>
      <c r="E74">
        <f>ROUNDDOWN($K$4 * (1+$L$4 * (($C74-24)/2)),0)</f>
        <v>99</v>
      </c>
      <c r="F74">
        <f>ROUNDDOWN($K$5 * (1+$L$5 * ((C74-24)/2)),0)</f>
        <v>68</v>
      </c>
      <c r="G74">
        <f t="shared" si="3"/>
        <v>0</v>
      </c>
      <c r="H74" s="5">
        <f t="shared" si="2"/>
        <v>1407</v>
      </c>
      <c r="I74" s="5"/>
    </row>
    <row r="75" spans="2:9" x14ac:dyDescent="0.25">
      <c r="B75" s="1">
        <v>44786</v>
      </c>
      <c r="C75">
        <v>26</v>
      </c>
      <c r="D75">
        <f>ROUNDDOWN($K$3 * (1+$L$3 * (($C75-24)/2)),0)</f>
        <v>96</v>
      </c>
      <c r="E75">
        <f>ROUNDDOWN($K$4 * (1+$L$4 * (($C75-24)/2)),0)</f>
        <v>128</v>
      </c>
      <c r="F75">
        <f>ROUNDDOWN($K$5 * (1+$L$5 * ((C75-24)/2)),0)</f>
        <v>84</v>
      </c>
      <c r="G75">
        <f t="shared" si="3"/>
        <v>1</v>
      </c>
      <c r="H75" s="5">
        <f t="shared" si="2"/>
        <v>1816</v>
      </c>
      <c r="I75" s="5"/>
    </row>
    <row r="76" spans="2:9" x14ac:dyDescent="0.25">
      <c r="B76" s="1">
        <v>44787</v>
      </c>
      <c r="C76">
        <v>21</v>
      </c>
      <c r="D76">
        <f>ROUNDDOWN($K$3 * (1+$L$3 * (($C76-24)/2)),0)</f>
        <v>79</v>
      </c>
      <c r="E76">
        <f>ROUNDDOWN($K$4 * (1+$L$4 * (($C76-24)/2)),0)</f>
        <v>107</v>
      </c>
      <c r="F76">
        <f>ROUNDDOWN($K$5 * (1+$L$5 * ((C76-24)/2)),0)</f>
        <v>72</v>
      </c>
      <c r="G76">
        <f t="shared" si="3"/>
        <v>2</v>
      </c>
      <c r="H76" s="5">
        <f t="shared" si="2"/>
        <v>1520</v>
      </c>
      <c r="I76" s="5"/>
    </row>
    <row r="77" spans="2:9" x14ac:dyDescent="0.25">
      <c r="B77" s="1">
        <v>44788</v>
      </c>
      <c r="C77">
        <v>19</v>
      </c>
      <c r="D77">
        <f>ROUNDDOWN($K$3 * (1+$L$3 * (($C77-24)/2)),0)</f>
        <v>72</v>
      </c>
      <c r="E77">
        <f>ROUNDDOWN($K$4 * (1+$L$4 * (($C77-24)/2)),0)</f>
        <v>99</v>
      </c>
      <c r="F77">
        <f>ROUNDDOWN($K$5 * (1+$L$5 * ((C77-24)/2)),0)</f>
        <v>68</v>
      </c>
      <c r="G77">
        <f t="shared" si="3"/>
        <v>0</v>
      </c>
      <c r="H77" s="5">
        <f t="shared" si="2"/>
        <v>1407</v>
      </c>
      <c r="I77" s="5"/>
    </row>
    <row r="78" spans="2:9" x14ac:dyDescent="0.25">
      <c r="B78" s="1">
        <v>44789</v>
      </c>
      <c r="C78">
        <v>19</v>
      </c>
      <c r="D78">
        <f>ROUNDDOWN($K$3 * (1+$L$3 * (($C78-24)/2)),0)</f>
        <v>72</v>
      </c>
      <c r="E78">
        <f>ROUNDDOWN($K$4 * (1+$L$4 * (($C78-24)/2)),0)</f>
        <v>99</v>
      </c>
      <c r="F78">
        <f>ROUNDDOWN($K$5 * (1+$L$5 * ((C78-24)/2)),0)</f>
        <v>68</v>
      </c>
      <c r="G78">
        <f t="shared" si="3"/>
        <v>0</v>
      </c>
      <c r="H78" s="5">
        <f t="shared" si="2"/>
        <v>1407</v>
      </c>
      <c r="I78" s="5"/>
    </row>
    <row r="79" spans="2:9" x14ac:dyDescent="0.25">
      <c r="B79" s="1">
        <v>44790</v>
      </c>
      <c r="C79">
        <v>21</v>
      </c>
      <c r="D79">
        <f>ROUNDDOWN($K$3 * (1+$L$3 * (($C79-24)/2)),0)</f>
        <v>79</v>
      </c>
      <c r="E79">
        <f>ROUNDDOWN($K$4 * (1+$L$4 * (($C79-24)/2)),0)</f>
        <v>107</v>
      </c>
      <c r="F79">
        <f>ROUNDDOWN($K$5 * (1+$L$5 * ((C79-24)/2)),0)</f>
        <v>72</v>
      </c>
      <c r="G79">
        <f t="shared" si="3"/>
        <v>1</v>
      </c>
      <c r="H79" s="5">
        <f t="shared" si="2"/>
        <v>1520</v>
      </c>
      <c r="I79" s="5"/>
    </row>
    <row r="80" spans="2:9" x14ac:dyDescent="0.25">
      <c r="B80" s="1">
        <v>44791</v>
      </c>
      <c r="C80">
        <v>21</v>
      </c>
      <c r="D80">
        <f>ROUNDDOWN($K$3 * (1+$L$3 * (($C80-24)/2)),0)</f>
        <v>79</v>
      </c>
      <c r="E80">
        <f>ROUNDDOWN($K$4 * (1+$L$4 * (($C80-24)/2)),0)</f>
        <v>107</v>
      </c>
      <c r="F80">
        <f>ROUNDDOWN($K$5 * (1+$L$5 * ((C80-24)/2)),0)</f>
        <v>72</v>
      </c>
      <c r="G80">
        <f t="shared" si="3"/>
        <v>2</v>
      </c>
      <c r="H80" s="5">
        <f t="shared" si="2"/>
        <v>1520</v>
      </c>
      <c r="I80" s="5"/>
    </row>
    <row r="81" spans="2:9" x14ac:dyDescent="0.25">
      <c r="B81" s="1">
        <v>44792</v>
      </c>
      <c r="C81">
        <v>24</v>
      </c>
      <c r="D81">
        <f>ROUNDDOWN($K$3 * (1+$L$3 * (($C81-24)/2)),0)</f>
        <v>90</v>
      </c>
      <c r="E81">
        <f>ROUNDDOWN($K$4 * (1+$L$4 * (($C81-24)/2)),0)</f>
        <v>120</v>
      </c>
      <c r="F81">
        <f>ROUNDDOWN($K$5 * (1+$L$5 * ((C81-24)/2)),0)</f>
        <v>80</v>
      </c>
      <c r="G81">
        <f t="shared" si="3"/>
        <v>3</v>
      </c>
      <c r="H81" s="5">
        <f t="shared" si="2"/>
        <v>1710</v>
      </c>
      <c r="I81" s="5"/>
    </row>
    <row r="82" spans="2:9" x14ac:dyDescent="0.25">
      <c r="B82" s="1">
        <v>44793</v>
      </c>
      <c r="C82">
        <v>26</v>
      </c>
      <c r="D82">
        <f>ROUNDDOWN($K$3 * (1+$L$3 * (($C82-24)/2)),0)</f>
        <v>96</v>
      </c>
      <c r="E82">
        <f>ROUNDDOWN($K$4 * (1+$L$4 * (($C82-24)/2)),0)</f>
        <v>128</v>
      </c>
      <c r="F82">
        <f>ROUNDDOWN($K$5 * (1+$L$5 * ((C82-24)/2)),0)</f>
        <v>84</v>
      </c>
      <c r="G82">
        <f t="shared" si="3"/>
        <v>4</v>
      </c>
      <c r="H82" s="5">
        <f t="shared" si="2"/>
        <v>1816</v>
      </c>
      <c r="I82" s="5"/>
    </row>
    <row r="83" spans="2:9" x14ac:dyDescent="0.25">
      <c r="B83" s="1">
        <v>44794</v>
      </c>
      <c r="C83">
        <v>23</v>
      </c>
      <c r="D83">
        <f>ROUNDDOWN($K$3 * (1+$L$3 * (($C83-24)/2)),0)</f>
        <v>86</v>
      </c>
      <c r="E83">
        <f>ROUNDDOWN($K$4 * (1+$L$4 * (($C83-24)/2)),0)</f>
        <v>115</v>
      </c>
      <c r="F83">
        <f>ROUNDDOWN($K$5 * (1+$L$5 * ((C83-24)/2)),0)</f>
        <v>77</v>
      </c>
      <c r="G83">
        <f t="shared" si="3"/>
        <v>5</v>
      </c>
      <c r="H83" s="5">
        <f t="shared" si="2"/>
        <v>1639</v>
      </c>
      <c r="I83" s="5"/>
    </row>
    <row r="84" spans="2:9" x14ac:dyDescent="0.25">
      <c r="B84" s="1">
        <v>44795</v>
      </c>
      <c r="C84">
        <v>23</v>
      </c>
      <c r="D84">
        <f>ROUNDDOWN($K$3 * (1+$L$3 * (($C84-24)/2)),0)</f>
        <v>86</v>
      </c>
      <c r="E84">
        <f>ROUNDDOWN($K$4 * (1+$L$4 * (($C84-24)/2)),0)</f>
        <v>115</v>
      </c>
      <c r="F84">
        <f>ROUNDDOWN($K$5 * (1+$L$5 * ((C84-24)/2)),0)</f>
        <v>77</v>
      </c>
      <c r="G84">
        <f t="shared" si="3"/>
        <v>6</v>
      </c>
      <c r="H84" s="5">
        <f t="shared" si="2"/>
        <v>1639</v>
      </c>
      <c r="I84" s="5"/>
    </row>
    <row r="85" spans="2:9" x14ac:dyDescent="0.25">
      <c r="B85" s="1">
        <v>44796</v>
      </c>
      <c r="C85">
        <v>24</v>
      </c>
      <c r="D85">
        <f>ROUNDDOWN($K$3 * (1+$L$3 * (($C85-24)/2)),0)</f>
        <v>90</v>
      </c>
      <c r="E85">
        <f>ROUNDDOWN($K$4 * (1+$L$4 * (($C85-24)/2)),0)</f>
        <v>120</v>
      </c>
      <c r="F85">
        <f>ROUNDDOWN($K$5 * (1+$L$5 * ((C85-24)/2)),0)</f>
        <v>80</v>
      </c>
      <c r="G85">
        <f t="shared" si="3"/>
        <v>7</v>
      </c>
      <c r="H85" s="5">
        <f t="shared" si="2"/>
        <v>1710</v>
      </c>
      <c r="I85" s="5"/>
    </row>
    <row r="86" spans="2:9" x14ac:dyDescent="0.25">
      <c r="B86" s="1">
        <v>44797</v>
      </c>
      <c r="C86">
        <v>26</v>
      </c>
      <c r="D86">
        <f>ROUNDDOWN($K$3 * (1+$L$3 * (($C86-24)/2)),0)</f>
        <v>96</v>
      </c>
      <c r="E86">
        <f>ROUNDDOWN($K$4 * (1+$L$4 * (($C86-24)/2)),0)</f>
        <v>128</v>
      </c>
      <c r="F86">
        <f>ROUNDDOWN($K$5 * (1+$L$5 * ((C86-24)/2)),0)</f>
        <v>84</v>
      </c>
      <c r="G86">
        <f t="shared" si="3"/>
        <v>8</v>
      </c>
      <c r="H86" s="5">
        <f t="shared" si="2"/>
        <v>1816</v>
      </c>
      <c r="I86" s="5"/>
    </row>
    <row r="87" spans="2:9" x14ac:dyDescent="0.25">
      <c r="B87" s="1">
        <v>44798</v>
      </c>
      <c r="C87">
        <v>28</v>
      </c>
      <c r="D87">
        <f>ROUNDDOWN($K$3 * (1+$L$3 * (($C87-24)/2)),0)</f>
        <v>103</v>
      </c>
      <c r="E87">
        <f>ROUNDDOWN($K$4 * (1+$L$4 * (($C87-24)/2)),0)</f>
        <v>136</v>
      </c>
      <c r="F87">
        <f>ROUNDDOWN($K$5 * (1+$L$5 * ((C87-24)/2)),0)</f>
        <v>89</v>
      </c>
      <c r="G87">
        <f t="shared" si="3"/>
        <v>9</v>
      </c>
      <c r="H87" s="5">
        <f t="shared" si="2"/>
        <v>1935</v>
      </c>
      <c r="I87" s="5"/>
    </row>
    <row r="88" spans="2:9" x14ac:dyDescent="0.25">
      <c r="B88" s="1">
        <v>44799</v>
      </c>
      <c r="C88">
        <v>32</v>
      </c>
      <c r="D88">
        <f>ROUNDDOWN($K$3 * (1+$L$3 * (($C88-24)/2)),0)</f>
        <v>117</v>
      </c>
      <c r="E88">
        <f>ROUNDDOWN($K$4 * (1+$L$4 * (($C88-24)/2)),0)</f>
        <v>153</v>
      </c>
      <c r="F88">
        <f>ROUNDDOWN($K$5 * (1+$L$5 * ((C88-24)/2)),0)</f>
        <v>98</v>
      </c>
      <c r="G88">
        <f t="shared" si="3"/>
        <v>10</v>
      </c>
      <c r="H88" s="5">
        <f t="shared" si="2"/>
        <v>2172</v>
      </c>
      <c r="I88" s="5"/>
    </row>
    <row r="89" spans="2:9" x14ac:dyDescent="0.25">
      <c r="B89" s="1">
        <v>44800</v>
      </c>
      <c r="C89">
        <v>26</v>
      </c>
      <c r="D89">
        <f>ROUNDDOWN($K$3 * (1+$L$3 * (($C89-24)/2)),0)</f>
        <v>96</v>
      </c>
      <c r="E89">
        <f>ROUNDDOWN($K$4 * (1+$L$4 * (($C89-24)/2)),0)</f>
        <v>128</v>
      </c>
      <c r="F89">
        <f>ROUNDDOWN($K$5 * (1+$L$5 * ((C89-24)/2)),0)</f>
        <v>84</v>
      </c>
      <c r="G89">
        <f t="shared" si="3"/>
        <v>11</v>
      </c>
      <c r="H89" s="5">
        <f t="shared" si="2"/>
        <v>1816</v>
      </c>
      <c r="I89" s="5"/>
    </row>
    <row r="90" spans="2:9" x14ac:dyDescent="0.25">
      <c r="B90" s="1">
        <v>44801</v>
      </c>
      <c r="C90">
        <v>32</v>
      </c>
      <c r="D90">
        <f>ROUNDDOWN($K$3 * (1+$L$3 * (($C90-24)/2)),0)</f>
        <v>117</v>
      </c>
      <c r="E90">
        <f>ROUNDDOWN($K$4 * (1+$L$4 * (($C90-24)/2)),0)</f>
        <v>153</v>
      </c>
      <c r="F90">
        <f>ROUNDDOWN($K$5 * (1+$L$5 * ((C90-24)/2)),0)</f>
        <v>98</v>
      </c>
      <c r="G90">
        <f t="shared" si="3"/>
        <v>12</v>
      </c>
      <c r="H90" s="5">
        <f t="shared" si="2"/>
        <v>2172</v>
      </c>
      <c r="I90" s="5"/>
    </row>
    <row r="91" spans="2:9" x14ac:dyDescent="0.25">
      <c r="B91" s="1">
        <v>44802</v>
      </c>
      <c r="C91">
        <v>23</v>
      </c>
      <c r="D91">
        <f>ROUNDDOWN($K$3 * (1+$L$3 * (($C91-24)/2)),0)</f>
        <v>86</v>
      </c>
      <c r="E91">
        <f>ROUNDDOWN($K$4 * (1+$L$4 * (($C91-24)/2)),0)</f>
        <v>115</v>
      </c>
      <c r="F91">
        <f>ROUNDDOWN($K$5 * (1+$L$5 * ((C91-24)/2)),0)</f>
        <v>77</v>
      </c>
      <c r="G91">
        <f t="shared" si="3"/>
        <v>13</v>
      </c>
      <c r="H91" s="5">
        <f t="shared" si="2"/>
        <v>1639</v>
      </c>
      <c r="I91" s="5"/>
    </row>
    <row r="92" spans="2:9" x14ac:dyDescent="0.25">
      <c r="B92" s="1">
        <v>44803</v>
      </c>
      <c r="C92">
        <v>22</v>
      </c>
      <c r="D92">
        <f>ROUNDDOWN($K$3 * (1+$L$3 * (($C92-24)/2)),0)</f>
        <v>83</v>
      </c>
      <c r="E92">
        <f>ROUNDDOWN($K$4 * (1+$L$4 * (($C92-24)/2)),0)</f>
        <v>111</v>
      </c>
      <c r="F92">
        <f>ROUNDDOWN($K$5 * (1+$L$5 * ((C92-24)/2)),0)</f>
        <v>75</v>
      </c>
      <c r="G92">
        <f t="shared" si="3"/>
        <v>14</v>
      </c>
      <c r="H92" s="5">
        <f t="shared" si="2"/>
        <v>1586</v>
      </c>
      <c r="I92" s="5"/>
    </row>
    <row r="93" spans="2:9" x14ac:dyDescent="0.25">
      <c r="B93" s="1">
        <v>44804</v>
      </c>
      <c r="C93">
        <v>25</v>
      </c>
      <c r="D93">
        <f>ROUNDDOWN($K$3 * (1+$L$3 * (($C93-24)/2)),0)</f>
        <v>93</v>
      </c>
      <c r="E93">
        <f>ROUNDDOWN($K$4 * (1+$L$4 * (($C93-24)/2)),0)</f>
        <v>124</v>
      </c>
      <c r="F93">
        <f>ROUNDDOWN($K$5 * (1+$L$5 * ((C93-24)/2)),0)</f>
        <v>82</v>
      </c>
      <c r="G93">
        <f t="shared" si="3"/>
        <v>15</v>
      </c>
      <c r="H93" s="5">
        <f t="shared" si="2"/>
        <v>1763</v>
      </c>
      <c r="I93" s="5"/>
    </row>
  </sheetData>
  <conditionalFormatting sqref="G1:G1048576 H1:I1">
    <cfRule type="top10" dxfId="3" priority="1" rank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D99D0-C02F-456F-97F4-4AE900F443E0}">
  <dimension ref="B1:M93"/>
  <sheetViews>
    <sheetView tabSelected="1" workbookViewId="0">
      <selection activeCell="K8" sqref="K8"/>
    </sheetView>
  </sheetViews>
  <sheetFormatPr defaultRowHeight="15" x14ac:dyDescent="0.25"/>
  <cols>
    <col min="1" max="2" width="10.140625" bestFit="1" customWidth="1"/>
    <col min="3" max="3" width="26.42578125" bestFit="1" customWidth="1"/>
    <col min="4" max="4" width="10" customWidth="1"/>
    <col min="6" max="6" width="10.140625" bestFit="1" customWidth="1"/>
    <col min="7" max="7" width="12.85546875" style="15" bestFit="1" customWidth="1"/>
    <col min="8" max="8" width="14.28515625" customWidth="1"/>
    <col min="9" max="9" width="18.7109375" bestFit="1" customWidth="1"/>
    <col min="10" max="10" width="15.140625" customWidth="1"/>
    <col min="11" max="11" width="23.28515625" bestFit="1" customWidth="1"/>
    <col min="12" max="12" width="10.140625" bestFit="1" customWidth="1"/>
  </cols>
  <sheetData>
    <row r="1" spans="2:13" x14ac:dyDescent="0.25">
      <c r="B1" s="2" t="s">
        <v>0</v>
      </c>
      <c r="C1" s="2" t="s">
        <v>1</v>
      </c>
      <c r="D1" s="2" t="s">
        <v>7</v>
      </c>
      <c r="E1" s="2" t="s">
        <v>8</v>
      </c>
      <c r="F1" s="2" t="s">
        <v>9</v>
      </c>
      <c r="G1" s="2" t="s">
        <v>28</v>
      </c>
      <c r="H1" s="2" t="s">
        <v>32</v>
      </c>
      <c r="I1" s="2" t="s">
        <v>33</v>
      </c>
    </row>
    <row r="2" spans="2:13" x14ac:dyDescent="0.25">
      <c r="B2" s="1">
        <v>44805</v>
      </c>
      <c r="C2">
        <v>23</v>
      </c>
      <c r="D2">
        <f>ROUNDDOWN($K$3 * (1+$L$3 * (($C2-24)/2)),0)</f>
        <v>86</v>
      </c>
      <c r="E2">
        <f>ROUNDDOWN($K$4 * (1+$L$4 * (($C2-24)/2)),0)</f>
        <v>115</v>
      </c>
      <c r="F2">
        <f>ROUNDDOWN($K$5 * (1+$L$5 * ((C2-24)/2)),0)</f>
        <v>77</v>
      </c>
      <c r="G2" s="5">
        <f>(D2*$M$3)+(E2*$M$4)+(F2*$M$5)</f>
        <v>1639</v>
      </c>
      <c r="H2">
        <f>IF(C2=C1,1,0)</f>
        <v>0</v>
      </c>
      <c r="I2" s="4">
        <f>(D2*($M$3+$K$8))+(E2*($M$4+$K$8))+(F2*($M$5+$K$8))</f>
        <v>2011.52</v>
      </c>
      <c r="J2" s="2" t="s">
        <v>11</v>
      </c>
      <c r="K2" s="2" t="s">
        <v>2</v>
      </c>
      <c r="L2" s="2" t="s">
        <v>6</v>
      </c>
      <c r="M2" s="2" t="s">
        <v>10</v>
      </c>
    </row>
    <row r="3" spans="2:13" x14ac:dyDescent="0.25">
      <c r="B3" s="1">
        <v>44806</v>
      </c>
      <c r="C3">
        <v>23</v>
      </c>
      <c r="D3">
        <f>ROUNDDOWN($K$3 * (1+$L$3 * (($C3-24)/2)),0)</f>
        <v>86</v>
      </c>
      <c r="E3">
        <f>ROUNDDOWN($K$4 * (1+$L$4 * (($C3-24)/2)),0)</f>
        <v>115</v>
      </c>
      <c r="F3">
        <f>ROUNDDOWN($K$5 * (1+$L$5 * ((C3-24)/2)),0)</f>
        <v>77</v>
      </c>
      <c r="G3" s="5">
        <f>(D3*$M$3)+(E3*$M$4)+(F3*$M$5)</f>
        <v>1639</v>
      </c>
      <c r="H3">
        <f>IF(C3=C2,1,0)</f>
        <v>1</v>
      </c>
      <c r="I3" s="4">
        <f t="shared" ref="I3:I31" si="0">(D3*($M$3+$K$8))+(E3*($M$4+$K$8))+(F3*($M$5+$K$8))</f>
        <v>2011.52</v>
      </c>
      <c r="J3" t="s">
        <v>3</v>
      </c>
      <c r="K3">
        <v>90</v>
      </c>
      <c r="L3" s="3">
        <v>7.6923076923076927E-2</v>
      </c>
      <c r="M3" s="5">
        <v>7</v>
      </c>
    </row>
    <row r="4" spans="2:13" x14ac:dyDescent="0.25">
      <c r="B4" s="1">
        <v>44807</v>
      </c>
      <c r="C4">
        <f>IF(H3=1,C3-1,C3)</f>
        <v>22</v>
      </c>
      <c r="D4">
        <f>ROUNDDOWN($K$3 * (1+$L$3 * (($C4-24)/2)),0)</f>
        <v>83</v>
      </c>
      <c r="E4">
        <f>ROUNDDOWN($K$4 * (1+$L$4 * (($C4-24)/2)),0)</f>
        <v>111</v>
      </c>
      <c r="F4">
        <f>ROUNDDOWN($K$5 * (1+$L$5 * ((C4-24)/2)),0)</f>
        <v>75</v>
      </c>
      <c r="G4" s="5">
        <f>(D4*$M$3)+(E4*$M$4)+(F4*$M$5)</f>
        <v>1586</v>
      </c>
      <c r="H4">
        <f>IF(C4=C3,1,0)</f>
        <v>0</v>
      </c>
      <c r="I4" s="4">
        <f t="shared" si="0"/>
        <v>1946.46</v>
      </c>
      <c r="J4" t="s">
        <v>4</v>
      </c>
      <c r="K4">
        <v>120</v>
      </c>
      <c r="L4" s="3">
        <v>6.8965517241379309E-2</v>
      </c>
      <c r="M4" s="5">
        <v>5</v>
      </c>
    </row>
    <row r="5" spans="2:13" x14ac:dyDescent="0.25">
      <c r="B5" s="1">
        <v>44808</v>
      </c>
      <c r="C5">
        <f>IF(H4=1,C4-1,C4)</f>
        <v>22</v>
      </c>
      <c r="D5">
        <f>ROUNDDOWN($K$3 * (1+$L$3 * (($C5-24)/2)),0)</f>
        <v>83</v>
      </c>
      <c r="E5">
        <f>ROUNDDOWN($K$4 * (1+$L$4 * (($C5-24)/2)),0)</f>
        <v>111</v>
      </c>
      <c r="F5">
        <f>ROUNDDOWN($K$5 * (1+$L$5 * ((C5-24)/2)),0)</f>
        <v>75</v>
      </c>
      <c r="G5" s="5">
        <f>(D5*$M$3)+(E5*$M$4)+(F5*$M$5)</f>
        <v>1586</v>
      </c>
      <c r="H5">
        <f>IF(C5=C4,1,0)</f>
        <v>1</v>
      </c>
      <c r="I5" s="4">
        <f t="shared" si="0"/>
        <v>1946.46</v>
      </c>
      <c r="J5" t="s">
        <v>5</v>
      </c>
      <c r="K5">
        <v>80</v>
      </c>
      <c r="L5" s="3">
        <v>5.8823529411764705E-2</v>
      </c>
      <c r="M5" s="5">
        <v>6</v>
      </c>
    </row>
    <row r="6" spans="2:13" x14ac:dyDescent="0.25">
      <c r="B6" s="1">
        <v>44809</v>
      </c>
      <c r="C6">
        <f>IF(H5=1,C5-1,C5)</f>
        <v>21</v>
      </c>
      <c r="D6">
        <f>ROUNDDOWN($K$3 * (1+$L$3 * (($C6-24)/2)),0)</f>
        <v>79</v>
      </c>
      <c r="E6">
        <f>ROUNDDOWN($K$4 * (1+$L$4 * (($C6-24)/2)),0)</f>
        <v>107</v>
      </c>
      <c r="F6">
        <f>ROUNDDOWN($K$5 * (1+$L$5 * ((C6-24)/2)),0)</f>
        <v>72</v>
      </c>
      <c r="G6" s="5">
        <f>(D6*$M$3)+(E6*$M$4)+(F6*$M$5)</f>
        <v>1520</v>
      </c>
      <c r="H6">
        <f>IF(C6=C5,1,0)</f>
        <v>0</v>
      </c>
      <c r="I6" s="4">
        <f t="shared" si="0"/>
        <v>1865.72</v>
      </c>
    </row>
    <row r="7" spans="2:13" x14ac:dyDescent="0.25">
      <c r="B7" s="1">
        <v>44810</v>
      </c>
      <c r="C7">
        <f>IF(H6=1,C6-1,C6)</f>
        <v>21</v>
      </c>
      <c r="D7">
        <f>ROUNDDOWN($K$3 * (1+$L$3 * (($C7-24)/2)),0)</f>
        <v>79</v>
      </c>
      <c r="E7">
        <f>ROUNDDOWN($K$4 * (1+$L$4 * (($C7-24)/2)),0)</f>
        <v>107</v>
      </c>
      <c r="F7">
        <f>ROUNDDOWN($K$5 * (1+$L$5 * ((C7-24)/2)),0)</f>
        <v>72</v>
      </c>
      <c r="G7" s="5">
        <f>(D7*$M$3)+(E7*$M$4)+(F7*$M$5)</f>
        <v>1520</v>
      </c>
      <c r="H7">
        <f>IF(C7=C6,1,0)</f>
        <v>1</v>
      </c>
      <c r="I7" s="4">
        <f t="shared" si="0"/>
        <v>1865.72</v>
      </c>
      <c r="K7" t="s">
        <v>34</v>
      </c>
    </row>
    <row r="8" spans="2:13" x14ac:dyDescent="0.25">
      <c r="B8" s="1">
        <v>44811</v>
      </c>
      <c r="C8">
        <f>IF(H7=1,C7-1,C7)</f>
        <v>20</v>
      </c>
      <c r="D8">
        <f>ROUNDDOWN($K$3 * (1+$L$3 * (($C8-24)/2)),0)</f>
        <v>76</v>
      </c>
      <c r="E8">
        <f>ROUNDDOWN($K$4 * (1+$L$4 * (($C8-24)/2)),0)</f>
        <v>103</v>
      </c>
      <c r="F8">
        <f>ROUNDDOWN($K$5 * (1+$L$5 * ((C8-24)/2)),0)</f>
        <v>70</v>
      </c>
      <c r="G8" s="5">
        <f>(D8*$M$3)+(E8*$M$4)+(F8*$M$5)</f>
        <v>1467</v>
      </c>
      <c r="H8">
        <f>IF(C8=C7,1,0)</f>
        <v>0</v>
      </c>
      <c r="I8" s="4">
        <f t="shared" si="0"/>
        <v>1800.66</v>
      </c>
      <c r="K8" s="16">
        <v>1.34</v>
      </c>
    </row>
    <row r="9" spans="2:13" x14ac:dyDescent="0.25">
      <c r="B9" s="1">
        <v>44812</v>
      </c>
      <c r="C9">
        <f>IF(H8=1,C8-1,C8)</f>
        <v>20</v>
      </c>
      <c r="D9">
        <f>ROUNDDOWN($K$3 * (1+$L$3 * (($C9-24)/2)),0)</f>
        <v>76</v>
      </c>
      <c r="E9">
        <f>ROUNDDOWN($K$4 * (1+$L$4 * (($C9-24)/2)),0)</f>
        <v>103</v>
      </c>
      <c r="F9">
        <f>ROUNDDOWN($K$5 * (1+$L$5 * ((C9-24)/2)),0)</f>
        <v>70</v>
      </c>
      <c r="G9" s="5">
        <f>(D9*$M$3)+(E9*$M$4)+(F9*$M$5)</f>
        <v>1467</v>
      </c>
      <c r="H9">
        <f>IF(C9=C8,1,0)</f>
        <v>1</v>
      </c>
      <c r="I9" s="4">
        <f t="shared" si="0"/>
        <v>1800.66</v>
      </c>
    </row>
    <row r="10" spans="2:13" x14ac:dyDescent="0.25">
      <c r="B10" s="1">
        <v>44813</v>
      </c>
      <c r="C10">
        <f>IF(H9=1,C9-1,C9)</f>
        <v>19</v>
      </c>
      <c r="D10">
        <f>ROUNDDOWN($K$3 * (1+$L$3 * (($C10-24)/2)),0)</f>
        <v>72</v>
      </c>
      <c r="E10">
        <f>ROUNDDOWN($K$4 * (1+$L$4 * (($C10-24)/2)),0)</f>
        <v>99</v>
      </c>
      <c r="F10">
        <f>ROUNDDOWN($K$5 * (1+$L$5 * ((C10-24)/2)),0)</f>
        <v>68</v>
      </c>
      <c r="G10" s="5">
        <f>(D10*$M$3)+(E10*$M$4)+(F10*$M$5)</f>
        <v>1407</v>
      </c>
      <c r="H10">
        <f>IF(C10=C9,1,0)</f>
        <v>0</v>
      </c>
      <c r="I10" s="4">
        <f t="shared" si="0"/>
        <v>1727.2599999999998</v>
      </c>
    </row>
    <row r="11" spans="2:13" x14ac:dyDescent="0.25">
      <c r="B11" s="1">
        <v>44814</v>
      </c>
      <c r="C11">
        <f>IF(H10=1,C10-1,C10)</f>
        <v>19</v>
      </c>
      <c r="D11">
        <f>ROUNDDOWN($K$3 * (1+$L$3 * (($C11-24)/2)),0)</f>
        <v>72</v>
      </c>
      <c r="E11">
        <f>ROUNDDOWN($K$4 * (1+$L$4 * (($C11-24)/2)),0)</f>
        <v>99</v>
      </c>
      <c r="F11">
        <f>ROUNDDOWN($K$5 * (1+$L$5 * ((C11-24)/2)),0)</f>
        <v>68</v>
      </c>
      <c r="G11" s="5">
        <f>(D11*$M$3)+(E11*$M$4)+(F11*$M$5)</f>
        <v>1407</v>
      </c>
      <c r="H11">
        <f>IF(C11=C10,1,0)</f>
        <v>1</v>
      </c>
      <c r="I11" s="4">
        <f t="shared" si="0"/>
        <v>1727.2599999999998</v>
      </c>
      <c r="K11" s="1"/>
      <c r="L11" s="1"/>
    </row>
    <row r="12" spans="2:13" x14ac:dyDescent="0.25">
      <c r="B12" s="1">
        <v>44815</v>
      </c>
      <c r="C12">
        <f>IF(H11=1,C11-1,C11)</f>
        <v>18</v>
      </c>
      <c r="D12">
        <f>ROUNDDOWN($K$3 * (1+$L$3 * (($C12-24)/2)),0)</f>
        <v>69</v>
      </c>
      <c r="E12">
        <f>ROUNDDOWN($K$4 * (1+$L$4 * (($C12-24)/2)),0)</f>
        <v>95</v>
      </c>
      <c r="F12">
        <f>ROUNDDOWN($K$5 * (1+$L$5 * ((C12-24)/2)),0)</f>
        <v>65</v>
      </c>
      <c r="G12" s="5">
        <f>(D12*$M$3)+(E12*$M$4)+(F12*$M$5)</f>
        <v>1348</v>
      </c>
      <c r="H12">
        <f>IF(C12=C11,1,0)</f>
        <v>0</v>
      </c>
      <c r="I12" s="4">
        <f t="shared" si="0"/>
        <v>1654.86</v>
      </c>
    </row>
    <row r="13" spans="2:13" x14ac:dyDescent="0.25">
      <c r="B13" s="1">
        <v>44816</v>
      </c>
      <c r="C13">
        <f>IF(H12=1,C12-1,C12)</f>
        <v>18</v>
      </c>
      <c r="D13">
        <f>ROUNDDOWN($K$3 * (1+$L$3 * (($C13-24)/2)),0)</f>
        <v>69</v>
      </c>
      <c r="E13">
        <f>ROUNDDOWN($K$4 * (1+$L$4 * (($C13-24)/2)),0)</f>
        <v>95</v>
      </c>
      <c r="F13">
        <f>ROUNDDOWN($K$5 * (1+$L$5 * ((C13-24)/2)),0)</f>
        <v>65</v>
      </c>
      <c r="G13" s="5">
        <f>(D13*$M$3)+(E13*$M$4)+(F13*$M$5)</f>
        <v>1348</v>
      </c>
      <c r="H13">
        <f>IF(C13=C12,1,0)</f>
        <v>1</v>
      </c>
      <c r="I13" s="4">
        <f t="shared" si="0"/>
        <v>1654.86</v>
      </c>
    </row>
    <row r="14" spans="2:13" x14ac:dyDescent="0.25">
      <c r="B14" s="1">
        <v>44817</v>
      </c>
      <c r="C14">
        <f>IF(H13=1,C13-1,C13)</f>
        <v>17</v>
      </c>
      <c r="D14">
        <f>ROUNDDOWN($K$3 * (1+$L$3 * (($C14-24)/2)),0)</f>
        <v>65</v>
      </c>
      <c r="E14">
        <f>ROUNDDOWN($K$4 * (1+$L$4 * (($C14-24)/2)),0)</f>
        <v>91</v>
      </c>
      <c r="F14">
        <f>ROUNDDOWN($K$5 * (1+$L$5 * ((C14-24)/2)),0)</f>
        <v>63</v>
      </c>
      <c r="G14" s="5">
        <f>(D14*$M$3)+(E14*$M$4)+(F14*$M$5)</f>
        <v>1288</v>
      </c>
      <c r="H14">
        <f>IF(C14=C13,1,0)</f>
        <v>0</v>
      </c>
      <c r="I14" s="4">
        <f t="shared" si="0"/>
        <v>1581.46</v>
      </c>
    </row>
    <row r="15" spans="2:13" x14ac:dyDescent="0.25">
      <c r="B15" s="1">
        <v>44818</v>
      </c>
      <c r="C15">
        <f>IF(H14=1,C14-1,C14)</f>
        <v>17</v>
      </c>
      <c r="D15">
        <f>ROUNDDOWN($K$3 * (1+$L$3 * (($C15-24)/2)),0)</f>
        <v>65</v>
      </c>
      <c r="E15">
        <f>ROUNDDOWN($K$4 * (1+$L$4 * (($C15-24)/2)),0)</f>
        <v>91</v>
      </c>
      <c r="F15">
        <f>ROUNDDOWN($K$5 * (1+$L$5 * ((C15-24)/2)),0)</f>
        <v>63</v>
      </c>
      <c r="G15" s="5">
        <f>(D15*$M$3)+(E15*$M$4)+(F15*$M$5)</f>
        <v>1288</v>
      </c>
      <c r="H15">
        <f>IF(C15=C14,1,0)</f>
        <v>1</v>
      </c>
      <c r="I15" s="4">
        <f t="shared" si="0"/>
        <v>1581.46</v>
      </c>
    </row>
    <row r="16" spans="2:13" x14ac:dyDescent="0.25">
      <c r="B16" s="1">
        <v>44819</v>
      </c>
      <c r="C16">
        <f>IF(H15=1,C15-1,C15)</f>
        <v>16</v>
      </c>
      <c r="D16">
        <f>ROUNDDOWN($K$3 * (1+$L$3 * (($C16-24)/2)),0)</f>
        <v>62</v>
      </c>
      <c r="E16">
        <f>ROUNDDOWN($K$4 * (1+$L$4 * (($C16-24)/2)),0)</f>
        <v>86</v>
      </c>
      <c r="F16">
        <f>ROUNDDOWN($K$5 * (1+$L$5 * ((C16-24)/2)),0)</f>
        <v>61</v>
      </c>
      <c r="G16" s="5">
        <f>(D16*$M$3)+(E16*$M$4)+(F16*$M$5)</f>
        <v>1230</v>
      </c>
      <c r="H16">
        <f>IF(C16=C15,1,0)</f>
        <v>0</v>
      </c>
      <c r="I16" s="4">
        <f t="shared" si="0"/>
        <v>1510.0600000000002</v>
      </c>
    </row>
    <row r="17" spans="2:10" x14ac:dyDescent="0.25">
      <c r="B17" s="1">
        <v>44820</v>
      </c>
      <c r="C17">
        <f>IF(H16=1,C16-1,C16)</f>
        <v>16</v>
      </c>
      <c r="D17">
        <f>ROUNDDOWN($K$3 * (1+$L$3 * (($C17-24)/2)),0)</f>
        <v>62</v>
      </c>
      <c r="E17">
        <f>ROUNDDOWN($K$4 * (1+$L$4 * (($C17-24)/2)),0)</f>
        <v>86</v>
      </c>
      <c r="F17">
        <f>ROUNDDOWN($K$5 * (1+$L$5 * ((C17-24)/2)),0)</f>
        <v>61</v>
      </c>
      <c r="G17" s="5">
        <f>(D17*$M$3)+(E17*$M$4)+(F17*$M$5)</f>
        <v>1230</v>
      </c>
      <c r="H17">
        <f>IF(C17=C16,1,0)</f>
        <v>1</v>
      </c>
      <c r="I17" s="4">
        <f t="shared" si="0"/>
        <v>1510.0600000000002</v>
      </c>
    </row>
    <row r="18" spans="2:10" x14ac:dyDescent="0.25">
      <c r="B18" s="1">
        <v>44821</v>
      </c>
      <c r="C18">
        <f>IF(H17=1,C17-1,C17)</f>
        <v>15</v>
      </c>
      <c r="D18">
        <f>ROUNDDOWN($K$3 * (1+$L$3 * (($C18-24)/2)),0)</f>
        <v>58</v>
      </c>
      <c r="E18">
        <f>ROUNDDOWN($K$4 * (1+$L$4 * (($C18-24)/2)),0)</f>
        <v>82</v>
      </c>
      <c r="F18">
        <f>ROUNDDOWN($K$5 * (1+$L$5 * ((C18-24)/2)),0)</f>
        <v>58</v>
      </c>
      <c r="G18" s="5">
        <f>(D18*$M$3)+(E18*$M$4)+(F18*$M$5)</f>
        <v>1164</v>
      </c>
      <c r="H18">
        <f>IF(C18=C17,1,0)</f>
        <v>0</v>
      </c>
      <c r="I18" s="4">
        <f t="shared" si="0"/>
        <v>1429.32</v>
      </c>
    </row>
    <row r="19" spans="2:10" x14ac:dyDescent="0.25">
      <c r="B19" s="1">
        <v>44822</v>
      </c>
      <c r="C19">
        <f>IF(H18=1,C18-1,C18)</f>
        <v>15</v>
      </c>
      <c r="D19">
        <f>ROUNDDOWN($K$3 * (1+$L$3 * (($C19-24)/2)),0)</f>
        <v>58</v>
      </c>
      <c r="E19">
        <f>ROUNDDOWN($K$4 * (1+$L$4 * (($C19-24)/2)),0)</f>
        <v>82</v>
      </c>
      <c r="F19">
        <f>ROUNDDOWN($K$5 * (1+$L$5 * ((C19-24)/2)),0)</f>
        <v>58</v>
      </c>
      <c r="G19" s="5">
        <f>(D19*$M$3)+(E19*$M$4)+(F19*$M$5)</f>
        <v>1164</v>
      </c>
      <c r="H19">
        <f>IF(C19=C18,1,0)</f>
        <v>1</v>
      </c>
      <c r="I19" s="4">
        <f t="shared" si="0"/>
        <v>1429.32</v>
      </c>
    </row>
    <row r="20" spans="2:10" x14ac:dyDescent="0.25">
      <c r="B20" s="1">
        <v>44823</v>
      </c>
      <c r="C20">
        <f>IF(H19=1,C19-1,C19)</f>
        <v>14</v>
      </c>
      <c r="D20">
        <f>ROUNDDOWN($K$3 * (1+$L$3 * (($C20-24)/2)),0)</f>
        <v>55</v>
      </c>
      <c r="E20">
        <f>ROUNDDOWN($K$4 * (1+$L$4 * (($C20-24)/2)),0)</f>
        <v>78</v>
      </c>
      <c r="F20">
        <f>ROUNDDOWN($K$5 * (1+$L$5 * ((C20-24)/2)),0)</f>
        <v>56</v>
      </c>
      <c r="G20" s="5">
        <f>(D20*$M$3)+(E20*$M$4)+(F20*$M$5)</f>
        <v>1111</v>
      </c>
      <c r="H20">
        <f>IF(C20=C19,1,0)</f>
        <v>0</v>
      </c>
      <c r="I20" s="4">
        <f t="shared" si="0"/>
        <v>1364.26</v>
      </c>
    </row>
    <row r="21" spans="2:10" x14ac:dyDescent="0.25">
      <c r="B21" s="1">
        <v>44824</v>
      </c>
      <c r="C21">
        <f>IF(H20=1,C20-1,C20)</f>
        <v>14</v>
      </c>
      <c r="D21">
        <f>ROUNDDOWN($K$3 * (1+$L$3 * (($C21-24)/2)),0)</f>
        <v>55</v>
      </c>
      <c r="E21">
        <f>ROUNDDOWN($K$4 * (1+$L$4 * (($C21-24)/2)),0)</f>
        <v>78</v>
      </c>
      <c r="F21">
        <f>ROUNDDOWN($K$5 * (1+$L$5 * ((C21-24)/2)),0)</f>
        <v>56</v>
      </c>
      <c r="G21" s="5">
        <f>(D21*$M$3)+(E21*$M$4)+(F21*$M$5)</f>
        <v>1111</v>
      </c>
      <c r="H21">
        <f>IF(C21=C20,1,0)</f>
        <v>1</v>
      </c>
      <c r="I21" s="4">
        <f t="shared" si="0"/>
        <v>1364.26</v>
      </c>
    </row>
    <row r="22" spans="2:10" x14ac:dyDescent="0.25">
      <c r="B22" s="1">
        <v>44825</v>
      </c>
      <c r="C22">
        <f>IF(H21=1,C21-1,C21)</f>
        <v>13</v>
      </c>
      <c r="D22">
        <f>ROUNDDOWN($K$3 * (1+$L$3 * (($C22-24)/2)),0)</f>
        <v>51</v>
      </c>
      <c r="E22">
        <f>ROUNDDOWN($K$4 * (1+$L$4 * (($C22-24)/2)),0)</f>
        <v>74</v>
      </c>
      <c r="F22">
        <f>ROUNDDOWN($K$5 * (1+$L$5 * ((C22-24)/2)),0)</f>
        <v>54</v>
      </c>
      <c r="G22" s="5">
        <f>(D22*$M$3)+(E22*$M$4)+(F22*$M$5)</f>
        <v>1051</v>
      </c>
      <c r="H22">
        <f>IF(C22=C21,1,0)</f>
        <v>0</v>
      </c>
      <c r="I22" s="4">
        <f t="shared" si="0"/>
        <v>1290.8600000000001</v>
      </c>
    </row>
    <row r="23" spans="2:10" x14ac:dyDescent="0.25">
      <c r="B23" s="1">
        <v>44826</v>
      </c>
      <c r="C23">
        <f>IF(H22=1,C22-1,C22)</f>
        <v>13</v>
      </c>
      <c r="D23">
        <f>ROUNDDOWN($K$3 * (1+$L$3 * (($C23-24)/2)),0)</f>
        <v>51</v>
      </c>
      <c r="E23">
        <f>ROUNDDOWN($K$4 * (1+$L$4 * (($C23-24)/2)),0)</f>
        <v>74</v>
      </c>
      <c r="F23">
        <f>ROUNDDOWN($K$5 * (1+$L$5 * ((C23-24)/2)),0)</f>
        <v>54</v>
      </c>
      <c r="G23" s="5">
        <f>(D23*$M$3)+(E23*$M$4)+(F23*$M$5)</f>
        <v>1051</v>
      </c>
      <c r="H23">
        <f>IF(C23=C22,1,0)</f>
        <v>1</v>
      </c>
      <c r="I23" s="4">
        <f t="shared" si="0"/>
        <v>1290.8600000000001</v>
      </c>
    </row>
    <row r="24" spans="2:10" x14ac:dyDescent="0.25">
      <c r="B24" s="1">
        <v>44827</v>
      </c>
      <c r="C24">
        <f>IF(H23=1,C23-1,C23)</f>
        <v>12</v>
      </c>
      <c r="D24">
        <f>ROUNDDOWN($K$3 * (1+$L$3 * (($C24-24)/2)),0)</f>
        <v>48</v>
      </c>
      <c r="E24">
        <f>ROUNDDOWN($K$4 * (1+$L$4 * (($C24-24)/2)),0)</f>
        <v>70</v>
      </c>
      <c r="F24">
        <f>ROUNDDOWN($K$5 * (1+$L$5 * ((C24-24)/2)),0)</f>
        <v>51</v>
      </c>
      <c r="G24" s="5">
        <f>(D24*$M$3)+(E24*$M$4)+(F24*$M$5)</f>
        <v>992</v>
      </c>
      <c r="H24">
        <f>IF(C24=C23,1,0)</f>
        <v>0</v>
      </c>
      <c r="I24" s="4">
        <f t="shared" si="0"/>
        <v>1218.46</v>
      </c>
    </row>
    <row r="25" spans="2:10" x14ac:dyDescent="0.25">
      <c r="B25" s="1">
        <v>44828</v>
      </c>
      <c r="C25">
        <f>IF(H24=1,C24-1,C24)</f>
        <v>12</v>
      </c>
      <c r="D25">
        <f>ROUNDDOWN($K$3 * (1+$L$3 * (($C25-24)/2)),0)</f>
        <v>48</v>
      </c>
      <c r="E25">
        <f>ROUNDDOWN($K$4 * (1+$L$4 * (($C25-24)/2)),0)</f>
        <v>70</v>
      </c>
      <c r="F25">
        <f>ROUNDDOWN($K$5 * (1+$L$5 * ((C25-24)/2)),0)</f>
        <v>51</v>
      </c>
      <c r="G25" s="5">
        <f>(D25*$M$3)+(E25*$M$4)+(F25*$M$5)</f>
        <v>992</v>
      </c>
      <c r="H25">
        <f>IF(C25=C24,1,0)</f>
        <v>1</v>
      </c>
      <c r="I25" s="4">
        <f t="shared" si="0"/>
        <v>1218.46</v>
      </c>
    </row>
    <row r="26" spans="2:10" x14ac:dyDescent="0.25">
      <c r="B26" s="1">
        <v>44829</v>
      </c>
      <c r="C26">
        <f>IF(H25=1,C25-1,C25)</f>
        <v>11</v>
      </c>
      <c r="D26">
        <f>ROUNDDOWN($K$3 * (1+$L$3 * (($C26-24)/2)),0)</f>
        <v>45</v>
      </c>
      <c r="E26">
        <f>ROUNDDOWN($K$4 * (1+$L$4 * (($C26-24)/2)),0)</f>
        <v>66</v>
      </c>
      <c r="F26">
        <f>ROUNDDOWN($K$5 * (1+$L$5 * ((C26-24)/2)),0)</f>
        <v>49</v>
      </c>
      <c r="G26" s="5">
        <f>(D26*$M$3)+(E26*$M$4)+(F26*$M$5)</f>
        <v>939</v>
      </c>
      <c r="H26">
        <f>IF(C26=C25,1,0)</f>
        <v>0</v>
      </c>
      <c r="I26" s="4">
        <f t="shared" si="0"/>
        <v>1153.4000000000001</v>
      </c>
    </row>
    <row r="27" spans="2:10" x14ac:dyDescent="0.25">
      <c r="B27" s="1">
        <v>44830</v>
      </c>
      <c r="C27">
        <f>IF(H26=1,C26-1,C26)</f>
        <v>11</v>
      </c>
      <c r="D27">
        <f>ROUNDDOWN($K$3 * (1+$L$3 * (($C27-24)/2)),0)</f>
        <v>45</v>
      </c>
      <c r="E27">
        <f>ROUNDDOWN($K$4 * (1+$L$4 * (($C27-24)/2)),0)</f>
        <v>66</v>
      </c>
      <c r="F27">
        <f>ROUNDDOWN($K$5 * (1+$L$5 * ((C27-24)/2)),0)</f>
        <v>49</v>
      </c>
      <c r="G27" s="5">
        <f>(D27*$M$3)+(E27*$M$4)+(F27*$M$5)</f>
        <v>939</v>
      </c>
      <c r="H27">
        <f>IF(C27=C26,1,0)</f>
        <v>1</v>
      </c>
      <c r="I27" s="4">
        <f t="shared" si="0"/>
        <v>1153.4000000000001</v>
      </c>
    </row>
    <row r="28" spans="2:10" x14ac:dyDescent="0.25">
      <c r="B28" s="1">
        <v>44831</v>
      </c>
      <c r="C28">
        <f>IF(H27=1,C27-1,C27)</f>
        <v>10</v>
      </c>
      <c r="D28">
        <f>ROUNDDOWN($K$3 * (1+$L$3 * (($C28-24)/2)),0)</f>
        <v>41</v>
      </c>
      <c r="E28">
        <f>ROUNDDOWN($K$4 * (1+$L$4 * (($C28-24)/2)),0)</f>
        <v>62</v>
      </c>
      <c r="F28">
        <f>ROUNDDOWN($K$5 * (1+$L$5 * ((C28-24)/2)),0)</f>
        <v>47</v>
      </c>
      <c r="G28" s="5">
        <f>(D28*$M$3)+(E28*$M$4)+(F28*$M$5)</f>
        <v>879</v>
      </c>
      <c r="H28">
        <f>IF(C28=C27,1,0)</f>
        <v>0</v>
      </c>
      <c r="I28" s="4">
        <f t="shared" si="0"/>
        <v>1080</v>
      </c>
      <c r="J28" s="5"/>
    </row>
    <row r="29" spans="2:10" x14ac:dyDescent="0.25">
      <c r="B29" s="1">
        <v>44832</v>
      </c>
      <c r="C29">
        <f>IF(H28=1,C28-1,C28)</f>
        <v>10</v>
      </c>
      <c r="D29">
        <f>ROUNDDOWN($K$3 * (1+$L$3 * (($C29-24)/2)),0)</f>
        <v>41</v>
      </c>
      <c r="E29">
        <f>ROUNDDOWN($K$4 * (1+$L$4 * (($C29-24)/2)),0)</f>
        <v>62</v>
      </c>
      <c r="F29">
        <f>ROUNDDOWN($K$5 * (1+$L$5 * ((C29-24)/2)),0)</f>
        <v>47</v>
      </c>
      <c r="G29" s="5">
        <f>(D29*$M$3)+(E29*$M$4)+(F29*$M$5)</f>
        <v>879</v>
      </c>
      <c r="H29">
        <f>IF(C29=C28,1,0)</f>
        <v>1</v>
      </c>
      <c r="I29" s="4">
        <f t="shared" si="0"/>
        <v>1080</v>
      </c>
    </row>
    <row r="30" spans="2:10" x14ac:dyDescent="0.25">
      <c r="B30" s="1">
        <v>44833</v>
      </c>
      <c r="C30">
        <f>IF(H29=1,C29-1,C29)</f>
        <v>9</v>
      </c>
      <c r="D30">
        <f>ROUNDDOWN($K$3 * (1+$L$3 * (($C30-24)/2)),0)</f>
        <v>38</v>
      </c>
      <c r="E30">
        <f>ROUNDDOWN($K$4 * (1+$L$4 * (($C30-24)/2)),0)</f>
        <v>57</v>
      </c>
      <c r="F30">
        <f>ROUNDDOWN($K$5 * (1+$L$5 * ((C30-24)/2)),0)</f>
        <v>44</v>
      </c>
      <c r="G30" s="5">
        <f>(D30*$M$3)+(E30*$M$4)+(F30*$M$5)</f>
        <v>815</v>
      </c>
      <c r="H30">
        <f>IF(C30=C29,1,0)</f>
        <v>0</v>
      </c>
      <c r="I30" s="4">
        <f t="shared" si="0"/>
        <v>1001.26</v>
      </c>
    </row>
    <row r="31" spans="2:10" x14ac:dyDescent="0.25">
      <c r="B31" s="1">
        <v>44834</v>
      </c>
      <c r="C31">
        <f>IF(H30=1,C30-1,C30)</f>
        <v>9</v>
      </c>
      <c r="D31">
        <f>ROUNDDOWN($K$3 * (1+$L$3 * (($C31-24)/2)),0)</f>
        <v>38</v>
      </c>
      <c r="E31">
        <f>ROUNDDOWN($K$4 * (1+$L$4 * (($C31-24)/2)),0)</f>
        <v>57</v>
      </c>
      <c r="F31">
        <f>ROUNDDOWN($K$5 * (1+$L$5 * ((C31-24)/2)),0)</f>
        <v>44</v>
      </c>
      <c r="G31" s="5">
        <f>(D31*$M$3)+(E31*$M$4)+(F31*$M$5)</f>
        <v>815</v>
      </c>
      <c r="H31">
        <f>IF(C31=C30,1,0)</f>
        <v>1</v>
      </c>
      <c r="I31" s="4">
        <f t="shared" si="0"/>
        <v>1001.26</v>
      </c>
    </row>
    <row r="32" spans="2:10" x14ac:dyDescent="0.25">
      <c r="B32" s="1"/>
      <c r="G32" s="14"/>
      <c r="I32" s="5"/>
    </row>
    <row r="33" spans="2:9" x14ac:dyDescent="0.25">
      <c r="B33" s="1"/>
      <c r="G33" s="14"/>
      <c r="I33" s="5"/>
    </row>
    <row r="34" spans="2:9" x14ac:dyDescent="0.25">
      <c r="B34" s="1"/>
      <c r="G34" s="14"/>
      <c r="I34" s="5"/>
    </row>
    <row r="35" spans="2:9" x14ac:dyDescent="0.25">
      <c r="B35" s="1"/>
      <c r="G35" s="14"/>
      <c r="I35" s="5"/>
    </row>
    <row r="36" spans="2:9" x14ac:dyDescent="0.25">
      <c r="B36" s="1"/>
      <c r="G36" s="14"/>
      <c r="I36" s="5"/>
    </row>
    <row r="37" spans="2:9" x14ac:dyDescent="0.25">
      <c r="B37" s="1"/>
      <c r="G37" s="14"/>
      <c r="I37" s="5"/>
    </row>
    <row r="38" spans="2:9" x14ac:dyDescent="0.25">
      <c r="B38" s="1"/>
      <c r="G38" s="14"/>
      <c r="I38" s="5"/>
    </row>
    <row r="39" spans="2:9" x14ac:dyDescent="0.25">
      <c r="B39" s="1"/>
      <c r="G39" s="14"/>
      <c r="I39" s="5"/>
    </row>
    <row r="40" spans="2:9" x14ac:dyDescent="0.25">
      <c r="B40" s="1"/>
      <c r="G40" s="14"/>
      <c r="I40" s="5"/>
    </row>
    <row r="41" spans="2:9" x14ac:dyDescent="0.25">
      <c r="B41" s="1"/>
      <c r="G41" s="14"/>
      <c r="I41" s="5"/>
    </row>
    <row r="42" spans="2:9" x14ac:dyDescent="0.25">
      <c r="B42" s="1"/>
      <c r="G42" s="14"/>
      <c r="I42" s="5"/>
    </row>
    <row r="43" spans="2:9" x14ac:dyDescent="0.25">
      <c r="B43" s="1"/>
      <c r="G43" s="14"/>
      <c r="I43" s="5"/>
    </row>
    <row r="44" spans="2:9" x14ac:dyDescent="0.25">
      <c r="B44" s="1"/>
      <c r="G44" s="14"/>
      <c r="I44" s="5"/>
    </row>
    <row r="45" spans="2:9" x14ac:dyDescent="0.25">
      <c r="B45" s="1"/>
      <c r="G45" s="14"/>
      <c r="I45" s="5"/>
    </row>
    <row r="46" spans="2:9" x14ac:dyDescent="0.25">
      <c r="B46" s="1"/>
      <c r="G46" s="14"/>
      <c r="I46" s="5"/>
    </row>
    <row r="47" spans="2:9" x14ac:dyDescent="0.25">
      <c r="B47" s="1"/>
      <c r="G47" s="14"/>
      <c r="I47" s="5"/>
    </row>
    <row r="48" spans="2:9" x14ac:dyDescent="0.25">
      <c r="B48" s="1"/>
      <c r="G48" s="14"/>
      <c r="I48" s="5"/>
    </row>
    <row r="49" spans="2:9" x14ac:dyDescent="0.25">
      <c r="B49" s="1"/>
      <c r="G49" s="14"/>
      <c r="I49" s="5"/>
    </row>
    <row r="50" spans="2:9" x14ac:dyDescent="0.25">
      <c r="B50" s="1"/>
      <c r="G50" s="14"/>
      <c r="I50" s="5"/>
    </row>
    <row r="51" spans="2:9" x14ac:dyDescent="0.25">
      <c r="B51" s="1"/>
      <c r="G51" s="14"/>
      <c r="I51" s="5"/>
    </row>
    <row r="52" spans="2:9" x14ac:dyDescent="0.25">
      <c r="B52" s="1"/>
      <c r="G52" s="14"/>
      <c r="I52" s="5"/>
    </row>
    <row r="53" spans="2:9" x14ac:dyDescent="0.25">
      <c r="B53" s="1"/>
      <c r="G53" s="14"/>
      <c r="I53" s="5"/>
    </row>
    <row r="54" spans="2:9" x14ac:dyDescent="0.25">
      <c r="B54" s="1"/>
      <c r="G54" s="14"/>
      <c r="I54" s="5"/>
    </row>
    <row r="55" spans="2:9" x14ac:dyDescent="0.25">
      <c r="B55" s="1"/>
      <c r="G55" s="14"/>
      <c r="I55" s="5"/>
    </row>
    <row r="56" spans="2:9" x14ac:dyDescent="0.25">
      <c r="B56" s="1"/>
      <c r="G56" s="14"/>
      <c r="I56" s="5"/>
    </row>
    <row r="57" spans="2:9" x14ac:dyDescent="0.25">
      <c r="B57" s="1"/>
      <c r="G57" s="14"/>
      <c r="I57" s="5"/>
    </row>
    <row r="58" spans="2:9" x14ac:dyDescent="0.25">
      <c r="B58" s="1"/>
      <c r="G58" s="14"/>
      <c r="I58" s="5"/>
    </row>
    <row r="59" spans="2:9" x14ac:dyDescent="0.25">
      <c r="B59" s="1"/>
      <c r="G59" s="14"/>
      <c r="I59" s="5"/>
    </row>
    <row r="60" spans="2:9" x14ac:dyDescent="0.25">
      <c r="B60" s="1"/>
      <c r="G60" s="14"/>
      <c r="I60" s="5"/>
    </row>
    <row r="61" spans="2:9" x14ac:dyDescent="0.25">
      <c r="B61" s="1"/>
      <c r="G61" s="14"/>
      <c r="I61" s="5"/>
    </row>
    <row r="62" spans="2:9" x14ac:dyDescent="0.25">
      <c r="B62" s="1"/>
      <c r="G62" s="14"/>
      <c r="I62" s="5"/>
    </row>
    <row r="63" spans="2:9" x14ac:dyDescent="0.25">
      <c r="B63" s="1"/>
      <c r="G63" s="14"/>
      <c r="I63" s="5"/>
    </row>
    <row r="64" spans="2:9" x14ac:dyDescent="0.25">
      <c r="B64" s="1"/>
      <c r="G64" s="14"/>
      <c r="I64" s="5"/>
    </row>
    <row r="65" spans="2:9" x14ac:dyDescent="0.25">
      <c r="B65" s="1"/>
      <c r="G65" s="14"/>
      <c r="I65" s="5"/>
    </row>
    <row r="66" spans="2:9" x14ac:dyDescent="0.25">
      <c r="B66" s="1"/>
      <c r="G66" s="14"/>
      <c r="I66" s="5"/>
    </row>
    <row r="67" spans="2:9" x14ac:dyDescent="0.25">
      <c r="B67" s="1"/>
      <c r="G67" s="14"/>
      <c r="I67" s="5"/>
    </row>
    <row r="68" spans="2:9" x14ac:dyDescent="0.25">
      <c r="B68" s="1"/>
      <c r="G68" s="14"/>
      <c r="I68" s="5"/>
    </row>
    <row r="69" spans="2:9" x14ac:dyDescent="0.25">
      <c r="B69" s="1"/>
      <c r="G69" s="14"/>
      <c r="I69" s="5"/>
    </row>
    <row r="70" spans="2:9" x14ac:dyDescent="0.25">
      <c r="B70" s="1"/>
      <c r="G70" s="14"/>
      <c r="I70" s="5"/>
    </row>
    <row r="71" spans="2:9" x14ac:dyDescent="0.25">
      <c r="B71" s="1"/>
      <c r="G71" s="14"/>
      <c r="I71" s="5"/>
    </row>
    <row r="72" spans="2:9" x14ac:dyDescent="0.25">
      <c r="B72" s="1"/>
      <c r="G72" s="14"/>
      <c r="I72" s="5"/>
    </row>
    <row r="73" spans="2:9" x14ac:dyDescent="0.25">
      <c r="B73" s="1"/>
      <c r="G73" s="14"/>
      <c r="I73" s="5"/>
    </row>
    <row r="74" spans="2:9" x14ac:dyDescent="0.25">
      <c r="B74" s="1"/>
      <c r="G74" s="14"/>
      <c r="I74" s="5"/>
    </row>
    <row r="75" spans="2:9" x14ac:dyDescent="0.25">
      <c r="B75" s="1"/>
      <c r="G75" s="14"/>
      <c r="I75" s="5"/>
    </row>
    <row r="76" spans="2:9" x14ac:dyDescent="0.25">
      <c r="B76" s="1"/>
      <c r="G76" s="14"/>
      <c r="I76" s="5"/>
    </row>
    <row r="77" spans="2:9" x14ac:dyDescent="0.25">
      <c r="B77" s="1"/>
      <c r="G77" s="14"/>
      <c r="I77" s="5"/>
    </row>
    <row r="78" spans="2:9" x14ac:dyDescent="0.25">
      <c r="B78" s="1"/>
      <c r="G78" s="14"/>
      <c r="I78" s="5"/>
    </row>
    <row r="79" spans="2:9" x14ac:dyDescent="0.25">
      <c r="B79" s="1"/>
      <c r="G79" s="14"/>
      <c r="I79" s="5"/>
    </row>
    <row r="80" spans="2:9" x14ac:dyDescent="0.25">
      <c r="B80" s="1"/>
      <c r="G80" s="14"/>
      <c r="I80" s="5"/>
    </row>
    <row r="81" spans="2:9" x14ac:dyDescent="0.25">
      <c r="B81" s="1"/>
      <c r="G81" s="14"/>
      <c r="I81" s="5"/>
    </row>
    <row r="82" spans="2:9" x14ac:dyDescent="0.25">
      <c r="B82" s="1"/>
      <c r="G82" s="14"/>
      <c r="I82" s="5"/>
    </row>
    <row r="83" spans="2:9" x14ac:dyDescent="0.25">
      <c r="B83" s="1"/>
      <c r="G83" s="14"/>
      <c r="I83" s="5"/>
    </row>
    <row r="84" spans="2:9" x14ac:dyDescent="0.25">
      <c r="B84" s="1"/>
      <c r="G84" s="14"/>
      <c r="I84" s="5"/>
    </row>
    <row r="85" spans="2:9" x14ac:dyDescent="0.25">
      <c r="B85" s="1"/>
      <c r="G85" s="14"/>
      <c r="I85" s="5"/>
    </row>
    <row r="86" spans="2:9" x14ac:dyDescent="0.25">
      <c r="B86" s="1"/>
      <c r="G86" s="14"/>
      <c r="I86" s="5"/>
    </row>
    <row r="87" spans="2:9" x14ac:dyDescent="0.25">
      <c r="B87" s="1"/>
      <c r="G87" s="14"/>
      <c r="I87" s="5"/>
    </row>
    <row r="88" spans="2:9" x14ac:dyDescent="0.25">
      <c r="B88" s="1"/>
      <c r="G88" s="14"/>
      <c r="I88" s="5"/>
    </row>
    <row r="89" spans="2:9" x14ac:dyDescent="0.25">
      <c r="B89" s="1"/>
      <c r="G89" s="14"/>
      <c r="I89" s="5"/>
    </row>
    <row r="90" spans="2:9" x14ac:dyDescent="0.25">
      <c r="B90" s="1"/>
      <c r="G90" s="14"/>
      <c r="I90" s="5"/>
    </row>
    <row r="91" spans="2:9" x14ac:dyDescent="0.25">
      <c r="B91" s="1"/>
      <c r="G91" s="14"/>
      <c r="I91" s="5"/>
    </row>
    <row r="92" spans="2:9" x14ac:dyDescent="0.25">
      <c r="B92" s="1"/>
      <c r="G92" s="14"/>
      <c r="I92" s="5"/>
    </row>
    <row r="93" spans="2:9" x14ac:dyDescent="0.25">
      <c r="B93" s="1"/>
      <c r="G93" s="14"/>
      <c r="I93" s="5"/>
    </row>
  </sheetData>
  <conditionalFormatting sqref="G94:G1048576 G1:I1">
    <cfRule type="top10" dxfId="2" priority="4" rank="1"/>
  </conditionalFormatting>
  <conditionalFormatting sqref="G1:G31">
    <cfRule type="cellIs" dxfId="1" priority="2" operator="lessThan">
      <formula>1000</formula>
    </cfRule>
  </conditionalFormatting>
  <conditionalFormatting sqref="I2:I31">
    <cfRule type="cellIs" dxfId="0" priority="1" operator="lessThan">
      <formula>1000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1</vt:i4>
      </vt:variant>
    </vt:vector>
  </HeadingPairs>
  <TitlesOfParts>
    <vt:vector size="5" baseType="lpstr">
      <vt:lpstr>Zadanie5.2.</vt:lpstr>
      <vt:lpstr>Arkusz3</vt:lpstr>
      <vt:lpstr>Arkusz1</vt:lpstr>
      <vt:lpstr>Zadanie5.4.</vt:lpstr>
      <vt:lpstr>Arkusz1!temperatury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Aleksy Dobrodziej</dc:creator>
  <cp:lastModifiedBy>Aleksy Dobrodziej</cp:lastModifiedBy>
  <dcterms:created xsi:type="dcterms:W3CDTF">2026-04-19T20:44:21Z</dcterms:created>
  <dcterms:modified xsi:type="dcterms:W3CDTF">2026-04-19T21:55:23Z</dcterms:modified>
</cp:coreProperties>
</file>