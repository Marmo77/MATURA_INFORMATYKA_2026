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rog\matura2026_informatyka\Maj_2022_2\"/>
    </mc:Choice>
  </mc:AlternateContent>
  <xr:revisionPtr revIDLastSave="0" documentId="13_ncr:1_{D02ABF45-DF7D-4C6C-8C00-E45E8382B39E}" xr6:coauthVersionLast="47" xr6:coauthVersionMax="47" xr10:uidLastSave="{00000000-0000-0000-0000-000000000000}"/>
  <bookViews>
    <workbookView xWindow="-120" yWindow="-120" windowWidth="29040" windowHeight="15720" activeTab="3" xr2:uid="{5EC41358-EA95-4A3D-B9D6-964FD65D1303}"/>
  </bookViews>
  <sheets>
    <sheet name="5.1." sheetId="2" r:id="rId1"/>
    <sheet name="5.2." sheetId="3" r:id="rId2"/>
    <sheet name="Arkusz4" sheetId="4" r:id="rId3"/>
    <sheet name="5.4." sheetId="5" r:id="rId4"/>
    <sheet name="Arkusz1" sheetId="1" r:id="rId5"/>
  </sheets>
  <definedNames>
    <definedName name="soki" localSheetId="4">Arkusz1!$B$2:$E$757</definedName>
  </definedName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K6" i="5"/>
  <c r="L6" i="5"/>
  <c r="J5" i="5"/>
  <c r="K5" i="5"/>
  <c r="L5" i="5" s="1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I6" i="5"/>
  <c r="G368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5" i="5"/>
  <c r="H5" i="5"/>
  <c r="I5" i="5"/>
  <c r="G6" i="5"/>
  <c r="H6" i="5"/>
  <c r="G7" i="5"/>
  <c r="H7" i="5" s="1"/>
  <c r="G8" i="5"/>
  <c r="G9" i="5"/>
  <c r="K3" i="1"/>
  <c r="D5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 s="1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 s="1"/>
  <c r="B40" i="3"/>
  <c r="B41" i="3" s="1"/>
  <c r="B42" i="3" s="1"/>
  <c r="B43" i="3"/>
  <c r="B44" i="3"/>
  <c r="B45" i="3"/>
  <c r="B46" i="3"/>
  <c r="B47" i="3"/>
  <c r="B48" i="3" s="1"/>
  <c r="B49" i="3"/>
  <c r="B50" i="3" s="1"/>
  <c r="B51" i="3" s="1"/>
  <c r="B52" i="3"/>
  <c r="B53" i="3"/>
  <c r="B54" i="3"/>
  <c r="B55" i="3"/>
  <c r="B56" i="3"/>
  <c r="B57" i="3"/>
  <c r="B58" i="3"/>
  <c r="B59" i="3"/>
  <c r="B60" i="3" s="1"/>
  <c r="B61" i="3" s="1"/>
  <c r="B62" i="3" s="1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 s="1"/>
  <c r="B80" i="3" s="1"/>
  <c r="B81" i="3" s="1"/>
  <c r="B82" i="3"/>
  <c r="B83" i="3"/>
  <c r="B84" i="3"/>
  <c r="B85" i="3"/>
  <c r="B86" i="3"/>
  <c r="B87" i="3"/>
  <c r="B88" i="3" s="1"/>
  <c r="B89" i="3"/>
  <c r="B90" i="3"/>
  <c r="B91" i="3"/>
  <c r="B92" i="3"/>
  <c r="B93" i="3"/>
  <c r="B94" i="3"/>
  <c r="B95" i="3" s="1"/>
  <c r="B96" i="3" s="1"/>
  <c r="B97" i="3"/>
  <c r="B98" i="3"/>
  <c r="B99" i="3"/>
  <c r="B100" i="3"/>
  <c r="B101" i="3"/>
  <c r="B102" i="3" s="1"/>
  <c r="B103" i="3"/>
  <c r="B104" i="3"/>
  <c r="B105" i="3" s="1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 s="1"/>
  <c r="B119" i="3"/>
  <c r="B120" i="3"/>
  <c r="B121" i="3"/>
  <c r="B122" i="3"/>
  <c r="B123" i="3"/>
  <c r="B124" i="3" s="1"/>
  <c r="B125" i="3"/>
  <c r="B126" i="3" s="1"/>
  <c r="B127" i="3" s="1"/>
  <c r="B128" i="3" s="1"/>
  <c r="B129" i="3" s="1"/>
  <c r="B130" i="3" s="1"/>
  <c r="B131" i="3" s="1"/>
  <c r="B132" i="3"/>
  <c r="B133" i="3"/>
  <c r="B134" i="3"/>
  <c r="B135" i="3"/>
  <c r="B136" i="3" s="1"/>
  <c r="B137" i="3" s="1"/>
  <c r="B138" i="3"/>
  <c r="B139" i="3"/>
  <c r="B140" i="3"/>
  <c r="B141" i="3"/>
  <c r="B142" i="3"/>
  <c r="B143" i="3" s="1"/>
  <c r="B144" i="3"/>
  <c r="B145" i="3"/>
  <c r="B146" i="3"/>
  <c r="B147" i="3" s="1"/>
  <c r="B148" i="3"/>
  <c r="B149" i="3"/>
  <c r="B150" i="3"/>
  <c r="B151" i="3" s="1"/>
  <c r="B152" i="3" s="1"/>
  <c r="B153" i="3" s="1"/>
  <c r="B154" i="3" s="1"/>
  <c r="B155" i="3"/>
  <c r="B156" i="3"/>
  <c r="B157" i="3"/>
  <c r="B158" i="3"/>
  <c r="B159" i="3"/>
  <c r="B160" i="3" s="1"/>
  <c r="B161" i="3"/>
  <c r="B162" i="3"/>
  <c r="B163" i="3"/>
  <c r="B164" i="3"/>
  <c r="B165" i="3"/>
  <c r="B166" i="3"/>
  <c r="B167" i="3"/>
  <c r="B168" i="3"/>
  <c r="B169" i="3" s="1"/>
  <c r="B170" i="3" s="1"/>
  <c r="B171" i="3" s="1"/>
  <c r="B172" i="3" s="1"/>
  <c r="B173" i="3" s="1"/>
  <c r="B174" i="3" s="1"/>
  <c r="B175" i="3"/>
  <c r="B176" i="3"/>
  <c r="B177" i="3"/>
  <c r="B178" i="3" s="1"/>
  <c r="B179" i="3" s="1"/>
  <c r="B180" i="3" s="1"/>
  <c r="B181" i="3"/>
  <c r="B182" i="3"/>
  <c r="B183" i="3"/>
  <c r="B184" i="3" s="1"/>
  <c r="B185" i="3"/>
  <c r="B186" i="3"/>
  <c r="B187" i="3"/>
  <c r="B188" i="3" s="1"/>
  <c r="B189" i="3"/>
  <c r="B190" i="3"/>
  <c r="B191" i="3" s="1"/>
  <c r="B192" i="3"/>
  <c r="B193" i="3"/>
  <c r="B194" i="3"/>
  <c r="B195" i="3" s="1"/>
  <c r="B196" i="3" s="1"/>
  <c r="B197" i="3"/>
  <c r="B198" i="3"/>
  <c r="B199" i="3"/>
  <c r="B200" i="3"/>
  <c r="B201" i="3"/>
  <c r="B202" i="3"/>
  <c r="B203" i="3"/>
  <c r="B204" i="3"/>
  <c r="B205" i="3"/>
  <c r="B206" i="3" s="1"/>
  <c r="B207" i="3" s="1"/>
  <c r="B208" i="3" s="1"/>
  <c r="B209" i="3"/>
  <c r="B210" i="3"/>
  <c r="B211" i="3" s="1"/>
  <c r="B212" i="3"/>
  <c r="B213" i="3"/>
  <c r="B214" i="3"/>
  <c r="B215" i="3"/>
  <c r="B216" i="3"/>
  <c r="B217" i="3"/>
  <c r="B218" i="3"/>
  <c r="B219" i="3" s="1"/>
  <c r="B220" i="3"/>
  <c r="B221" i="3"/>
  <c r="B222" i="3"/>
  <c r="B223" i="3"/>
  <c r="B224" i="3"/>
  <c r="B225" i="3"/>
  <c r="B226" i="3"/>
  <c r="B227" i="3"/>
  <c r="B7" i="3"/>
  <c r="B6" i="3"/>
  <c r="I7" i="5" l="1"/>
  <c r="J7" i="5" l="1"/>
  <c r="I8" i="5" s="1"/>
  <c r="K7" i="5"/>
  <c r="L7" i="5" s="1"/>
  <c r="K8" i="5" l="1"/>
  <c r="L8" i="5" s="1"/>
  <c r="J8" i="5"/>
  <c r="I9" i="5"/>
  <c r="J9" i="5" l="1"/>
  <c r="I10" i="5" s="1"/>
  <c r="K9" i="5"/>
  <c r="L9" i="5" s="1"/>
  <c r="J10" i="5" l="1"/>
  <c r="K10" i="5"/>
  <c r="L10" i="5" s="1"/>
  <c r="I11" i="5"/>
  <c r="J11" i="5" l="1"/>
  <c r="K11" i="5"/>
  <c r="L11" i="5" s="1"/>
  <c r="I12" i="5"/>
  <c r="K12" i="5" l="1"/>
  <c r="L12" i="5" s="1"/>
  <c r="J12" i="5"/>
  <c r="I13" i="5" s="1"/>
  <c r="J13" i="5" l="1"/>
  <c r="I14" i="5" s="1"/>
  <c r="K13" i="5"/>
  <c r="L13" i="5" s="1"/>
  <c r="K14" i="5" l="1"/>
  <c r="L14" i="5" s="1"/>
  <c r="J14" i="5"/>
  <c r="I15" i="5" s="1"/>
  <c r="J15" i="5" l="1"/>
  <c r="I16" i="5" s="1"/>
  <c r="K15" i="5"/>
  <c r="L15" i="5" s="1"/>
  <c r="K16" i="5" l="1"/>
  <c r="L16" i="5" s="1"/>
  <c r="J16" i="5"/>
  <c r="I17" i="5"/>
  <c r="J17" i="5" l="1"/>
  <c r="I18" i="5" s="1"/>
  <c r="K17" i="5"/>
  <c r="L17" i="5" s="1"/>
  <c r="K18" i="5" l="1"/>
  <c r="L18" i="5" s="1"/>
  <c r="J18" i="5"/>
  <c r="I19" i="5" s="1"/>
  <c r="K19" i="5" l="1"/>
  <c r="L19" i="5" s="1"/>
  <c r="J19" i="5"/>
  <c r="I20" i="5"/>
  <c r="J20" i="5" l="1"/>
  <c r="K20" i="5"/>
  <c r="L20" i="5" s="1"/>
  <c r="I21" i="5"/>
  <c r="J21" i="5" l="1"/>
  <c r="I22" i="5" s="1"/>
  <c r="K21" i="5"/>
  <c r="L21" i="5" s="1"/>
  <c r="K22" i="5" l="1"/>
  <c r="L22" i="5" s="1"/>
  <c r="J22" i="5"/>
  <c r="I23" i="5"/>
  <c r="J23" i="5" l="1"/>
  <c r="I24" i="5" s="1"/>
  <c r="K23" i="5"/>
  <c r="L23" i="5" s="1"/>
  <c r="J24" i="5" l="1"/>
  <c r="I25" i="5" s="1"/>
  <c r="K24" i="5"/>
  <c r="L24" i="5" s="1"/>
  <c r="J25" i="5" l="1"/>
  <c r="K25" i="5"/>
  <c r="L25" i="5" s="1"/>
  <c r="I26" i="5"/>
  <c r="K26" i="5" l="1"/>
  <c r="L26" i="5" s="1"/>
  <c r="J26" i="5"/>
  <c r="I27" i="5"/>
  <c r="K27" i="5" l="1"/>
  <c r="L27" i="5" s="1"/>
  <c r="J27" i="5"/>
  <c r="I28" i="5" s="1"/>
  <c r="J28" i="5" l="1"/>
  <c r="I29" i="5" s="1"/>
  <c r="K28" i="5"/>
  <c r="L28" i="5" s="1"/>
  <c r="J29" i="5" l="1"/>
  <c r="K29" i="5"/>
  <c r="L29" i="5" s="1"/>
  <c r="I30" i="5"/>
  <c r="K30" i="5" l="1"/>
  <c r="L30" i="5" s="1"/>
  <c r="J30" i="5"/>
  <c r="I31" i="5" s="1"/>
  <c r="J31" i="5" l="1"/>
  <c r="I32" i="5" s="1"/>
  <c r="K31" i="5"/>
  <c r="L31" i="5" s="1"/>
  <c r="J32" i="5" l="1"/>
  <c r="I33" i="5" s="1"/>
  <c r="K32" i="5"/>
  <c r="L32" i="5" s="1"/>
  <c r="J33" i="5" l="1"/>
  <c r="K33" i="5"/>
  <c r="L33" i="5" s="1"/>
  <c r="I34" i="5"/>
  <c r="K34" i="5" l="1"/>
  <c r="L34" i="5" s="1"/>
  <c r="J34" i="5"/>
  <c r="I35" i="5" s="1"/>
  <c r="K35" i="5" l="1"/>
  <c r="L35" i="5" s="1"/>
  <c r="J35" i="5"/>
  <c r="I36" i="5" s="1"/>
  <c r="J36" i="5" l="1"/>
  <c r="I37" i="5" s="1"/>
  <c r="K36" i="5"/>
  <c r="L36" i="5" s="1"/>
  <c r="K37" i="5" l="1"/>
  <c r="L37" i="5" s="1"/>
  <c r="J37" i="5"/>
  <c r="I38" i="5"/>
  <c r="K38" i="5" l="1"/>
  <c r="L38" i="5" s="1"/>
  <c r="J38" i="5"/>
  <c r="I39" i="5"/>
  <c r="J39" i="5" l="1"/>
  <c r="K39" i="5"/>
  <c r="L39" i="5" s="1"/>
  <c r="I40" i="5"/>
  <c r="J40" i="5" l="1"/>
  <c r="K40" i="5"/>
  <c r="L40" i="5" s="1"/>
  <c r="I41" i="5"/>
  <c r="J41" i="5" l="1"/>
  <c r="K41" i="5"/>
  <c r="L41" i="5" s="1"/>
  <c r="I42" i="5"/>
  <c r="J42" i="5" l="1"/>
  <c r="K42" i="5"/>
  <c r="L42" i="5" s="1"/>
  <c r="I43" i="5"/>
  <c r="K43" i="5" l="1"/>
  <c r="L43" i="5" s="1"/>
  <c r="J43" i="5"/>
  <c r="I44" i="5" s="1"/>
  <c r="K44" i="5" l="1"/>
  <c r="L44" i="5" s="1"/>
  <c r="J44" i="5"/>
  <c r="I45" i="5"/>
  <c r="J45" i="5" l="1"/>
  <c r="I46" i="5" s="1"/>
  <c r="K45" i="5"/>
  <c r="L45" i="5" s="1"/>
  <c r="J46" i="5" l="1"/>
  <c r="I47" i="5" s="1"/>
  <c r="K46" i="5"/>
  <c r="L46" i="5" s="1"/>
  <c r="K47" i="5" l="1"/>
  <c r="L47" i="5" s="1"/>
  <c r="J47" i="5"/>
  <c r="I48" i="5"/>
  <c r="K48" i="5" l="1"/>
  <c r="L48" i="5" s="1"/>
  <c r="J48" i="5"/>
  <c r="I49" i="5"/>
  <c r="J49" i="5" l="1"/>
  <c r="I50" i="5" s="1"/>
  <c r="K49" i="5"/>
  <c r="L49" i="5" s="1"/>
  <c r="K50" i="5" l="1"/>
  <c r="L50" i="5" s="1"/>
  <c r="J50" i="5"/>
  <c r="I51" i="5" s="1"/>
  <c r="K51" i="5" l="1"/>
  <c r="L51" i="5" s="1"/>
  <c r="J51" i="5"/>
  <c r="I52" i="5" s="1"/>
  <c r="K52" i="5" l="1"/>
  <c r="L52" i="5" s="1"/>
  <c r="J52" i="5"/>
  <c r="I53" i="5"/>
  <c r="J53" i="5" l="1"/>
  <c r="I54" i="5" s="1"/>
  <c r="K53" i="5"/>
  <c r="L53" i="5" s="1"/>
  <c r="K54" i="5" l="1"/>
  <c r="L54" i="5" s="1"/>
  <c r="J54" i="5"/>
  <c r="I55" i="5"/>
  <c r="J55" i="5" l="1"/>
  <c r="I56" i="5" s="1"/>
  <c r="K55" i="5"/>
  <c r="L55" i="5" s="1"/>
  <c r="K56" i="5" l="1"/>
  <c r="L56" i="5" s="1"/>
  <c r="J56" i="5"/>
  <c r="I57" i="5"/>
  <c r="J57" i="5" l="1"/>
  <c r="I58" i="5" s="1"/>
  <c r="K57" i="5"/>
  <c r="L57" i="5" s="1"/>
  <c r="K58" i="5" l="1"/>
  <c r="L58" i="5" s="1"/>
  <c r="J58" i="5"/>
  <c r="I59" i="5"/>
  <c r="J59" i="5" l="1"/>
  <c r="I60" i="5" s="1"/>
  <c r="K59" i="5"/>
  <c r="L59" i="5" s="1"/>
  <c r="K60" i="5" l="1"/>
  <c r="L60" i="5" s="1"/>
  <c r="J60" i="5"/>
  <c r="I61" i="5"/>
  <c r="J61" i="5" l="1"/>
  <c r="I62" i="5" s="1"/>
  <c r="K61" i="5"/>
  <c r="L61" i="5" s="1"/>
  <c r="K62" i="5" l="1"/>
  <c r="L62" i="5" s="1"/>
  <c r="J62" i="5"/>
  <c r="I63" i="5"/>
  <c r="J63" i="5" l="1"/>
  <c r="I64" i="5" s="1"/>
  <c r="K63" i="5"/>
  <c r="L63" i="5" s="1"/>
  <c r="K64" i="5" l="1"/>
  <c r="L64" i="5" s="1"/>
  <c r="J64" i="5"/>
  <c r="I65" i="5" s="1"/>
  <c r="K65" i="5" l="1"/>
  <c r="L65" i="5" s="1"/>
  <c r="J65" i="5"/>
  <c r="I66" i="5"/>
  <c r="J66" i="5" l="1"/>
  <c r="I67" i="5" s="1"/>
  <c r="K66" i="5"/>
  <c r="L66" i="5" s="1"/>
  <c r="K67" i="5" l="1"/>
  <c r="L67" i="5" s="1"/>
  <c r="J67" i="5"/>
  <c r="I68" i="5"/>
  <c r="J68" i="5" l="1"/>
  <c r="K68" i="5"/>
  <c r="L68" i="5" s="1"/>
  <c r="I69" i="5"/>
  <c r="J69" i="5" l="1"/>
  <c r="I70" i="5" s="1"/>
  <c r="K69" i="5"/>
  <c r="L69" i="5" s="1"/>
  <c r="K70" i="5" l="1"/>
  <c r="L70" i="5" s="1"/>
  <c r="J70" i="5"/>
  <c r="I71" i="5"/>
  <c r="J71" i="5" l="1"/>
  <c r="I72" i="5" s="1"/>
  <c r="K71" i="5"/>
  <c r="L71" i="5" s="1"/>
  <c r="K72" i="5" l="1"/>
  <c r="L72" i="5" s="1"/>
  <c r="J72" i="5"/>
  <c r="I73" i="5"/>
  <c r="J73" i="5" l="1"/>
  <c r="I74" i="5" s="1"/>
  <c r="K73" i="5"/>
  <c r="L73" i="5" s="1"/>
  <c r="K74" i="5" l="1"/>
  <c r="L74" i="5" s="1"/>
  <c r="J74" i="5"/>
  <c r="I75" i="5" s="1"/>
  <c r="K75" i="5" l="1"/>
  <c r="L75" i="5" s="1"/>
  <c r="J75" i="5"/>
  <c r="I76" i="5" s="1"/>
  <c r="K76" i="5" l="1"/>
  <c r="L76" i="5" s="1"/>
  <c r="J76" i="5"/>
  <c r="I77" i="5"/>
  <c r="J77" i="5" l="1"/>
  <c r="I78" i="5" s="1"/>
  <c r="K77" i="5"/>
  <c r="L77" i="5" s="1"/>
  <c r="K78" i="5" l="1"/>
  <c r="L78" i="5" s="1"/>
  <c r="J78" i="5"/>
  <c r="I79" i="5"/>
  <c r="J79" i="5" l="1"/>
  <c r="I80" i="5" s="1"/>
  <c r="K79" i="5"/>
  <c r="L79" i="5" s="1"/>
  <c r="K80" i="5" l="1"/>
  <c r="L80" i="5" s="1"/>
  <c r="J80" i="5"/>
  <c r="I81" i="5" s="1"/>
  <c r="K81" i="5" l="1"/>
  <c r="L81" i="5" s="1"/>
  <c r="J81" i="5"/>
  <c r="I82" i="5"/>
  <c r="J82" i="5" l="1"/>
  <c r="I83" i="5" s="1"/>
  <c r="K82" i="5"/>
  <c r="L82" i="5" s="1"/>
  <c r="K83" i="5" l="1"/>
  <c r="L83" i="5" s="1"/>
  <c r="J83" i="5"/>
  <c r="I84" i="5" s="1"/>
  <c r="K84" i="5" l="1"/>
  <c r="L84" i="5" s="1"/>
  <c r="J84" i="5"/>
  <c r="I85" i="5" s="1"/>
  <c r="K85" i="5" l="1"/>
  <c r="L85" i="5" s="1"/>
  <c r="J85" i="5"/>
  <c r="I86" i="5" s="1"/>
  <c r="K86" i="5" l="1"/>
  <c r="L86" i="5" s="1"/>
  <c r="J86" i="5"/>
  <c r="I87" i="5" s="1"/>
  <c r="K87" i="5" l="1"/>
  <c r="L87" i="5" s="1"/>
  <c r="J87" i="5"/>
  <c r="I88" i="5" s="1"/>
  <c r="K88" i="5" l="1"/>
  <c r="L88" i="5" s="1"/>
  <c r="J88" i="5"/>
  <c r="I89" i="5" s="1"/>
  <c r="K89" i="5" l="1"/>
  <c r="L89" i="5" s="1"/>
  <c r="J89" i="5"/>
  <c r="I90" i="5" s="1"/>
  <c r="K90" i="5" l="1"/>
  <c r="L90" i="5" s="1"/>
  <c r="J90" i="5"/>
  <c r="I91" i="5" s="1"/>
  <c r="K91" i="5" l="1"/>
  <c r="L91" i="5" s="1"/>
  <c r="J91" i="5"/>
  <c r="I92" i="5" s="1"/>
  <c r="K92" i="5" l="1"/>
  <c r="L92" i="5" s="1"/>
  <c r="J92" i="5"/>
  <c r="I93" i="5" s="1"/>
  <c r="K93" i="5" l="1"/>
  <c r="L93" i="5" s="1"/>
  <c r="J93" i="5"/>
  <c r="I94" i="5" s="1"/>
  <c r="K94" i="5" l="1"/>
  <c r="L94" i="5" s="1"/>
  <c r="J94" i="5"/>
  <c r="I95" i="5" s="1"/>
  <c r="K95" i="5" l="1"/>
  <c r="L95" i="5" s="1"/>
  <c r="J95" i="5"/>
  <c r="I96" i="5" s="1"/>
  <c r="K96" i="5" l="1"/>
  <c r="L96" i="5" s="1"/>
  <c r="J96" i="5"/>
  <c r="I97" i="5" s="1"/>
  <c r="K97" i="5" l="1"/>
  <c r="L97" i="5" s="1"/>
  <c r="J97" i="5"/>
  <c r="I98" i="5" s="1"/>
  <c r="K98" i="5" l="1"/>
  <c r="L98" i="5" s="1"/>
  <c r="J98" i="5"/>
  <c r="I99" i="5" s="1"/>
  <c r="K99" i="5" l="1"/>
  <c r="L99" i="5" s="1"/>
  <c r="J99" i="5"/>
  <c r="I100" i="5" s="1"/>
  <c r="K100" i="5" l="1"/>
  <c r="L100" i="5" s="1"/>
  <c r="J100" i="5"/>
  <c r="I101" i="5" s="1"/>
  <c r="K101" i="5" l="1"/>
  <c r="L101" i="5" s="1"/>
  <c r="J101" i="5"/>
  <c r="I102" i="5" s="1"/>
  <c r="K102" i="5" l="1"/>
  <c r="L102" i="5" s="1"/>
  <c r="J102" i="5"/>
  <c r="I103" i="5" s="1"/>
  <c r="K103" i="5" l="1"/>
  <c r="L103" i="5" s="1"/>
  <c r="J103" i="5"/>
  <c r="I104" i="5" s="1"/>
  <c r="K104" i="5" l="1"/>
  <c r="L104" i="5" s="1"/>
  <c r="J104" i="5"/>
  <c r="I105" i="5" s="1"/>
  <c r="K105" i="5" l="1"/>
  <c r="L105" i="5" s="1"/>
  <c r="J105" i="5"/>
  <c r="I106" i="5" s="1"/>
  <c r="K106" i="5" l="1"/>
  <c r="L106" i="5" s="1"/>
  <c r="J106" i="5"/>
  <c r="I107" i="5" s="1"/>
  <c r="K107" i="5" l="1"/>
  <c r="L107" i="5" s="1"/>
  <c r="J107" i="5"/>
  <c r="I108" i="5" s="1"/>
  <c r="K108" i="5" l="1"/>
  <c r="L108" i="5" s="1"/>
  <c r="J108" i="5"/>
  <c r="I109" i="5" s="1"/>
  <c r="K109" i="5" l="1"/>
  <c r="L109" i="5" s="1"/>
  <c r="J109" i="5"/>
  <c r="I110" i="5" s="1"/>
  <c r="K110" i="5" l="1"/>
  <c r="L110" i="5" s="1"/>
  <c r="J110" i="5"/>
  <c r="I111" i="5" s="1"/>
  <c r="K111" i="5" l="1"/>
  <c r="L111" i="5" s="1"/>
  <c r="J111" i="5"/>
  <c r="I112" i="5" s="1"/>
  <c r="K112" i="5" l="1"/>
  <c r="L112" i="5" s="1"/>
  <c r="J112" i="5"/>
  <c r="I113" i="5" s="1"/>
  <c r="K113" i="5" l="1"/>
  <c r="L113" i="5" s="1"/>
  <c r="J113" i="5"/>
  <c r="I114" i="5" s="1"/>
  <c r="K114" i="5" l="1"/>
  <c r="L114" i="5" s="1"/>
  <c r="J114" i="5"/>
  <c r="I115" i="5" s="1"/>
  <c r="K115" i="5" l="1"/>
  <c r="L115" i="5" s="1"/>
  <c r="J115" i="5"/>
  <c r="I116" i="5" s="1"/>
  <c r="K116" i="5" l="1"/>
  <c r="L116" i="5" s="1"/>
  <c r="J116" i="5"/>
  <c r="I117" i="5" s="1"/>
  <c r="K117" i="5" l="1"/>
  <c r="L117" i="5" s="1"/>
  <c r="J117" i="5"/>
  <c r="I118" i="5" s="1"/>
  <c r="K118" i="5" l="1"/>
  <c r="L118" i="5" s="1"/>
  <c r="J118" i="5"/>
  <c r="I119" i="5" s="1"/>
  <c r="K119" i="5" l="1"/>
  <c r="L119" i="5" s="1"/>
  <c r="J119" i="5"/>
  <c r="I120" i="5" s="1"/>
  <c r="K120" i="5" l="1"/>
  <c r="L120" i="5" s="1"/>
  <c r="J120" i="5"/>
  <c r="I121" i="5" s="1"/>
  <c r="K121" i="5" l="1"/>
  <c r="L121" i="5" s="1"/>
  <c r="J121" i="5"/>
  <c r="I122" i="5" s="1"/>
  <c r="K122" i="5" l="1"/>
  <c r="L122" i="5" s="1"/>
  <c r="J122" i="5"/>
  <c r="I123" i="5" s="1"/>
  <c r="J123" i="5" l="1"/>
  <c r="I124" i="5" s="1"/>
  <c r="K123" i="5"/>
  <c r="L123" i="5" s="1"/>
  <c r="K124" i="5" l="1"/>
  <c r="L124" i="5" s="1"/>
  <c r="J124" i="5"/>
  <c r="I125" i="5" s="1"/>
  <c r="J125" i="5" l="1"/>
  <c r="I126" i="5" s="1"/>
  <c r="K125" i="5"/>
  <c r="L125" i="5" s="1"/>
  <c r="K126" i="5" l="1"/>
  <c r="L126" i="5" s="1"/>
  <c r="J126" i="5"/>
  <c r="I127" i="5" s="1"/>
  <c r="J127" i="5" l="1"/>
  <c r="I128" i="5" s="1"/>
  <c r="K127" i="5"/>
  <c r="L127" i="5" s="1"/>
  <c r="K128" i="5" l="1"/>
  <c r="L128" i="5" s="1"/>
  <c r="J128" i="5"/>
  <c r="I129" i="5" s="1"/>
  <c r="J129" i="5" l="1"/>
  <c r="I130" i="5" s="1"/>
  <c r="K129" i="5"/>
  <c r="L129" i="5" s="1"/>
  <c r="J130" i="5" l="1"/>
  <c r="I131" i="5" s="1"/>
  <c r="K130" i="5"/>
  <c r="L130" i="5" s="1"/>
  <c r="J131" i="5" l="1"/>
  <c r="I132" i="5" s="1"/>
  <c r="K131" i="5"/>
  <c r="L131" i="5" s="1"/>
  <c r="K132" i="5" l="1"/>
  <c r="L132" i="5" s="1"/>
  <c r="J132" i="5"/>
  <c r="I133" i="5" s="1"/>
  <c r="K133" i="5" l="1"/>
  <c r="L133" i="5" s="1"/>
  <c r="J133" i="5"/>
  <c r="I134" i="5" s="1"/>
  <c r="K134" i="5" l="1"/>
  <c r="L134" i="5" s="1"/>
  <c r="J134" i="5"/>
  <c r="I135" i="5" s="1"/>
  <c r="K135" i="5" l="1"/>
  <c r="L135" i="5" s="1"/>
  <c r="J135" i="5"/>
  <c r="I136" i="5" s="1"/>
  <c r="K136" i="5" l="1"/>
  <c r="L136" i="5" s="1"/>
  <c r="J136" i="5"/>
  <c r="I137" i="5" s="1"/>
  <c r="K137" i="5" l="1"/>
  <c r="L137" i="5" s="1"/>
  <c r="J137" i="5"/>
  <c r="I138" i="5" s="1"/>
  <c r="K138" i="5" l="1"/>
  <c r="L138" i="5" s="1"/>
  <c r="J138" i="5"/>
  <c r="I139" i="5" s="1"/>
  <c r="K139" i="5" l="1"/>
  <c r="L139" i="5" s="1"/>
  <c r="J139" i="5"/>
  <c r="I140" i="5" s="1"/>
  <c r="K140" i="5" l="1"/>
  <c r="L140" i="5" s="1"/>
  <c r="J140" i="5"/>
  <c r="I141" i="5" s="1"/>
  <c r="K141" i="5" l="1"/>
  <c r="L141" i="5" s="1"/>
  <c r="J141" i="5"/>
  <c r="I142" i="5" s="1"/>
  <c r="K142" i="5" l="1"/>
  <c r="L142" i="5" s="1"/>
  <c r="J142" i="5"/>
  <c r="I143" i="5" s="1"/>
  <c r="K143" i="5" l="1"/>
  <c r="L143" i="5" s="1"/>
  <c r="J143" i="5"/>
  <c r="I144" i="5" s="1"/>
  <c r="K144" i="5" l="1"/>
  <c r="L144" i="5" s="1"/>
  <c r="J144" i="5"/>
  <c r="I145" i="5" s="1"/>
  <c r="K145" i="5" l="1"/>
  <c r="L145" i="5" s="1"/>
  <c r="J145" i="5"/>
  <c r="I146" i="5" s="1"/>
  <c r="K146" i="5" l="1"/>
  <c r="L146" i="5" s="1"/>
  <c r="J146" i="5"/>
  <c r="I147" i="5" s="1"/>
  <c r="K147" i="5" l="1"/>
  <c r="L147" i="5" s="1"/>
  <c r="J147" i="5"/>
  <c r="I148" i="5" s="1"/>
  <c r="K148" i="5" l="1"/>
  <c r="L148" i="5" s="1"/>
  <c r="J148" i="5"/>
  <c r="I149" i="5" s="1"/>
  <c r="K149" i="5" l="1"/>
  <c r="L149" i="5" s="1"/>
  <c r="J149" i="5"/>
  <c r="I150" i="5" s="1"/>
  <c r="K150" i="5" l="1"/>
  <c r="L150" i="5" s="1"/>
  <c r="J150" i="5"/>
  <c r="I151" i="5" s="1"/>
  <c r="K151" i="5" l="1"/>
  <c r="L151" i="5" s="1"/>
  <c r="J151" i="5"/>
  <c r="I152" i="5" s="1"/>
  <c r="K152" i="5" l="1"/>
  <c r="L152" i="5" s="1"/>
  <c r="J152" i="5"/>
  <c r="I153" i="5" s="1"/>
  <c r="K153" i="5" l="1"/>
  <c r="L153" i="5" s="1"/>
  <c r="J153" i="5"/>
  <c r="I154" i="5" s="1"/>
  <c r="J154" i="5" l="1"/>
  <c r="I155" i="5" s="1"/>
  <c r="K154" i="5"/>
  <c r="L154" i="5" s="1"/>
  <c r="K155" i="5" l="1"/>
  <c r="L155" i="5" s="1"/>
  <c r="J155" i="5"/>
  <c r="I156" i="5" s="1"/>
  <c r="K156" i="5" l="1"/>
  <c r="L156" i="5" s="1"/>
  <c r="J156" i="5"/>
  <c r="I157" i="5" s="1"/>
  <c r="K157" i="5" l="1"/>
  <c r="L157" i="5" s="1"/>
  <c r="J157" i="5"/>
  <c r="I158" i="5" s="1"/>
  <c r="K158" i="5" l="1"/>
  <c r="L158" i="5" s="1"/>
  <c r="J158" i="5"/>
  <c r="I159" i="5" s="1"/>
  <c r="K159" i="5" l="1"/>
  <c r="L159" i="5" s="1"/>
  <c r="J159" i="5"/>
  <c r="I160" i="5" s="1"/>
  <c r="K160" i="5" l="1"/>
  <c r="L160" i="5" s="1"/>
  <c r="J160" i="5"/>
  <c r="I161" i="5" s="1"/>
  <c r="K161" i="5" l="1"/>
  <c r="L161" i="5" s="1"/>
  <c r="J161" i="5"/>
  <c r="I162" i="5" s="1"/>
  <c r="J162" i="5" l="1"/>
  <c r="I163" i="5" s="1"/>
  <c r="K162" i="5"/>
  <c r="L162" i="5" s="1"/>
  <c r="J163" i="5" l="1"/>
  <c r="I164" i="5" s="1"/>
  <c r="K163" i="5"/>
  <c r="L163" i="5" s="1"/>
  <c r="K164" i="5" l="1"/>
  <c r="L164" i="5" s="1"/>
  <c r="J164" i="5"/>
  <c r="I165" i="5" s="1"/>
  <c r="K165" i="5" l="1"/>
  <c r="L165" i="5" s="1"/>
  <c r="J165" i="5"/>
  <c r="I166" i="5" s="1"/>
  <c r="J166" i="5" l="1"/>
  <c r="I167" i="5" s="1"/>
  <c r="K166" i="5"/>
  <c r="L166" i="5" s="1"/>
  <c r="K167" i="5" l="1"/>
  <c r="L167" i="5" s="1"/>
  <c r="J167" i="5"/>
  <c r="I168" i="5" s="1"/>
  <c r="J168" i="5" l="1"/>
  <c r="I169" i="5" s="1"/>
  <c r="K168" i="5"/>
  <c r="L168" i="5" s="1"/>
  <c r="K169" i="5" l="1"/>
  <c r="L169" i="5" s="1"/>
  <c r="J169" i="5"/>
  <c r="I170" i="5" s="1"/>
  <c r="K170" i="5" l="1"/>
  <c r="L170" i="5" s="1"/>
  <c r="J170" i="5"/>
  <c r="I171" i="5" s="1"/>
  <c r="J171" i="5" l="1"/>
  <c r="I172" i="5" s="1"/>
  <c r="K171" i="5"/>
  <c r="L171" i="5" s="1"/>
  <c r="K172" i="5" l="1"/>
  <c r="L172" i="5" s="1"/>
  <c r="J172" i="5"/>
  <c r="I173" i="5" s="1"/>
  <c r="K173" i="5" l="1"/>
  <c r="L173" i="5" s="1"/>
  <c r="J173" i="5"/>
  <c r="I174" i="5" s="1"/>
  <c r="K174" i="5" l="1"/>
  <c r="L174" i="5" s="1"/>
  <c r="J174" i="5"/>
  <c r="I175" i="5" s="1"/>
  <c r="J175" i="5" l="1"/>
  <c r="I176" i="5" s="1"/>
  <c r="K175" i="5"/>
  <c r="L175" i="5" s="1"/>
  <c r="J176" i="5" l="1"/>
  <c r="I177" i="5" s="1"/>
  <c r="K176" i="5"/>
  <c r="L176" i="5" s="1"/>
  <c r="K177" i="5" l="1"/>
  <c r="L177" i="5" s="1"/>
  <c r="J177" i="5"/>
  <c r="I178" i="5" s="1"/>
  <c r="K178" i="5" l="1"/>
  <c r="L178" i="5" s="1"/>
  <c r="J178" i="5"/>
  <c r="I179" i="5" s="1"/>
  <c r="K179" i="5" l="1"/>
  <c r="L179" i="5" s="1"/>
  <c r="J179" i="5"/>
  <c r="I180" i="5" s="1"/>
  <c r="K180" i="5" l="1"/>
  <c r="L180" i="5" s="1"/>
  <c r="J180" i="5"/>
  <c r="I181" i="5" s="1"/>
  <c r="K181" i="5" l="1"/>
  <c r="L181" i="5" s="1"/>
  <c r="J181" i="5"/>
  <c r="I182" i="5" s="1"/>
  <c r="K182" i="5" l="1"/>
  <c r="L182" i="5" s="1"/>
  <c r="J182" i="5"/>
  <c r="I183" i="5" s="1"/>
  <c r="K183" i="5" l="1"/>
  <c r="L183" i="5" s="1"/>
  <c r="J183" i="5"/>
  <c r="I184" i="5" s="1"/>
  <c r="K184" i="5" l="1"/>
  <c r="L184" i="5" s="1"/>
  <c r="J184" i="5"/>
  <c r="I185" i="5" s="1"/>
  <c r="K185" i="5" l="1"/>
  <c r="L185" i="5" s="1"/>
  <c r="J185" i="5"/>
  <c r="I186" i="5" s="1"/>
  <c r="K186" i="5" l="1"/>
  <c r="L186" i="5" s="1"/>
  <c r="J186" i="5"/>
  <c r="I187" i="5" s="1"/>
  <c r="K187" i="5" l="1"/>
  <c r="L187" i="5" s="1"/>
  <c r="J187" i="5"/>
  <c r="I188" i="5" s="1"/>
  <c r="K188" i="5" l="1"/>
  <c r="L188" i="5" s="1"/>
  <c r="J188" i="5"/>
  <c r="I189" i="5" s="1"/>
  <c r="K189" i="5" l="1"/>
  <c r="L189" i="5" s="1"/>
  <c r="J189" i="5"/>
  <c r="I190" i="5" s="1"/>
  <c r="K190" i="5" l="1"/>
  <c r="L190" i="5" s="1"/>
  <c r="J190" i="5"/>
  <c r="I191" i="5" s="1"/>
  <c r="K191" i="5" l="1"/>
  <c r="L191" i="5" s="1"/>
  <c r="J191" i="5"/>
  <c r="I192" i="5" s="1"/>
  <c r="K192" i="5" l="1"/>
  <c r="L192" i="5" s="1"/>
  <c r="J192" i="5"/>
  <c r="I193" i="5" s="1"/>
  <c r="K193" i="5" l="1"/>
  <c r="L193" i="5" s="1"/>
  <c r="J193" i="5"/>
  <c r="I194" i="5" s="1"/>
  <c r="K194" i="5" l="1"/>
  <c r="L194" i="5" s="1"/>
  <c r="J194" i="5"/>
  <c r="I195" i="5" s="1"/>
  <c r="K195" i="5" l="1"/>
  <c r="L195" i="5" s="1"/>
  <c r="J195" i="5"/>
  <c r="I196" i="5" s="1"/>
  <c r="K196" i="5" l="1"/>
  <c r="L196" i="5" s="1"/>
  <c r="J196" i="5"/>
  <c r="I197" i="5" s="1"/>
  <c r="K197" i="5" l="1"/>
  <c r="L197" i="5" s="1"/>
  <c r="J197" i="5"/>
  <c r="I198" i="5" s="1"/>
  <c r="K198" i="5" l="1"/>
  <c r="L198" i="5" s="1"/>
  <c r="J198" i="5"/>
  <c r="I199" i="5" s="1"/>
  <c r="K199" i="5" l="1"/>
  <c r="L199" i="5" s="1"/>
  <c r="J199" i="5"/>
  <c r="I200" i="5" s="1"/>
  <c r="K200" i="5" l="1"/>
  <c r="L200" i="5" s="1"/>
  <c r="J200" i="5"/>
  <c r="I201" i="5" s="1"/>
  <c r="K201" i="5" l="1"/>
  <c r="L201" i="5" s="1"/>
  <c r="J201" i="5"/>
  <c r="I202" i="5" s="1"/>
  <c r="K202" i="5" l="1"/>
  <c r="L202" i="5" s="1"/>
  <c r="J202" i="5"/>
  <c r="I203" i="5" s="1"/>
  <c r="K203" i="5" l="1"/>
  <c r="L203" i="5" s="1"/>
  <c r="J203" i="5"/>
  <c r="I204" i="5" s="1"/>
  <c r="K204" i="5" l="1"/>
  <c r="L204" i="5" s="1"/>
  <c r="J204" i="5"/>
  <c r="I205" i="5" s="1"/>
  <c r="J205" i="5" l="1"/>
  <c r="I206" i="5" s="1"/>
  <c r="K205" i="5"/>
  <c r="L205" i="5" s="1"/>
  <c r="K206" i="5" l="1"/>
  <c r="L206" i="5" s="1"/>
  <c r="J206" i="5"/>
  <c r="I207" i="5" s="1"/>
  <c r="J207" i="5" l="1"/>
  <c r="I208" i="5" s="1"/>
  <c r="K207" i="5"/>
  <c r="L207" i="5" s="1"/>
  <c r="J208" i="5" l="1"/>
  <c r="I209" i="5" s="1"/>
  <c r="K208" i="5"/>
  <c r="L208" i="5" s="1"/>
  <c r="K209" i="5" l="1"/>
  <c r="L209" i="5" s="1"/>
  <c r="J209" i="5"/>
  <c r="I210" i="5" s="1"/>
  <c r="K210" i="5" l="1"/>
  <c r="L210" i="5" s="1"/>
  <c r="J210" i="5"/>
  <c r="I211" i="5" s="1"/>
  <c r="J211" i="5" l="1"/>
  <c r="I212" i="5" s="1"/>
  <c r="K211" i="5"/>
  <c r="L211" i="5" s="1"/>
  <c r="K212" i="5" l="1"/>
  <c r="L212" i="5" s="1"/>
  <c r="J212" i="5"/>
  <c r="I213" i="5" s="1"/>
  <c r="K213" i="5" l="1"/>
  <c r="L213" i="5" s="1"/>
  <c r="J213" i="5"/>
  <c r="I214" i="5" s="1"/>
  <c r="K214" i="5" l="1"/>
  <c r="L214" i="5" s="1"/>
  <c r="J214" i="5"/>
  <c r="I215" i="5" s="1"/>
  <c r="K215" i="5" l="1"/>
  <c r="L215" i="5" s="1"/>
  <c r="J215" i="5"/>
  <c r="I216" i="5" s="1"/>
  <c r="K216" i="5" l="1"/>
  <c r="L216" i="5" s="1"/>
  <c r="J216" i="5"/>
  <c r="I217" i="5" s="1"/>
  <c r="J217" i="5" l="1"/>
  <c r="I218" i="5" s="1"/>
  <c r="K217" i="5"/>
  <c r="L217" i="5" s="1"/>
  <c r="J218" i="5" l="1"/>
  <c r="I219" i="5" s="1"/>
  <c r="K218" i="5"/>
  <c r="L218" i="5" s="1"/>
  <c r="K219" i="5" l="1"/>
  <c r="L219" i="5" s="1"/>
  <c r="J219" i="5"/>
  <c r="I220" i="5" s="1"/>
  <c r="K220" i="5" l="1"/>
  <c r="L220" i="5" s="1"/>
  <c r="J220" i="5"/>
  <c r="I221" i="5" s="1"/>
  <c r="K221" i="5" l="1"/>
  <c r="L221" i="5" s="1"/>
  <c r="J221" i="5"/>
  <c r="I222" i="5" s="1"/>
  <c r="K222" i="5" l="1"/>
  <c r="L222" i="5" s="1"/>
  <c r="J222" i="5"/>
  <c r="I223" i="5" s="1"/>
  <c r="K223" i="5" l="1"/>
  <c r="L223" i="5" s="1"/>
  <c r="J223" i="5"/>
  <c r="I224" i="5" s="1"/>
  <c r="K224" i="5" l="1"/>
  <c r="L224" i="5" s="1"/>
  <c r="J224" i="5"/>
  <c r="I225" i="5" s="1"/>
  <c r="K225" i="5" l="1"/>
  <c r="L225" i="5" s="1"/>
  <c r="J225" i="5"/>
  <c r="I226" i="5" s="1"/>
  <c r="K226" i="5" l="1"/>
  <c r="L226" i="5" s="1"/>
  <c r="J226" i="5"/>
  <c r="I227" i="5" s="1"/>
  <c r="K227" i="5" l="1"/>
  <c r="L227" i="5" s="1"/>
  <c r="J227" i="5"/>
  <c r="I228" i="5" s="1"/>
  <c r="K228" i="5" l="1"/>
  <c r="L228" i="5" s="1"/>
  <c r="J228" i="5"/>
  <c r="I229" i="5" s="1"/>
  <c r="K229" i="5" l="1"/>
  <c r="L229" i="5" s="1"/>
  <c r="J229" i="5"/>
  <c r="I230" i="5" s="1"/>
  <c r="K230" i="5" l="1"/>
  <c r="L230" i="5" s="1"/>
  <c r="J230" i="5"/>
  <c r="I231" i="5" s="1"/>
  <c r="K231" i="5" l="1"/>
  <c r="L231" i="5" s="1"/>
  <c r="J231" i="5"/>
  <c r="I232" i="5" s="1"/>
  <c r="K232" i="5" l="1"/>
  <c r="L232" i="5" s="1"/>
  <c r="J232" i="5"/>
  <c r="I233" i="5" s="1"/>
  <c r="K233" i="5" l="1"/>
  <c r="L233" i="5" s="1"/>
  <c r="J233" i="5"/>
  <c r="I234" i="5" s="1"/>
  <c r="K234" i="5" l="1"/>
  <c r="L234" i="5" s="1"/>
  <c r="J234" i="5"/>
  <c r="I235" i="5" s="1"/>
  <c r="K235" i="5" l="1"/>
  <c r="L235" i="5" s="1"/>
  <c r="J235" i="5"/>
  <c r="I236" i="5" s="1"/>
  <c r="K236" i="5" l="1"/>
  <c r="L236" i="5" s="1"/>
  <c r="J236" i="5"/>
  <c r="I237" i="5" s="1"/>
  <c r="K237" i="5" l="1"/>
  <c r="L237" i="5" s="1"/>
  <c r="J237" i="5"/>
  <c r="I238" i="5" s="1"/>
  <c r="K238" i="5" l="1"/>
  <c r="L238" i="5" s="1"/>
  <c r="J238" i="5"/>
  <c r="I239" i="5" s="1"/>
  <c r="K239" i="5" l="1"/>
  <c r="L239" i="5" s="1"/>
  <c r="J239" i="5"/>
  <c r="I240" i="5" s="1"/>
  <c r="K240" i="5" l="1"/>
  <c r="L240" i="5" s="1"/>
  <c r="J240" i="5"/>
  <c r="I241" i="5" s="1"/>
  <c r="K241" i="5" l="1"/>
  <c r="L241" i="5" s="1"/>
  <c r="J241" i="5"/>
  <c r="I242" i="5" s="1"/>
  <c r="K242" i="5" l="1"/>
  <c r="L242" i="5" s="1"/>
  <c r="J242" i="5"/>
  <c r="I243" i="5" s="1"/>
  <c r="K243" i="5" l="1"/>
  <c r="L243" i="5" s="1"/>
  <c r="J243" i="5"/>
  <c r="I244" i="5" s="1"/>
  <c r="K244" i="5" l="1"/>
  <c r="L244" i="5" s="1"/>
  <c r="J244" i="5"/>
  <c r="I245" i="5" s="1"/>
  <c r="K245" i="5" l="1"/>
  <c r="L245" i="5" s="1"/>
  <c r="J245" i="5"/>
  <c r="I246" i="5" s="1"/>
  <c r="K246" i="5" l="1"/>
  <c r="L246" i="5" s="1"/>
  <c r="J246" i="5"/>
  <c r="I247" i="5" s="1"/>
  <c r="K247" i="5" l="1"/>
  <c r="L247" i="5" s="1"/>
  <c r="J247" i="5"/>
  <c r="I248" i="5" s="1"/>
  <c r="K248" i="5" l="1"/>
  <c r="L248" i="5" s="1"/>
  <c r="J248" i="5"/>
  <c r="I249" i="5" s="1"/>
  <c r="K249" i="5" l="1"/>
  <c r="L249" i="5" s="1"/>
  <c r="J249" i="5"/>
  <c r="I250" i="5" s="1"/>
  <c r="K250" i="5" l="1"/>
  <c r="L250" i="5" s="1"/>
  <c r="J250" i="5"/>
  <c r="I251" i="5" s="1"/>
  <c r="K251" i="5" l="1"/>
  <c r="L251" i="5" s="1"/>
  <c r="J251" i="5"/>
  <c r="I252" i="5" s="1"/>
  <c r="K252" i="5" l="1"/>
  <c r="L252" i="5" s="1"/>
  <c r="J252" i="5"/>
  <c r="I253" i="5" s="1"/>
  <c r="K253" i="5" l="1"/>
  <c r="L253" i="5" s="1"/>
  <c r="J253" i="5"/>
  <c r="I254" i="5" s="1"/>
  <c r="K254" i="5" l="1"/>
  <c r="L254" i="5" s="1"/>
  <c r="J254" i="5"/>
  <c r="I255" i="5" s="1"/>
  <c r="K255" i="5" l="1"/>
  <c r="L255" i="5" s="1"/>
  <c r="J255" i="5"/>
  <c r="I256" i="5" s="1"/>
  <c r="K256" i="5" l="1"/>
  <c r="L256" i="5" s="1"/>
  <c r="J256" i="5"/>
  <c r="I257" i="5" s="1"/>
  <c r="K257" i="5" l="1"/>
  <c r="L257" i="5" s="1"/>
  <c r="J257" i="5"/>
  <c r="I258" i="5" s="1"/>
  <c r="K258" i="5" l="1"/>
  <c r="L258" i="5" s="1"/>
  <c r="J258" i="5"/>
  <c r="I259" i="5" s="1"/>
  <c r="K259" i="5" l="1"/>
  <c r="L259" i="5" s="1"/>
  <c r="J259" i="5"/>
  <c r="I260" i="5" s="1"/>
  <c r="K260" i="5" l="1"/>
  <c r="L260" i="5" s="1"/>
  <c r="J260" i="5"/>
  <c r="I261" i="5" s="1"/>
  <c r="K261" i="5" l="1"/>
  <c r="L261" i="5" s="1"/>
  <c r="J261" i="5"/>
  <c r="I262" i="5" s="1"/>
  <c r="K262" i="5" l="1"/>
  <c r="L262" i="5" s="1"/>
  <c r="J262" i="5"/>
  <c r="I263" i="5" s="1"/>
  <c r="K263" i="5" l="1"/>
  <c r="L263" i="5" s="1"/>
  <c r="J263" i="5"/>
  <c r="I264" i="5" s="1"/>
  <c r="K264" i="5" l="1"/>
  <c r="L264" i="5" s="1"/>
  <c r="J264" i="5"/>
  <c r="I265" i="5" s="1"/>
  <c r="K265" i="5" l="1"/>
  <c r="L265" i="5" s="1"/>
  <c r="J265" i="5"/>
  <c r="I266" i="5" s="1"/>
  <c r="K266" i="5" l="1"/>
  <c r="L266" i="5" s="1"/>
  <c r="J266" i="5"/>
  <c r="I267" i="5" s="1"/>
  <c r="K267" i="5" l="1"/>
  <c r="L267" i="5" s="1"/>
  <c r="J267" i="5"/>
  <c r="I268" i="5" s="1"/>
  <c r="K268" i="5" l="1"/>
  <c r="L268" i="5" s="1"/>
  <c r="J268" i="5"/>
  <c r="I269" i="5" s="1"/>
  <c r="K269" i="5" l="1"/>
  <c r="L269" i="5" s="1"/>
  <c r="J269" i="5"/>
  <c r="I270" i="5" s="1"/>
  <c r="K270" i="5" l="1"/>
  <c r="L270" i="5" s="1"/>
  <c r="J270" i="5"/>
  <c r="I271" i="5" s="1"/>
  <c r="K271" i="5" l="1"/>
  <c r="L271" i="5" s="1"/>
  <c r="J271" i="5"/>
  <c r="I272" i="5" s="1"/>
  <c r="K272" i="5" l="1"/>
  <c r="L272" i="5" s="1"/>
  <c r="J272" i="5"/>
  <c r="I273" i="5" s="1"/>
  <c r="K273" i="5" l="1"/>
  <c r="L273" i="5" s="1"/>
  <c r="J273" i="5"/>
  <c r="I274" i="5" s="1"/>
  <c r="K274" i="5" l="1"/>
  <c r="L274" i="5" s="1"/>
  <c r="J274" i="5"/>
  <c r="I275" i="5" s="1"/>
  <c r="K275" i="5" l="1"/>
  <c r="L275" i="5" s="1"/>
  <c r="J275" i="5"/>
  <c r="I276" i="5" s="1"/>
  <c r="K276" i="5" l="1"/>
  <c r="L276" i="5" s="1"/>
  <c r="J276" i="5"/>
  <c r="I277" i="5" s="1"/>
  <c r="K277" i="5" l="1"/>
  <c r="L277" i="5" s="1"/>
  <c r="J277" i="5"/>
  <c r="I278" i="5" s="1"/>
  <c r="K278" i="5" l="1"/>
  <c r="L278" i="5" s="1"/>
  <c r="J278" i="5"/>
  <c r="I279" i="5" s="1"/>
  <c r="K279" i="5" l="1"/>
  <c r="L279" i="5" s="1"/>
  <c r="J279" i="5"/>
  <c r="I280" i="5" s="1"/>
  <c r="K280" i="5" l="1"/>
  <c r="L280" i="5" s="1"/>
  <c r="J280" i="5"/>
  <c r="I281" i="5" s="1"/>
  <c r="K281" i="5" l="1"/>
  <c r="L281" i="5" s="1"/>
  <c r="J281" i="5"/>
  <c r="I282" i="5" s="1"/>
  <c r="K282" i="5" l="1"/>
  <c r="L282" i="5" s="1"/>
  <c r="J282" i="5"/>
  <c r="I283" i="5" s="1"/>
  <c r="K283" i="5" l="1"/>
  <c r="L283" i="5" s="1"/>
  <c r="J283" i="5"/>
  <c r="I284" i="5" s="1"/>
  <c r="K284" i="5" l="1"/>
  <c r="L284" i="5" s="1"/>
  <c r="J284" i="5"/>
  <c r="I285" i="5" s="1"/>
  <c r="K285" i="5" l="1"/>
  <c r="L285" i="5" s="1"/>
  <c r="J285" i="5"/>
  <c r="I286" i="5" s="1"/>
  <c r="K286" i="5" l="1"/>
  <c r="L286" i="5" s="1"/>
  <c r="J286" i="5"/>
  <c r="I287" i="5" s="1"/>
  <c r="K287" i="5" l="1"/>
  <c r="L287" i="5" s="1"/>
  <c r="J287" i="5"/>
  <c r="I288" i="5" s="1"/>
  <c r="K288" i="5" l="1"/>
  <c r="L288" i="5" s="1"/>
  <c r="J288" i="5"/>
  <c r="I289" i="5" s="1"/>
  <c r="K289" i="5" l="1"/>
  <c r="L289" i="5" s="1"/>
  <c r="J289" i="5"/>
  <c r="I290" i="5" s="1"/>
  <c r="K290" i="5" l="1"/>
  <c r="L290" i="5" s="1"/>
  <c r="J290" i="5"/>
  <c r="I291" i="5" s="1"/>
  <c r="K291" i="5" l="1"/>
  <c r="L291" i="5" s="1"/>
  <c r="J291" i="5"/>
  <c r="I292" i="5" s="1"/>
  <c r="K292" i="5" l="1"/>
  <c r="L292" i="5" s="1"/>
  <c r="J292" i="5"/>
  <c r="I293" i="5" s="1"/>
  <c r="K293" i="5" l="1"/>
  <c r="L293" i="5" s="1"/>
  <c r="J293" i="5"/>
  <c r="I294" i="5" s="1"/>
  <c r="K294" i="5" l="1"/>
  <c r="L294" i="5" s="1"/>
  <c r="J294" i="5"/>
  <c r="I295" i="5" s="1"/>
  <c r="K295" i="5" l="1"/>
  <c r="L295" i="5" s="1"/>
  <c r="J295" i="5"/>
  <c r="I296" i="5" s="1"/>
  <c r="K296" i="5" l="1"/>
  <c r="L296" i="5" s="1"/>
  <c r="J296" i="5"/>
  <c r="I297" i="5" s="1"/>
  <c r="K297" i="5" l="1"/>
  <c r="L297" i="5" s="1"/>
  <c r="J297" i="5"/>
  <c r="I298" i="5" s="1"/>
  <c r="K298" i="5" l="1"/>
  <c r="L298" i="5" s="1"/>
  <c r="J298" i="5"/>
  <c r="I299" i="5" s="1"/>
  <c r="K299" i="5" l="1"/>
  <c r="L299" i="5" s="1"/>
  <c r="J299" i="5"/>
  <c r="I300" i="5" s="1"/>
  <c r="K300" i="5" l="1"/>
  <c r="L300" i="5" s="1"/>
  <c r="J300" i="5"/>
  <c r="I301" i="5" s="1"/>
  <c r="K301" i="5" l="1"/>
  <c r="L301" i="5" s="1"/>
  <c r="J301" i="5"/>
  <c r="I302" i="5" s="1"/>
  <c r="K302" i="5" l="1"/>
  <c r="L302" i="5" s="1"/>
  <c r="J302" i="5"/>
  <c r="I303" i="5" s="1"/>
  <c r="K303" i="5" l="1"/>
  <c r="L303" i="5" s="1"/>
  <c r="J303" i="5"/>
  <c r="I304" i="5" s="1"/>
  <c r="K304" i="5" l="1"/>
  <c r="L304" i="5" s="1"/>
  <c r="J304" i="5"/>
  <c r="I305" i="5" s="1"/>
  <c r="K305" i="5" l="1"/>
  <c r="L305" i="5" s="1"/>
  <c r="J305" i="5"/>
  <c r="I306" i="5" s="1"/>
  <c r="K306" i="5" l="1"/>
  <c r="L306" i="5" s="1"/>
  <c r="J306" i="5"/>
  <c r="I307" i="5" s="1"/>
  <c r="K307" i="5" l="1"/>
  <c r="L307" i="5" s="1"/>
  <c r="J307" i="5"/>
  <c r="I308" i="5" s="1"/>
  <c r="K308" i="5" l="1"/>
  <c r="L308" i="5" s="1"/>
  <c r="J308" i="5"/>
  <c r="I309" i="5" s="1"/>
  <c r="K309" i="5" l="1"/>
  <c r="L309" i="5" s="1"/>
  <c r="J309" i="5"/>
  <c r="I310" i="5" s="1"/>
  <c r="K310" i="5" l="1"/>
  <c r="L310" i="5" s="1"/>
  <c r="J310" i="5"/>
  <c r="I311" i="5" s="1"/>
  <c r="K311" i="5" l="1"/>
  <c r="L311" i="5" s="1"/>
  <c r="J311" i="5"/>
  <c r="I312" i="5" s="1"/>
  <c r="K312" i="5" l="1"/>
  <c r="L312" i="5" s="1"/>
  <c r="J312" i="5"/>
  <c r="I313" i="5" s="1"/>
  <c r="K313" i="5" l="1"/>
  <c r="L313" i="5" s="1"/>
  <c r="J313" i="5"/>
  <c r="I314" i="5" s="1"/>
  <c r="K314" i="5" l="1"/>
  <c r="L314" i="5" s="1"/>
  <c r="J314" i="5"/>
  <c r="I315" i="5" s="1"/>
  <c r="K315" i="5" l="1"/>
  <c r="L315" i="5" s="1"/>
  <c r="J315" i="5"/>
  <c r="I316" i="5" s="1"/>
  <c r="K316" i="5" l="1"/>
  <c r="L316" i="5" s="1"/>
  <c r="J316" i="5"/>
  <c r="I317" i="5" s="1"/>
  <c r="K317" i="5" l="1"/>
  <c r="L317" i="5" s="1"/>
  <c r="J317" i="5"/>
  <c r="I318" i="5" s="1"/>
  <c r="K318" i="5" l="1"/>
  <c r="L318" i="5" s="1"/>
  <c r="J318" i="5"/>
  <c r="I319" i="5" s="1"/>
  <c r="K319" i="5" l="1"/>
  <c r="L319" i="5" s="1"/>
  <c r="J319" i="5"/>
  <c r="I320" i="5" s="1"/>
  <c r="K320" i="5" l="1"/>
  <c r="L320" i="5" s="1"/>
  <c r="J320" i="5"/>
  <c r="I321" i="5" s="1"/>
  <c r="K321" i="5" l="1"/>
  <c r="L321" i="5" s="1"/>
  <c r="J321" i="5"/>
  <c r="I322" i="5" s="1"/>
  <c r="K322" i="5" l="1"/>
  <c r="L322" i="5" s="1"/>
  <c r="J322" i="5"/>
  <c r="I323" i="5" s="1"/>
  <c r="K323" i="5" l="1"/>
  <c r="L323" i="5" s="1"/>
  <c r="J323" i="5"/>
  <c r="I324" i="5" s="1"/>
  <c r="K324" i="5" l="1"/>
  <c r="L324" i="5" s="1"/>
  <c r="J324" i="5"/>
  <c r="I325" i="5" s="1"/>
  <c r="K325" i="5" l="1"/>
  <c r="L325" i="5" s="1"/>
  <c r="J325" i="5"/>
  <c r="I326" i="5" s="1"/>
  <c r="K326" i="5" l="1"/>
  <c r="L326" i="5" s="1"/>
  <c r="J326" i="5"/>
  <c r="I327" i="5" s="1"/>
  <c r="K327" i="5" l="1"/>
  <c r="L327" i="5" s="1"/>
  <c r="J327" i="5"/>
  <c r="I328" i="5" s="1"/>
  <c r="K328" i="5" l="1"/>
  <c r="L328" i="5" s="1"/>
  <c r="J328" i="5"/>
  <c r="I329" i="5" s="1"/>
  <c r="K329" i="5" l="1"/>
  <c r="L329" i="5" s="1"/>
  <c r="J329" i="5"/>
  <c r="I330" i="5" s="1"/>
  <c r="K330" i="5" l="1"/>
  <c r="L330" i="5" s="1"/>
  <c r="J330" i="5"/>
  <c r="I331" i="5" s="1"/>
  <c r="K331" i="5" l="1"/>
  <c r="L331" i="5" s="1"/>
  <c r="J331" i="5"/>
  <c r="I332" i="5" s="1"/>
  <c r="K332" i="5" l="1"/>
  <c r="L332" i="5" s="1"/>
  <c r="J332" i="5"/>
  <c r="I333" i="5" s="1"/>
  <c r="K333" i="5" l="1"/>
  <c r="L333" i="5" s="1"/>
  <c r="J333" i="5"/>
  <c r="I334" i="5" s="1"/>
  <c r="K334" i="5" l="1"/>
  <c r="L334" i="5" s="1"/>
  <c r="J334" i="5"/>
  <c r="I335" i="5" s="1"/>
  <c r="K335" i="5" l="1"/>
  <c r="L335" i="5" s="1"/>
  <c r="J335" i="5"/>
  <c r="I336" i="5" s="1"/>
  <c r="K336" i="5" l="1"/>
  <c r="L336" i="5" s="1"/>
  <c r="J336" i="5"/>
  <c r="I337" i="5" s="1"/>
  <c r="K337" i="5" l="1"/>
  <c r="L337" i="5" s="1"/>
  <c r="J337" i="5"/>
  <c r="I338" i="5" s="1"/>
  <c r="K338" i="5" l="1"/>
  <c r="L338" i="5" s="1"/>
  <c r="J338" i="5"/>
  <c r="I339" i="5" s="1"/>
  <c r="J339" i="5" l="1"/>
  <c r="I340" i="5" s="1"/>
  <c r="K339" i="5"/>
  <c r="L339" i="5" s="1"/>
  <c r="J340" i="5" l="1"/>
  <c r="I341" i="5" s="1"/>
  <c r="K340" i="5"/>
  <c r="L340" i="5" s="1"/>
  <c r="J341" i="5" l="1"/>
  <c r="I342" i="5" s="1"/>
  <c r="K341" i="5"/>
  <c r="L341" i="5" s="1"/>
  <c r="J342" i="5" l="1"/>
  <c r="I343" i="5" s="1"/>
  <c r="K342" i="5"/>
  <c r="L342" i="5" s="1"/>
  <c r="K343" i="5" l="1"/>
  <c r="L343" i="5" s="1"/>
  <c r="J343" i="5"/>
  <c r="I344" i="5" s="1"/>
  <c r="K344" i="5" l="1"/>
  <c r="L344" i="5" s="1"/>
  <c r="J344" i="5"/>
  <c r="I345" i="5" s="1"/>
  <c r="K345" i="5" l="1"/>
  <c r="L345" i="5" s="1"/>
  <c r="J345" i="5"/>
  <c r="I346" i="5" s="1"/>
  <c r="J346" i="5" l="1"/>
  <c r="I347" i="5" s="1"/>
  <c r="K346" i="5"/>
  <c r="L346" i="5" s="1"/>
  <c r="K347" i="5" l="1"/>
  <c r="L347" i="5" s="1"/>
  <c r="J347" i="5"/>
  <c r="I348" i="5" s="1"/>
  <c r="K348" i="5" l="1"/>
  <c r="L348" i="5" s="1"/>
  <c r="J348" i="5"/>
  <c r="I349" i="5" s="1"/>
  <c r="K349" i="5" l="1"/>
  <c r="L349" i="5" s="1"/>
  <c r="J349" i="5"/>
  <c r="I350" i="5" s="1"/>
  <c r="K350" i="5" l="1"/>
  <c r="L350" i="5" s="1"/>
  <c r="J350" i="5"/>
  <c r="I351" i="5" s="1"/>
  <c r="K351" i="5" l="1"/>
  <c r="L351" i="5" s="1"/>
  <c r="J351" i="5"/>
  <c r="I352" i="5" s="1"/>
  <c r="K352" i="5" l="1"/>
  <c r="L352" i="5" s="1"/>
  <c r="J352" i="5"/>
  <c r="I353" i="5" s="1"/>
  <c r="K353" i="5" l="1"/>
  <c r="L353" i="5" s="1"/>
  <c r="J353" i="5"/>
  <c r="I354" i="5" s="1"/>
  <c r="K354" i="5" l="1"/>
  <c r="L354" i="5" s="1"/>
  <c r="J354" i="5"/>
  <c r="I355" i="5" s="1"/>
  <c r="K355" i="5" l="1"/>
  <c r="L355" i="5" s="1"/>
  <c r="J355" i="5"/>
  <c r="I356" i="5" s="1"/>
  <c r="K356" i="5" l="1"/>
  <c r="L356" i="5" s="1"/>
  <c r="J356" i="5"/>
  <c r="I357" i="5" s="1"/>
  <c r="K357" i="5" l="1"/>
  <c r="L357" i="5" s="1"/>
  <c r="J357" i="5"/>
  <c r="I358" i="5" s="1"/>
  <c r="K358" i="5" l="1"/>
  <c r="L358" i="5" s="1"/>
  <c r="J358" i="5"/>
  <c r="I359" i="5" s="1"/>
  <c r="K359" i="5" l="1"/>
  <c r="L359" i="5" s="1"/>
  <c r="J359" i="5"/>
  <c r="I360" i="5" s="1"/>
  <c r="K360" i="5" l="1"/>
  <c r="L360" i="5" s="1"/>
  <c r="J360" i="5"/>
  <c r="I361" i="5" s="1"/>
  <c r="K361" i="5" l="1"/>
  <c r="L361" i="5" s="1"/>
  <c r="J361" i="5"/>
  <c r="I362" i="5" s="1"/>
  <c r="K362" i="5" l="1"/>
  <c r="L362" i="5" s="1"/>
  <c r="J362" i="5"/>
  <c r="I363" i="5" s="1"/>
  <c r="K363" i="5" l="1"/>
  <c r="L363" i="5" s="1"/>
  <c r="J363" i="5"/>
  <c r="I364" i="5" s="1"/>
  <c r="K364" i="5" l="1"/>
  <c r="L364" i="5" s="1"/>
  <c r="J364" i="5"/>
  <c r="I365" i="5" s="1"/>
  <c r="K365" i="5" l="1"/>
  <c r="L365" i="5" s="1"/>
  <c r="J365" i="5"/>
  <c r="I366" i="5" s="1"/>
  <c r="K366" i="5" l="1"/>
  <c r="L366" i="5" s="1"/>
  <c r="J366" i="5"/>
  <c r="I367" i="5" s="1"/>
  <c r="K367" i="5" l="1"/>
  <c r="L367" i="5" s="1"/>
  <c r="J367" i="5"/>
  <c r="I368" i="5" s="1"/>
  <c r="K368" i="5" l="1"/>
  <c r="L368" i="5" s="1"/>
  <c r="J368" i="5"/>
  <c r="L369" i="5"/>
  <c r="L37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277982-44D4-4AE0-94D5-FB7AD736E65C}" name="soki" type="6" refreshedVersion="8" background="1" saveData="1">
    <textPr codePage="852" sourceFile="D:\prog\matura2026_informatyka\Maj_2022_2\Dane_2205\soki.txt" decimal="," thousands=" ">
      <textFields count="4">
        <textField/>
        <textField type="DMY"/>
        <textField/>
        <textField/>
      </textFields>
    </textPr>
  </connection>
</connections>
</file>

<file path=xl/sharedStrings.xml><?xml version="1.0" encoding="utf-8"?>
<sst xmlns="http://schemas.openxmlformats.org/spreadsheetml/2006/main" count="810" uniqueCount="36">
  <si>
    <t>nr_zamowienia</t>
  </si>
  <si>
    <t>data</t>
  </si>
  <si>
    <t>magazyn</t>
  </si>
  <si>
    <t>wielkosc_zamowienia</t>
  </si>
  <si>
    <t>Ogrodzieniec</t>
  </si>
  <si>
    <t>Przemysl</t>
  </si>
  <si>
    <t>Gniezno</t>
  </si>
  <si>
    <t>Malbork</t>
  </si>
  <si>
    <t>Etykiety wierszy</t>
  </si>
  <si>
    <t>Suma końcowa</t>
  </si>
  <si>
    <t>Suma z wielkosc_zamowienia</t>
  </si>
  <si>
    <t>Etykiety kolumn</t>
  </si>
  <si>
    <t>Zliczanie najdłuższego okresu</t>
  </si>
  <si>
    <t>1 dzień okresu</t>
  </si>
  <si>
    <t>ostatni dzień okresu</t>
  </si>
  <si>
    <t>Zakład główny</t>
  </si>
  <si>
    <t>Produkcja:</t>
  </si>
  <si>
    <t>Robocze:</t>
  </si>
  <si>
    <t>Weekendy:</t>
  </si>
  <si>
    <t>szt.</t>
  </si>
  <si>
    <t>Przed 02.01.2021</t>
  </si>
  <si>
    <t>Magazyn:</t>
  </si>
  <si>
    <t>Produkcja</t>
  </si>
  <si>
    <t>Czy dzień roboczy?</t>
  </si>
  <si>
    <t>Liczba produkowanych butelek:</t>
  </si>
  <si>
    <t>Roboczy:</t>
  </si>
  <si>
    <t>Weekend:</t>
  </si>
  <si>
    <t>Liczba soków w zakładzie</t>
  </si>
  <si>
    <t>Początek Magazynu:</t>
  </si>
  <si>
    <t>Soki w zakładzie po zamówieniach</t>
  </si>
  <si>
    <t>Malbork 19.03 piątek</t>
  </si>
  <si>
    <t>nr. Zamówienia: 153.</t>
  </si>
  <si>
    <t>które przekazujemy do innej filli</t>
  </si>
  <si>
    <t xml:space="preserve">Ile przekazała filia </t>
  </si>
  <si>
    <t>Ile przekazały filie:</t>
  </si>
  <si>
    <t>Ile zamówień było w filii: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</si>
</sst>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dd"/>
    <numFmt numFmtId="171" formatCode="#,##0;[Red]#,##0"/>
  </numFmts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14" fontId="0" fillId="0" borderId="0" xfId="0" applyNumberFormat="1" applyAlignment="1">
      <alignment horizontal="left"/>
    </xf>
    <xf numFmtId="3" fontId="0" fillId="0" borderId="0" xfId="0" applyNumberFormat="1"/>
    <xf numFmtId="0" fontId="0" fillId="0" borderId="0" xfId="0" applyAlignment="1">
      <alignment horizontal="center"/>
    </xf>
    <xf numFmtId="166" fontId="0" fillId="0" borderId="0" xfId="0" applyNumberFormat="1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171" fontId="0" fillId="0" borderId="0" xfId="0" applyNumberFormat="1"/>
    <xf numFmtId="14" fontId="1" fillId="2" borderId="1" xfId="0" applyNumberFormat="1" applyFont="1" applyFill="1" applyBorder="1" applyAlignment="1">
      <alignment horizontal="left"/>
    </xf>
    <xf numFmtId="0" fontId="3" fillId="3" borderId="0" xfId="0" applyFont="1" applyFill="1"/>
    <xf numFmtId="0" fontId="2" fillId="3" borderId="0" xfId="0" applyFont="1" applyFill="1"/>
    <xf numFmtId="1" fontId="2" fillId="3" borderId="0" xfId="0" applyNumberFormat="1" applyFont="1" applyFill="1"/>
  </cellXfs>
  <cellStyles count="1">
    <cellStyle name="Normalny" xfId="0" builtinId="0"/>
  </cellStyles>
  <dxfs count="6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[zdanie_5_excel.xlsx]Arkusz4!Tabela przestawna3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Wielkość zamówień</a:t>
            </a:r>
            <a:r>
              <a:rPr lang="pl-PL" baseline="0"/>
              <a:t> z każdego magazynu wyrażona w procentach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184886264216973"/>
              <c:y val="-0.167811315252260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156714785651794"/>
              <c:y val="-0.10732319918343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4456036745406827E-2"/>
              <c:y val="0.160149460484106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alpha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Arkusz4!$B$3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9ED-4CE0-B599-526D3117ADA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ED-4CE0-B599-526D3117ADA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9ED-4CE0-B599-526D3117ADA1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9.4456036745406827E-2"/>
                  <c:y val="0.1601494604841061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ED-4CE0-B599-526D3117ADA1}"/>
                </c:ext>
              </c:extLst>
            </c:dLbl>
            <c:dLbl>
              <c:idx val="1"/>
              <c:layout>
                <c:manualLayout>
                  <c:x val="-0.12156714785651794"/>
                  <c:y val="-0.107323199183435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ED-4CE0-B599-526D3117ADA1}"/>
                </c:ext>
              </c:extLst>
            </c:dLbl>
            <c:dLbl>
              <c:idx val="2"/>
              <c:layout>
                <c:manualLayout>
                  <c:x val="0.11184886264216973"/>
                  <c:y val="-0.1678113152522601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ED-4CE0-B599-526D3117AD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alpha val="9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Arkusz4!$A$4:$A$8</c:f>
              <c:strCache>
                <c:ptCount val="4"/>
                <c:pt idx="0">
                  <c:v>Gniezno</c:v>
                </c:pt>
                <c:pt idx="1">
                  <c:v>Malbork</c:v>
                </c:pt>
                <c:pt idx="2">
                  <c:v>Ogrodzieniec</c:v>
                </c:pt>
                <c:pt idx="3">
                  <c:v>Przemysl</c:v>
                </c:pt>
              </c:strCache>
            </c:strRef>
          </c:cat>
          <c:val>
            <c:numRef>
              <c:f>Arkusz4!$B$4:$B$8</c:f>
              <c:numCache>
                <c:formatCode>General</c:formatCode>
                <c:ptCount val="4"/>
                <c:pt idx="0">
                  <c:v>819000</c:v>
                </c:pt>
                <c:pt idx="1">
                  <c:v>944240</c:v>
                </c:pt>
                <c:pt idx="2">
                  <c:v>1115560</c:v>
                </c:pt>
                <c:pt idx="3">
                  <c:v>1062920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D-4CE0-B599-526D3117A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3</xdr:row>
      <xdr:rowOff>90487</xdr:rowOff>
    </xdr:from>
    <xdr:to>
      <xdr:col>12</xdr:col>
      <xdr:colOff>66675</xdr:colOff>
      <xdr:row>17</xdr:row>
      <xdr:rowOff>166687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340EDE7-83C1-19EE-69F4-D49D3CE83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ORUS" refreshedDate="46115.671244328703" createdVersion="8" refreshedVersion="8" minRefreshableVersion="3" recordCount="755" xr:uid="{FD7B0DA0-75CD-4CD6-83B7-23E165173B03}">
  <cacheSource type="worksheet">
    <worksheetSource ref="B2:E757" sheet="Arkusz1"/>
  </cacheSource>
  <cacheFields count="6">
    <cacheField name="nr_zamowienia" numFmtId="0">
      <sharedItems containsSemiMixedTypes="0" containsString="0" containsNumber="1" containsInteger="1" minValue="1" maxValue="755"/>
    </cacheField>
    <cacheField name="data" numFmtId="14">
      <sharedItems containsSemiMixedTypes="0" containsNonDate="0" containsDate="1" containsString="0" minDate="2021-01-02T00:00:00" maxDate="2022-01-01T00:00:00" count="364"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  <fieldGroup par="5"/>
    </cacheField>
    <cacheField name="magazyn" numFmtId="0">
      <sharedItems count="4">
        <s v="Ogrodzieniec"/>
        <s v="Przemysl"/>
        <s v="Gniezno"/>
        <s v="Malbork"/>
      </sharedItems>
    </cacheField>
    <cacheField name="wielkosc_zamowienia" numFmtId="0">
      <sharedItems containsSemiMixedTypes="0" containsString="0" containsNumber="1" containsInteger="1" minValue="330" maxValue="9990" count="517">
        <n v="1290"/>
        <n v="4420"/>
        <n v="5190"/>
        <n v="950"/>
        <n v="6000"/>
        <n v="8530"/>
        <n v="1140"/>
        <n v="2460"/>
        <n v="7520"/>
        <n v="7920"/>
        <n v="1430"/>
        <n v="1500"/>
        <n v="5540"/>
        <n v="7340"/>
        <n v="8170"/>
        <n v="9410"/>
        <n v="4660"/>
        <n v="2240"/>
        <n v="6760"/>
        <n v="7850"/>
        <n v="5440"/>
        <n v="5230"/>
        <n v="9750"/>
        <n v="4800"/>
        <n v="8650"/>
        <n v="2260"/>
        <n v="5000"/>
        <n v="1650"/>
        <n v="7060"/>
        <n v="3260"/>
        <n v="5760"/>
        <n v="1990"/>
        <n v="5240"/>
        <n v="2720"/>
        <n v="3220"/>
        <n v="3140"/>
        <n v="4150"/>
        <n v="3870"/>
        <n v="1170"/>
        <n v="2350"/>
        <n v="7700"/>
        <n v="3210"/>
        <n v="1060"/>
        <n v="2300"/>
        <n v="7840"/>
        <n v="2870"/>
        <n v="8690"/>
        <n v="6450"/>
        <n v="3050"/>
        <n v="7170"/>
        <n v="1970"/>
        <n v="3670"/>
        <n v="7870"/>
        <n v="7930"/>
        <n v="1940"/>
        <n v="2340"/>
        <n v="8710"/>
        <n v="1360"/>
        <n v="6820"/>
        <n v="9020"/>
        <n v="6900"/>
        <n v="9230"/>
        <n v="790"/>
        <n v="7820"/>
        <n v="2100"/>
        <n v="6960"/>
        <n v="2630"/>
        <n v="9250"/>
        <n v="6540"/>
        <n v="8470"/>
        <n v="7770"/>
        <n v="6270"/>
        <n v="1480"/>
        <n v="1820"/>
        <n v="6460"/>
        <n v="5920"/>
        <n v="8900"/>
        <n v="7370"/>
        <n v="7030"/>
        <n v="1000"/>
        <n v="2620"/>
        <n v="9440"/>
        <n v="8020"/>
        <n v="5820"/>
        <n v="4850"/>
        <n v="4910"/>
        <n v="5690"/>
        <n v="1870"/>
        <n v="1800"/>
        <n v="3780"/>
        <n v="3330"/>
        <n v="1570"/>
        <n v="1590"/>
        <n v="7240"/>
        <n v="9690"/>
        <n v="5600"/>
        <n v="1740"/>
        <n v="5430"/>
        <n v="8190"/>
        <n v="1470"/>
        <n v="1620"/>
        <n v="6700"/>
        <n v="5570"/>
        <n v="4070"/>
        <n v="6500"/>
        <n v="6050"/>
        <n v="6880"/>
        <n v="3790"/>
        <n v="4560"/>
        <n v="3910"/>
        <n v="5060"/>
        <n v="5100"/>
        <n v="4360"/>
        <n v="6220"/>
        <n v="4290"/>
        <n v="1260"/>
        <n v="9520"/>
        <n v="9080"/>
        <n v="1510"/>
        <n v="6850"/>
        <n v="6210"/>
        <n v="3340"/>
        <n v="3450"/>
        <n v="3270"/>
        <n v="3580"/>
        <n v="9560"/>
        <n v="5310"/>
        <n v="9130"/>
        <n v="1920"/>
        <n v="4330"/>
        <n v="6010"/>
        <n v="8680"/>
        <n v="6950"/>
        <n v="3280"/>
        <n v="9590"/>
        <n v="820"/>
        <n v="5220"/>
        <n v="3180"/>
        <n v="6860"/>
        <n v="2020"/>
        <n v="3650"/>
        <n v="9720"/>
        <n v="6780"/>
        <n v="3490"/>
        <n v="9980"/>
        <n v="9770"/>
        <n v="750"/>
        <n v="9310"/>
        <n v="2480"/>
        <n v="860"/>
        <n v="1830"/>
        <n v="1770"/>
        <n v="7830"/>
        <n v="8300"/>
        <n v="1050"/>
        <n v="5150"/>
        <n v="1300"/>
        <n v="8800"/>
        <n v="1250"/>
        <n v="1460"/>
        <n v="6470"/>
        <n v="6580"/>
        <n v="8090"/>
        <n v="4230"/>
        <n v="2750"/>
        <n v="5660"/>
        <n v="3540"/>
        <n v="1030"/>
        <n v="6400"/>
        <n v="3040"/>
        <n v="7650"/>
        <n v="7190"/>
        <n v="7100"/>
        <n v="8950"/>
        <n v="3350"/>
        <n v="8230"/>
        <n v="4860"/>
        <n v="2250"/>
        <n v="6320"/>
        <n v="4600"/>
        <n v="9150"/>
        <n v="4940"/>
        <n v="7550"/>
        <n v="4460"/>
        <n v="1680"/>
        <n v="6180"/>
        <n v="6770"/>
        <n v="2070"/>
        <n v="6720"/>
        <n v="5160"/>
        <n v="3130"/>
        <n v="6560"/>
        <n v="2660"/>
        <n v="8880"/>
        <n v="3860"/>
        <n v="1560"/>
        <n v="3420"/>
        <n v="6100"/>
        <n v="3800"/>
        <n v="3170"/>
        <n v="4140"/>
        <n v="2060"/>
        <n v="8220"/>
        <n v="9490"/>
        <n v="3110"/>
        <n v="1220"/>
        <n v="8060"/>
        <n v="4040"/>
        <n v="9470"/>
        <n v="4760"/>
        <n v="9390"/>
        <n v="4520"/>
        <n v="8460"/>
        <n v="4880"/>
        <n v="3980"/>
        <n v="2130"/>
        <n v="3900"/>
        <n v="8960"/>
        <n v="3070"/>
        <n v="1950"/>
        <n v="4340"/>
        <n v="8510"/>
        <n v="9810"/>
        <n v="5560"/>
        <n v="8340"/>
        <n v="4510"/>
        <n v="7270"/>
        <n v="7710"/>
        <n v="4060"/>
        <n v="9620"/>
        <n v="9630"/>
        <n v="390"/>
        <n v="4100"/>
        <n v="600"/>
        <n v="1200"/>
        <n v="2210"/>
        <n v="4170"/>
        <n v="7330"/>
        <n v="6170"/>
        <n v="5020"/>
        <n v="4470"/>
        <n v="8450"/>
        <n v="5490"/>
        <n v="3000"/>
        <n v="9670"/>
        <n v="3710"/>
        <n v="2680"/>
        <n v="4700"/>
        <n v="7160"/>
        <n v="9200"/>
        <n v="7390"/>
        <n v="8770"/>
        <n v="9220"/>
        <n v="9740"/>
        <n v="4500"/>
        <n v="9950"/>
        <n v="9960"/>
        <n v="4160"/>
        <n v="6300"/>
        <n v="9040"/>
        <n v="5030"/>
        <n v="9370"/>
        <n v="6790"/>
        <n v="2540"/>
        <n v="5530"/>
        <n v="7020"/>
        <n v="2330"/>
        <n v="5550"/>
        <n v="6150"/>
        <n v="4000"/>
        <n v="4970"/>
        <n v="5340"/>
        <n v="1810"/>
        <n v="7960"/>
        <n v="9400"/>
        <n v="5380"/>
        <n v="4220"/>
        <n v="1230"/>
        <n v="7950"/>
        <n v="3020"/>
        <n v="7990"/>
        <n v="6390"/>
        <n v="4180"/>
        <n v="7940"/>
        <n v="8070"/>
        <n v="6060"/>
        <n v="9420"/>
        <n v="4440"/>
        <n v="3010"/>
        <n v="5970"/>
        <n v="1180"/>
        <n v="5610"/>
        <n v="3640"/>
        <n v="6570"/>
        <n v="6200"/>
        <n v="9010"/>
        <n v="2910"/>
        <n v="6310"/>
        <n v="7110"/>
        <n v="8140"/>
        <n v="5840"/>
        <n v="9870"/>
        <n v="2650"/>
        <n v="3460"/>
        <n v="2030"/>
        <n v="3770"/>
        <n v="3970"/>
        <n v="9280"/>
        <n v="6930"/>
        <n v="2850"/>
        <n v="7480"/>
        <n v="6110"/>
        <n v="3250"/>
        <n v="4790"/>
        <n v="8100"/>
        <n v="6600"/>
        <n v="9850"/>
        <n v="4680"/>
        <n v="5750"/>
        <n v="7000"/>
        <n v="5870"/>
        <n v="6070"/>
        <n v="2150"/>
        <n v="7040"/>
        <n v="2470"/>
        <n v="8550"/>
        <n v="6160"/>
        <n v="1400"/>
        <n v="7730"/>
        <n v="2730"/>
        <n v="850"/>
        <n v="8740"/>
        <n v="780"/>
        <n v="1020"/>
        <n v="4870"/>
        <n v="7250"/>
        <n v="330"/>
        <n v="3290"/>
        <n v="3820"/>
        <n v="4200"/>
        <n v="1670"/>
        <n v="3960"/>
        <n v="7980"/>
        <n v="7750"/>
        <n v="7450"/>
        <n v="3400"/>
        <n v="8560"/>
        <n v="4590"/>
        <n v="4050"/>
        <n v="4310"/>
        <n v="5280"/>
        <n v="7910"/>
        <n v="9000"/>
        <n v="3240"/>
        <n v="8700"/>
        <n v="8110"/>
        <n v="6510"/>
        <n v="1150"/>
        <n v="9430"/>
        <n v="6410"/>
        <n v="5300"/>
        <n v="3660"/>
        <n v="6120"/>
        <n v="5850"/>
        <n v="6690"/>
        <n v="2510"/>
        <n v="4090"/>
        <n v="4580"/>
        <n v="6590"/>
        <n v="3060"/>
        <n v="4530"/>
        <n v="5480"/>
        <n v="7490"/>
        <n v="5180"/>
        <n v="2520"/>
        <n v="6360"/>
        <n v="8890"/>
        <n v="2950"/>
        <n v="6730"/>
        <n v="7740"/>
        <n v="4620"/>
        <n v="1530"/>
        <n v="6920"/>
        <n v="1160"/>
        <n v="3610"/>
        <n v="2400"/>
        <n v="6620"/>
        <n v="1690"/>
        <n v="6080"/>
        <n v="4320"/>
        <n v="3310"/>
        <n v="3550"/>
        <n v="5210"/>
        <n v="2990"/>
        <n v="7890"/>
        <n v="3440"/>
        <n v="4710"/>
        <n v="4400"/>
        <n v="9580"/>
        <n v="3320"/>
        <n v="7580"/>
        <n v="2640"/>
        <n v="9860"/>
        <n v="8160"/>
        <n v="6280"/>
        <n v="6490"/>
        <n v="4110"/>
        <n v="1280"/>
        <n v="8360"/>
        <n v="2930"/>
        <n v="9920"/>
        <n v="1010"/>
        <n v="9210"/>
        <n v="1880"/>
        <n v="5080"/>
        <n v="7660"/>
        <n v="7540"/>
        <n v="6350"/>
        <n v="9160"/>
        <n v="9800"/>
        <n v="4990"/>
        <n v="2500"/>
        <n v="2040"/>
        <n v="8930"/>
        <n v="4980"/>
        <n v="7120"/>
        <n v="1780"/>
        <n v="5420"/>
        <n v="3720"/>
        <n v="7640"/>
        <n v="2170"/>
        <n v="6230"/>
        <n v="2310"/>
        <n v="5650"/>
        <n v="4190"/>
        <n v="5270"/>
        <n v="5450"/>
        <n v="2580"/>
        <n v="8040"/>
        <n v="9480"/>
        <n v="4810"/>
        <n v="5770"/>
        <n v="2610"/>
        <n v="2670"/>
        <n v="1330"/>
        <n v="1700"/>
        <n v="1750"/>
        <n v="6530"/>
        <n v="6980"/>
        <n v="2090"/>
        <n v="6430"/>
        <n v="9940"/>
        <n v="4630"/>
        <n v="8480"/>
        <n v="8270"/>
        <n v="8790"/>
        <n v="1440"/>
        <n v="4550"/>
        <n v="3920"/>
        <n v="1980"/>
        <n v="5950"/>
        <n v="7210"/>
        <n v="6800"/>
        <n v="2960"/>
        <n v="1960"/>
        <n v="5740"/>
        <n v="5910"/>
        <n v="4410"/>
        <n v="2820"/>
        <n v="8320"/>
        <n v="1580"/>
        <n v="3470"/>
        <n v="1320"/>
        <n v="4740"/>
        <n v="2830"/>
        <n v="1380"/>
        <n v="9060"/>
        <n v="3190"/>
        <n v="4380"/>
        <n v="5930"/>
        <n v="5350"/>
        <n v="7560"/>
        <n v="7970"/>
        <n v="3500"/>
        <n v="8590"/>
        <n v="2180"/>
        <n v="3830"/>
        <n v="9840"/>
        <n v="3880"/>
        <n v="3510"/>
        <n v="1310"/>
        <n v="3850"/>
        <n v="2700"/>
        <n v="2550"/>
        <n v="3560"/>
        <n v="520"/>
        <n v="6090"/>
        <n v="570"/>
        <n v="9510"/>
        <n v="8000"/>
        <n v="9990"/>
        <n v="4260"/>
        <n v="8200"/>
        <n v="5370"/>
        <n v="3940"/>
        <n v="4640"/>
        <n v="7530"/>
        <n v="4570"/>
        <n v="1340"/>
        <n v="5730"/>
        <n v="4270"/>
        <n v="7320"/>
        <n v="3930"/>
        <n v="8030"/>
        <n v="1410"/>
        <n v="2410"/>
        <n v="6290"/>
      </sharedItems>
    </cacheField>
    <cacheField name="Dni (data)" numFmtId="0" databaseField="0">
      <fieldGroup base="1">
        <rangePr groupBy="days" startDate="2021-01-02T00:00:00" endDate="2022-01-01T00:00:00"/>
        <groupItems count="368">
          <s v="&lt;02.01.2021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2"/>
        </groupItems>
      </fieldGroup>
    </cacheField>
    <cacheField name="Miesiące (data)" numFmtId="0" databaseField="0">
      <fieldGroup base="1">
        <rangePr groupBy="months" startDate="2021-01-02T00:00:00" endDate="2022-01-01T00:00:00"/>
        <groupItems count="14">
          <s v="&lt;02.01.202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5">
  <r>
    <n v="1"/>
    <x v="0"/>
    <x v="0"/>
    <x v="0"/>
  </r>
  <r>
    <n v="2"/>
    <x v="0"/>
    <x v="1"/>
    <x v="1"/>
  </r>
  <r>
    <n v="3"/>
    <x v="0"/>
    <x v="2"/>
    <x v="2"/>
  </r>
  <r>
    <n v="4"/>
    <x v="1"/>
    <x v="3"/>
    <x v="3"/>
  </r>
  <r>
    <n v="5"/>
    <x v="1"/>
    <x v="2"/>
    <x v="4"/>
  </r>
  <r>
    <n v="6"/>
    <x v="1"/>
    <x v="1"/>
    <x v="5"/>
  </r>
  <r>
    <n v="7"/>
    <x v="2"/>
    <x v="3"/>
    <x v="6"/>
  </r>
  <r>
    <n v="8"/>
    <x v="2"/>
    <x v="1"/>
    <x v="7"/>
  </r>
  <r>
    <n v="9"/>
    <x v="3"/>
    <x v="2"/>
    <x v="8"/>
  </r>
  <r>
    <n v="10"/>
    <x v="3"/>
    <x v="1"/>
    <x v="9"/>
  </r>
  <r>
    <n v="11"/>
    <x v="3"/>
    <x v="0"/>
    <x v="10"/>
  </r>
  <r>
    <n v="12"/>
    <x v="4"/>
    <x v="3"/>
    <x v="11"/>
  </r>
  <r>
    <n v="13"/>
    <x v="4"/>
    <x v="0"/>
    <x v="12"/>
  </r>
  <r>
    <n v="14"/>
    <x v="4"/>
    <x v="2"/>
    <x v="13"/>
  </r>
  <r>
    <n v="15"/>
    <x v="5"/>
    <x v="1"/>
    <x v="14"/>
  </r>
  <r>
    <n v="16"/>
    <x v="6"/>
    <x v="0"/>
    <x v="15"/>
  </r>
  <r>
    <n v="17"/>
    <x v="6"/>
    <x v="3"/>
    <x v="16"/>
  </r>
  <r>
    <n v="18"/>
    <x v="7"/>
    <x v="0"/>
    <x v="17"/>
  </r>
  <r>
    <n v="19"/>
    <x v="7"/>
    <x v="1"/>
    <x v="18"/>
  </r>
  <r>
    <n v="20"/>
    <x v="8"/>
    <x v="2"/>
    <x v="19"/>
  </r>
  <r>
    <n v="21"/>
    <x v="9"/>
    <x v="1"/>
    <x v="20"/>
  </r>
  <r>
    <n v="22"/>
    <x v="9"/>
    <x v="3"/>
    <x v="21"/>
  </r>
  <r>
    <n v="23"/>
    <x v="9"/>
    <x v="0"/>
    <x v="22"/>
  </r>
  <r>
    <n v="24"/>
    <x v="10"/>
    <x v="2"/>
    <x v="23"/>
  </r>
  <r>
    <n v="25"/>
    <x v="11"/>
    <x v="3"/>
    <x v="24"/>
  </r>
  <r>
    <n v="26"/>
    <x v="12"/>
    <x v="0"/>
    <x v="25"/>
  </r>
  <r>
    <n v="27"/>
    <x v="12"/>
    <x v="1"/>
    <x v="26"/>
  </r>
  <r>
    <n v="28"/>
    <x v="12"/>
    <x v="3"/>
    <x v="27"/>
  </r>
  <r>
    <n v="29"/>
    <x v="13"/>
    <x v="3"/>
    <x v="28"/>
  </r>
  <r>
    <n v="30"/>
    <x v="13"/>
    <x v="0"/>
    <x v="29"/>
  </r>
  <r>
    <n v="31"/>
    <x v="13"/>
    <x v="2"/>
    <x v="30"/>
  </r>
  <r>
    <n v="32"/>
    <x v="14"/>
    <x v="1"/>
    <x v="31"/>
  </r>
  <r>
    <n v="33"/>
    <x v="15"/>
    <x v="3"/>
    <x v="32"/>
  </r>
  <r>
    <n v="34"/>
    <x v="15"/>
    <x v="1"/>
    <x v="33"/>
  </r>
  <r>
    <n v="35"/>
    <x v="15"/>
    <x v="2"/>
    <x v="34"/>
  </r>
  <r>
    <n v="36"/>
    <x v="15"/>
    <x v="0"/>
    <x v="35"/>
  </r>
  <r>
    <n v="37"/>
    <x v="16"/>
    <x v="3"/>
    <x v="36"/>
  </r>
  <r>
    <n v="38"/>
    <x v="17"/>
    <x v="3"/>
    <x v="37"/>
  </r>
  <r>
    <n v="39"/>
    <x v="17"/>
    <x v="0"/>
    <x v="38"/>
  </r>
  <r>
    <n v="40"/>
    <x v="18"/>
    <x v="0"/>
    <x v="39"/>
  </r>
  <r>
    <n v="41"/>
    <x v="18"/>
    <x v="3"/>
    <x v="40"/>
  </r>
  <r>
    <n v="42"/>
    <x v="19"/>
    <x v="2"/>
    <x v="41"/>
  </r>
  <r>
    <n v="43"/>
    <x v="19"/>
    <x v="3"/>
    <x v="42"/>
  </r>
  <r>
    <n v="44"/>
    <x v="20"/>
    <x v="2"/>
    <x v="43"/>
  </r>
  <r>
    <n v="45"/>
    <x v="20"/>
    <x v="3"/>
    <x v="44"/>
  </r>
  <r>
    <n v="46"/>
    <x v="21"/>
    <x v="0"/>
    <x v="45"/>
  </r>
  <r>
    <n v="47"/>
    <x v="22"/>
    <x v="0"/>
    <x v="46"/>
  </r>
  <r>
    <n v="48"/>
    <x v="23"/>
    <x v="2"/>
    <x v="47"/>
  </r>
  <r>
    <n v="49"/>
    <x v="24"/>
    <x v="3"/>
    <x v="48"/>
  </r>
  <r>
    <n v="50"/>
    <x v="24"/>
    <x v="1"/>
    <x v="49"/>
  </r>
  <r>
    <n v="51"/>
    <x v="24"/>
    <x v="2"/>
    <x v="50"/>
  </r>
  <r>
    <n v="52"/>
    <x v="25"/>
    <x v="2"/>
    <x v="51"/>
  </r>
  <r>
    <n v="53"/>
    <x v="25"/>
    <x v="0"/>
    <x v="52"/>
  </r>
  <r>
    <n v="54"/>
    <x v="26"/>
    <x v="1"/>
    <x v="53"/>
  </r>
  <r>
    <n v="55"/>
    <x v="26"/>
    <x v="0"/>
    <x v="54"/>
  </r>
  <r>
    <n v="56"/>
    <x v="26"/>
    <x v="3"/>
    <x v="55"/>
  </r>
  <r>
    <n v="57"/>
    <x v="27"/>
    <x v="3"/>
    <x v="56"/>
  </r>
  <r>
    <n v="58"/>
    <x v="27"/>
    <x v="2"/>
    <x v="57"/>
  </r>
  <r>
    <n v="59"/>
    <x v="28"/>
    <x v="1"/>
    <x v="58"/>
  </r>
  <r>
    <n v="60"/>
    <x v="28"/>
    <x v="3"/>
    <x v="59"/>
  </r>
  <r>
    <n v="61"/>
    <x v="29"/>
    <x v="0"/>
    <x v="60"/>
  </r>
  <r>
    <n v="62"/>
    <x v="29"/>
    <x v="1"/>
    <x v="61"/>
  </r>
  <r>
    <n v="63"/>
    <x v="29"/>
    <x v="3"/>
    <x v="62"/>
  </r>
  <r>
    <n v="64"/>
    <x v="30"/>
    <x v="3"/>
    <x v="63"/>
  </r>
  <r>
    <n v="65"/>
    <x v="30"/>
    <x v="2"/>
    <x v="64"/>
  </r>
  <r>
    <n v="66"/>
    <x v="30"/>
    <x v="0"/>
    <x v="65"/>
  </r>
  <r>
    <n v="67"/>
    <x v="31"/>
    <x v="1"/>
    <x v="66"/>
  </r>
  <r>
    <n v="68"/>
    <x v="32"/>
    <x v="2"/>
    <x v="67"/>
  </r>
  <r>
    <n v="69"/>
    <x v="32"/>
    <x v="1"/>
    <x v="68"/>
  </r>
  <r>
    <n v="70"/>
    <x v="33"/>
    <x v="3"/>
    <x v="69"/>
  </r>
  <r>
    <n v="71"/>
    <x v="33"/>
    <x v="0"/>
    <x v="70"/>
  </r>
  <r>
    <n v="72"/>
    <x v="33"/>
    <x v="1"/>
    <x v="71"/>
  </r>
  <r>
    <n v="73"/>
    <x v="34"/>
    <x v="2"/>
    <x v="72"/>
  </r>
  <r>
    <n v="74"/>
    <x v="35"/>
    <x v="0"/>
    <x v="73"/>
  </r>
  <r>
    <n v="75"/>
    <x v="35"/>
    <x v="1"/>
    <x v="74"/>
  </r>
  <r>
    <n v="76"/>
    <x v="36"/>
    <x v="0"/>
    <x v="75"/>
  </r>
  <r>
    <n v="77"/>
    <x v="36"/>
    <x v="3"/>
    <x v="76"/>
  </r>
  <r>
    <n v="78"/>
    <x v="37"/>
    <x v="3"/>
    <x v="77"/>
  </r>
  <r>
    <n v="79"/>
    <x v="37"/>
    <x v="0"/>
    <x v="50"/>
  </r>
  <r>
    <n v="80"/>
    <x v="38"/>
    <x v="3"/>
    <x v="78"/>
  </r>
  <r>
    <n v="81"/>
    <x v="39"/>
    <x v="3"/>
    <x v="79"/>
  </r>
  <r>
    <n v="82"/>
    <x v="39"/>
    <x v="0"/>
    <x v="80"/>
  </r>
  <r>
    <n v="83"/>
    <x v="40"/>
    <x v="3"/>
    <x v="81"/>
  </r>
  <r>
    <n v="84"/>
    <x v="40"/>
    <x v="1"/>
    <x v="82"/>
  </r>
  <r>
    <n v="85"/>
    <x v="40"/>
    <x v="2"/>
    <x v="83"/>
  </r>
  <r>
    <n v="86"/>
    <x v="41"/>
    <x v="3"/>
    <x v="84"/>
  </r>
  <r>
    <n v="87"/>
    <x v="41"/>
    <x v="1"/>
    <x v="85"/>
  </r>
  <r>
    <n v="88"/>
    <x v="42"/>
    <x v="1"/>
    <x v="86"/>
  </r>
  <r>
    <n v="89"/>
    <x v="42"/>
    <x v="0"/>
    <x v="87"/>
  </r>
  <r>
    <n v="90"/>
    <x v="43"/>
    <x v="1"/>
    <x v="88"/>
  </r>
  <r>
    <n v="91"/>
    <x v="43"/>
    <x v="2"/>
    <x v="36"/>
  </r>
  <r>
    <n v="92"/>
    <x v="44"/>
    <x v="0"/>
    <x v="89"/>
  </r>
  <r>
    <n v="93"/>
    <x v="45"/>
    <x v="3"/>
    <x v="90"/>
  </r>
  <r>
    <n v="94"/>
    <x v="45"/>
    <x v="0"/>
    <x v="91"/>
  </r>
  <r>
    <n v="95"/>
    <x v="45"/>
    <x v="2"/>
    <x v="92"/>
  </r>
  <r>
    <n v="96"/>
    <x v="46"/>
    <x v="1"/>
    <x v="93"/>
  </r>
  <r>
    <n v="97"/>
    <x v="46"/>
    <x v="0"/>
    <x v="94"/>
  </r>
  <r>
    <n v="98"/>
    <x v="46"/>
    <x v="3"/>
    <x v="95"/>
  </r>
  <r>
    <n v="99"/>
    <x v="47"/>
    <x v="1"/>
    <x v="96"/>
  </r>
  <r>
    <n v="100"/>
    <x v="48"/>
    <x v="1"/>
    <x v="97"/>
  </r>
  <r>
    <n v="101"/>
    <x v="49"/>
    <x v="3"/>
    <x v="98"/>
  </r>
  <r>
    <n v="102"/>
    <x v="49"/>
    <x v="1"/>
    <x v="99"/>
  </r>
  <r>
    <n v="103"/>
    <x v="50"/>
    <x v="2"/>
    <x v="100"/>
  </r>
  <r>
    <n v="104"/>
    <x v="50"/>
    <x v="0"/>
    <x v="101"/>
  </r>
  <r>
    <n v="105"/>
    <x v="51"/>
    <x v="0"/>
    <x v="102"/>
  </r>
  <r>
    <n v="106"/>
    <x v="51"/>
    <x v="3"/>
    <x v="103"/>
  </r>
  <r>
    <n v="107"/>
    <x v="51"/>
    <x v="2"/>
    <x v="104"/>
  </r>
  <r>
    <n v="108"/>
    <x v="52"/>
    <x v="2"/>
    <x v="105"/>
  </r>
  <r>
    <n v="109"/>
    <x v="52"/>
    <x v="1"/>
    <x v="106"/>
  </r>
  <r>
    <n v="110"/>
    <x v="53"/>
    <x v="1"/>
    <x v="107"/>
  </r>
  <r>
    <n v="111"/>
    <x v="54"/>
    <x v="1"/>
    <x v="108"/>
  </r>
  <r>
    <n v="112"/>
    <x v="54"/>
    <x v="2"/>
    <x v="109"/>
  </r>
  <r>
    <n v="113"/>
    <x v="54"/>
    <x v="0"/>
    <x v="110"/>
  </r>
  <r>
    <n v="114"/>
    <x v="55"/>
    <x v="3"/>
    <x v="81"/>
  </r>
  <r>
    <n v="115"/>
    <x v="55"/>
    <x v="0"/>
    <x v="111"/>
  </r>
  <r>
    <n v="116"/>
    <x v="56"/>
    <x v="1"/>
    <x v="112"/>
  </r>
  <r>
    <n v="117"/>
    <x v="56"/>
    <x v="2"/>
    <x v="113"/>
  </r>
  <r>
    <n v="118"/>
    <x v="57"/>
    <x v="0"/>
    <x v="114"/>
  </r>
  <r>
    <n v="119"/>
    <x v="57"/>
    <x v="2"/>
    <x v="115"/>
  </r>
  <r>
    <n v="120"/>
    <x v="58"/>
    <x v="1"/>
    <x v="116"/>
  </r>
  <r>
    <n v="121"/>
    <x v="58"/>
    <x v="0"/>
    <x v="24"/>
  </r>
  <r>
    <n v="122"/>
    <x v="59"/>
    <x v="2"/>
    <x v="117"/>
  </r>
  <r>
    <n v="123"/>
    <x v="59"/>
    <x v="1"/>
    <x v="118"/>
  </r>
  <r>
    <n v="124"/>
    <x v="60"/>
    <x v="0"/>
    <x v="119"/>
  </r>
  <r>
    <n v="125"/>
    <x v="61"/>
    <x v="0"/>
    <x v="120"/>
  </r>
  <r>
    <n v="126"/>
    <x v="62"/>
    <x v="0"/>
    <x v="121"/>
  </r>
  <r>
    <n v="127"/>
    <x v="62"/>
    <x v="1"/>
    <x v="122"/>
  </r>
  <r>
    <n v="128"/>
    <x v="63"/>
    <x v="3"/>
    <x v="123"/>
  </r>
  <r>
    <n v="129"/>
    <x v="63"/>
    <x v="2"/>
    <x v="124"/>
  </r>
  <r>
    <n v="130"/>
    <x v="63"/>
    <x v="1"/>
    <x v="125"/>
  </r>
  <r>
    <n v="131"/>
    <x v="64"/>
    <x v="0"/>
    <x v="126"/>
  </r>
  <r>
    <n v="132"/>
    <x v="65"/>
    <x v="0"/>
    <x v="127"/>
  </r>
  <r>
    <n v="133"/>
    <x v="65"/>
    <x v="1"/>
    <x v="56"/>
  </r>
  <r>
    <n v="134"/>
    <x v="66"/>
    <x v="0"/>
    <x v="128"/>
  </r>
  <r>
    <n v="135"/>
    <x v="66"/>
    <x v="1"/>
    <x v="129"/>
  </r>
  <r>
    <n v="136"/>
    <x v="67"/>
    <x v="2"/>
    <x v="130"/>
  </r>
  <r>
    <n v="137"/>
    <x v="67"/>
    <x v="1"/>
    <x v="131"/>
  </r>
  <r>
    <n v="138"/>
    <x v="67"/>
    <x v="3"/>
    <x v="132"/>
  </r>
  <r>
    <n v="139"/>
    <x v="68"/>
    <x v="1"/>
    <x v="133"/>
  </r>
  <r>
    <n v="140"/>
    <x v="69"/>
    <x v="2"/>
    <x v="134"/>
  </r>
  <r>
    <n v="141"/>
    <x v="69"/>
    <x v="0"/>
    <x v="135"/>
  </r>
  <r>
    <n v="142"/>
    <x v="70"/>
    <x v="0"/>
    <x v="136"/>
  </r>
  <r>
    <n v="143"/>
    <x v="71"/>
    <x v="2"/>
    <x v="120"/>
  </r>
  <r>
    <n v="144"/>
    <x v="71"/>
    <x v="1"/>
    <x v="137"/>
  </r>
  <r>
    <n v="145"/>
    <x v="72"/>
    <x v="0"/>
    <x v="138"/>
  </r>
  <r>
    <n v="146"/>
    <x v="73"/>
    <x v="0"/>
    <x v="139"/>
  </r>
  <r>
    <n v="147"/>
    <x v="73"/>
    <x v="1"/>
    <x v="140"/>
  </r>
  <r>
    <n v="148"/>
    <x v="74"/>
    <x v="0"/>
    <x v="141"/>
  </r>
  <r>
    <n v="149"/>
    <x v="75"/>
    <x v="1"/>
    <x v="44"/>
  </r>
  <r>
    <n v="150"/>
    <x v="75"/>
    <x v="0"/>
    <x v="142"/>
  </r>
  <r>
    <n v="151"/>
    <x v="75"/>
    <x v="2"/>
    <x v="143"/>
  </r>
  <r>
    <n v="152"/>
    <x v="75"/>
    <x v="3"/>
    <x v="144"/>
  </r>
  <r>
    <n v="153"/>
    <x v="76"/>
    <x v="3"/>
    <x v="19"/>
  </r>
  <r>
    <n v="154"/>
    <x v="76"/>
    <x v="2"/>
    <x v="145"/>
  </r>
  <r>
    <n v="155"/>
    <x v="77"/>
    <x v="2"/>
    <x v="146"/>
  </r>
  <r>
    <n v="156"/>
    <x v="77"/>
    <x v="3"/>
    <x v="76"/>
  </r>
  <r>
    <n v="157"/>
    <x v="77"/>
    <x v="0"/>
    <x v="15"/>
  </r>
  <r>
    <n v="158"/>
    <x v="78"/>
    <x v="2"/>
    <x v="147"/>
  </r>
  <r>
    <n v="159"/>
    <x v="78"/>
    <x v="0"/>
    <x v="148"/>
  </r>
  <r>
    <n v="160"/>
    <x v="78"/>
    <x v="1"/>
    <x v="96"/>
  </r>
  <r>
    <n v="161"/>
    <x v="79"/>
    <x v="0"/>
    <x v="149"/>
  </r>
  <r>
    <n v="162"/>
    <x v="80"/>
    <x v="1"/>
    <x v="150"/>
  </r>
  <r>
    <n v="163"/>
    <x v="81"/>
    <x v="2"/>
    <x v="151"/>
  </r>
  <r>
    <n v="164"/>
    <x v="81"/>
    <x v="3"/>
    <x v="152"/>
  </r>
  <r>
    <n v="165"/>
    <x v="81"/>
    <x v="0"/>
    <x v="153"/>
  </r>
  <r>
    <n v="166"/>
    <x v="82"/>
    <x v="1"/>
    <x v="154"/>
  </r>
  <r>
    <n v="167"/>
    <x v="82"/>
    <x v="3"/>
    <x v="155"/>
  </r>
  <r>
    <n v="168"/>
    <x v="82"/>
    <x v="2"/>
    <x v="138"/>
  </r>
  <r>
    <n v="169"/>
    <x v="83"/>
    <x v="0"/>
    <x v="156"/>
  </r>
  <r>
    <n v="170"/>
    <x v="83"/>
    <x v="1"/>
    <x v="157"/>
  </r>
  <r>
    <n v="171"/>
    <x v="84"/>
    <x v="2"/>
    <x v="158"/>
  </r>
  <r>
    <n v="172"/>
    <x v="85"/>
    <x v="1"/>
    <x v="109"/>
  </r>
  <r>
    <n v="173"/>
    <x v="85"/>
    <x v="0"/>
    <x v="159"/>
  </r>
  <r>
    <n v="174"/>
    <x v="85"/>
    <x v="3"/>
    <x v="160"/>
  </r>
  <r>
    <n v="175"/>
    <x v="85"/>
    <x v="2"/>
    <x v="161"/>
  </r>
  <r>
    <n v="176"/>
    <x v="86"/>
    <x v="0"/>
    <x v="162"/>
  </r>
  <r>
    <n v="177"/>
    <x v="87"/>
    <x v="0"/>
    <x v="163"/>
  </r>
  <r>
    <n v="178"/>
    <x v="88"/>
    <x v="3"/>
    <x v="164"/>
  </r>
  <r>
    <n v="179"/>
    <x v="88"/>
    <x v="1"/>
    <x v="165"/>
  </r>
  <r>
    <n v="180"/>
    <x v="89"/>
    <x v="0"/>
    <x v="166"/>
  </r>
  <r>
    <n v="181"/>
    <x v="89"/>
    <x v="3"/>
    <x v="66"/>
  </r>
  <r>
    <n v="182"/>
    <x v="90"/>
    <x v="2"/>
    <x v="167"/>
  </r>
  <r>
    <n v="183"/>
    <x v="90"/>
    <x v="0"/>
    <x v="108"/>
  </r>
  <r>
    <n v="184"/>
    <x v="91"/>
    <x v="1"/>
    <x v="168"/>
  </r>
  <r>
    <n v="185"/>
    <x v="92"/>
    <x v="1"/>
    <x v="169"/>
  </r>
  <r>
    <n v="186"/>
    <x v="92"/>
    <x v="2"/>
    <x v="47"/>
  </r>
  <r>
    <n v="187"/>
    <x v="93"/>
    <x v="2"/>
    <x v="170"/>
  </r>
  <r>
    <n v="188"/>
    <x v="94"/>
    <x v="1"/>
    <x v="171"/>
  </r>
  <r>
    <n v="189"/>
    <x v="94"/>
    <x v="0"/>
    <x v="172"/>
  </r>
  <r>
    <n v="190"/>
    <x v="94"/>
    <x v="3"/>
    <x v="173"/>
  </r>
  <r>
    <n v="191"/>
    <x v="95"/>
    <x v="0"/>
    <x v="170"/>
  </r>
  <r>
    <n v="192"/>
    <x v="95"/>
    <x v="2"/>
    <x v="174"/>
  </r>
  <r>
    <n v="193"/>
    <x v="96"/>
    <x v="0"/>
    <x v="175"/>
  </r>
  <r>
    <n v="194"/>
    <x v="96"/>
    <x v="3"/>
    <x v="176"/>
  </r>
  <r>
    <n v="195"/>
    <x v="96"/>
    <x v="2"/>
    <x v="177"/>
  </r>
  <r>
    <n v="196"/>
    <x v="97"/>
    <x v="0"/>
    <x v="144"/>
  </r>
  <r>
    <n v="197"/>
    <x v="97"/>
    <x v="2"/>
    <x v="178"/>
  </r>
  <r>
    <n v="198"/>
    <x v="97"/>
    <x v="3"/>
    <x v="179"/>
  </r>
  <r>
    <n v="199"/>
    <x v="98"/>
    <x v="1"/>
    <x v="180"/>
  </r>
  <r>
    <n v="200"/>
    <x v="99"/>
    <x v="3"/>
    <x v="181"/>
  </r>
  <r>
    <n v="201"/>
    <x v="100"/>
    <x v="1"/>
    <x v="182"/>
  </r>
  <r>
    <n v="202"/>
    <x v="100"/>
    <x v="0"/>
    <x v="183"/>
  </r>
  <r>
    <n v="203"/>
    <x v="101"/>
    <x v="1"/>
    <x v="184"/>
  </r>
  <r>
    <n v="204"/>
    <x v="101"/>
    <x v="3"/>
    <x v="136"/>
  </r>
  <r>
    <n v="205"/>
    <x v="101"/>
    <x v="2"/>
    <x v="185"/>
  </r>
  <r>
    <n v="206"/>
    <x v="102"/>
    <x v="0"/>
    <x v="142"/>
  </r>
  <r>
    <n v="207"/>
    <x v="102"/>
    <x v="2"/>
    <x v="186"/>
  </r>
  <r>
    <n v="208"/>
    <x v="102"/>
    <x v="3"/>
    <x v="187"/>
  </r>
  <r>
    <n v="209"/>
    <x v="103"/>
    <x v="0"/>
    <x v="188"/>
  </r>
  <r>
    <n v="210"/>
    <x v="103"/>
    <x v="2"/>
    <x v="189"/>
  </r>
  <r>
    <n v="211"/>
    <x v="103"/>
    <x v="3"/>
    <x v="190"/>
  </r>
  <r>
    <n v="212"/>
    <x v="104"/>
    <x v="1"/>
    <x v="191"/>
  </r>
  <r>
    <n v="213"/>
    <x v="104"/>
    <x v="0"/>
    <x v="79"/>
  </r>
  <r>
    <n v="214"/>
    <x v="105"/>
    <x v="3"/>
    <x v="192"/>
  </r>
  <r>
    <n v="215"/>
    <x v="105"/>
    <x v="2"/>
    <x v="193"/>
  </r>
  <r>
    <n v="216"/>
    <x v="105"/>
    <x v="0"/>
    <x v="88"/>
  </r>
  <r>
    <n v="217"/>
    <x v="106"/>
    <x v="2"/>
    <x v="58"/>
  </r>
  <r>
    <n v="218"/>
    <x v="106"/>
    <x v="3"/>
    <x v="194"/>
  </r>
  <r>
    <n v="219"/>
    <x v="106"/>
    <x v="0"/>
    <x v="160"/>
  </r>
  <r>
    <n v="220"/>
    <x v="107"/>
    <x v="2"/>
    <x v="195"/>
  </r>
  <r>
    <n v="221"/>
    <x v="107"/>
    <x v="3"/>
    <x v="196"/>
  </r>
  <r>
    <n v="222"/>
    <x v="107"/>
    <x v="0"/>
    <x v="136"/>
  </r>
  <r>
    <n v="223"/>
    <x v="108"/>
    <x v="3"/>
    <x v="197"/>
  </r>
  <r>
    <n v="224"/>
    <x v="108"/>
    <x v="1"/>
    <x v="198"/>
  </r>
  <r>
    <n v="225"/>
    <x v="109"/>
    <x v="3"/>
    <x v="199"/>
  </r>
  <r>
    <n v="226"/>
    <x v="109"/>
    <x v="0"/>
    <x v="200"/>
  </r>
  <r>
    <n v="227"/>
    <x v="109"/>
    <x v="1"/>
    <x v="201"/>
  </r>
  <r>
    <n v="228"/>
    <x v="110"/>
    <x v="1"/>
    <x v="202"/>
  </r>
  <r>
    <n v="229"/>
    <x v="111"/>
    <x v="3"/>
    <x v="203"/>
  </r>
  <r>
    <n v="230"/>
    <x v="111"/>
    <x v="0"/>
    <x v="3"/>
  </r>
  <r>
    <n v="231"/>
    <x v="112"/>
    <x v="1"/>
    <x v="204"/>
  </r>
  <r>
    <n v="232"/>
    <x v="113"/>
    <x v="2"/>
    <x v="130"/>
  </r>
  <r>
    <n v="233"/>
    <x v="113"/>
    <x v="3"/>
    <x v="205"/>
  </r>
  <r>
    <n v="234"/>
    <x v="113"/>
    <x v="0"/>
    <x v="206"/>
  </r>
  <r>
    <n v="235"/>
    <x v="114"/>
    <x v="3"/>
    <x v="207"/>
  </r>
  <r>
    <n v="236"/>
    <x v="115"/>
    <x v="2"/>
    <x v="3"/>
  </r>
  <r>
    <n v="237"/>
    <x v="115"/>
    <x v="1"/>
    <x v="208"/>
  </r>
  <r>
    <n v="238"/>
    <x v="115"/>
    <x v="3"/>
    <x v="209"/>
  </r>
  <r>
    <n v="239"/>
    <x v="116"/>
    <x v="0"/>
    <x v="210"/>
  </r>
  <r>
    <n v="240"/>
    <x v="116"/>
    <x v="1"/>
    <x v="211"/>
  </r>
  <r>
    <n v="241"/>
    <x v="117"/>
    <x v="1"/>
    <x v="212"/>
  </r>
  <r>
    <n v="242"/>
    <x v="118"/>
    <x v="0"/>
    <x v="213"/>
  </r>
  <r>
    <n v="243"/>
    <x v="119"/>
    <x v="0"/>
    <x v="214"/>
  </r>
  <r>
    <n v="244"/>
    <x v="120"/>
    <x v="0"/>
    <x v="214"/>
  </r>
  <r>
    <n v="245"/>
    <x v="121"/>
    <x v="2"/>
    <x v="215"/>
  </r>
  <r>
    <n v="246"/>
    <x v="121"/>
    <x v="1"/>
    <x v="8"/>
  </r>
  <r>
    <n v="247"/>
    <x v="122"/>
    <x v="1"/>
    <x v="216"/>
  </r>
  <r>
    <n v="248"/>
    <x v="123"/>
    <x v="1"/>
    <x v="217"/>
  </r>
  <r>
    <n v="249"/>
    <x v="123"/>
    <x v="0"/>
    <x v="218"/>
  </r>
  <r>
    <n v="250"/>
    <x v="124"/>
    <x v="0"/>
    <x v="219"/>
  </r>
  <r>
    <n v="251"/>
    <x v="124"/>
    <x v="3"/>
    <x v="220"/>
  </r>
  <r>
    <n v="252"/>
    <x v="125"/>
    <x v="3"/>
    <x v="221"/>
  </r>
  <r>
    <n v="253"/>
    <x v="125"/>
    <x v="0"/>
    <x v="222"/>
  </r>
  <r>
    <n v="254"/>
    <x v="125"/>
    <x v="2"/>
    <x v="223"/>
  </r>
  <r>
    <n v="255"/>
    <x v="125"/>
    <x v="1"/>
    <x v="224"/>
  </r>
  <r>
    <n v="256"/>
    <x v="126"/>
    <x v="1"/>
    <x v="225"/>
  </r>
  <r>
    <n v="257"/>
    <x v="126"/>
    <x v="0"/>
    <x v="226"/>
  </r>
  <r>
    <n v="258"/>
    <x v="127"/>
    <x v="1"/>
    <x v="227"/>
  </r>
  <r>
    <n v="259"/>
    <x v="127"/>
    <x v="2"/>
    <x v="162"/>
  </r>
  <r>
    <n v="260"/>
    <x v="127"/>
    <x v="0"/>
    <x v="20"/>
  </r>
  <r>
    <n v="261"/>
    <x v="127"/>
    <x v="3"/>
    <x v="228"/>
  </r>
  <r>
    <n v="262"/>
    <x v="128"/>
    <x v="1"/>
    <x v="229"/>
  </r>
  <r>
    <n v="263"/>
    <x v="129"/>
    <x v="2"/>
    <x v="230"/>
  </r>
  <r>
    <n v="264"/>
    <x v="130"/>
    <x v="2"/>
    <x v="231"/>
  </r>
  <r>
    <n v="265"/>
    <x v="131"/>
    <x v="3"/>
    <x v="52"/>
  </r>
  <r>
    <n v="266"/>
    <x v="131"/>
    <x v="1"/>
    <x v="232"/>
  </r>
  <r>
    <n v="267"/>
    <x v="131"/>
    <x v="0"/>
    <x v="233"/>
  </r>
  <r>
    <n v="268"/>
    <x v="132"/>
    <x v="0"/>
    <x v="38"/>
  </r>
  <r>
    <n v="269"/>
    <x v="132"/>
    <x v="3"/>
    <x v="149"/>
  </r>
  <r>
    <n v="270"/>
    <x v="133"/>
    <x v="2"/>
    <x v="39"/>
  </r>
  <r>
    <n v="271"/>
    <x v="133"/>
    <x v="3"/>
    <x v="61"/>
  </r>
  <r>
    <n v="272"/>
    <x v="134"/>
    <x v="0"/>
    <x v="234"/>
  </r>
  <r>
    <n v="273"/>
    <x v="134"/>
    <x v="1"/>
    <x v="77"/>
  </r>
  <r>
    <n v="274"/>
    <x v="135"/>
    <x v="0"/>
    <x v="235"/>
  </r>
  <r>
    <n v="275"/>
    <x v="136"/>
    <x v="0"/>
    <x v="38"/>
  </r>
  <r>
    <n v="276"/>
    <x v="136"/>
    <x v="2"/>
    <x v="236"/>
  </r>
  <r>
    <n v="277"/>
    <x v="136"/>
    <x v="1"/>
    <x v="237"/>
  </r>
  <r>
    <n v="278"/>
    <x v="137"/>
    <x v="2"/>
    <x v="238"/>
  </r>
  <r>
    <n v="279"/>
    <x v="137"/>
    <x v="3"/>
    <x v="239"/>
  </r>
  <r>
    <n v="280"/>
    <x v="137"/>
    <x v="0"/>
    <x v="240"/>
  </r>
  <r>
    <n v="281"/>
    <x v="137"/>
    <x v="1"/>
    <x v="241"/>
  </r>
  <r>
    <n v="282"/>
    <x v="138"/>
    <x v="0"/>
    <x v="177"/>
  </r>
  <r>
    <n v="283"/>
    <x v="138"/>
    <x v="1"/>
    <x v="105"/>
  </r>
  <r>
    <n v="284"/>
    <x v="139"/>
    <x v="1"/>
    <x v="242"/>
  </r>
  <r>
    <n v="285"/>
    <x v="140"/>
    <x v="3"/>
    <x v="243"/>
  </r>
  <r>
    <n v="286"/>
    <x v="140"/>
    <x v="2"/>
    <x v="244"/>
  </r>
  <r>
    <n v="287"/>
    <x v="141"/>
    <x v="3"/>
    <x v="245"/>
  </r>
  <r>
    <n v="288"/>
    <x v="141"/>
    <x v="1"/>
    <x v="246"/>
  </r>
  <r>
    <n v="289"/>
    <x v="141"/>
    <x v="0"/>
    <x v="247"/>
  </r>
  <r>
    <n v="290"/>
    <x v="142"/>
    <x v="0"/>
    <x v="150"/>
  </r>
  <r>
    <n v="291"/>
    <x v="142"/>
    <x v="1"/>
    <x v="232"/>
  </r>
  <r>
    <n v="292"/>
    <x v="143"/>
    <x v="3"/>
    <x v="52"/>
  </r>
  <r>
    <n v="293"/>
    <x v="143"/>
    <x v="1"/>
    <x v="248"/>
  </r>
  <r>
    <n v="294"/>
    <x v="143"/>
    <x v="2"/>
    <x v="249"/>
  </r>
  <r>
    <n v="295"/>
    <x v="144"/>
    <x v="1"/>
    <x v="250"/>
  </r>
  <r>
    <n v="296"/>
    <x v="144"/>
    <x v="0"/>
    <x v="108"/>
  </r>
  <r>
    <n v="297"/>
    <x v="145"/>
    <x v="1"/>
    <x v="131"/>
  </r>
  <r>
    <n v="298"/>
    <x v="145"/>
    <x v="0"/>
    <x v="204"/>
  </r>
  <r>
    <n v="299"/>
    <x v="145"/>
    <x v="3"/>
    <x v="251"/>
  </r>
  <r>
    <n v="300"/>
    <x v="146"/>
    <x v="3"/>
    <x v="60"/>
  </r>
  <r>
    <n v="301"/>
    <x v="146"/>
    <x v="0"/>
    <x v="252"/>
  </r>
  <r>
    <n v="302"/>
    <x v="147"/>
    <x v="0"/>
    <x v="253"/>
  </r>
  <r>
    <n v="303"/>
    <x v="148"/>
    <x v="0"/>
    <x v="254"/>
  </r>
  <r>
    <n v="304"/>
    <x v="148"/>
    <x v="2"/>
    <x v="255"/>
  </r>
  <r>
    <n v="305"/>
    <x v="149"/>
    <x v="0"/>
    <x v="256"/>
  </r>
  <r>
    <n v="306"/>
    <x v="149"/>
    <x v="2"/>
    <x v="193"/>
  </r>
  <r>
    <n v="307"/>
    <x v="149"/>
    <x v="1"/>
    <x v="257"/>
  </r>
  <r>
    <n v="308"/>
    <x v="150"/>
    <x v="1"/>
    <x v="258"/>
  </r>
  <r>
    <n v="309"/>
    <x v="150"/>
    <x v="3"/>
    <x v="259"/>
  </r>
  <r>
    <n v="310"/>
    <x v="151"/>
    <x v="3"/>
    <x v="193"/>
  </r>
  <r>
    <n v="311"/>
    <x v="152"/>
    <x v="0"/>
    <x v="260"/>
  </r>
  <r>
    <n v="312"/>
    <x v="152"/>
    <x v="2"/>
    <x v="130"/>
  </r>
  <r>
    <n v="313"/>
    <x v="153"/>
    <x v="1"/>
    <x v="193"/>
  </r>
  <r>
    <n v="314"/>
    <x v="154"/>
    <x v="0"/>
    <x v="242"/>
  </r>
  <r>
    <n v="315"/>
    <x v="155"/>
    <x v="3"/>
    <x v="261"/>
  </r>
  <r>
    <n v="316"/>
    <x v="155"/>
    <x v="0"/>
    <x v="262"/>
  </r>
  <r>
    <n v="317"/>
    <x v="156"/>
    <x v="1"/>
    <x v="263"/>
  </r>
  <r>
    <n v="318"/>
    <x v="156"/>
    <x v="0"/>
    <x v="264"/>
  </r>
  <r>
    <n v="319"/>
    <x v="156"/>
    <x v="3"/>
    <x v="265"/>
  </r>
  <r>
    <n v="320"/>
    <x v="157"/>
    <x v="1"/>
    <x v="266"/>
  </r>
  <r>
    <n v="321"/>
    <x v="158"/>
    <x v="0"/>
    <x v="267"/>
  </r>
  <r>
    <n v="322"/>
    <x v="158"/>
    <x v="2"/>
    <x v="268"/>
  </r>
  <r>
    <n v="323"/>
    <x v="159"/>
    <x v="3"/>
    <x v="34"/>
  </r>
  <r>
    <n v="324"/>
    <x v="159"/>
    <x v="0"/>
    <x v="129"/>
  </r>
  <r>
    <n v="325"/>
    <x v="159"/>
    <x v="1"/>
    <x v="269"/>
  </r>
  <r>
    <n v="326"/>
    <x v="160"/>
    <x v="3"/>
    <x v="270"/>
  </r>
  <r>
    <n v="327"/>
    <x v="160"/>
    <x v="2"/>
    <x v="76"/>
  </r>
  <r>
    <n v="328"/>
    <x v="161"/>
    <x v="1"/>
    <x v="271"/>
  </r>
  <r>
    <n v="329"/>
    <x v="161"/>
    <x v="0"/>
    <x v="17"/>
  </r>
  <r>
    <n v="330"/>
    <x v="162"/>
    <x v="0"/>
    <x v="272"/>
  </r>
  <r>
    <n v="331"/>
    <x v="162"/>
    <x v="2"/>
    <x v="273"/>
  </r>
  <r>
    <n v="332"/>
    <x v="162"/>
    <x v="1"/>
    <x v="274"/>
  </r>
  <r>
    <n v="333"/>
    <x v="163"/>
    <x v="3"/>
    <x v="275"/>
  </r>
  <r>
    <n v="334"/>
    <x v="163"/>
    <x v="1"/>
    <x v="276"/>
  </r>
  <r>
    <n v="335"/>
    <x v="163"/>
    <x v="0"/>
    <x v="277"/>
  </r>
  <r>
    <n v="336"/>
    <x v="164"/>
    <x v="3"/>
    <x v="128"/>
  </r>
  <r>
    <n v="337"/>
    <x v="164"/>
    <x v="1"/>
    <x v="262"/>
  </r>
  <r>
    <n v="338"/>
    <x v="164"/>
    <x v="2"/>
    <x v="278"/>
  </r>
  <r>
    <n v="339"/>
    <x v="165"/>
    <x v="0"/>
    <x v="279"/>
  </r>
  <r>
    <n v="340"/>
    <x v="166"/>
    <x v="1"/>
    <x v="280"/>
  </r>
  <r>
    <n v="341"/>
    <x v="166"/>
    <x v="2"/>
    <x v="281"/>
  </r>
  <r>
    <n v="342"/>
    <x v="166"/>
    <x v="0"/>
    <x v="282"/>
  </r>
  <r>
    <n v="343"/>
    <x v="167"/>
    <x v="3"/>
    <x v="283"/>
  </r>
  <r>
    <n v="344"/>
    <x v="167"/>
    <x v="2"/>
    <x v="284"/>
  </r>
  <r>
    <n v="345"/>
    <x v="167"/>
    <x v="1"/>
    <x v="285"/>
  </r>
  <r>
    <n v="346"/>
    <x v="167"/>
    <x v="0"/>
    <x v="286"/>
  </r>
  <r>
    <n v="347"/>
    <x v="168"/>
    <x v="3"/>
    <x v="287"/>
  </r>
  <r>
    <n v="348"/>
    <x v="169"/>
    <x v="3"/>
    <x v="288"/>
  </r>
  <r>
    <n v="349"/>
    <x v="169"/>
    <x v="0"/>
    <x v="42"/>
  </r>
  <r>
    <n v="350"/>
    <x v="170"/>
    <x v="3"/>
    <x v="289"/>
  </r>
  <r>
    <n v="351"/>
    <x v="170"/>
    <x v="1"/>
    <x v="290"/>
  </r>
  <r>
    <n v="352"/>
    <x v="171"/>
    <x v="1"/>
    <x v="118"/>
  </r>
  <r>
    <n v="353"/>
    <x v="172"/>
    <x v="2"/>
    <x v="291"/>
  </r>
  <r>
    <n v="354"/>
    <x v="172"/>
    <x v="3"/>
    <x v="84"/>
  </r>
  <r>
    <n v="355"/>
    <x v="173"/>
    <x v="2"/>
    <x v="292"/>
  </r>
  <r>
    <n v="356"/>
    <x v="174"/>
    <x v="2"/>
    <x v="132"/>
  </r>
  <r>
    <n v="357"/>
    <x v="174"/>
    <x v="3"/>
    <x v="107"/>
  </r>
  <r>
    <n v="358"/>
    <x v="175"/>
    <x v="1"/>
    <x v="293"/>
  </r>
  <r>
    <n v="359"/>
    <x v="176"/>
    <x v="2"/>
    <x v="294"/>
  </r>
  <r>
    <n v="360"/>
    <x v="176"/>
    <x v="0"/>
    <x v="295"/>
  </r>
  <r>
    <n v="361"/>
    <x v="177"/>
    <x v="3"/>
    <x v="118"/>
  </r>
  <r>
    <n v="362"/>
    <x v="178"/>
    <x v="0"/>
    <x v="296"/>
  </r>
  <r>
    <n v="363"/>
    <x v="178"/>
    <x v="2"/>
    <x v="297"/>
  </r>
  <r>
    <n v="364"/>
    <x v="179"/>
    <x v="2"/>
    <x v="298"/>
  </r>
  <r>
    <n v="365"/>
    <x v="179"/>
    <x v="1"/>
    <x v="263"/>
  </r>
  <r>
    <n v="366"/>
    <x v="179"/>
    <x v="3"/>
    <x v="299"/>
  </r>
  <r>
    <n v="367"/>
    <x v="180"/>
    <x v="0"/>
    <x v="96"/>
  </r>
  <r>
    <n v="368"/>
    <x v="180"/>
    <x v="3"/>
    <x v="300"/>
  </r>
  <r>
    <n v="369"/>
    <x v="181"/>
    <x v="1"/>
    <x v="199"/>
  </r>
  <r>
    <n v="370"/>
    <x v="181"/>
    <x v="3"/>
    <x v="269"/>
  </r>
  <r>
    <n v="371"/>
    <x v="182"/>
    <x v="0"/>
    <x v="179"/>
  </r>
  <r>
    <n v="372"/>
    <x v="182"/>
    <x v="1"/>
    <x v="301"/>
  </r>
  <r>
    <n v="373"/>
    <x v="183"/>
    <x v="1"/>
    <x v="210"/>
  </r>
  <r>
    <n v="374"/>
    <x v="184"/>
    <x v="3"/>
    <x v="156"/>
  </r>
  <r>
    <n v="375"/>
    <x v="184"/>
    <x v="0"/>
    <x v="302"/>
  </r>
  <r>
    <n v="376"/>
    <x v="185"/>
    <x v="1"/>
    <x v="228"/>
  </r>
  <r>
    <n v="377"/>
    <x v="185"/>
    <x v="0"/>
    <x v="183"/>
  </r>
  <r>
    <n v="378"/>
    <x v="186"/>
    <x v="2"/>
    <x v="210"/>
  </r>
  <r>
    <n v="379"/>
    <x v="186"/>
    <x v="0"/>
    <x v="244"/>
  </r>
  <r>
    <n v="380"/>
    <x v="186"/>
    <x v="1"/>
    <x v="303"/>
  </r>
  <r>
    <n v="381"/>
    <x v="187"/>
    <x v="0"/>
    <x v="304"/>
  </r>
  <r>
    <n v="382"/>
    <x v="187"/>
    <x v="2"/>
    <x v="194"/>
  </r>
  <r>
    <n v="383"/>
    <x v="187"/>
    <x v="1"/>
    <x v="305"/>
  </r>
  <r>
    <n v="384"/>
    <x v="188"/>
    <x v="2"/>
    <x v="306"/>
  </r>
  <r>
    <n v="385"/>
    <x v="188"/>
    <x v="0"/>
    <x v="307"/>
  </r>
  <r>
    <n v="386"/>
    <x v="189"/>
    <x v="3"/>
    <x v="308"/>
  </r>
  <r>
    <n v="387"/>
    <x v="190"/>
    <x v="3"/>
    <x v="309"/>
  </r>
  <r>
    <n v="388"/>
    <x v="190"/>
    <x v="1"/>
    <x v="310"/>
  </r>
  <r>
    <n v="389"/>
    <x v="190"/>
    <x v="0"/>
    <x v="236"/>
  </r>
  <r>
    <n v="390"/>
    <x v="191"/>
    <x v="0"/>
    <x v="311"/>
  </r>
  <r>
    <n v="391"/>
    <x v="191"/>
    <x v="3"/>
    <x v="312"/>
  </r>
  <r>
    <n v="392"/>
    <x v="192"/>
    <x v="0"/>
    <x v="308"/>
  </r>
  <r>
    <n v="393"/>
    <x v="192"/>
    <x v="1"/>
    <x v="313"/>
  </r>
  <r>
    <n v="394"/>
    <x v="192"/>
    <x v="3"/>
    <x v="204"/>
  </r>
  <r>
    <n v="395"/>
    <x v="193"/>
    <x v="3"/>
    <x v="308"/>
  </r>
  <r>
    <n v="396"/>
    <x v="194"/>
    <x v="1"/>
    <x v="314"/>
  </r>
  <r>
    <n v="397"/>
    <x v="194"/>
    <x v="3"/>
    <x v="315"/>
  </r>
  <r>
    <n v="398"/>
    <x v="194"/>
    <x v="0"/>
    <x v="316"/>
  </r>
  <r>
    <n v="399"/>
    <x v="195"/>
    <x v="0"/>
    <x v="173"/>
  </r>
  <r>
    <n v="400"/>
    <x v="196"/>
    <x v="3"/>
    <x v="133"/>
  </r>
  <r>
    <n v="401"/>
    <x v="196"/>
    <x v="0"/>
    <x v="317"/>
  </r>
  <r>
    <n v="402"/>
    <x v="197"/>
    <x v="2"/>
    <x v="318"/>
  </r>
  <r>
    <n v="403"/>
    <x v="197"/>
    <x v="1"/>
    <x v="319"/>
  </r>
  <r>
    <n v="404"/>
    <x v="198"/>
    <x v="0"/>
    <x v="320"/>
  </r>
  <r>
    <n v="405"/>
    <x v="198"/>
    <x v="3"/>
    <x v="321"/>
  </r>
  <r>
    <n v="406"/>
    <x v="199"/>
    <x v="0"/>
    <x v="11"/>
  </r>
  <r>
    <n v="407"/>
    <x v="199"/>
    <x v="1"/>
    <x v="58"/>
  </r>
  <r>
    <n v="408"/>
    <x v="200"/>
    <x v="0"/>
    <x v="322"/>
  </r>
  <r>
    <n v="409"/>
    <x v="201"/>
    <x v="3"/>
    <x v="315"/>
  </r>
  <r>
    <n v="410"/>
    <x v="201"/>
    <x v="1"/>
    <x v="226"/>
  </r>
  <r>
    <n v="411"/>
    <x v="201"/>
    <x v="0"/>
    <x v="195"/>
  </r>
  <r>
    <n v="412"/>
    <x v="201"/>
    <x v="2"/>
    <x v="323"/>
  </r>
  <r>
    <n v="413"/>
    <x v="202"/>
    <x v="3"/>
    <x v="324"/>
  </r>
  <r>
    <n v="414"/>
    <x v="202"/>
    <x v="0"/>
    <x v="325"/>
  </r>
  <r>
    <n v="415"/>
    <x v="202"/>
    <x v="1"/>
    <x v="326"/>
  </r>
  <r>
    <n v="416"/>
    <x v="203"/>
    <x v="3"/>
    <x v="295"/>
  </r>
  <r>
    <n v="417"/>
    <x v="203"/>
    <x v="2"/>
    <x v="327"/>
  </r>
  <r>
    <n v="418"/>
    <x v="203"/>
    <x v="1"/>
    <x v="328"/>
  </r>
  <r>
    <n v="419"/>
    <x v="203"/>
    <x v="0"/>
    <x v="82"/>
  </r>
  <r>
    <n v="420"/>
    <x v="204"/>
    <x v="0"/>
    <x v="329"/>
  </r>
  <r>
    <n v="421"/>
    <x v="205"/>
    <x v="2"/>
    <x v="224"/>
  </r>
  <r>
    <n v="422"/>
    <x v="206"/>
    <x v="1"/>
    <x v="330"/>
  </r>
  <r>
    <n v="423"/>
    <x v="206"/>
    <x v="3"/>
    <x v="331"/>
  </r>
  <r>
    <n v="424"/>
    <x v="207"/>
    <x v="1"/>
    <x v="188"/>
  </r>
  <r>
    <n v="425"/>
    <x v="207"/>
    <x v="0"/>
    <x v="332"/>
  </r>
  <r>
    <n v="426"/>
    <x v="207"/>
    <x v="3"/>
    <x v="333"/>
  </r>
  <r>
    <n v="427"/>
    <x v="208"/>
    <x v="1"/>
    <x v="334"/>
  </r>
  <r>
    <n v="428"/>
    <x v="208"/>
    <x v="2"/>
    <x v="335"/>
  </r>
  <r>
    <n v="429"/>
    <x v="208"/>
    <x v="0"/>
    <x v="336"/>
  </r>
  <r>
    <n v="430"/>
    <x v="209"/>
    <x v="1"/>
    <x v="337"/>
  </r>
  <r>
    <n v="431"/>
    <x v="209"/>
    <x v="2"/>
    <x v="338"/>
  </r>
  <r>
    <n v="432"/>
    <x v="209"/>
    <x v="0"/>
    <x v="165"/>
  </r>
  <r>
    <n v="433"/>
    <x v="210"/>
    <x v="0"/>
    <x v="339"/>
  </r>
  <r>
    <n v="434"/>
    <x v="210"/>
    <x v="3"/>
    <x v="320"/>
  </r>
  <r>
    <n v="435"/>
    <x v="210"/>
    <x v="2"/>
    <x v="340"/>
  </r>
  <r>
    <n v="436"/>
    <x v="210"/>
    <x v="1"/>
    <x v="341"/>
  </r>
  <r>
    <n v="437"/>
    <x v="211"/>
    <x v="0"/>
    <x v="339"/>
  </r>
  <r>
    <n v="438"/>
    <x v="212"/>
    <x v="3"/>
    <x v="342"/>
  </r>
  <r>
    <n v="439"/>
    <x v="212"/>
    <x v="0"/>
    <x v="311"/>
  </r>
  <r>
    <n v="440"/>
    <x v="213"/>
    <x v="3"/>
    <x v="343"/>
  </r>
  <r>
    <n v="441"/>
    <x v="213"/>
    <x v="1"/>
    <x v="344"/>
  </r>
  <r>
    <n v="442"/>
    <x v="214"/>
    <x v="2"/>
    <x v="345"/>
  </r>
  <r>
    <n v="443"/>
    <x v="214"/>
    <x v="3"/>
    <x v="346"/>
  </r>
  <r>
    <n v="444"/>
    <x v="215"/>
    <x v="2"/>
    <x v="171"/>
  </r>
  <r>
    <n v="445"/>
    <x v="216"/>
    <x v="2"/>
    <x v="347"/>
  </r>
  <r>
    <n v="446"/>
    <x v="217"/>
    <x v="3"/>
    <x v="348"/>
  </r>
  <r>
    <n v="447"/>
    <x v="217"/>
    <x v="1"/>
    <x v="349"/>
  </r>
  <r>
    <n v="448"/>
    <x v="218"/>
    <x v="2"/>
    <x v="172"/>
  </r>
  <r>
    <n v="449"/>
    <x v="218"/>
    <x v="0"/>
    <x v="350"/>
  </r>
  <r>
    <n v="450"/>
    <x v="218"/>
    <x v="3"/>
    <x v="174"/>
  </r>
  <r>
    <n v="451"/>
    <x v="219"/>
    <x v="2"/>
    <x v="63"/>
  </r>
  <r>
    <n v="452"/>
    <x v="220"/>
    <x v="2"/>
    <x v="351"/>
  </r>
  <r>
    <n v="453"/>
    <x v="220"/>
    <x v="1"/>
    <x v="352"/>
  </r>
  <r>
    <n v="454"/>
    <x v="221"/>
    <x v="1"/>
    <x v="353"/>
  </r>
  <r>
    <n v="455"/>
    <x v="221"/>
    <x v="3"/>
    <x v="354"/>
  </r>
  <r>
    <n v="456"/>
    <x v="221"/>
    <x v="0"/>
    <x v="355"/>
  </r>
  <r>
    <n v="457"/>
    <x v="222"/>
    <x v="3"/>
    <x v="356"/>
  </r>
  <r>
    <n v="458"/>
    <x v="223"/>
    <x v="1"/>
    <x v="357"/>
  </r>
  <r>
    <n v="459"/>
    <x v="224"/>
    <x v="3"/>
    <x v="358"/>
  </r>
  <r>
    <n v="460"/>
    <x v="224"/>
    <x v="0"/>
    <x v="104"/>
  </r>
  <r>
    <n v="461"/>
    <x v="224"/>
    <x v="1"/>
    <x v="359"/>
  </r>
  <r>
    <n v="462"/>
    <x v="225"/>
    <x v="3"/>
    <x v="360"/>
  </r>
  <r>
    <n v="463"/>
    <x v="225"/>
    <x v="0"/>
    <x v="97"/>
  </r>
  <r>
    <n v="464"/>
    <x v="225"/>
    <x v="1"/>
    <x v="361"/>
  </r>
  <r>
    <n v="465"/>
    <x v="226"/>
    <x v="0"/>
    <x v="243"/>
  </r>
  <r>
    <n v="466"/>
    <x v="226"/>
    <x v="1"/>
    <x v="362"/>
  </r>
  <r>
    <n v="467"/>
    <x v="226"/>
    <x v="2"/>
    <x v="363"/>
  </r>
  <r>
    <n v="468"/>
    <x v="227"/>
    <x v="1"/>
    <x v="364"/>
  </r>
  <r>
    <n v="469"/>
    <x v="227"/>
    <x v="0"/>
    <x v="365"/>
  </r>
  <r>
    <n v="470"/>
    <x v="228"/>
    <x v="2"/>
    <x v="366"/>
  </r>
  <r>
    <n v="471"/>
    <x v="229"/>
    <x v="1"/>
    <x v="367"/>
  </r>
  <r>
    <n v="472"/>
    <x v="230"/>
    <x v="2"/>
    <x v="368"/>
  </r>
  <r>
    <n v="473"/>
    <x v="230"/>
    <x v="0"/>
    <x v="369"/>
  </r>
  <r>
    <n v="474"/>
    <x v="230"/>
    <x v="3"/>
    <x v="205"/>
  </r>
  <r>
    <n v="475"/>
    <x v="231"/>
    <x v="3"/>
    <x v="368"/>
  </r>
  <r>
    <n v="476"/>
    <x v="232"/>
    <x v="1"/>
    <x v="319"/>
  </r>
  <r>
    <n v="477"/>
    <x v="232"/>
    <x v="0"/>
    <x v="370"/>
  </r>
  <r>
    <n v="478"/>
    <x v="232"/>
    <x v="3"/>
    <x v="371"/>
  </r>
  <r>
    <n v="479"/>
    <x v="233"/>
    <x v="0"/>
    <x v="168"/>
  </r>
  <r>
    <n v="480"/>
    <x v="233"/>
    <x v="1"/>
    <x v="52"/>
  </r>
  <r>
    <n v="481"/>
    <x v="233"/>
    <x v="3"/>
    <x v="372"/>
  </r>
  <r>
    <n v="482"/>
    <x v="234"/>
    <x v="1"/>
    <x v="60"/>
  </r>
  <r>
    <n v="483"/>
    <x v="234"/>
    <x v="2"/>
    <x v="373"/>
  </r>
  <r>
    <n v="484"/>
    <x v="234"/>
    <x v="0"/>
    <x v="87"/>
  </r>
  <r>
    <n v="485"/>
    <x v="235"/>
    <x v="3"/>
    <x v="374"/>
  </r>
  <r>
    <n v="486"/>
    <x v="235"/>
    <x v="1"/>
    <x v="375"/>
  </r>
  <r>
    <n v="487"/>
    <x v="236"/>
    <x v="0"/>
    <x v="376"/>
  </r>
  <r>
    <n v="488"/>
    <x v="237"/>
    <x v="3"/>
    <x v="99"/>
  </r>
  <r>
    <n v="489"/>
    <x v="238"/>
    <x v="3"/>
    <x v="377"/>
  </r>
  <r>
    <n v="490"/>
    <x v="238"/>
    <x v="0"/>
    <x v="378"/>
  </r>
  <r>
    <n v="491"/>
    <x v="239"/>
    <x v="1"/>
    <x v="264"/>
  </r>
  <r>
    <n v="492"/>
    <x v="239"/>
    <x v="3"/>
    <x v="315"/>
  </r>
  <r>
    <n v="493"/>
    <x v="240"/>
    <x v="1"/>
    <x v="379"/>
  </r>
  <r>
    <n v="494"/>
    <x v="240"/>
    <x v="3"/>
    <x v="198"/>
  </r>
  <r>
    <n v="495"/>
    <x v="240"/>
    <x v="0"/>
    <x v="28"/>
  </r>
  <r>
    <n v="496"/>
    <x v="241"/>
    <x v="0"/>
    <x v="108"/>
  </r>
  <r>
    <n v="497"/>
    <x v="242"/>
    <x v="0"/>
    <x v="380"/>
  </r>
  <r>
    <n v="498"/>
    <x v="242"/>
    <x v="3"/>
    <x v="381"/>
  </r>
  <r>
    <n v="499"/>
    <x v="243"/>
    <x v="0"/>
    <x v="382"/>
  </r>
  <r>
    <n v="500"/>
    <x v="243"/>
    <x v="2"/>
    <x v="232"/>
  </r>
  <r>
    <n v="501"/>
    <x v="244"/>
    <x v="1"/>
    <x v="45"/>
  </r>
  <r>
    <n v="502"/>
    <x v="244"/>
    <x v="0"/>
    <x v="383"/>
  </r>
  <r>
    <n v="503"/>
    <x v="244"/>
    <x v="2"/>
    <x v="212"/>
  </r>
  <r>
    <n v="504"/>
    <x v="245"/>
    <x v="1"/>
    <x v="106"/>
  </r>
  <r>
    <n v="505"/>
    <x v="246"/>
    <x v="3"/>
    <x v="384"/>
  </r>
  <r>
    <n v="506"/>
    <x v="247"/>
    <x v="2"/>
    <x v="385"/>
  </r>
  <r>
    <n v="507"/>
    <x v="248"/>
    <x v="1"/>
    <x v="192"/>
  </r>
  <r>
    <n v="508"/>
    <x v="249"/>
    <x v="3"/>
    <x v="147"/>
  </r>
  <r>
    <n v="509"/>
    <x v="249"/>
    <x v="1"/>
    <x v="214"/>
  </r>
  <r>
    <n v="510"/>
    <x v="250"/>
    <x v="2"/>
    <x v="319"/>
  </r>
  <r>
    <n v="511"/>
    <x v="250"/>
    <x v="1"/>
    <x v="16"/>
  </r>
  <r>
    <n v="512"/>
    <x v="250"/>
    <x v="0"/>
    <x v="386"/>
  </r>
  <r>
    <n v="513"/>
    <x v="251"/>
    <x v="2"/>
    <x v="387"/>
  </r>
  <r>
    <n v="514"/>
    <x v="251"/>
    <x v="3"/>
    <x v="388"/>
  </r>
  <r>
    <n v="515"/>
    <x v="252"/>
    <x v="0"/>
    <x v="50"/>
  </r>
  <r>
    <n v="516"/>
    <x v="252"/>
    <x v="2"/>
    <x v="389"/>
  </r>
  <r>
    <n v="517"/>
    <x v="252"/>
    <x v="1"/>
    <x v="390"/>
  </r>
  <r>
    <n v="518"/>
    <x v="253"/>
    <x v="3"/>
    <x v="391"/>
  </r>
  <r>
    <n v="519"/>
    <x v="253"/>
    <x v="0"/>
    <x v="392"/>
  </r>
  <r>
    <n v="520"/>
    <x v="253"/>
    <x v="1"/>
    <x v="393"/>
  </r>
  <r>
    <n v="521"/>
    <x v="254"/>
    <x v="2"/>
    <x v="394"/>
  </r>
  <r>
    <n v="522"/>
    <x v="254"/>
    <x v="1"/>
    <x v="395"/>
  </r>
  <r>
    <n v="523"/>
    <x v="254"/>
    <x v="3"/>
    <x v="238"/>
  </r>
  <r>
    <n v="524"/>
    <x v="255"/>
    <x v="0"/>
    <x v="175"/>
  </r>
  <r>
    <n v="525"/>
    <x v="256"/>
    <x v="1"/>
    <x v="396"/>
  </r>
  <r>
    <n v="526"/>
    <x v="256"/>
    <x v="2"/>
    <x v="320"/>
  </r>
  <r>
    <n v="527"/>
    <x v="256"/>
    <x v="3"/>
    <x v="397"/>
  </r>
  <r>
    <n v="528"/>
    <x v="257"/>
    <x v="0"/>
    <x v="398"/>
  </r>
  <r>
    <n v="529"/>
    <x v="258"/>
    <x v="1"/>
    <x v="378"/>
  </r>
  <r>
    <n v="530"/>
    <x v="258"/>
    <x v="3"/>
    <x v="399"/>
  </r>
  <r>
    <n v="531"/>
    <x v="258"/>
    <x v="0"/>
    <x v="400"/>
  </r>
  <r>
    <n v="532"/>
    <x v="259"/>
    <x v="2"/>
    <x v="170"/>
  </r>
  <r>
    <n v="533"/>
    <x v="259"/>
    <x v="1"/>
    <x v="401"/>
  </r>
  <r>
    <n v="534"/>
    <x v="260"/>
    <x v="3"/>
    <x v="22"/>
  </r>
  <r>
    <n v="535"/>
    <x v="260"/>
    <x v="1"/>
    <x v="402"/>
  </r>
  <r>
    <n v="536"/>
    <x v="260"/>
    <x v="2"/>
    <x v="403"/>
  </r>
  <r>
    <n v="537"/>
    <x v="261"/>
    <x v="0"/>
    <x v="404"/>
  </r>
  <r>
    <n v="538"/>
    <x v="261"/>
    <x v="3"/>
    <x v="405"/>
  </r>
  <r>
    <n v="539"/>
    <x v="262"/>
    <x v="0"/>
    <x v="406"/>
  </r>
  <r>
    <n v="540"/>
    <x v="262"/>
    <x v="3"/>
    <x v="35"/>
  </r>
  <r>
    <n v="541"/>
    <x v="263"/>
    <x v="3"/>
    <x v="391"/>
  </r>
  <r>
    <n v="542"/>
    <x v="263"/>
    <x v="2"/>
    <x v="407"/>
  </r>
  <r>
    <n v="543"/>
    <x v="264"/>
    <x v="2"/>
    <x v="408"/>
  </r>
  <r>
    <n v="544"/>
    <x v="265"/>
    <x v="3"/>
    <x v="409"/>
  </r>
  <r>
    <n v="545"/>
    <x v="265"/>
    <x v="2"/>
    <x v="410"/>
  </r>
  <r>
    <n v="546"/>
    <x v="266"/>
    <x v="2"/>
    <x v="35"/>
  </r>
  <r>
    <n v="547"/>
    <x v="267"/>
    <x v="0"/>
    <x v="411"/>
  </r>
  <r>
    <n v="548"/>
    <x v="268"/>
    <x v="2"/>
    <x v="412"/>
  </r>
  <r>
    <n v="549"/>
    <x v="268"/>
    <x v="3"/>
    <x v="413"/>
  </r>
  <r>
    <n v="550"/>
    <x v="269"/>
    <x v="1"/>
    <x v="414"/>
  </r>
  <r>
    <n v="551"/>
    <x v="269"/>
    <x v="3"/>
    <x v="68"/>
  </r>
  <r>
    <n v="552"/>
    <x v="270"/>
    <x v="2"/>
    <x v="312"/>
  </r>
  <r>
    <n v="553"/>
    <x v="271"/>
    <x v="0"/>
    <x v="414"/>
  </r>
  <r>
    <n v="554"/>
    <x v="271"/>
    <x v="1"/>
    <x v="415"/>
  </r>
  <r>
    <n v="555"/>
    <x v="272"/>
    <x v="3"/>
    <x v="44"/>
  </r>
  <r>
    <n v="556"/>
    <x v="272"/>
    <x v="2"/>
    <x v="201"/>
  </r>
  <r>
    <n v="557"/>
    <x v="273"/>
    <x v="1"/>
    <x v="411"/>
  </r>
  <r>
    <n v="558"/>
    <x v="274"/>
    <x v="1"/>
    <x v="416"/>
  </r>
  <r>
    <n v="559"/>
    <x v="274"/>
    <x v="3"/>
    <x v="417"/>
  </r>
  <r>
    <n v="560"/>
    <x v="274"/>
    <x v="0"/>
    <x v="418"/>
  </r>
  <r>
    <n v="561"/>
    <x v="275"/>
    <x v="1"/>
    <x v="419"/>
  </r>
  <r>
    <n v="562"/>
    <x v="275"/>
    <x v="3"/>
    <x v="420"/>
  </r>
  <r>
    <n v="563"/>
    <x v="276"/>
    <x v="2"/>
    <x v="136"/>
  </r>
  <r>
    <n v="564"/>
    <x v="276"/>
    <x v="0"/>
    <x v="384"/>
  </r>
  <r>
    <n v="565"/>
    <x v="276"/>
    <x v="1"/>
    <x v="155"/>
  </r>
  <r>
    <n v="566"/>
    <x v="277"/>
    <x v="2"/>
    <x v="421"/>
  </r>
  <r>
    <n v="567"/>
    <x v="277"/>
    <x v="1"/>
    <x v="76"/>
  </r>
  <r>
    <n v="568"/>
    <x v="277"/>
    <x v="3"/>
    <x v="422"/>
  </r>
  <r>
    <n v="569"/>
    <x v="278"/>
    <x v="0"/>
    <x v="423"/>
  </r>
  <r>
    <n v="570"/>
    <x v="279"/>
    <x v="1"/>
    <x v="424"/>
  </r>
  <r>
    <n v="571"/>
    <x v="279"/>
    <x v="2"/>
    <x v="425"/>
  </r>
  <r>
    <n v="572"/>
    <x v="279"/>
    <x v="0"/>
    <x v="426"/>
  </r>
  <r>
    <n v="573"/>
    <x v="280"/>
    <x v="1"/>
    <x v="408"/>
  </r>
  <r>
    <n v="574"/>
    <x v="280"/>
    <x v="0"/>
    <x v="32"/>
  </r>
  <r>
    <n v="575"/>
    <x v="280"/>
    <x v="3"/>
    <x v="427"/>
  </r>
  <r>
    <n v="576"/>
    <x v="281"/>
    <x v="3"/>
    <x v="210"/>
  </r>
  <r>
    <n v="577"/>
    <x v="281"/>
    <x v="0"/>
    <x v="365"/>
  </r>
  <r>
    <n v="578"/>
    <x v="282"/>
    <x v="3"/>
    <x v="342"/>
  </r>
  <r>
    <n v="579"/>
    <x v="282"/>
    <x v="0"/>
    <x v="428"/>
  </r>
  <r>
    <n v="580"/>
    <x v="283"/>
    <x v="0"/>
    <x v="41"/>
  </r>
  <r>
    <n v="581"/>
    <x v="284"/>
    <x v="3"/>
    <x v="429"/>
  </r>
  <r>
    <n v="582"/>
    <x v="284"/>
    <x v="0"/>
    <x v="197"/>
  </r>
  <r>
    <n v="583"/>
    <x v="285"/>
    <x v="0"/>
    <x v="119"/>
  </r>
  <r>
    <n v="584"/>
    <x v="285"/>
    <x v="3"/>
    <x v="430"/>
  </r>
  <r>
    <n v="585"/>
    <x v="286"/>
    <x v="1"/>
    <x v="431"/>
  </r>
  <r>
    <n v="586"/>
    <x v="286"/>
    <x v="3"/>
    <x v="432"/>
  </r>
  <r>
    <n v="587"/>
    <x v="287"/>
    <x v="2"/>
    <x v="433"/>
  </r>
  <r>
    <n v="588"/>
    <x v="287"/>
    <x v="3"/>
    <x v="335"/>
  </r>
  <r>
    <n v="589"/>
    <x v="288"/>
    <x v="3"/>
    <x v="140"/>
  </r>
  <r>
    <n v="590"/>
    <x v="288"/>
    <x v="1"/>
    <x v="434"/>
  </r>
  <r>
    <n v="591"/>
    <x v="288"/>
    <x v="0"/>
    <x v="9"/>
  </r>
  <r>
    <n v="592"/>
    <x v="289"/>
    <x v="1"/>
    <x v="75"/>
  </r>
  <r>
    <n v="593"/>
    <x v="289"/>
    <x v="0"/>
    <x v="435"/>
  </r>
  <r>
    <n v="594"/>
    <x v="290"/>
    <x v="2"/>
    <x v="280"/>
  </r>
  <r>
    <n v="595"/>
    <x v="290"/>
    <x v="1"/>
    <x v="436"/>
  </r>
  <r>
    <n v="596"/>
    <x v="291"/>
    <x v="0"/>
    <x v="437"/>
  </r>
  <r>
    <n v="597"/>
    <x v="292"/>
    <x v="0"/>
    <x v="438"/>
  </r>
  <r>
    <n v="598"/>
    <x v="292"/>
    <x v="3"/>
    <x v="128"/>
  </r>
  <r>
    <n v="599"/>
    <x v="293"/>
    <x v="0"/>
    <x v="308"/>
  </r>
  <r>
    <n v="600"/>
    <x v="293"/>
    <x v="2"/>
    <x v="439"/>
  </r>
  <r>
    <n v="601"/>
    <x v="293"/>
    <x v="1"/>
    <x v="440"/>
  </r>
  <r>
    <n v="602"/>
    <x v="294"/>
    <x v="0"/>
    <x v="441"/>
  </r>
  <r>
    <n v="603"/>
    <x v="294"/>
    <x v="3"/>
    <x v="442"/>
  </r>
  <r>
    <n v="604"/>
    <x v="295"/>
    <x v="1"/>
    <x v="443"/>
  </r>
  <r>
    <n v="605"/>
    <x v="295"/>
    <x v="3"/>
    <x v="444"/>
  </r>
  <r>
    <n v="606"/>
    <x v="296"/>
    <x v="1"/>
    <x v="445"/>
  </r>
  <r>
    <n v="607"/>
    <x v="296"/>
    <x v="2"/>
    <x v="154"/>
  </r>
  <r>
    <n v="608"/>
    <x v="296"/>
    <x v="0"/>
    <x v="446"/>
  </r>
  <r>
    <n v="609"/>
    <x v="296"/>
    <x v="3"/>
    <x v="447"/>
  </r>
  <r>
    <n v="610"/>
    <x v="297"/>
    <x v="0"/>
    <x v="448"/>
  </r>
  <r>
    <n v="611"/>
    <x v="297"/>
    <x v="2"/>
    <x v="368"/>
  </r>
  <r>
    <n v="612"/>
    <x v="297"/>
    <x v="1"/>
    <x v="449"/>
  </r>
  <r>
    <n v="613"/>
    <x v="298"/>
    <x v="1"/>
    <x v="341"/>
  </r>
  <r>
    <n v="614"/>
    <x v="298"/>
    <x v="2"/>
    <x v="450"/>
  </r>
  <r>
    <n v="615"/>
    <x v="298"/>
    <x v="0"/>
    <x v="451"/>
  </r>
  <r>
    <n v="616"/>
    <x v="298"/>
    <x v="3"/>
    <x v="276"/>
  </r>
  <r>
    <n v="617"/>
    <x v="299"/>
    <x v="3"/>
    <x v="66"/>
  </r>
  <r>
    <n v="618"/>
    <x v="299"/>
    <x v="0"/>
    <x v="166"/>
  </r>
  <r>
    <n v="619"/>
    <x v="300"/>
    <x v="1"/>
    <x v="66"/>
  </r>
  <r>
    <n v="620"/>
    <x v="301"/>
    <x v="2"/>
    <x v="163"/>
  </r>
  <r>
    <n v="621"/>
    <x v="301"/>
    <x v="0"/>
    <x v="452"/>
  </r>
  <r>
    <n v="622"/>
    <x v="302"/>
    <x v="1"/>
    <x v="64"/>
  </r>
  <r>
    <n v="623"/>
    <x v="303"/>
    <x v="0"/>
    <x v="114"/>
  </r>
  <r>
    <n v="624"/>
    <x v="303"/>
    <x v="2"/>
    <x v="45"/>
  </r>
  <r>
    <n v="625"/>
    <x v="303"/>
    <x v="1"/>
    <x v="391"/>
  </r>
  <r>
    <n v="626"/>
    <x v="304"/>
    <x v="0"/>
    <x v="453"/>
  </r>
  <r>
    <n v="627"/>
    <x v="305"/>
    <x v="0"/>
    <x v="176"/>
  </r>
  <r>
    <n v="628"/>
    <x v="305"/>
    <x v="1"/>
    <x v="454"/>
  </r>
  <r>
    <n v="629"/>
    <x v="306"/>
    <x v="3"/>
    <x v="455"/>
  </r>
  <r>
    <n v="630"/>
    <x v="306"/>
    <x v="2"/>
    <x v="204"/>
  </r>
  <r>
    <n v="631"/>
    <x v="306"/>
    <x v="1"/>
    <x v="456"/>
  </r>
  <r>
    <n v="632"/>
    <x v="307"/>
    <x v="3"/>
    <x v="457"/>
  </r>
  <r>
    <n v="633"/>
    <x v="307"/>
    <x v="0"/>
    <x v="448"/>
  </r>
  <r>
    <n v="634"/>
    <x v="308"/>
    <x v="1"/>
    <x v="458"/>
  </r>
  <r>
    <n v="635"/>
    <x v="309"/>
    <x v="1"/>
    <x v="323"/>
  </r>
  <r>
    <n v="636"/>
    <x v="309"/>
    <x v="0"/>
    <x v="319"/>
  </r>
  <r>
    <n v="637"/>
    <x v="310"/>
    <x v="1"/>
    <x v="459"/>
  </r>
  <r>
    <n v="638"/>
    <x v="310"/>
    <x v="0"/>
    <x v="182"/>
  </r>
  <r>
    <n v="639"/>
    <x v="311"/>
    <x v="2"/>
    <x v="43"/>
  </r>
  <r>
    <n v="640"/>
    <x v="311"/>
    <x v="1"/>
    <x v="460"/>
  </r>
  <r>
    <n v="641"/>
    <x v="311"/>
    <x v="3"/>
    <x v="176"/>
  </r>
  <r>
    <n v="642"/>
    <x v="312"/>
    <x v="1"/>
    <x v="461"/>
  </r>
  <r>
    <n v="643"/>
    <x v="312"/>
    <x v="2"/>
    <x v="178"/>
  </r>
  <r>
    <n v="644"/>
    <x v="312"/>
    <x v="0"/>
    <x v="462"/>
  </r>
  <r>
    <n v="645"/>
    <x v="313"/>
    <x v="0"/>
    <x v="438"/>
  </r>
  <r>
    <n v="646"/>
    <x v="313"/>
    <x v="2"/>
    <x v="463"/>
  </r>
  <r>
    <n v="647"/>
    <x v="314"/>
    <x v="1"/>
    <x v="464"/>
  </r>
  <r>
    <n v="648"/>
    <x v="315"/>
    <x v="0"/>
    <x v="465"/>
  </r>
  <r>
    <n v="649"/>
    <x v="316"/>
    <x v="1"/>
    <x v="442"/>
  </r>
  <r>
    <n v="650"/>
    <x v="316"/>
    <x v="0"/>
    <x v="466"/>
  </r>
  <r>
    <n v="651"/>
    <x v="317"/>
    <x v="1"/>
    <x v="467"/>
  </r>
  <r>
    <n v="652"/>
    <x v="317"/>
    <x v="0"/>
    <x v="468"/>
  </r>
  <r>
    <n v="653"/>
    <x v="317"/>
    <x v="2"/>
    <x v="469"/>
  </r>
  <r>
    <n v="654"/>
    <x v="317"/>
    <x v="3"/>
    <x v="470"/>
  </r>
  <r>
    <n v="655"/>
    <x v="318"/>
    <x v="3"/>
    <x v="471"/>
  </r>
  <r>
    <n v="656"/>
    <x v="318"/>
    <x v="2"/>
    <x v="1"/>
  </r>
  <r>
    <n v="657"/>
    <x v="319"/>
    <x v="2"/>
    <x v="190"/>
  </r>
  <r>
    <n v="658"/>
    <x v="319"/>
    <x v="3"/>
    <x v="472"/>
  </r>
  <r>
    <n v="659"/>
    <x v="319"/>
    <x v="0"/>
    <x v="69"/>
  </r>
  <r>
    <n v="660"/>
    <x v="320"/>
    <x v="2"/>
    <x v="167"/>
  </r>
  <r>
    <n v="661"/>
    <x v="321"/>
    <x v="0"/>
    <x v="105"/>
  </r>
  <r>
    <n v="662"/>
    <x v="321"/>
    <x v="1"/>
    <x v="473"/>
  </r>
  <r>
    <n v="663"/>
    <x v="322"/>
    <x v="0"/>
    <x v="435"/>
  </r>
  <r>
    <n v="664"/>
    <x v="322"/>
    <x v="1"/>
    <x v="180"/>
  </r>
  <r>
    <n v="665"/>
    <x v="322"/>
    <x v="2"/>
    <x v="455"/>
  </r>
  <r>
    <n v="666"/>
    <x v="322"/>
    <x v="3"/>
    <x v="474"/>
  </r>
  <r>
    <n v="667"/>
    <x v="323"/>
    <x v="0"/>
    <x v="475"/>
  </r>
  <r>
    <n v="668"/>
    <x v="324"/>
    <x v="1"/>
    <x v="476"/>
  </r>
  <r>
    <n v="669"/>
    <x v="324"/>
    <x v="3"/>
    <x v="477"/>
  </r>
  <r>
    <n v="670"/>
    <x v="324"/>
    <x v="2"/>
    <x v="478"/>
  </r>
  <r>
    <n v="671"/>
    <x v="324"/>
    <x v="0"/>
    <x v="479"/>
  </r>
  <r>
    <n v="672"/>
    <x v="325"/>
    <x v="1"/>
    <x v="214"/>
  </r>
  <r>
    <n v="673"/>
    <x v="325"/>
    <x v="0"/>
    <x v="22"/>
  </r>
  <r>
    <n v="674"/>
    <x v="325"/>
    <x v="3"/>
    <x v="13"/>
  </r>
  <r>
    <n v="675"/>
    <x v="325"/>
    <x v="2"/>
    <x v="480"/>
  </r>
  <r>
    <n v="676"/>
    <x v="326"/>
    <x v="0"/>
    <x v="242"/>
  </r>
  <r>
    <n v="677"/>
    <x v="326"/>
    <x v="3"/>
    <x v="290"/>
  </r>
  <r>
    <n v="678"/>
    <x v="327"/>
    <x v="3"/>
    <x v="481"/>
  </r>
  <r>
    <n v="679"/>
    <x v="328"/>
    <x v="1"/>
    <x v="482"/>
  </r>
  <r>
    <n v="680"/>
    <x v="328"/>
    <x v="3"/>
    <x v="385"/>
  </r>
  <r>
    <n v="681"/>
    <x v="328"/>
    <x v="0"/>
    <x v="425"/>
  </r>
  <r>
    <n v="682"/>
    <x v="329"/>
    <x v="3"/>
    <x v="483"/>
  </r>
  <r>
    <n v="683"/>
    <x v="329"/>
    <x v="0"/>
    <x v="484"/>
  </r>
  <r>
    <n v="684"/>
    <x v="330"/>
    <x v="0"/>
    <x v="365"/>
  </r>
  <r>
    <n v="685"/>
    <x v="330"/>
    <x v="1"/>
    <x v="485"/>
  </r>
  <r>
    <n v="686"/>
    <x v="330"/>
    <x v="2"/>
    <x v="396"/>
  </r>
  <r>
    <n v="687"/>
    <x v="331"/>
    <x v="1"/>
    <x v="486"/>
  </r>
  <r>
    <n v="688"/>
    <x v="331"/>
    <x v="0"/>
    <x v="204"/>
  </r>
  <r>
    <n v="689"/>
    <x v="331"/>
    <x v="3"/>
    <x v="487"/>
  </r>
  <r>
    <n v="690"/>
    <x v="332"/>
    <x v="0"/>
    <x v="488"/>
  </r>
  <r>
    <n v="691"/>
    <x v="332"/>
    <x v="3"/>
    <x v="244"/>
  </r>
  <r>
    <n v="692"/>
    <x v="333"/>
    <x v="3"/>
    <x v="489"/>
  </r>
  <r>
    <n v="693"/>
    <x v="334"/>
    <x v="3"/>
    <x v="83"/>
  </r>
  <r>
    <n v="694"/>
    <x v="334"/>
    <x v="0"/>
    <x v="219"/>
  </r>
  <r>
    <n v="695"/>
    <x v="335"/>
    <x v="3"/>
    <x v="490"/>
  </r>
  <r>
    <n v="696"/>
    <x v="335"/>
    <x v="1"/>
    <x v="491"/>
  </r>
  <r>
    <n v="697"/>
    <x v="335"/>
    <x v="2"/>
    <x v="257"/>
  </r>
  <r>
    <n v="698"/>
    <x v="336"/>
    <x v="3"/>
    <x v="391"/>
  </r>
  <r>
    <n v="699"/>
    <x v="336"/>
    <x v="1"/>
    <x v="492"/>
  </r>
  <r>
    <n v="700"/>
    <x v="337"/>
    <x v="0"/>
    <x v="380"/>
  </r>
  <r>
    <n v="701"/>
    <x v="337"/>
    <x v="1"/>
    <x v="110"/>
  </r>
  <r>
    <n v="702"/>
    <x v="338"/>
    <x v="0"/>
    <x v="493"/>
  </r>
  <r>
    <n v="703"/>
    <x v="338"/>
    <x v="1"/>
    <x v="349"/>
  </r>
  <r>
    <n v="704"/>
    <x v="338"/>
    <x v="2"/>
    <x v="461"/>
  </r>
  <r>
    <n v="705"/>
    <x v="339"/>
    <x v="2"/>
    <x v="494"/>
  </r>
  <r>
    <n v="706"/>
    <x v="340"/>
    <x v="1"/>
    <x v="495"/>
  </r>
  <r>
    <n v="707"/>
    <x v="341"/>
    <x v="3"/>
    <x v="496"/>
  </r>
  <r>
    <n v="708"/>
    <x v="342"/>
    <x v="0"/>
    <x v="497"/>
  </r>
  <r>
    <n v="709"/>
    <x v="343"/>
    <x v="0"/>
    <x v="498"/>
  </r>
  <r>
    <n v="710"/>
    <x v="343"/>
    <x v="3"/>
    <x v="148"/>
  </r>
  <r>
    <n v="711"/>
    <x v="343"/>
    <x v="2"/>
    <x v="499"/>
  </r>
  <r>
    <n v="712"/>
    <x v="344"/>
    <x v="1"/>
    <x v="500"/>
  </r>
  <r>
    <n v="713"/>
    <x v="344"/>
    <x v="0"/>
    <x v="164"/>
  </r>
  <r>
    <n v="714"/>
    <x v="344"/>
    <x v="3"/>
    <x v="501"/>
  </r>
  <r>
    <n v="715"/>
    <x v="345"/>
    <x v="1"/>
    <x v="492"/>
  </r>
  <r>
    <n v="716"/>
    <x v="345"/>
    <x v="3"/>
    <x v="485"/>
  </r>
  <r>
    <n v="717"/>
    <x v="346"/>
    <x v="1"/>
    <x v="502"/>
  </r>
  <r>
    <n v="718"/>
    <x v="346"/>
    <x v="2"/>
    <x v="414"/>
  </r>
  <r>
    <n v="719"/>
    <x v="346"/>
    <x v="0"/>
    <x v="415"/>
  </r>
  <r>
    <n v="720"/>
    <x v="346"/>
    <x v="3"/>
    <x v="354"/>
  </r>
  <r>
    <n v="721"/>
    <x v="347"/>
    <x v="2"/>
    <x v="283"/>
  </r>
  <r>
    <n v="722"/>
    <x v="347"/>
    <x v="0"/>
    <x v="503"/>
  </r>
  <r>
    <n v="723"/>
    <x v="348"/>
    <x v="1"/>
    <x v="504"/>
  </r>
  <r>
    <n v="724"/>
    <x v="349"/>
    <x v="1"/>
    <x v="397"/>
  </r>
  <r>
    <n v="725"/>
    <x v="350"/>
    <x v="2"/>
    <x v="462"/>
  </r>
  <r>
    <n v="726"/>
    <x v="350"/>
    <x v="0"/>
    <x v="505"/>
  </r>
  <r>
    <n v="727"/>
    <x v="350"/>
    <x v="3"/>
    <x v="506"/>
  </r>
  <r>
    <n v="728"/>
    <x v="351"/>
    <x v="3"/>
    <x v="132"/>
  </r>
  <r>
    <n v="729"/>
    <x v="351"/>
    <x v="0"/>
    <x v="374"/>
  </r>
  <r>
    <n v="730"/>
    <x v="351"/>
    <x v="1"/>
    <x v="507"/>
  </r>
  <r>
    <n v="731"/>
    <x v="352"/>
    <x v="2"/>
    <x v="335"/>
  </r>
  <r>
    <n v="732"/>
    <x v="352"/>
    <x v="0"/>
    <x v="508"/>
  </r>
  <r>
    <n v="733"/>
    <x v="353"/>
    <x v="2"/>
    <x v="413"/>
  </r>
  <r>
    <n v="734"/>
    <x v="354"/>
    <x v="0"/>
    <x v="509"/>
  </r>
  <r>
    <n v="735"/>
    <x v="354"/>
    <x v="1"/>
    <x v="115"/>
  </r>
  <r>
    <n v="736"/>
    <x v="355"/>
    <x v="0"/>
    <x v="229"/>
  </r>
  <r>
    <n v="737"/>
    <x v="355"/>
    <x v="2"/>
    <x v="407"/>
  </r>
  <r>
    <n v="738"/>
    <x v="355"/>
    <x v="1"/>
    <x v="207"/>
  </r>
  <r>
    <n v="739"/>
    <x v="356"/>
    <x v="0"/>
    <x v="510"/>
  </r>
  <r>
    <n v="740"/>
    <x v="357"/>
    <x v="0"/>
    <x v="92"/>
  </r>
  <r>
    <n v="741"/>
    <x v="358"/>
    <x v="1"/>
    <x v="40"/>
  </r>
  <r>
    <n v="742"/>
    <x v="358"/>
    <x v="3"/>
    <x v="511"/>
  </r>
  <r>
    <n v="743"/>
    <x v="359"/>
    <x v="3"/>
    <x v="512"/>
  </r>
  <r>
    <n v="744"/>
    <x v="359"/>
    <x v="2"/>
    <x v="320"/>
  </r>
  <r>
    <n v="745"/>
    <x v="359"/>
    <x v="1"/>
    <x v="438"/>
  </r>
  <r>
    <n v="746"/>
    <x v="359"/>
    <x v="0"/>
    <x v="513"/>
  </r>
  <r>
    <n v="747"/>
    <x v="360"/>
    <x v="1"/>
    <x v="200"/>
  </r>
  <r>
    <n v="748"/>
    <x v="360"/>
    <x v="0"/>
    <x v="514"/>
  </r>
  <r>
    <n v="749"/>
    <x v="360"/>
    <x v="2"/>
    <x v="254"/>
  </r>
  <r>
    <n v="750"/>
    <x v="361"/>
    <x v="1"/>
    <x v="348"/>
  </r>
  <r>
    <n v="751"/>
    <x v="361"/>
    <x v="0"/>
    <x v="250"/>
  </r>
  <r>
    <n v="752"/>
    <x v="362"/>
    <x v="2"/>
    <x v="179"/>
  </r>
  <r>
    <n v="753"/>
    <x v="362"/>
    <x v="1"/>
    <x v="323"/>
  </r>
  <r>
    <n v="754"/>
    <x v="362"/>
    <x v="3"/>
    <x v="515"/>
  </r>
  <r>
    <n v="755"/>
    <x v="363"/>
    <x v="2"/>
    <x v="5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C5EAA-A095-40FE-BFE8-A3E30574292E}" name="Tabela przestawna1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showAll="0"/>
    <pivotField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z wielkosc_zamowienia" fld="3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486A9-0B67-4AA4-8E3C-842539AD2363}" name="Tabela przestawna2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A227" firstHeaderRow="1" firstDataRow="1" firstDataCol="1"/>
  <pivotFields count="6">
    <pivotField showAll="0"/>
    <pivotField axis="axisRow"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axis="axisRow" showAll="0">
      <items count="5">
        <item h="1" x="2"/>
        <item h="1" x="3"/>
        <item x="0"/>
        <item h="1" x="1"/>
        <item t="default"/>
      </items>
    </pivotField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2"/>
    <field x="1"/>
  </rowFields>
  <rowItems count="224">
    <i>
      <x v="2"/>
    </i>
    <i r="1">
      <x/>
    </i>
    <i r="1">
      <x v="3"/>
    </i>
    <i r="1">
      <x v="4"/>
    </i>
    <i r="1">
      <x v="6"/>
    </i>
    <i r="1">
      <x v="7"/>
    </i>
    <i r="1">
      <x v="9"/>
    </i>
    <i r="1">
      <x v="12"/>
    </i>
    <i r="1">
      <x v="13"/>
    </i>
    <i r="1">
      <x v="15"/>
    </i>
    <i r="1">
      <x v="17"/>
    </i>
    <i r="1">
      <x v="18"/>
    </i>
    <i r="1">
      <x v="21"/>
    </i>
    <i r="1">
      <x v="22"/>
    </i>
    <i r="1">
      <x v="25"/>
    </i>
    <i r="1">
      <x v="26"/>
    </i>
    <i r="1">
      <x v="29"/>
    </i>
    <i r="1">
      <x v="30"/>
    </i>
    <i r="1">
      <x v="33"/>
    </i>
    <i r="1">
      <x v="35"/>
    </i>
    <i r="1">
      <x v="36"/>
    </i>
    <i r="1">
      <x v="37"/>
    </i>
    <i r="1">
      <x v="39"/>
    </i>
    <i r="1">
      <x v="42"/>
    </i>
    <i r="1">
      <x v="44"/>
    </i>
    <i r="1">
      <x v="45"/>
    </i>
    <i r="1">
      <x v="46"/>
    </i>
    <i r="1">
      <x v="50"/>
    </i>
    <i r="1">
      <x v="51"/>
    </i>
    <i r="1">
      <x v="54"/>
    </i>
    <i r="1">
      <x v="55"/>
    </i>
    <i r="1">
      <x v="57"/>
    </i>
    <i r="1">
      <x v="58"/>
    </i>
    <i r="1">
      <x v="60"/>
    </i>
    <i r="1">
      <x v="61"/>
    </i>
    <i r="1">
      <x v="62"/>
    </i>
    <i r="1">
      <x v="64"/>
    </i>
    <i r="1">
      <x v="65"/>
    </i>
    <i r="1">
      <x v="66"/>
    </i>
    <i r="1">
      <x v="69"/>
    </i>
    <i r="1">
      <x v="70"/>
    </i>
    <i r="1">
      <x v="72"/>
    </i>
    <i r="1">
      <x v="73"/>
    </i>
    <i r="1">
      <x v="74"/>
    </i>
    <i r="1">
      <x v="75"/>
    </i>
    <i r="1">
      <x v="77"/>
    </i>
    <i r="1">
      <x v="78"/>
    </i>
    <i r="1">
      <x v="79"/>
    </i>
    <i r="1">
      <x v="81"/>
    </i>
    <i r="1">
      <x v="83"/>
    </i>
    <i r="1">
      <x v="85"/>
    </i>
    <i r="1">
      <x v="86"/>
    </i>
    <i r="1">
      <x v="87"/>
    </i>
    <i r="1">
      <x v="89"/>
    </i>
    <i r="1">
      <x v="90"/>
    </i>
    <i r="1">
      <x v="94"/>
    </i>
    <i r="1">
      <x v="95"/>
    </i>
    <i r="1">
      <x v="96"/>
    </i>
    <i r="1">
      <x v="97"/>
    </i>
    <i r="1">
      <x v="100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9"/>
    </i>
    <i r="1">
      <x v="111"/>
    </i>
    <i r="1">
      <x v="113"/>
    </i>
    <i r="1">
      <x v="116"/>
    </i>
    <i r="1">
      <x v="118"/>
    </i>
    <i r="1">
      <x v="119"/>
    </i>
    <i r="1">
      <x v="120"/>
    </i>
    <i r="1">
      <x v="123"/>
    </i>
    <i r="1">
      <x v="124"/>
    </i>
    <i r="1">
      <x v="125"/>
    </i>
    <i r="1">
      <x v="126"/>
    </i>
    <i r="1">
      <x v="127"/>
    </i>
    <i r="1">
      <x v="131"/>
    </i>
    <i r="1">
      <x v="132"/>
    </i>
    <i r="1">
      <x v="134"/>
    </i>
    <i r="1">
      <x v="135"/>
    </i>
    <i r="1">
      <x v="136"/>
    </i>
    <i r="1">
      <x v="137"/>
    </i>
    <i r="1">
      <x v="138"/>
    </i>
    <i r="1">
      <x v="141"/>
    </i>
    <i r="1">
      <x v="142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2"/>
    </i>
    <i r="1">
      <x v="154"/>
    </i>
    <i r="1">
      <x v="155"/>
    </i>
    <i r="1">
      <x v="156"/>
    </i>
    <i r="1">
      <x v="158"/>
    </i>
    <i r="1">
      <x v="159"/>
    </i>
    <i r="1">
      <x v="161"/>
    </i>
    <i r="1">
      <x v="162"/>
    </i>
    <i r="1">
      <x v="163"/>
    </i>
    <i r="1">
      <x v="165"/>
    </i>
    <i r="1">
      <x v="166"/>
    </i>
    <i r="1">
      <x v="167"/>
    </i>
    <i r="1">
      <x v="169"/>
    </i>
    <i r="1">
      <x v="176"/>
    </i>
    <i r="1">
      <x v="178"/>
    </i>
    <i r="1">
      <x v="180"/>
    </i>
    <i r="1">
      <x v="182"/>
    </i>
    <i r="1">
      <x v="184"/>
    </i>
    <i r="1">
      <x v="185"/>
    </i>
    <i r="1">
      <x v="186"/>
    </i>
    <i r="1">
      <x v="187"/>
    </i>
    <i r="1">
      <x v="188"/>
    </i>
    <i r="1">
      <x v="190"/>
    </i>
    <i r="1">
      <x v="191"/>
    </i>
    <i r="1">
      <x v="192"/>
    </i>
    <i r="1">
      <x v="194"/>
    </i>
    <i r="1">
      <x v="195"/>
    </i>
    <i r="1">
      <x v="196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8"/>
    </i>
    <i r="1">
      <x v="221"/>
    </i>
    <i r="1">
      <x v="224"/>
    </i>
    <i r="1">
      <x v="225"/>
    </i>
    <i r="1">
      <x v="226"/>
    </i>
    <i r="1">
      <x v="227"/>
    </i>
    <i r="1">
      <x v="230"/>
    </i>
    <i r="1">
      <x v="232"/>
    </i>
    <i r="1">
      <x v="233"/>
    </i>
    <i r="1">
      <x v="234"/>
    </i>
    <i r="1">
      <x v="236"/>
    </i>
    <i r="1">
      <x v="238"/>
    </i>
    <i r="1">
      <x v="240"/>
    </i>
    <i r="1">
      <x v="241"/>
    </i>
    <i r="1">
      <x v="242"/>
    </i>
    <i r="1">
      <x v="243"/>
    </i>
    <i r="1">
      <x v="244"/>
    </i>
    <i r="1">
      <x v="250"/>
    </i>
    <i r="1">
      <x v="252"/>
    </i>
    <i r="1">
      <x v="253"/>
    </i>
    <i r="1">
      <x v="255"/>
    </i>
    <i r="1">
      <x v="257"/>
    </i>
    <i r="1">
      <x v="258"/>
    </i>
    <i r="1">
      <x v="261"/>
    </i>
    <i r="1">
      <x v="262"/>
    </i>
    <i r="1">
      <x v="267"/>
    </i>
    <i r="1">
      <x v="271"/>
    </i>
    <i r="1">
      <x v="274"/>
    </i>
    <i r="1">
      <x v="276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8"/>
    </i>
    <i r="1">
      <x v="289"/>
    </i>
    <i r="1">
      <x v="291"/>
    </i>
    <i r="1">
      <x v="292"/>
    </i>
    <i r="1">
      <x v="293"/>
    </i>
    <i r="1">
      <x v="294"/>
    </i>
    <i r="1">
      <x v="296"/>
    </i>
    <i r="1">
      <x v="297"/>
    </i>
    <i r="1">
      <x v="298"/>
    </i>
    <i r="1">
      <x v="299"/>
    </i>
    <i r="1">
      <x v="301"/>
    </i>
    <i r="1">
      <x v="303"/>
    </i>
    <i r="1">
      <x v="304"/>
    </i>
    <i r="1">
      <x v="305"/>
    </i>
    <i r="1">
      <x v="307"/>
    </i>
    <i r="1">
      <x v="309"/>
    </i>
    <i r="1">
      <x v="310"/>
    </i>
    <i r="1">
      <x v="312"/>
    </i>
    <i r="1">
      <x v="313"/>
    </i>
    <i r="1">
      <x v="315"/>
    </i>
    <i r="1">
      <x v="316"/>
    </i>
    <i r="1">
      <x v="317"/>
    </i>
    <i r="1">
      <x v="319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8"/>
    </i>
    <i r="1">
      <x v="329"/>
    </i>
    <i r="1">
      <x v="330"/>
    </i>
    <i r="1">
      <x v="331"/>
    </i>
    <i r="1">
      <x v="332"/>
    </i>
    <i r="1">
      <x v="334"/>
    </i>
    <i r="1">
      <x v="337"/>
    </i>
    <i r="1">
      <x v="338"/>
    </i>
    <i r="1">
      <x v="342"/>
    </i>
    <i r="1">
      <x v="343"/>
    </i>
    <i r="1">
      <x v="344"/>
    </i>
    <i r="1">
      <x v="346"/>
    </i>
    <i r="1">
      <x v="347"/>
    </i>
    <i r="1">
      <x v="350"/>
    </i>
    <i r="1">
      <x v="351"/>
    </i>
    <i r="1">
      <x v="352"/>
    </i>
    <i r="1">
      <x v="354"/>
    </i>
    <i r="1">
      <x v="355"/>
    </i>
    <i r="1">
      <x v="356"/>
    </i>
    <i r="1">
      <x v="357"/>
    </i>
    <i r="1">
      <x v="359"/>
    </i>
    <i r="1">
      <x v="360"/>
    </i>
    <i r="1">
      <x v="36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CE665-5EF8-48CA-86AF-2F6269619E29}" name="Tabela przestawna3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6">
    <pivotField showAll="0"/>
    <pivotField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dataField="1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z wielkosc_zamowienia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04174-906B-4D66-AF54-A6552C61D322}" name="Tabela przestawna4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F369" firstHeaderRow="1" firstDataRow="2" firstDataCol="1"/>
  <pivotFields count="6">
    <pivotField showAll="0"/>
    <pivotField axis="axisRow"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axis="axisCol" showAll="0">
      <items count="5">
        <item x="2"/>
        <item x="3"/>
        <item x="0"/>
        <item x="1"/>
        <item t="default"/>
      </items>
    </pivotField>
    <pivotField dataField="1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3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a z wielkosc_zamowienia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ki" connectionId="1" xr16:uid="{4710DF2C-9111-4AC8-AF78-227C11599EE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65FD-18CB-4B30-9F8A-20636AD3CF48}">
  <dimension ref="A3:B8"/>
  <sheetViews>
    <sheetView workbookViewId="0">
      <selection activeCell="B4" sqref="B4"/>
    </sheetView>
  </sheetViews>
  <sheetFormatPr defaultRowHeight="15" x14ac:dyDescent="0.25"/>
  <cols>
    <col min="1" max="1" width="17.85546875" bestFit="1" customWidth="1"/>
    <col min="2" max="2" width="27.5703125" bestFit="1" customWidth="1"/>
    <col min="3" max="3" width="28.140625" bestFit="1" customWidth="1"/>
  </cols>
  <sheetData>
    <row r="3" spans="1:2" x14ac:dyDescent="0.25">
      <c r="A3" s="2" t="s">
        <v>8</v>
      </c>
      <c r="B3" t="s">
        <v>10</v>
      </c>
    </row>
    <row r="4" spans="1:2" x14ac:dyDescent="0.25">
      <c r="A4" s="3" t="s">
        <v>6</v>
      </c>
      <c r="B4" s="4">
        <v>819000</v>
      </c>
    </row>
    <row r="5" spans="1:2" x14ac:dyDescent="0.25">
      <c r="A5" s="3" t="s">
        <v>7</v>
      </c>
      <c r="B5" s="4">
        <v>944240</v>
      </c>
    </row>
    <row r="6" spans="1:2" x14ac:dyDescent="0.25">
      <c r="A6" s="3" t="s">
        <v>4</v>
      </c>
      <c r="B6" s="4">
        <v>1115560</v>
      </c>
    </row>
    <row r="7" spans="1:2" x14ac:dyDescent="0.25">
      <c r="A7" s="3" t="s">
        <v>5</v>
      </c>
      <c r="B7" s="4">
        <v>1062920</v>
      </c>
    </row>
    <row r="8" spans="1:2" x14ac:dyDescent="0.25">
      <c r="A8" s="3" t="s">
        <v>9</v>
      </c>
      <c r="B8" s="4">
        <v>3941720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E86A-F00D-44A8-8C90-973544D0FF55}">
  <dimension ref="A3:D227"/>
  <sheetViews>
    <sheetView topLeftCell="A157" workbookViewId="0">
      <selection activeCell="A174" sqref="A174"/>
    </sheetView>
  </sheetViews>
  <sheetFormatPr defaultRowHeight="15" x14ac:dyDescent="0.25"/>
  <cols>
    <col min="1" max="1" width="17.85546875" bestFit="1" customWidth="1"/>
    <col min="2" max="2" width="11.5703125" bestFit="1" customWidth="1"/>
    <col min="3" max="3" width="19" bestFit="1" customWidth="1"/>
    <col min="4" max="4" width="11.28515625" bestFit="1" customWidth="1"/>
    <col min="5" max="223" width="10.140625" bestFit="1" customWidth="1"/>
    <col min="224" max="224" width="14.42578125" bestFit="1" customWidth="1"/>
  </cols>
  <sheetData>
    <row r="3" spans="1:4" x14ac:dyDescent="0.25">
      <c r="A3" s="2" t="s">
        <v>8</v>
      </c>
      <c r="D3" t="s">
        <v>12</v>
      </c>
    </row>
    <row r="4" spans="1:4" x14ac:dyDescent="0.25">
      <c r="A4" s="3" t="s">
        <v>4</v>
      </c>
    </row>
    <row r="5" spans="1:4" x14ac:dyDescent="0.25">
      <c r="A5" s="5">
        <v>44198</v>
      </c>
      <c r="B5">
        <v>1</v>
      </c>
      <c r="D5">
        <f>MAX(B:B)</f>
        <v>8</v>
      </c>
    </row>
    <row r="6" spans="1:4" x14ac:dyDescent="0.25">
      <c r="A6" s="5">
        <v>44201</v>
      </c>
      <c r="B6" s="4">
        <f>IF((A5+1)=A6,B5+1,1)</f>
        <v>1</v>
      </c>
    </row>
    <row r="7" spans="1:4" x14ac:dyDescent="0.25">
      <c r="A7" s="5">
        <v>44202</v>
      </c>
      <c r="B7" s="4">
        <f>IF((A6+1)=A7,B6+1,1)</f>
        <v>2</v>
      </c>
    </row>
    <row r="8" spans="1:4" x14ac:dyDescent="0.25">
      <c r="A8" s="5">
        <v>44204</v>
      </c>
      <c r="B8" s="4">
        <f t="shared" ref="B8:B71" si="0">IF((A7+1)=A8,B7+1,1)</f>
        <v>1</v>
      </c>
    </row>
    <row r="9" spans="1:4" x14ac:dyDescent="0.25">
      <c r="A9" s="5">
        <v>44205</v>
      </c>
      <c r="B9" s="4">
        <f t="shared" si="0"/>
        <v>2</v>
      </c>
    </row>
    <row r="10" spans="1:4" x14ac:dyDescent="0.25">
      <c r="A10" s="5">
        <v>44207</v>
      </c>
      <c r="B10" s="4">
        <f t="shared" si="0"/>
        <v>1</v>
      </c>
    </row>
    <row r="11" spans="1:4" x14ac:dyDescent="0.25">
      <c r="A11" s="5">
        <v>44210</v>
      </c>
      <c r="B11" s="4">
        <f t="shared" si="0"/>
        <v>1</v>
      </c>
    </row>
    <row r="12" spans="1:4" x14ac:dyDescent="0.25">
      <c r="A12" s="5">
        <v>44211</v>
      </c>
      <c r="B12" s="4">
        <f t="shared" si="0"/>
        <v>2</v>
      </c>
    </row>
    <row r="13" spans="1:4" x14ac:dyDescent="0.25">
      <c r="A13" s="5">
        <v>44213</v>
      </c>
      <c r="B13" s="4">
        <f t="shared" si="0"/>
        <v>1</v>
      </c>
    </row>
    <row r="14" spans="1:4" x14ac:dyDescent="0.25">
      <c r="A14" s="5">
        <v>44215</v>
      </c>
      <c r="B14" s="4">
        <f t="shared" si="0"/>
        <v>1</v>
      </c>
    </row>
    <row r="15" spans="1:4" x14ac:dyDescent="0.25">
      <c r="A15" s="5">
        <v>44216</v>
      </c>
      <c r="B15" s="4">
        <f t="shared" si="0"/>
        <v>2</v>
      </c>
    </row>
    <row r="16" spans="1:4" x14ac:dyDescent="0.25">
      <c r="A16" s="5">
        <v>44219</v>
      </c>
      <c r="B16" s="4">
        <f t="shared" si="0"/>
        <v>1</v>
      </c>
    </row>
    <row r="17" spans="1:2" x14ac:dyDescent="0.25">
      <c r="A17" s="5">
        <v>44220</v>
      </c>
      <c r="B17" s="4">
        <f t="shared" si="0"/>
        <v>2</v>
      </c>
    </row>
    <row r="18" spans="1:2" x14ac:dyDescent="0.25">
      <c r="A18" s="5">
        <v>44223</v>
      </c>
      <c r="B18" s="4">
        <f t="shared" si="0"/>
        <v>1</v>
      </c>
    </row>
    <row r="19" spans="1:2" x14ac:dyDescent="0.25">
      <c r="A19" s="5">
        <v>44224</v>
      </c>
      <c r="B19" s="4">
        <f t="shared" si="0"/>
        <v>2</v>
      </c>
    </row>
    <row r="20" spans="1:2" x14ac:dyDescent="0.25">
      <c r="A20" s="5">
        <v>44227</v>
      </c>
      <c r="B20" s="4">
        <f t="shared" si="0"/>
        <v>1</v>
      </c>
    </row>
    <row r="21" spans="1:2" x14ac:dyDescent="0.25">
      <c r="A21" s="5">
        <v>44228</v>
      </c>
      <c r="B21" s="4">
        <f t="shared" si="0"/>
        <v>2</v>
      </c>
    </row>
    <row r="22" spans="1:2" x14ac:dyDescent="0.25">
      <c r="A22" s="5">
        <v>44231</v>
      </c>
      <c r="B22" s="4">
        <f t="shared" si="0"/>
        <v>1</v>
      </c>
    </row>
    <row r="23" spans="1:2" x14ac:dyDescent="0.25">
      <c r="A23" s="5">
        <v>44233</v>
      </c>
      <c r="B23" s="4">
        <f t="shared" si="0"/>
        <v>1</v>
      </c>
    </row>
    <row r="24" spans="1:2" x14ac:dyDescent="0.25">
      <c r="A24" s="5">
        <v>44234</v>
      </c>
      <c r="B24" s="4">
        <f t="shared" si="0"/>
        <v>2</v>
      </c>
    </row>
    <row r="25" spans="1:2" x14ac:dyDescent="0.25">
      <c r="A25" s="5">
        <v>44235</v>
      </c>
      <c r="B25" s="4">
        <f t="shared" si="0"/>
        <v>3</v>
      </c>
    </row>
    <row r="26" spans="1:2" x14ac:dyDescent="0.25">
      <c r="A26" s="5">
        <v>44237</v>
      </c>
      <c r="B26" s="4">
        <f t="shared" si="0"/>
        <v>1</v>
      </c>
    </row>
    <row r="27" spans="1:2" x14ac:dyDescent="0.25">
      <c r="A27" s="5">
        <v>44240</v>
      </c>
      <c r="B27" s="4">
        <f t="shared" si="0"/>
        <v>1</v>
      </c>
    </row>
    <row r="28" spans="1:2" x14ac:dyDescent="0.25">
      <c r="A28" s="5">
        <v>44242</v>
      </c>
      <c r="B28" s="4">
        <f t="shared" si="0"/>
        <v>1</v>
      </c>
    </row>
    <row r="29" spans="1:2" x14ac:dyDescent="0.25">
      <c r="A29" s="5">
        <v>44243</v>
      </c>
      <c r="B29" s="4">
        <f t="shared" si="0"/>
        <v>2</v>
      </c>
    </row>
    <row r="30" spans="1:2" x14ac:dyDescent="0.25">
      <c r="A30" s="5">
        <v>44244</v>
      </c>
      <c r="B30" s="4">
        <f t="shared" si="0"/>
        <v>3</v>
      </c>
    </row>
    <row r="31" spans="1:2" x14ac:dyDescent="0.25">
      <c r="A31" s="5">
        <v>44248</v>
      </c>
      <c r="B31" s="4">
        <f t="shared" si="0"/>
        <v>1</v>
      </c>
    </row>
    <row r="32" spans="1:2" x14ac:dyDescent="0.25">
      <c r="A32" s="5">
        <v>44249</v>
      </c>
      <c r="B32" s="4">
        <f t="shared" si="0"/>
        <v>2</v>
      </c>
    </row>
    <row r="33" spans="1:2" x14ac:dyDescent="0.25">
      <c r="A33" s="5">
        <v>44252</v>
      </c>
      <c r="B33" s="4">
        <f t="shared" si="0"/>
        <v>1</v>
      </c>
    </row>
    <row r="34" spans="1:2" x14ac:dyDescent="0.25">
      <c r="A34" s="5">
        <v>44253</v>
      </c>
      <c r="B34" s="4">
        <f t="shared" si="0"/>
        <v>2</v>
      </c>
    </row>
    <row r="35" spans="1:2" x14ac:dyDescent="0.25">
      <c r="A35" s="5">
        <v>44255</v>
      </c>
      <c r="B35" s="4">
        <f t="shared" si="0"/>
        <v>1</v>
      </c>
    </row>
    <row r="36" spans="1:2" x14ac:dyDescent="0.25">
      <c r="A36" s="5">
        <v>44256</v>
      </c>
      <c r="B36" s="4">
        <f t="shared" si="0"/>
        <v>2</v>
      </c>
    </row>
    <row r="37" spans="1:2" x14ac:dyDescent="0.25">
      <c r="A37" s="5">
        <v>44258</v>
      </c>
      <c r="B37" s="4">
        <f t="shared" si="0"/>
        <v>1</v>
      </c>
    </row>
    <row r="38" spans="1:2" x14ac:dyDescent="0.25">
      <c r="A38" s="5">
        <v>44259</v>
      </c>
      <c r="B38" s="4">
        <f t="shared" si="0"/>
        <v>2</v>
      </c>
    </row>
    <row r="39" spans="1:2" x14ac:dyDescent="0.25">
      <c r="A39" s="5">
        <v>44260</v>
      </c>
      <c r="B39" s="4">
        <f t="shared" si="0"/>
        <v>3</v>
      </c>
    </row>
    <row r="40" spans="1:2" x14ac:dyDescent="0.25">
      <c r="A40" s="5">
        <v>44262</v>
      </c>
      <c r="B40" s="4">
        <f t="shared" si="0"/>
        <v>1</v>
      </c>
    </row>
    <row r="41" spans="1:2" x14ac:dyDescent="0.25">
      <c r="A41" s="5">
        <v>44263</v>
      </c>
      <c r="B41" s="4">
        <f t="shared" si="0"/>
        <v>2</v>
      </c>
    </row>
    <row r="42" spans="1:2" x14ac:dyDescent="0.25">
      <c r="A42" s="5">
        <v>44264</v>
      </c>
      <c r="B42" s="4">
        <f t="shared" si="0"/>
        <v>3</v>
      </c>
    </row>
    <row r="43" spans="1:2" x14ac:dyDescent="0.25">
      <c r="A43" s="5">
        <v>44267</v>
      </c>
      <c r="B43" s="4">
        <f t="shared" si="0"/>
        <v>1</v>
      </c>
    </row>
    <row r="44" spans="1:2" x14ac:dyDescent="0.25">
      <c r="A44" s="5">
        <v>44268</v>
      </c>
      <c r="B44" s="4">
        <f t="shared" si="0"/>
        <v>2</v>
      </c>
    </row>
    <row r="45" spans="1:2" x14ac:dyDescent="0.25">
      <c r="A45" s="5">
        <v>44270</v>
      </c>
      <c r="B45" s="4">
        <f t="shared" si="0"/>
        <v>1</v>
      </c>
    </row>
    <row r="46" spans="1:2" x14ac:dyDescent="0.25">
      <c r="A46" s="5">
        <v>44271</v>
      </c>
      <c r="B46" s="4">
        <f t="shared" si="0"/>
        <v>2</v>
      </c>
    </row>
    <row r="47" spans="1:2" x14ac:dyDescent="0.25">
      <c r="A47" s="5">
        <v>44272</v>
      </c>
      <c r="B47" s="4">
        <f t="shared" si="0"/>
        <v>3</v>
      </c>
    </row>
    <row r="48" spans="1:2" x14ac:dyDescent="0.25">
      <c r="A48" s="5">
        <v>44273</v>
      </c>
      <c r="B48" s="4">
        <f t="shared" si="0"/>
        <v>4</v>
      </c>
    </row>
    <row r="49" spans="1:2" x14ac:dyDescent="0.25">
      <c r="A49" s="5">
        <v>44275</v>
      </c>
      <c r="B49" s="4">
        <f t="shared" si="0"/>
        <v>1</v>
      </c>
    </row>
    <row r="50" spans="1:2" x14ac:dyDescent="0.25">
      <c r="A50" s="5">
        <v>44276</v>
      </c>
      <c r="B50" s="4">
        <f t="shared" si="0"/>
        <v>2</v>
      </c>
    </row>
    <row r="51" spans="1:2" x14ac:dyDescent="0.25">
      <c r="A51" s="5">
        <v>44277</v>
      </c>
      <c r="B51" s="4">
        <f t="shared" si="0"/>
        <v>3</v>
      </c>
    </row>
    <row r="52" spans="1:2" x14ac:dyDescent="0.25">
      <c r="A52" s="5">
        <v>44279</v>
      </c>
      <c r="B52" s="4">
        <f t="shared" si="0"/>
        <v>1</v>
      </c>
    </row>
    <row r="53" spans="1:2" x14ac:dyDescent="0.25">
      <c r="A53" s="5">
        <v>44281</v>
      </c>
      <c r="B53" s="4">
        <f t="shared" si="0"/>
        <v>1</v>
      </c>
    </row>
    <row r="54" spans="1:2" x14ac:dyDescent="0.25">
      <c r="A54" s="5">
        <v>44283</v>
      </c>
      <c r="B54" s="4">
        <f t="shared" si="0"/>
        <v>1</v>
      </c>
    </row>
    <row r="55" spans="1:2" x14ac:dyDescent="0.25">
      <c r="A55" s="5">
        <v>44284</v>
      </c>
      <c r="B55" s="4">
        <f t="shared" si="0"/>
        <v>2</v>
      </c>
    </row>
    <row r="56" spans="1:2" x14ac:dyDescent="0.25">
      <c r="A56" s="5">
        <v>44285</v>
      </c>
      <c r="B56" s="4">
        <f t="shared" si="0"/>
        <v>3</v>
      </c>
    </row>
    <row r="57" spans="1:2" x14ac:dyDescent="0.25">
      <c r="A57" s="5">
        <v>44287</v>
      </c>
      <c r="B57" s="4">
        <f t="shared" si="0"/>
        <v>1</v>
      </c>
    </row>
    <row r="58" spans="1:2" x14ac:dyDescent="0.25">
      <c r="A58" s="5">
        <v>44288</v>
      </c>
      <c r="B58" s="4">
        <f t="shared" si="0"/>
        <v>2</v>
      </c>
    </row>
    <row r="59" spans="1:2" x14ac:dyDescent="0.25">
      <c r="A59" s="5">
        <v>44292</v>
      </c>
      <c r="B59" s="4">
        <f t="shared" si="0"/>
        <v>1</v>
      </c>
    </row>
    <row r="60" spans="1:2" x14ac:dyDescent="0.25">
      <c r="A60" s="5">
        <v>44293</v>
      </c>
      <c r="B60" s="4">
        <f t="shared" si="0"/>
        <v>2</v>
      </c>
    </row>
    <row r="61" spans="1:2" x14ac:dyDescent="0.25">
      <c r="A61" s="5">
        <v>44294</v>
      </c>
      <c r="B61" s="4">
        <f t="shared" si="0"/>
        <v>3</v>
      </c>
    </row>
    <row r="62" spans="1:2" x14ac:dyDescent="0.25">
      <c r="A62" s="5">
        <v>44295</v>
      </c>
      <c r="B62" s="4">
        <f t="shared" si="0"/>
        <v>4</v>
      </c>
    </row>
    <row r="63" spans="1:2" x14ac:dyDescent="0.25">
      <c r="A63" s="5">
        <v>44298</v>
      </c>
      <c r="B63" s="4">
        <f t="shared" si="0"/>
        <v>1</v>
      </c>
    </row>
    <row r="64" spans="1:2" x14ac:dyDescent="0.25">
      <c r="A64" s="5">
        <v>44300</v>
      </c>
      <c r="B64" s="4">
        <f t="shared" si="0"/>
        <v>1</v>
      </c>
    </row>
    <row r="65" spans="1:2" x14ac:dyDescent="0.25">
      <c r="A65" s="5">
        <v>44301</v>
      </c>
      <c r="B65" s="4">
        <f t="shared" si="0"/>
        <v>2</v>
      </c>
    </row>
    <row r="66" spans="1:2" x14ac:dyDescent="0.25">
      <c r="A66" s="5">
        <v>44302</v>
      </c>
      <c r="B66" s="4">
        <f t="shared" si="0"/>
        <v>3</v>
      </c>
    </row>
    <row r="67" spans="1:2" x14ac:dyDescent="0.25">
      <c r="A67" s="5">
        <v>44303</v>
      </c>
      <c r="B67" s="4">
        <f t="shared" si="0"/>
        <v>4</v>
      </c>
    </row>
    <row r="68" spans="1:2" x14ac:dyDescent="0.25">
      <c r="A68" s="5">
        <v>44304</v>
      </c>
      <c r="B68" s="4">
        <f t="shared" si="0"/>
        <v>5</v>
      </c>
    </row>
    <row r="69" spans="1:2" x14ac:dyDescent="0.25">
      <c r="A69" s="5">
        <v>44305</v>
      </c>
      <c r="B69" s="4">
        <f t="shared" si="0"/>
        <v>6</v>
      </c>
    </row>
    <row r="70" spans="1:2" x14ac:dyDescent="0.25">
      <c r="A70" s="5">
        <v>44307</v>
      </c>
      <c r="B70" s="4">
        <f t="shared" si="0"/>
        <v>1</v>
      </c>
    </row>
    <row r="71" spans="1:2" x14ac:dyDescent="0.25">
      <c r="A71" s="5">
        <v>44309</v>
      </c>
      <c r="B71" s="4">
        <f t="shared" si="0"/>
        <v>1</v>
      </c>
    </row>
    <row r="72" spans="1:2" x14ac:dyDescent="0.25">
      <c r="A72" s="5">
        <v>44311</v>
      </c>
      <c r="B72" s="4">
        <f t="shared" ref="B72:B135" si="1">IF((A71+1)=A72,B71+1,1)</f>
        <v>1</v>
      </c>
    </row>
    <row r="73" spans="1:2" x14ac:dyDescent="0.25">
      <c r="A73" s="5">
        <v>44314</v>
      </c>
      <c r="B73" s="4">
        <f t="shared" si="1"/>
        <v>1</v>
      </c>
    </row>
    <row r="74" spans="1:2" x14ac:dyDescent="0.25">
      <c r="A74" s="5">
        <v>44316</v>
      </c>
      <c r="B74" s="4">
        <f t="shared" si="1"/>
        <v>1</v>
      </c>
    </row>
    <row r="75" spans="1:2" x14ac:dyDescent="0.25">
      <c r="A75" s="5">
        <v>44317</v>
      </c>
      <c r="B75" s="4">
        <f t="shared" si="1"/>
        <v>2</v>
      </c>
    </row>
    <row r="76" spans="1:2" x14ac:dyDescent="0.25">
      <c r="A76" s="5">
        <v>44318</v>
      </c>
      <c r="B76" s="4">
        <f t="shared" si="1"/>
        <v>3</v>
      </c>
    </row>
    <row r="77" spans="1:2" x14ac:dyDescent="0.25">
      <c r="A77" s="5">
        <v>44321</v>
      </c>
      <c r="B77" s="4">
        <f t="shared" si="1"/>
        <v>1</v>
      </c>
    </row>
    <row r="78" spans="1:2" x14ac:dyDescent="0.25">
      <c r="A78" s="5">
        <v>44322</v>
      </c>
      <c r="B78" s="4">
        <f t="shared" si="1"/>
        <v>2</v>
      </c>
    </row>
    <row r="79" spans="1:2" x14ac:dyDescent="0.25">
      <c r="A79" s="5">
        <v>44323</v>
      </c>
      <c r="B79" s="4">
        <f t="shared" si="1"/>
        <v>3</v>
      </c>
    </row>
    <row r="80" spans="1:2" x14ac:dyDescent="0.25">
      <c r="A80" s="5">
        <v>44324</v>
      </c>
      <c r="B80" s="4">
        <f t="shared" si="1"/>
        <v>4</v>
      </c>
    </row>
    <row r="81" spans="1:2" x14ac:dyDescent="0.25">
      <c r="A81" s="5">
        <v>44325</v>
      </c>
      <c r="B81" s="4">
        <f t="shared" si="1"/>
        <v>5</v>
      </c>
    </row>
    <row r="82" spans="1:2" x14ac:dyDescent="0.25">
      <c r="A82" s="5">
        <v>44329</v>
      </c>
      <c r="B82" s="4">
        <f t="shared" si="1"/>
        <v>1</v>
      </c>
    </row>
    <row r="83" spans="1:2" x14ac:dyDescent="0.25">
      <c r="A83" s="5">
        <v>44330</v>
      </c>
      <c r="B83" s="4">
        <f t="shared" si="1"/>
        <v>2</v>
      </c>
    </row>
    <row r="84" spans="1:2" x14ac:dyDescent="0.25">
      <c r="A84" s="5">
        <v>44332</v>
      </c>
      <c r="B84" s="4">
        <f t="shared" si="1"/>
        <v>1</v>
      </c>
    </row>
    <row r="85" spans="1:2" x14ac:dyDescent="0.25">
      <c r="A85" s="5">
        <v>44333</v>
      </c>
      <c r="B85" s="4">
        <f t="shared" si="1"/>
        <v>2</v>
      </c>
    </row>
    <row r="86" spans="1:2" x14ac:dyDescent="0.25">
      <c r="A86" s="5">
        <v>44334</v>
      </c>
      <c r="B86" s="4">
        <f t="shared" si="1"/>
        <v>3</v>
      </c>
    </row>
    <row r="87" spans="1:2" x14ac:dyDescent="0.25">
      <c r="A87" s="5">
        <v>44335</v>
      </c>
      <c r="B87" s="4">
        <f t="shared" si="1"/>
        <v>4</v>
      </c>
    </row>
    <row r="88" spans="1:2" x14ac:dyDescent="0.25">
      <c r="A88" s="5">
        <v>44336</v>
      </c>
      <c r="B88" s="4">
        <f t="shared" si="1"/>
        <v>5</v>
      </c>
    </row>
    <row r="89" spans="1:2" x14ac:dyDescent="0.25">
      <c r="A89" s="5">
        <v>44339</v>
      </c>
      <c r="B89" s="4">
        <f t="shared" si="1"/>
        <v>1</v>
      </c>
    </row>
    <row r="90" spans="1:2" x14ac:dyDescent="0.25">
      <c r="A90" s="5">
        <v>44340</v>
      </c>
      <c r="B90" s="4">
        <f t="shared" si="1"/>
        <v>2</v>
      </c>
    </row>
    <row r="91" spans="1:2" x14ac:dyDescent="0.25">
      <c r="A91" s="5">
        <v>44342</v>
      </c>
      <c r="B91" s="4">
        <f t="shared" si="1"/>
        <v>1</v>
      </c>
    </row>
    <row r="92" spans="1:2" x14ac:dyDescent="0.25">
      <c r="A92" s="5">
        <v>44343</v>
      </c>
      <c r="B92" s="4">
        <f t="shared" si="1"/>
        <v>2</v>
      </c>
    </row>
    <row r="93" spans="1:2" x14ac:dyDescent="0.25">
      <c r="A93" s="5">
        <v>44344</v>
      </c>
      <c r="B93" s="4">
        <f t="shared" si="1"/>
        <v>3</v>
      </c>
    </row>
    <row r="94" spans="1:2" x14ac:dyDescent="0.25">
      <c r="A94" s="5">
        <v>44345</v>
      </c>
      <c r="B94" s="4">
        <f t="shared" si="1"/>
        <v>4</v>
      </c>
    </row>
    <row r="95" spans="1:2" x14ac:dyDescent="0.25">
      <c r="A95" s="5">
        <v>44346</v>
      </c>
      <c r="B95" s="4">
        <f t="shared" si="1"/>
        <v>5</v>
      </c>
    </row>
    <row r="96" spans="1:2" x14ac:dyDescent="0.25">
      <c r="A96" s="5">
        <v>44347</v>
      </c>
      <c r="B96" s="4">
        <f t="shared" si="1"/>
        <v>6</v>
      </c>
    </row>
    <row r="97" spans="1:2" x14ac:dyDescent="0.25">
      <c r="A97" s="5">
        <v>44350</v>
      </c>
      <c r="B97" s="4">
        <f t="shared" si="1"/>
        <v>1</v>
      </c>
    </row>
    <row r="98" spans="1:2" x14ac:dyDescent="0.25">
      <c r="A98" s="5">
        <v>44352</v>
      </c>
      <c r="B98" s="4">
        <f t="shared" si="1"/>
        <v>1</v>
      </c>
    </row>
    <row r="99" spans="1:2" x14ac:dyDescent="0.25">
      <c r="A99" s="5">
        <v>44353</v>
      </c>
      <c r="B99" s="4">
        <f t="shared" si="1"/>
        <v>2</v>
      </c>
    </row>
    <row r="100" spans="1:2" x14ac:dyDescent="0.25">
      <c r="A100" s="5">
        <v>44354</v>
      </c>
      <c r="B100" s="4">
        <f t="shared" si="1"/>
        <v>3</v>
      </c>
    </row>
    <row r="101" spans="1:2" x14ac:dyDescent="0.25">
      <c r="A101" s="5">
        <v>44356</v>
      </c>
      <c r="B101" s="4">
        <f t="shared" si="1"/>
        <v>1</v>
      </c>
    </row>
    <row r="102" spans="1:2" x14ac:dyDescent="0.25">
      <c r="A102" s="5">
        <v>44357</v>
      </c>
      <c r="B102" s="4">
        <f t="shared" si="1"/>
        <v>2</v>
      </c>
    </row>
    <row r="103" spans="1:2" x14ac:dyDescent="0.25">
      <c r="A103" s="5">
        <v>44359</v>
      </c>
      <c r="B103" s="4">
        <f t="shared" si="1"/>
        <v>1</v>
      </c>
    </row>
    <row r="104" spans="1:2" x14ac:dyDescent="0.25">
      <c r="A104" s="5">
        <v>44360</v>
      </c>
      <c r="B104" s="4">
        <f t="shared" si="1"/>
        <v>2</v>
      </c>
    </row>
    <row r="105" spans="1:2" x14ac:dyDescent="0.25">
      <c r="A105" s="5">
        <v>44361</v>
      </c>
      <c r="B105" s="4">
        <f t="shared" si="1"/>
        <v>3</v>
      </c>
    </row>
    <row r="106" spans="1:2" x14ac:dyDescent="0.25">
      <c r="A106" s="5">
        <v>44363</v>
      </c>
      <c r="B106" s="4">
        <f t="shared" si="1"/>
        <v>1</v>
      </c>
    </row>
    <row r="107" spans="1:2" x14ac:dyDescent="0.25">
      <c r="A107" s="5">
        <v>44364</v>
      </c>
      <c r="B107" s="4">
        <f t="shared" si="1"/>
        <v>2</v>
      </c>
    </row>
    <row r="108" spans="1:2" x14ac:dyDescent="0.25">
      <c r="A108" s="5">
        <v>44365</v>
      </c>
      <c r="B108" s="4">
        <f t="shared" si="1"/>
        <v>3</v>
      </c>
    </row>
    <row r="109" spans="1:2" x14ac:dyDescent="0.25">
      <c r="A109" s="5">
        <v>44367</v>
      </c>
      <c r="B109" s="4">
        <f t="shared" si="1"/>
        <v>1</v>
      </c>
    </row>
    <row r="110" spans="1:2" x14ac:dyDescent="0.25">
      <c r="A110" s="5">
        <v>44374</v>
      </c>
      <c r="B110" s="4">
        <f t="shared" si="1"/>
        <v>1</v>
      </c>
    </row>
    <row r="111" spans="1:2" x14ac:dyDescent="0.25">
      <c r="A111" s="5">
        <v>44376</v>
      </c>
      <c r="B111" s="4">
        <f t="shared" si="1"/>
        <v>1</v>
      </c>
    </row>
    <row r="112" spans="1:2" x14ac:dyDescent="0.25">
      <c r="A112" s="5">
        <v>44378</v>
      </c>
      <c r="B112" s="4">
        <f t="shared" si="1"/>
        <v>1</v>
      </c>
    </row>
    <row r="113" spans="1:2" x14ac:dyDescent="0.25">
      <c r="A113" s="5">
        <v>44380</v>
      </c>
      <c r="B113" s="4">
        <f t="shared" si="1"/>
        <v>1</v>
      </c>
    </row>
    <row r="114" spans="1:2" x14ac:dyDescent="0.25">
      <c r="A114" s="5">
        <v>44382</v>
      </c>
      <c r="B114" s="4">
        <f t="shared" si="1"/>
        <v>1</v>
      </c>
    </row>
    <row r="115" spans="1:2" x14ac:dyDescent="0.25">
      <c r="A115" s="5">
        <v>44383</v>
      </c>
      <c r="B115" s="4">
        <f t="shared" si="1"/>
        <v>2</v>
      </c>
    </row>
    <row r="116" spans="1:2" x14ac:dyDescent="0.25">
      <c r="A116" s="5">
        <v>44384</v>
      </c>
      <c r="B116" s="4">
        <f t="shared" si="1"/>
        <v>3</v>
      </c>
    </row>
    <row r="117" spans="1:2" x14ac:dyDescent="0.25">
      <c r="A117" s="5">
        <v>44385</v>
      </c>
      <c r="B117" s="4">
        <f t="shared" si="1"/>
        <v>4</v>
      </c>
    </row>
    <row r="118" spans="1:2" x14ac:dyDescent="0.25">
      <c r="A118" s="5">
        <v>44386</v>
      </c>
      <c r="B118" s="4">
        <f t="shared" si="1"/>
        <v>5</v>
      </c>
    </row>
    <row r="119" spans="1:2" x14ac:dyDescent="0.25">
      <c r="A119" s="5">
        <v>44388</v>
      </c>
      <c r="B119" s="4">
        <f t="shared" si="1"/>
        <v>1</v>
      </c>
    </row>
    <row r="120" spans="1:2" x14ac:dyDescent="0.25">
      <c r="A120" s="5">
        <v>44389</v>
      </c>
      <c r="B120" s="4">
        <f t="shared" si="1"/>
        <v>2</v>
      </c>
    </row>
    <row r="121" spans="1:2" x14ac:dyDescent="0.25">
      <c r="A121" s="5">
        <v>44390</v>
      </c>
      <c r="B121" s="4">
        <f t="shared" si="1"/>
        <v>3</v>
      </c>
    </row>
    <row r="122" spans="1:2" x14ac:dyDescent="0.25">
      <c r="A122" s="5">
        <v>44392</v>
      </c>
      <c r="B122" s="4">
        <f t="shared" si="1"/>
        <v>1</v>
      </c>
    </row>
    <row r="123" spans="1:2" x14ac:dyDescent="0.25">
      <c r="A123" s="5">
        <v>44393</v>
      </c>
      <c r="B123" s="4">
        <f t="shared" si="1"/>
        <v>2</v>
      </c>
    </row>
    <row r="124" spans="1:2" x14ac:dyDescent="0.25">
      <c r="A124" s="5">
        <v>44394</v>
      </c>
      <c r="B124" s="4">
        <f t="shared" si="1"/>
        <v>3</v>
      </c>
    </row>
    <row r="125" spans="1:2" x14ac:dyDescent="0.25">
      <c r="A125" s="5">
        <v>44396</v>
      </c>
      <c r="B125" s="4">
        <f t="shared" si="1"/>
        <v>1</v>
      </c>
    </row>
    <row r="126" spans="1:2" x14ac:dyDescent="0.25">
      <c r="A126" s="5">
        <v>44397</v>
      </c>
      <c r="B126" s="4">
        <f t="shared" si="1"/>
        <v>2</v>
      </c>
    </row>
    <row r="127" spans="1:2" x14ac:dyDescent="0.25">
      <c r="A127" s="5">
        <v>44398</v>
      </c>
      <c r="B127" s="4">
        <f t="shared" si="1"/>
        <v>3</v>
      </c>
    </row>
    <row r="128" spans="1:2" x14ac:dyDescent="0.25">
      <c r="A128" s="5">
        <v>44399</v>
      </c>
      <c r="B128" s="4">
        <f t="shared" si="1"/>
        <v>4</v>
      </c>
    </row>
    <row r="129" spans="1:2" x14ac:dyDescent="0.25">
      <c r="A129" s="5">
        <v>44400</v>
      </c>
      <c r="B129" s="4">
        <f t="shared" si="1"/>
        <v>5</v>
      </c>
    </row>
    <row r="130" spans="1:2" x14ac:dyDescent="0.25">
      <c r="A130" s="5">
        <v>44401</v>
      </c>
      <c r="B130" s="4">
        <f t="shared" si="1"/>
        <v>6</v>
      </c>
    </row>
    <row r="131" spans="1:2" x14ac:dyDescent="0.25">
      <c r="A131" s="5">
        <v>44402</v>
      </c>
      <c r="B131" s="4">
        <f t="shared" si="1"/>
        <v>7</v>
      </c>
    </row>
    <row r="132" spans="1:2" x14ac:dyDescent="0.25">
      <c r="A132" s="5">
        <v>44405</v>
      </c>
      <c r="B132" s="4">
        <f t="shared" si="1"/>
        <v>1</v>
      </c>
    </row>
    <row r="133" spans="1:2" x14ac:dyDescent="0.25">
      <c r="A133" s="5">
        <v>44406</v>
      </c>
      <c r="B133" s="4">
        <f t="shared" si="1"/>
        <v>2</v>
      </c>
    </row>
    <row r="134" spans="1:2" x14ac:dyDescent="0.25">
      <c r="A134" s="5">
        <v>44407</v>
      </c>
      <c r="B134" s="4">
        <f t="shared" si="1"/>
        <v>3</v>
      </c>
    </row>
    <row r="135" spans="1:2" x14ac:dyDescent="0.25">
      <c r="A135" s="5">
        <v>44408</v>
      </c>
      <c r="B135" s="4">
        <f t="shared" si="1"/>
        <v>4</v>
      </c>
    </row>
    <row r="136" spans="1:2" x14ac:dyDescent="0.25">
      <c r="A136" s="5">
        <v>44409</v>
      </c>
      <c r="B136" s="4">
        <f t="shared" ref="B136:B199" si="2">IF((A135+1)=A136,B135+1,1)</f>
        <v>5</v>
      </c>
    </row>
    <row r="137" spans="1:2" x14ac:dyDescent="0.25">
      <c r="A137" s="5">
        <v>44410</v>
      </c>
      <c r="B137" s="4">
        <f t="shared" si="2"/>
        <v>6</v>
      </c>
    </row>
    <row r="138" spans="1:2" x14ac:dyDescent="0.25">
      <c r="A138" s="5">
        <v>44416</v>
      </c>
      <c r="B138" s="4">
        <f t="shared" si="2"/>
        <v>1</v>
      </c>
    </row>
    <row r="139" spans="1:2" x14ac:dyDescent="0.25">
      <c r="A139" s="5">
        <v>44419</v>
      </c>
      <c r="B139" s="4">
        <f t="shared" si="2"/>
        <v>1</v>
      </c>
    </row>
    <row r="140" spans="1:2" x14ac:dyDescent="0.25">
      <c r="A140" s="5">
        <v>44422</v>
      </c>
      <c r="B140" s="4">
        <f t="shared" si="2"/>
        <v>1</v>
      </c>
    </row>
    <row r="141" spans="1:2" x14ac:dyDescent="0.25">
      <c r="A141" s="5">
        <v>44423</v>
      </c>
      <c r="B141" s="4">
        <f t="shared" si="2"/>
        <v>2</v>
      </c>
    </row>
    <row r="142" spans="1:2" x14ac:dyDescent="0.25">
      <c r="A142" s="5">
        <v>44424</v>
      </c>
      <c r="B142" s="4">
        <f t="shared" si="2"/>
        <v>3</v>
      </c>
    </row>
    <row r="143" spans="1:2" x14ac:dyDescent="0.25">
      <c r="A143" s="5">
        <v>44425</v>
      </c>
      <c r="B143" s="4">
        <f t="shared" si="2"/>
        <v>4</v>
      </c>
    </row>
    <row r="144" spans="1:2" x14ac:dyDescent="0.25">
      <c r="A144" s="5">
        <v>44428</v>
      </c>
      <c r="B144" s="4">
        <f t="shared" si="2"/>
        <v>1</v>
      </c>
    </row>
    <row r="145" spans="1:2" x14ac:dyDescent="0.25">
      <c r="A145" s="5">
        <v>44430</v>
      </c>
      <c r="B145" s="4">
        <f t="shared" si="2"/>
        <v>1</v>
      </c>
    </row>
    <row r="146" spans="1:2" x14ac:dyDescent="0.25">
      <c r="A146" s="5">
        <v>44431</v>
      </c>
      <c r="B146" s="4">
        <f t="shared" si="2"/>
        <v>2</v>
      </c>
    </row>
    <row r="147" spans="1:2" x14ac:dyDescent="0.25">
      <c r="A147" s="5">
        <v>44432</v>
      </c>
      <c r="B147" s="4">
        <f t="shared" si="2"/>
        <v>3</v>
      </c>
    </row>
    <row r="148" spans="1:2" x14ac:dyDescent="0.25">
      <c r="A148" s="5">
        <v>44434</v>
      </c>
      <c r="B148" s="4">
        <f t="shared" si="2"/>
        <v>1</v>
      </c>
    </row>
    <row r="149" spans="1:2" x14ac:dyDescent="0.25">
      <c r="A149" s="5">
        <v>44436</v>
      </c>
      <c r="B149" s="4">
        <f t="shared" si="2"/>
        <v>1</v>
      </c>
    </row>
    <row r="150" spans="1:2" x14ac:dyDescent="0.25">
      <c r="A150" s="5">
        <v>44438</v>
      </c>
      <c r="B150" s="4">
        <f t="shared" si="2"/>
        <v>1</v>
      </c>
    </row>
    <row r="151" spans="1:2" x14ac:dyDescent="0.25">
      <c r="A151" s="5">
        <v>44439</v>
      </c>
      <c r="B151" s="4">
        <f t="shared" si="2"/>
        <v>2</v>
      </c>
    </row>
    <row r="152" spans="1:2" x14ac:dyDescent="0.25">
      <c r="A152" s="5">
        <v>44440</v>
      </c>
      <c r="B152" s="4">
        <f t="shared" si="2"/>
        <v>3</v>
      </c>
    </row>
    <row r="153" spans="1:2" x14ac:dyDescent="0.25">
      <c r="A153" s="5">
        <v>44441</v>
      </c>
      <c r="B153" s="4">
        <f t="shared" si="2"/>
        <v>4</v>
      </c>
    </row>
    <row r="154" spans="1:2" x14ac:dyDescent="0.25">
      <c r="A154" s="5">
        <v>44442</v>
      </c>
      <c r="B154" s="4">
        <f t="shared" si="2"/>
        <v>5</v>
      </c>
    </row>
    <row r="155" spans="1:2" x14ac:dyDescent="0.25">
      <c r="A155" s="5">
        <v>44448</v>
      </c>
      <c r="B155" s="4">
        <f t="shared" si="2"/>
        <v>1</v>
      </c>
    </row>
    <row r="156" spans="1:2" x14ac:dyDescent="0.25">
      <c r="A156" s="5">
        <v>44450</v>
      </c>
      <c r="B156" s="4">
        <f t="shared" si="2"/>
        <v>1</v>
      </c>
    </row>
    <row r="157" spans="1:2" x14ac:dyDescent="0.25">
      <c r="A157" s="5">
        <v>44451</v>
      </c>
      <c r="B157" s="4">
        <f t="shared" si="2"/>
        <v>2</v>
      </c>
    </row>
    <row r="158" spans="1:2" x14ac:dyDescent="0.25">
      <c r="A158" s="5">
        <v>44453</v>
      </c>
      <c r="B158" s="4">
        <f t="shared" si="2"/>
        <v>1</v>
      </c>
    </row>
    <row r="159" spans="1:2" x14ac:dyDescent="0.25">
      <c r="A159" s="5">
        <v>44455</v>
      </c>
      <c r="B159" s="4">
        <f t="shared" si="2"/>
        <v>1</v>
      </c>
    </row>
    <row r="160" spans="1:2" x14ac:dyDescent="0.25">
      <c r="A160" s="5">
        <v>44456</v>
      </c>
      <c r="B160" s="4">
        <f t="shared" si="2"/>
        <v>2</v>
      </c>
    </row>
    <row r="161" spans="1:3" x14ac:dyDescent="0.25">
      <c r="A161" s="5">
        <v>44459</v>
      </c>
      <c r="B161" s="4">
        <f t="shared" si="2"/>
        <v>1</v>
      </c>
    </row>
    <row r="162" spans="1:3" x14ac:dyDescent="0.25">
      <c r="A162" s="5">
        <v>44460</v>
      </c>
      <c r="B162" s="4">
        <f t="shared" si="2"/>
        <v>2</v>
      </c>
    </row>
    <row r="163" spans="1:3" x14ac:dyDescent="0.25">
      <c r="A163" s="5">
        <v>44465</v>
      </c>
      <c r="B163" s="4">
        <f t="shared" si="2"/>
        <v>1</v>
      </c>
    </row>
    <row r="164" spans="1:3" x14ac:dyDescent="0.25">
      <c r="A164" s="5">
        <v>44469</v>
      </c>
      <c r="B164" s="4">
        <f t="shared" si="2"/>
        <v>1</v>
      </c>
    </row>
    <row r="165" spans="1:3" x14ac:dyDescent="0.25">
      <c r="A165" s="5">
        <v>44472</v>
      </c>
      <c r="B165" s="4">
        <f t="shared" si="2"/>
        <v>1</v>
      </c>
    </row>
    <row r="166" spans="1:3" x14ac:dyDescent="0.25">
      <c r="A166" s="5">
        <v>44474</v>
      </c>
      <c r="B166" s="4">
        <f t="shared" si="2"/>
        <v>1</v>
      </c>
    </row>
    <row r="167" spans="1:3" x14ac:dyDescent="0.25">
      <c r="A167" s="5">
        <v>44476</v>
      </c>
      <c r="B167" s="4">
        <f t="shared" si="2"/>
        <v>1</v>
      </c>
      <c r="C167" t="s">
        <v>13</v>
      </c>
    </row>
    <row r="168" spans="1:3" x14ac:dyDescent="0.25">
      <c r="A168" s="5">
        <v>44477</v>
      </c>
      <c r="B168" s="4">
        <f t="shared" si="2"/>
        <v>2</v>
      </c>
    </row>
    <row r="169" spans="1:3" x14ac:dyDescent="0.25">
      <c r="A169" s="5">
        <v>44478</v>
      </c>
      <c r="B169" s="4">
        <f t="shared" si="2"/>
        <v>3</v>
      </c>
    </row>
    <row r="170" spans="1:3" x14ac:dyDescent="0.25">
      <c r="A170" s="5">
        <v>44479</v>
      </c>
      <c r="B170" s="4">
        <f t="shared" si="2"/>
        <v>4</v>
      </c>
    </row>
    <row r="171" spans="1:3" x14ac:dyDescent="0.25">
      <c r="A171" s="5">
        <v>44480</v>
      </c>
      <c r="B171" s="4">
        <f t="shared" si="2"/>
        <v>5</v>
      </c>
    </row>
    <row r="172" spans="1:3" x14ac:dyDescent="0.25">
      <c r="A172" s="5">
        <v>44481</v>
      </c>
      <c r="B172" s="4">
        <f t="shared" si="2"/>
        <v>6</v>
      </c>
    </row>
    <row r="173" spans="1:3" x14ac:dyDescent="0.25">
      <c r="A173" s="5">
        <v>44482</v>
      </c>
      <c r="B173" s="4">
        <f t="shared" si="2"/>
        <v>7</v>
      </c>
    </row>
    <row r="174" spans="1:3" x14ac:dyDescent="0.25">
      <c r="A174" s="5">
        <v>44483</v>
      </c>
      <c r="B174" s="4">
        <f t="shared" si="2"/>
        <v>8</v>
      </c>
      <c r="C174" t="s">
        <v>14</v>
      </c>
    </row>
    <row r="175" spans="1:3" x14ac:dyDescent="0.25">
      <c r="A175" s="5">
        <v>44486</v>
      </c>
      <c r="B175" s="4">
        <f t="shared" si="2"/>
        <v>1</v>
      </c>
    </row>
    <row r="176" spans="1:3" x14ac:dyDescent="0.25">
      <c r="A176" s="5">
        <v>44487</v>
      </c>
      <c r="B176" s="4">
        <f t="shared" si="2"/>
        <v>2</v>
      </c>
    </row>
    <row r="177" spans="1:2" x14ac:dyDescent="0.25">
      <c r="A177" s="5">
        <v>44489</v>
      </c>
      <c r="B177" s="4">
        <f t="shared" si="2"/>
        <v>1</v>
      </c>
    </row>
    <row r="178" spans="1:2" x14ac:dyDescent="0.25">
      <c r="A178" s="5">
        <v>44490</v>
      </c>
      <c r="B178" s="4">
        <f t="shared" si="2"/>
        <v>2</v>
      </c>
    </row>
    <row r="179" spans="1:2" x14ac:dyDescent="0.25">
      <c r="A179" s="5">
        <v>44491</v>
      </c>
      <c r="B179" s="4">
        <f t="shared" si="2"/>
        <v>3</v>
      </c>
    </row>
    <row r="180" spans="1:2" x14ac:dyDescent="0.25">
      <c r="A180" s="5">
        <v>44492</v>
      </c>
      <c r="B180" s="4">
        <f t="shared" si="2"/>
        <v>4</v>
      </c>
    </row>
    <row r="181" spans="1:2" x14ac:dyDescent="0.25">
      <c r="A181" s="5">
        <v>44494</v>
      </c>
      <c r="B181" s="4">
        <f t="shared" si="2"/>
        <v>1</v>
      </c>
    </row>
    <row r="182" spans="1:2" x14ac:dyDescent="0.25">
      <c r="A182" s="5">
        <v>44495</v>
      </c>
      <c r="B182" s="4">
        <f t="shared" si="2"/>
        <v>2</v>
      </c>
    </row>
    <row r="183" spans="1:2" x14ac:dyDescent="0.25">
      <c r="A183" s="5">
        <v>44496</v>
      </c>
      <c r="B183" s="4">
        <f t="shared" si="2"/>
        <v>3</v>
      </c>
    </row>
    <row r="184" spans="1:2" x14ac:dyDescent="0.25">
      <c r="A184" s="5">
        <v>44497</v>
      </c>
      <c r="B184" s="4">
        <f t="shared" si="2"/>
        <v>4</v>
      </c>
    </row>
    <row r="185" spans="1:2" x14ac:dyDescent="0.25">
      <c r="A185" s="5">
        <v>44499</v>
      </c>
      <c r="B185" s="4">
        <f t="shared" si="2"/>
        <v>1</v>
      </c>
    </row>
    <row r="186" spans="1:2" x14ac:dyDescent="0.25">
      <c r="A186" s="5">
        <v>44501</v>
      </c>
      <c r="B186" s="4">
        <f t="shared" si="2"/>
        <v>1</v>
      </c>
    </row>
    <row r="187" spans="1:2" x14ac:dyDescent="0.25">
      <c r="A187" s="5">
        <v>44502</v>
      </c>
      <c r="B187" s="4">
        <f t="shared" si="2"/>
        <v>2</v>
      </c>
    </row>
    <row r="188" spans="1:2" x14ac:dyDescent="0.25">
      <c r="A188" s="5">
        <v>44503</v>
      </c>
      <c r="B188" s="4">
        <f t="shared" si="2"/>
        <v>3</v>
      </c>
    </row>
    <row r="189" spans="1:2" x14ac:dyDescent="0.25">
      <c r="A189" s="5">
        <v>44505</v>
      </c>
      <c r="B189" s="4">
        <f t="shared" si="2"/>
        <v>1</v>
      </c>
    </row>
    <row r="190" spans="1:2" x14ac:dyDescent="0.25">
      <c r="A190" s="5">
        <v>44507</v>
      </c>
      <c r="B190" s="4">
        <f t="shared" si="2"/>
        <v>1</v>
      </c>
    </row>
    <row r="191" spans="1:2" x14ac:dyDescent="0.25">
      <c r="A191" s="5">
        <v>44508</v>
      </c>
      <c r="B191" s="4">
        <f t="shared" si="2"/>
        <v>2</v>
      </c>
    </row>
    <row r="192" spans="1:2" x14ac:dyDescent="0.25">
      <c r="A192" s="5">
        <v>44510</v>
      </c>
      <c r="B192" s="4">
        <f t="shared" si="2"/>
        <v>1</v>
      </c>
    </row>
    <row r="193" spans="1:2" x14ac:dyDescent="0.25">
      <c r="A193" s="5">
        <v>44511</v>
      </c>
      <c r="B193" s="4">
        <f t="shared" si="2"/>
        <v>2</v>
      </c>
    </row>
    <row r="194" spans="1:2" x14ac:dyDescent="0.25">
      <c r="A194" s="5">
        <v>44513</v>
      </c>
      <c r="B194" s="4">
        <f t="shared" si="2"/>
        <v>1</v>
      </c>
    </row>
    <row r="195" spans="1:2" x14ac:dyDescent="0.25">
      <c r="A195" s="5">
        <v>44514</v>
      </c>
      <c r="B195" s="4">
        <f t="shared" si="2"/>
        <v>2</v>
      </c>
    </row>
    <row r="196" spans="1:2" x14ac:dyDescent="0.25">
      <c r="A196" s="5">
        <v>44515</v>
      </c>
      <c r="B196" s="4">
        <f t="shared" si="2"/>
        <v>3</v>
      </c>
    </row>
    <row r="197" spans="1:2" x14ac:dyDescent="0.25">
      <c r="A197" s="5">
        <v>44517</v>
      </c>
      <c r="B197" s="4">
        <f t="shared" si="2"/>
        <v>1</v>
      </c>
    </row>
    <row r="198" spans="1:2" x14ac:dyDescent="0.25">
      <c r="A198" s="5">
        <v>44519</v>
      </c>
      <c r="B198" s="4">
        <f t="shared" si="2"/>
        <v>1</v>
      </c>
    </row>
    <row r="199" spans="1:2" x14ac:dyDescent="0.25">
      <c r="A199" s="5">
        <v>44520</v>
      </c>
      <c r="B199" s="4">
        <f t="shared" si="2"/>
        <v>2</v>
      </c>
    </row>
    <row r="200" spans="1:2" x14ac:dyDescent="0.25">
      <c r="A200" s="5">
        <v>44521</v>
      </c>
      <c r="B200" s="4">
        <f t="shared" ref="B200:B227" si="3">IF((A199+1)=A200,B199+1,1)</f>
        <v>3</v>
      </c>
    </row>
    <row r="201" spans="1:2" x14ac:dyDescent="0.25">
      <c r="A201" s="5">
        <v>44522</v>
      </c>
      <c r="B201" s="4">
        <f t="shared" si="3"/>
        <v>4</v>
      </c>
    </row>
    <row r="202" spans="1:2" x14ac:dyDescent="0.25">
      <c r="A202" s="5">
        <v>44523</v>
      </c>
      <c r="B202" s="4">
        <f t="shared" si="3"/>
        <v>5</v>
      </c>
    </row>
    <row r="203" spans="1:2" x14ac:dyDescent="0.25">
      <c r="A203" s="5">
        <v>44524</v>
      </c>
      <c r="B203" s="4">
        <f t="shared" si="3"/>
        <v>6</v>
      </c>
    </row>
    <row r="204" spans="1:2" x14ac:dyDescent="0.25">
      <c r="A204" s="5">
        <v>44526</v>
      </c>
      <c r="B204" s="4">
        <f t="shared" si="3"/>
        <v>1</v>
      </c>
    </row>
    <row r="205" spans="1:2" x14ac:dyDescent="0.25">
      <c r="A205" s="5">
        <v>44527</v>
      </c>
      <c r="B205" s="4">
        <f t="shared" si="3"/>
        <v>2</v>
      </c>
    </row>
    <row r="206" spans="1:2" x14ac:dyDescent="0.25">
      <c r="A206" s="5">
        <v>44528</v>
      </c>
      <c r="B206" s="4">
        <f t="shared" si="3"/>
        <v>3</v>
      </c>
    </row>
    <row r="207" spans="1:2" x14ac:dyDescent="0.25">
      <c r="A207" s="5">
        <v>44529</v>
      </c>
      <c r="B207" s="4">
        <f t="shared" si="3"/>
        <v>4</v>
      </c>
    </row>
    <row r="208" spans="1:2" x14ac:dyDescent="0.25">
      <c r="A208" s="5">
        <v>44530</v>
      </c>
      <c r="B208" s="4">
        <f t="shared" si="3"/>
        <v>5</v>
      </c>
    </row>
    <row r="209" spans="1:2" x14ac:dyDescent="0.25">
      <c r="A209" s="5">
        <v>44532</v>
      </c>
      <c r="B209" s="4">
        <f t="shared" si="3"/>
        <v>1</v>
      </c>
    </row>
    <row r="210" spans="1:2" x14ac:dyDescent="0.25">
      <c r="A210" s="5">
        <v>44535</v>
      </c>
      <c r="B210" s="4">
        <f t="shared" si="3"/>
        <v>1</v>
      </c>
    </row>
    <row r="211" spans="1:2" x14ac:dyDescent="0.25">
      <c r="A211" s="5">
        <v>44536</v>
      </c>
      <c r="B211" s="4">
        <f t="shared" si="3"/>
        <v>2</v>
      </c>
    </row>
    <row r="212" spans="1:2" x14ac:dyDescent="0.25">
      <c r="A212" s="5">
        <v>44540</v>
      </c>
      <c r="B212" s="4">
        <f t="shared" si="3"/>
        <v>1</v>
      </c>
    </row>
    <row r="213" spans="1:2" x14ac:dyDescent="0.25">
      <c r="A213" s="5">
        <v>44541</v>
      </c>
      <c r="B213" s="4">
        <f t="shared" si="3"/>
        <v>2</v>
      </c>
    </row>
    <row r="214" spans="1:2" x14ac:dyDescent="0.25">
      <c r="A214" s="5">
        <v>44542</v>
      </c>
      <c r="B214" s="4">
        <f t="shared" si="3"/>
        <v>3</v>
      </c>
    </row>
    <row r="215" spans="1:2" x14ac:dyDescent="0.25">
      <c r="A215" s="5">
        <v>44544</v>
      </c>
      <c r="B215" s="4">
        <f t="shared" si="3"/>
        <v>1</v>
      </c>
    </row>
    <row r="216" spans="1:2" x14ac:dyDescent="0.25">
      <c r="A216" s="5">
        <v>44545</v>
      </c>
      <c r="B216" s="4">
        <f t="shared" si="3"/>
        <v>2</v>
      </c>
    </row>
    <row r="217" spans="1:2" x14ac:dyDescent="0.25">
      <c r="A217" s="5">
        <v>44548</v>
      </c>
      <c r="B217" s="4">
        <f t="shared" si="3"/>
        <v>1</v>
      </c>
    </row>
    <row r="218" spans="1:2" x14ac:dyDescent="0.25">
      <c r="A218" s="5">
        <v>44549</v>
      </c>
      <c r="B218" s="4">
        <f t="shared" si="3"/>
        <v>2</v>
      </c>
    </row>
    <row r="219" spans="1:2" x14ac:dyDescent="0.25">
      <c r="A219" s="5">
        <v>44550</v>
      </c>
      <c r="B219" s="4">
        <f t="shared" si="3"/>
        <v>3</v>
      </c>
    </row>
    <row r="220" spans="1:2" x14ac:dyDescent="0.25">
      <c r="A220" s="5">
        <v>44552</v>
      </c>
      <c r="B220" s="4">
        <f t="shared" si="3"/>
        <v>1</v>
      </c>
    </row>
    <row r="221" spans="1:2" x14ac:dyDescent="0.25">
      <c r="A221" s="5">
        <v>44553</v>
      </c>
      <c r="B221" s="4">
        <f t="shared" si="3"/>
        <v>2</v>
      </c>
    </row>
    <row r="222" spans="1:2" x14ac:dyDescent="0.25">
      <c r="A222" s="5">
        <v>44554</v>
      </c>
      <c r="B222" s="4">
        <f t="shared" si="3"/>
        <v>3</v>
      </c>
    </row>
    <row r="223" spans="1:2" x14ac:dyDescent="0.25">
      <c r="A223" s="5">
        <v>44555</v>
      </c>
      <c r="B223" s="4">
        <f t="shared" si="3"/>
        <v>4</v>
      </c>
    </row>
    <row r="224" spans="1:2" x14ac:dyDescent="0.25">
      <c r="A224" s="5">
        <v>44557</v>
      </c>
      <c r="B224" s="4">
        <f t="shared" si="3"/>
        <v>1</v>
      </c>
    </row>
    <row r="225" spans="1:2" x14ac:dyDescent="0.25">
      <c r="A225" s="5">
        <v>44558</v>
      </c>
      <c r="B225" s="4">
        <f t="shared" si="3"/>
        <v>2</v>
      </c>
    </row>
    <row r="226" spans="1:2" x14ac:dyDescent="0.25">
      <c r="A226" s="5">
        <v>44559</v>
      </c>
      <c r="B226" s="4">
        <f t="shared" si="3"/>
        <v>3</v>
      </c>
    </row>
    <row r="227" spans="1:2" x14ac:dyDescent="0.25">
      <c r="A227" s="3" t="s">
        <v>9</v>
      </c>
      <c r="B227" s="4">
        <f t="shared" si="3"/>
        <v>1</v>
      </c>
    </row>
  </sheetData>
  <conditionalFormatting sqref="B1:B1048576">
    <cfRule type="top10" dxfId="5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A683-7410-485F-A05F-438C3C5EBF6E}">
  <dimension ref="A3:B8"/>
  <sheetViews>
    <sheetView workbookViewId="0">
      <selection activeCell="A4" sqref="A4:B7"/>
    </sheetView>
  </sheetViews>
  <sheetFormatPr defaultRowHeight="15" x14ac:dyDescent="0.25"/>
  <cols>
    <col min="1" max="1" width="17.85546875" bestFit="1" customWidth="1"/>
    <col min="2" max="2" width="27.5703125" bestFit="1" customWidth="1"/>
  </cols>
  <sheetData>
    <row r="3" spans="1:2" x14ac:dyDescent="0.25">
      <c r="A3" s="2" t="s">
        <v>8</v>
      </c>
      <c r="B3" t="s">
        <v>10</v>
      </c>
    </row>
    <row r="4" spans="1:2" x14ac:dyDescent="0.25">
      <c r="A4" s="3" t="s">
        <v>6</v>
      </c>
      <c r="B4" s="4">
        <v>819000</v>
      </c>
    </row>
    <row r="5" spans="1:2" x14ac:dyDescent="0.25">
      <c r="A5" s="3" t="s">
        <v>7</v>
      </c>
      <c r="B5" s="4">
        <v>944240</v>
      </c>
    </row>
    <row r="6" spans="1:2" x14ac:dyDescent="0.25">
      <c r="A6" s="3" t="s">
        <v>4</v>
      </c>
      <c r="B6" s="4">
        <v>1115560</v>
      </c>
    </row>
    <row r="7" spans="1:2" x14ac:dyDescent="0.25">
      <c r="A7" s="3" t="s">
        <v>5</v>
      </c>
      <c r="B7" s="4">
        <v>1062920</v>
      </c>
    </row>
    <row r="8" spans="1:2" x14ac:dyDescent="0.25">
      <c r="A8" s="3" t="s">
        <v>9</v>
      </c>
      <c r="B8" s="4">
        <v>3941720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0B70-31DD-4C58-A882-89EE140BEF0C}">
  <dimension ref="A3:N370"/>
  <sheetViews>
    <sheetView tabSelected="1" topLeftCell="A91" zoomScaleNormal="100" workbookViewId="0">
      <selection activeCell="C81" sqref="C81"/>
    </sheetView>
  </sheetViews>
  <sheetFormatPr defaultRowHeight="15" x14ac:dyDescent="0.25"/>
  <cols>
    <col min="1" max="1" width="27.5703125" bestFit="1" customWidth="1"/>
    <col min="2" max="2" width="17.85546875" bestFit="1" customWidth="1"/>
    <col min="3" max="3" width="8.140625" bestFit="1" customWidth="1"/>
    <col min="4" max="4" width="12.85546875" bestFit="1" customWidth="1"/>
    <col min="6" max="6" width="14.42578125" bestFit="1" customWidth="1"/>
    <col min="7" max="7" width="17.5703125" bestFit="1" customWidth="1"/>
    <col min="8" max="8" width="29.140625" bestFit="1" customWidth="1"/>
    <col min="9" max="9" width="23.7109375" bestFit="1" customWidth="1"/>
    <col min="10" max="10" width="32" style="11" bestFit="1" customWidth="1"/>
    <col min="11" max="11" width="29.28515625" bestFit="1" customWidth="1"/>
    <col min="12" max="12" width="17.7109375" bestFit="1" customWidth="1"/>
    <col min="13" max="13" width="19" bestFit="1" customWidth="1"/>
    <col min="14" max="14" width="10.5703125" bestFit="1" customWidth="1"/>
  </cols>
  <sheetData>
    <row r="3" spans="1:14" x14ac:dyDescent="0.25">
      <c r="A3" s="2" t="s">
        <v>10</v>
      </c>
      <c r="B3" s="2" t="s">
        <v>11</v>
      </c>
    </row>
    <row r="4" spans="1:14" x14ac:dyDescent="0.25">
      <c r="A4" s="2" t="s">
        <v>8</v>
      </c>
      <c r="B4" t="s">
        <v>6</v>
      </c>
      <c r="C4" t="s">
        <v>7</v>
      </c>
      <c r="D4" t="s">
        <v>4</v>
      </c>
      <c r="E4" t="s">
        <v>5</v>
      </c>
      <c r="F4" t="s">
        <v>9</v>
      </c>
      <c r="G4" s="16" t="s">
        <v>23</v>
      </c>
      <c r="H4" s="15" t="s">
        <v>24</v>
      </c>
      <c r="I4" s="16" t="s">
        <v>27</v>
      </c>
      <c r="J4" s="17" t="s">
        <v>29</v>
      </c>
      <c r="K4" s="16" t="s">
        <v>32</v>
      </c>
      <c r="L4" s="16" t="s">
        <v>33</v>
      </c>
      <c r="M4" s="8" t="s">
        <v>22</v>
      </c>
      <c r="N4" s="8"/>
    </row>
    <row r="5" spans="1:14" x14ac:dyDescent="0.25">
      <c r="A5" s="6">
        <v>44198</v>
      </c>
      <c r="B5" s="4">
        <v>5190</v>
      </c>
      <c r="C5" s="4"/>
      <c r="D5" s="4">
        <v>1290</v>
      </c>
      <c r="E5" s="4">
        <v>4420</v>
      </c>
      <c r="F5" s="4">
        <v>10900</v>
      </c>
      <c r="G5" t="b">
        <f>IF(WEEKDAY(A5,2)&gt;=6,FALSE,TRUE)</f>
        <v>0</v>
      </c>
      <c r="H5">
        <f>IF(G5,$N$5,$N$6)</f>
        <v>5000</v>
      </c>
      <c r="I5" s="13">
        <f>N7+H5</f>
        <v>35000</v>
      </c>
      <c r="J5" s="11">
        <f t="shared" ref="J5:J68" si="0">IF($I5-$B5&lt;0,$I5,IF($I5-$B5-$C5&lt;0,$I5-$B5,IF($I5-$B5-$C5-$D5&lt;0,$I5-$B5-$C5,IF($I5-$B5-$C5-$D5-$E5&lt;0,$I5-$B5-$C5-$D5,$I5-$F5))))</f>
        <v>24100</v>
      </c>
      <c r="K5" s="11" t="str">
        <f t="shared" ref="K5:K68" si="1">IF($I5-$B5&lt;0,"F1",IF($I5-$B5-$C5&lt;0,"F2",IF($I5-$B5-$C5-$D5&lt;0,"F3",IF($I5-$B5-$C5-$D5-$E5&lt;0,"F4","GŁÓWNA"))))</f>
        <v>GŁÓWNA</v>
      </c>
      <c r="L5">
        <f t="shared" ref="L5" si="2">IF(K5&lt;&gt;"GŁÓWNA",IF(K5="F1",SUM(B5:E5),IF(K5="F2",SUM(C5:E5),IF(K5="F3",SUM(D5:E5),IF(K5="F4",E5,)))),0)</f>
        <v>0</v>
      </c>
      <c r="M5" t="s">
        <v>25</v>
      </c>
      <c r="N5" s="13">
        <v>12000</v>
      </c>
    </row>
    <row r="6" spans="1:14" x14ac:dyDescent="0.25">
      <c r="A6" s="6">
        <v>44199</v>
      </c>
      <c r="B6" s="4">
        <v>6000</v>
      </c>
      <c r="C6" s="4">
        <v>950</v>
      </c>
      <c r="D6" s="4"/>
      <c r="E6" s="4">
        <v>8530</v>
      </c>
      <c r="F6" s="4">
        <v>15480</v>
      </c>
      <c r="G6" t="b">
        <f t="shared" ref="G6:G69" si="3">IF(WEEKDAY(A6,2)&gt;=6,FALSE,TRUE)</f>
        <v>0</v>
      </c>
      <c r="H6">
        <f t="shared" ref="H6:H69" si="4">IF(G6,$N$5,$N$6)</f>
        <v>5000</v>
      </c>
      <c r="I6" s="13">
        <f>J5+H6</f>
        <v>29100</v>
      </c>
      <c r="J6" s="11">
        <f t="shared" si="0"/>
        <v>13620</v>
      </c>
      <c r="K6" s="11" t="str">
        <f t="shared" si="1"/>
        <v>GŁÓWNA</v>
      </c>
      <c r="L6">
        <f t="shared" ref="L6:L69" si="5">IF(K6&lt;&gt;"GŁÓWNA",IF(K6="F1",SUM(B6:E6),IF(K6="F2",SUM(C6:E6),IF(K6="F3",SUM(D6:E6),IF(K6="F4",E6,)))),0)</f>
        <v>0</v>
      </c>
      <c r="M6" t="s">
        <v>26</v>
      </c>
      <c r="N6" s="13">
        <v>5000</v>
      </c>
    </row>
    <row r="7" spans="1:14" x14ac:dyDescent="0.25">
      <c r="A7" s="6">
        <v>44200</v>
      </c>
      <c r="B7" s="4"/>
      <c r="C7" s="4">
        <v>1140</v>
      </c>
      <c r="D7" s="4"/>
      <c r="E7" s="4">
        <v>2460</v>
      </c>
      <c r="F7" s="4">
        <v>3600</v>
      </c>
      <c r="G7" t="b">
        <f t="shared" si="3"/>
        <v>1</v>
      </c>
      <c r="H7">
        <f t="shared" si="4"/>
        <v>12000</v>
      </c>
      <c r="I7" s="13">
        <f t="shared" ref="I7:I70" si="6">J6+H7</f>
        <v>25620</v>
      </c>
      <c r="J7" s="11">
        <f t="shared" si="0"/>
        <v>22020</v>
      </c>
      <c r="K7" s="11" t="str">
        <f t="shared" si="1"/>
        <v>GŁÓWNA</v>
      </c>
      <c r="L7">
        <f t="shared" si="5"/>
        <v>0</v>
      </c>
      <c r="M7" t="s">
        <v>28</v>
      </c>
      <c r="N7" s="13">
        <v>30000</v>
      </c>
    </row>
    <row r="8" spans="1:14" x14ac:dyDescent="0.25">
      <c r="A8" s="6">
        <v>44201</v>
      </c>
      <c r="B8" s="4">
        <v>7520</v>
      </c>
      <c r="C8" s="4"/>
      <c r="D8" s="4">
        <v>1430</v>
      </c>
      <c r="E8" s="4">
        <v>7920</v>
      </c>
      <c r="F8" s="4">
        <v>16870</v>
      </c>
      <c r="G8" t="b">
        <f t="shared" si="3"/>
        <v>1</v>
      </c>
      <c r="H8">
        <f t="shared" si="4"/>
        <v>12000</v>
      </c>
      <c r="I8" s="13">
        <f t="shared" si="6"/>
        <v>34020</v>
      </c>
      <c r="J8" s="11">
        <f t="shared" si="0"/>
        <v>17150</v>
      </c>
      <c r="K8" s="11" t="str">
        <f t="shared" si="1"/>
        <v>GŁÓWNA</v>
      </c>
      <c r="L8">
        <f t="shared" si="5"/>
        <v>0</v>
      </c>
    </row>
    <row r="9" spans="1:14" x14ac:dyDescent="0.25">
      <c r="A9" s="6">
        <v>44202</v>
      </c>
      <c r="B9" s="4">
        <v>7340</v>
      </c>
      <c r="C9" s="4">
        <v>1500</v>
      </c>
      <c r="D9" s="4">
        <v>5540</v>
      </c>
      <c r="E9" s="4"/>
      <c r="F9" s="4">
        <v>14380</v>
      </c>
      <c r="G9" t="b">
        <f t="shared" si="3"/>
        <v>1</v>
      </c>
      <c r="H9">
        <f t="shared" si="4"/>
        <v>12000</v>
      </c>
      <c r="I9" s="13">
        <f t="shared" si="6"/>
        <v>29150</v>
      </c>
      <c r="J9" s="11">
        <f t="shared" si="0"/>
        <v>14770</v>
      </c>
      <c r="K9" s="11" t="str">
        <f t="shared" si="1"/>
        <v>GŁÓWNA</v>
      </c>
      <c r="L9">
        <f t="shared" si="5"/>
        <v>0</v>
      </c>
    </row>
    <row r="10" spans="1:14" x14ac:dyDescent="0.25">
      <c r="A10" s="6">
        <v>44203</v>
      </c>
      <c r="B10" s="4"/>
      <c r="C10" s="4"/>
      <c r="D10" s="4"/>
      <c r="E10" s="4">
        <v>8170</v>
      </c>
      <c r="F10" s="4">
        <v>8170</v>
      </c>
      <c r="G10" t="b">
        <f t="shared" si="3"/>
        <v>1</v>
      </c>
      <c r="H10">
        <f t="shared" si="4"/>
        <v>12000</v>
      </c>
      <c r="I10" s="13">
        <f t="shared" si="6"/>
        <v>26770</v>
      </c>
      <c r="J10" s="11">
        <f t="shared" si="0"/>
        <v>18600</v>
      </c>
      <c r="K10" s="11" t="str">
        <f t="shared" si="1"/>
        <v>GŁÓWNA</v>
      </c>
      <c r="L10">
        <f t="shared" si="5"/>
        <v>0</v>
      </c>
    </row>
    <row r="11" spans="1:14" x14ac:dyDescent="0.25">
      <c r="A11" s="6">
        <v>44204</v>
      </c>
      <c r="B11" s="4"/>
      <c r="C11" s="4">
        <v>4660</v>
      </c>
      <c r="D11" s="4">
        <v>9410</v>
      </c>
      <c r="E11" s="4"/>
      <c r="F11" s="4">
        <v>14070</v>
      </c>
      <c r="G11" t="b">
        <f t="shared" si="3"/>
        <v>1</v>
      </c>
      <c r="H11">
        <f t="shared" si="4"/>
        <v>12000</v>
      </c>
      <c r="I11" s="13">
        <f t="shared" si="6"/>
        <v>30600</v>
      </c>
      <c r="J11" s="11">
        <f t="shared" si="0"/>
        <v>16530</v>
      </c>
      <c r="K11" s="11" t="str">
        <f t="shared" si="1"/>
        <v>GŁÓWNA</v>
      </c>
      <c r="L11">
        <f t="shared" si="5"/>
        <v>0</v>
      </c>
    </row>
    <row r="12" spans="1:14" x14ac:dyDescent="0.25">
      <c r="A12" s="6">
        <v>44205</v>
      </c>
      <c r="B12" s="4"/>
      <c r="C12" s="4"/>
      <c r="D12" s="4">
        <v>2240</v>
      </c>
      <c r="E12" s="4">
        <v>6760</v>
      </c>
      <c r="F12" s="4">
        <v>9000</v>
      </c>
      <c r="G12" t="b">
        <f t="shared" si="3"/>
        <v>0</v>
      </c>
      <c r="H12">
        <f t="shared" si="4"/>
        <v>5000</v>
      </c>
      <c r="I12" s="13">
        <f t="shared" si="6"/>
        <v>21530</v>
      </c>
      <c r="J12" s="11">
        <f t="shared" si="0"/>
        <v>12530</v>
      </c>
      <c r="K12" s="11" t="str">
        <f t="shared" si="1"/>
        <v>GŁÓWNA</v>
      </c>
      <c r="L12">
        <f t="shared" si="5"/>
        <v>0</v>
      </c>
    </row>
    <row r="13" spans="1:14" x14ac:dyDescent="0.25">
      <c r="A13" s="6">
        <v>44206</v>
      </c>
      <c r="B13" s="4">
        <v>7850</v>
      </c>
      <c r="C13" s="4"/>
      <c r="D13" s="4"/>
      <c r="E13" s="4"/>
      <c r="F13" s="4">
        <v>7850</v>
      </c>
      <c r="G13" t="b">
        <f t="shared" si="3"/>
        <v>0</v>
      </c>
      <c r="H13">
        <f t="shared" si="4"/>
        <v>5000</v>
      </c>
      <c r="I13" s="13">
        <f t="shared" si="6"/>
        <v>17530</v>
      </c>
      <c r="J13" s="11">
        <f t="shared" si="0"/>
        <v>9680</v>
      </c>
      <c r="K13" s="11" t="str">
        <f t="shared" si="1"/>
        <v>GŁÓWNA</v>
      </c>
      <c r="L13">
        <f t="shared" si="5"/>
        <v>0</v>
      </c>
    </row>
    <row r="14" spans="1:14" x14ac:dyDescent="0.25">
      <c r="A14" s="6">
        <v>44207</v>
      </c>
      <c r="B14" s="4"/>
      <c r="C14" s="4">
        <v>5230</v>
      </c>
      <c r="D14" s="4">
        <v>9750</v>
      </c>
      <c r="E14" s="4">
        <v>5440</v>
      </c>
      <c r="F14" s="4">
        <v>20420</v>
      </c>
      <c r="G14" t="b">
        <f t="shared" si="3"/>
        <v>1</v>
      </c>
      <c r="H14">
        <f t="shared" si="4"/>
        <v>12000</v>
      </c>
      <c r="I14" s="13">
        <f t="shared" si="6"/>
        <v>21680</v>
      </c>
      <c r="J14" s="11">
        <f t="shared" si="0"/>
        <v>1260</v>
      </c>
      <c r="K14" s="11" t="str">
        <f t="shared" si="1"/>
        <v>GŁÓWNA</v>
      </c>
      <c r="L14">
        <f t="shared" si="5"/>
        <v>0</v>
      </c>
    </row>
    <row r="15" spans="1:14" x14ac:dyDescent="0.25">
      <c r="A15" s="6">
        <v>44208</v>
      </c>
      <c r="B15" s="4">
        <v>4800</v>
      </c>
      <c r="C15" s="4"/>
      <c r="D15" s="4"/>
      <c r="E15" s="4"/>
      <c r="F15" s="4">
        <v>4800</v>
      </c>
      <c r="G15" t="b">
        <f t="shared" si="3"/>
        <v>1</v>
      </c>
      <c r="H15">
        <f t="shared" si="4"/>
        <v>12000</v>
      </c>
      <c r="I15" s="13">
        <f t="shared" si="6"/>
        <v>13260</v>
      </c>
      <c r="J15" s="11">
        <f t="shared" si="0"/>
        <v>8460</v>
      </c>
      <c r="K15" s="11" t="str">
        <f t="shared" si="1"/>
        <v>GŁÓWNA</v>
      </c>
      <c r="L15">
        <f t="shared" si="5"/>
        <v>0</v>
      </c>
    </row>
    <row r="16" spans="1:14" x14ac:dyDescent="0.25">
      <c r="A16" s="6">
        <v>44209</v>
      </c>
      <c r="B16" s="4"/>
      <c r="C16" s="4">
        <v>8650</v>
      </c>
      <c r="D16" s="4"/>
      <c r="E16" s="4"/>
      <c r="F16" s="4">
        <v>8650</v>
      </c>
      <c r="G16" t="b">
        <f t="shared" si="3"/>
        <v>1</v>
      </c>
      <c r="H16">
        <f t="shared" si="4"/>
        <v>12000</v>
      </c>
      <c r="I16" s="13">
        <f t="shared" si="6"/>
        <v>20460</v>
      </c>
      <c r="J16" s="11">
        <f t="shared" si="0"/>
        <v>11810</v>
      </c>
      <c r="K16" s="11" t="str">
        <f t="shared" si="1"/>
        <v>GŁÓWNA</v>
      </c>
      <c r="L16">
        <f t="shared" si="5"/>
        <v>0</v>
      </c>
    </row>
    <row r="17" spans="1:12" x14ac:dyDescent="0.25">
      <c r="A17" s="6">
        <v>44210</v>
      </c>
      <c r="B17" s="4"/>
      <c r="C17" s="4">
        <v>1650</v>
      </c>
      <c r="D17" s="4">
        <v>2260</v>
      </c>
      <c r="E17" s="4">
        <v>5000</v>
      </c>
      <c r="F17" s="4">
        <v>8910</v>
      </c>
      <c r="G17" t="b">
        <f t="shared" si="3"/>
        <v>1</v>
      </c>
      <c r="H17">
        <f t="shared" si="4"/>
        <v>12000</v>
      </c>
      <c r="I17" s="13">
        <f t="shared" si="6"/>
        <v>23810</v>
      </c>
      <c r="J17" s="11">
        <f t="shared" si="0"/>
        <v>14900</v>
      </c>
      <c r="K17" s="11" t="str">
        <f t="shared" si="1"/>
        <v>GŁÓWNA</v>
      </c>
      <c r="L17">
        <f t="shared" si="5"/>
        <v>0</v>
      </c>
    </row>
    <row r="18" spans="1:12" x14ac:dyDescent="0.25">
      <c r="A18" s="6">
        <v>44211</v>
      </c>
      <c r="B18" s="4">
        <v>5760</v>
      </c>
      <c r="C18" s="4">
        <v>7060</v>
      </c>
      <c r="D18" s="4">
        <v>3260</v>
      </c>
      <c r="E18" s="4"/>
      <c r="F18" s="4">
        <v>16080</v>
      </c>
      <c r="G18" t="b">
        <f t="shared" si="3"/>
        <v>1</v>
      </c>
      <c r="H18">
        <f t="shared" si="4"/>
        <v>12000</v>
      </c>
      <c r="I18" s="13">
        <f t="shared" si="6"/>
        <v>26900</v>
      </c>
      <c r="J18" s="11">
        <f t="shared" si="0"/>
        <v>10820</v>
      </c>
      <c r="K18" s="11" t="str">
        <f t="shared" si="1"/>
        <v>GŁÓWNA</v>
      </c>
      <c r="L18">
        <f t="shared" si="5"/>
        <v>0</v>
      </c>
    </row>
    <row r="19" spans="1:12" x14ac:dyDescent="0.25">
      <c r="A19" s="6">
        <v>44212</v>
      </c>
      <c r="B19" s="4"/>
      <c r="C19" s="4"/>
      <c r="D19" s="4"/>
      <c r="E19" s="4">
        <v>1990</v>
      </c>
      <c r="F19" s="4">
        <v>1990</v>
      </c>
      <c r="G19" t="b">
        <f t="shared" si="3"/>
        <v>0</v>
      </c>
      <c r="H19">
        <f t="shared" si="4"/>
        <v>5000</v>
      </c>
      <c r="I19" s="13">
        <f t="shared" si="6"/>
        <v>15820</v>
      </c>
      <c r="J19" s="11">
        <f t="shared" si="0"/>
        <v>13830</v>
      </c>
      <c r="K19" s="11" t="str">
        <f t="shared" si="1"/>
        <v>GŁÓWNA</v>
      </c>
      <c r="L19">
        <f t="shared" si="5"/>
        <v>0</v>
      </c>
    </row>
    <row r="20" spans="1:12" x14ac:dyDescent="0.25">
      <c r="A20" s="6">
        <v>44213</v>
      </c>
      <c r="B20" s="4">
        <v>3220</v>
      </c>
      <c r="C20" s="4">
        <v>5240</v>
      </c>
      <c r="D20" s="4">
        <v>3140</v>
      </c>
      <c r="E20" s="4">
        <v>2720</v>
      </c>
      <c r="F20" s="4">
        <v>14320</v>
      </c>
      <c r="G20" t="b">
        <f t="shared" si="3"/>
        <v>0</v>
      </c>
      <c r="H20">
        <f t="shared" si="4"/>
        <v>5000</v>
      </c>
      <c r="I20" s="13">
        <f t="shared" si="6"/>
        <v>18830</v>
      </c>
      <c r="J20" s="11">
        <f t="shared" si="0"/>
        <v>4510</v>
      </c>
      <c r="K20" s="11" t="str">
        <f t="shared" si="1"/>
        <v>GŁÓWNA</v>
      </c>
      <c r="L20">
        <f t="shared" si="5"/>
        <v>0</v>
      </c>
    </row>
    <row r="21" spans="1:12" x14ac:dyDescent="0.25">
      <c r="A21" s="6">
        <v>44214</v>
      </c>
      <c r="B21" s="4"/>
      <c r="C21" s="4">
        <v>4150</v>
      </c>
      <c r="D21" s="4"/>
      <c r="E21" s="4"/>
      <c r="F21" s="4">
        <v>4150</v>
      </c>
      <c r="G21" t="b">
        <f t="shared" si="3"/>
        <v>1</v>
      </c>
      <c r="H21">
        <f t="shared" si="4"/>
        <v>12000</v>
      </c>
      <c r="I21" s="13">
        <f t="shared" si="6"/>
        <v>16510</v>
      </c>
      <c r="J21" s="11">
        <f t="shared" si="0"/>
        <v>12360</v>
      </c>
      <c r="K21" s="11" t="str">
        <f t="shared" si="1"/>
        <v>GŁÓWNA</v>
      </c>
      <c r="L21">
        <f t="shared" si="5"/>
        <v>0</v>
      </c>
    </row>
    <row r="22" spans="1:12" x14ac:dyDescent="0.25">
      <c r="A22" s="6">
        <v>44215</v>
      </c>
      <c r="B22" s="4"/>
      <c r="C22" s="4">
        <v>3870</v>
      </c>
      <c r="D22" s="4">
        <v>1170</v>
      </c>
      <c r="E22" s="4"/>
      <c r="F22" s="4">
        <v>5040</v>
      </c>
      <c r="G22" t="b">
        <f t="shared" si="3"/>
        <v>1</v>
      </c>
      <c r="H22">
        <f t="shared" si="4"/>
        <v>12000</v>
      </c>
      <c r="I22" s="13">
        <f t="shared" si="6"/>
        <v>24360</v>
      </c>
      <c r="J22" s="11">
        <f t="shared" si="0"/>
        <v>19320</v>
      </c>
      <c r="K22" s="11" t="str">
        <f t="shared" si="1"/>
        <v>GŁÓWNA</v>
      </c>
      <c r="L22">
        <f t="shared" si="5"/>
        <v>0</v>
      </c>
    </row>
    <row r="23" spans="1:12" x14ac:dyDescent="0.25">
      <c r="A23" s="6">
        <v>44216</v>
      </c>
      <c r="B23" s="4"/>
      <c r="C23" s="4">
        <v>7700</v>
      </c>
      <c r="D23" s="4">
        <v>2350</v>
      </c>
      <c r="E23" s="4"/>
      <c r="F23" s="4">
        <v>10050</v>
      </c>
      <c r="G23" t="b">
        <f t="shared" si="3"/>
        <v>1</v>
      </c>
      <c r="H23">
        <f t="shared" si="4"/>
        <v>12000</v>
      </c>
      <c r="I23" s="13">
        <f t="shared" si="6"/>
        <v>31320</v>
      </c>
      <c r="J23" s="11">
        <f t="shared" si="0"/>
        <v>21270</v>
      </c>
      <c r="K23" s="11" t="str">
        <f t="shared" si="1"/>
        <v>GŁÓWNA</v>
      </c>
      <c r="L23">
        <f t="shared" si="5"/>
        <v>0</v>
      </c>
    </row>
    <row r="24" spans="1:12" x14ac:dyDescent="0.25">
      <c r="A24" s="6">
        <v>44217</v>
      </c>
      <c r="B24" s="4">
        <v>3210</v>
      </c>
      <c r="C24" s="4">
        <v>1060</v>
      </c>
      <c r="D24" s="4"/>
      <c r="E24" s="4"/>
      <c r="F24" s="4">
        <v>4270</v>
      </c>
      <c r="G24" t="b">
        <f t="shared" si="3"/>
        <v>1</v>
      </c>
      <c r="H24">
        <f t="shared" si="4"/>
        <v>12000</v>
      </c>
      <c r="I24" s="13">
        <f t="shared" si="6"/>
        <v>33270</v>
      </c>
      <c r="J24" s="11">
        <f t="shared" si="0"/>
        <v>29000</v>
      </c>
      <c r="K24" s="11" t="str">
        <f t="shared" si="1"/>
        <v>GŁÓWNA</v>
      </c>
      <c r="L24">
        <f t="shared" si="5"/>
        <v>0</v>
      </c>
    </row>
    <row r="25" spans="1:12" x14ac:dyDescent="0.25">
      <c r="A25" s="6">
        <v>44218</v>
      </c>
      <c r="B25" s="4">
        <v>2300</v>
      </c>
      <c r="C25" s="4">
        <v>7840</v>
      </c>
      <c r="D25" s="4"/>
      <c r="E25" s="4"/>
      <c r="F25" s="4">
        <v>10140</v>
      </c>
      <c r="G25" t="b">
        <f t="shared" si="3"/>
        <v>1</v>
      </c>
      <c r="H25">
        <f t="shared" si="4"/>
        <v>12000</v>
      </c>
      <c r="I25" s="13">
        <f t="shared" si="6"/>
        <v>41000</v>
      </c>
      <c r="J25" s="11">
        <f t="shared" si="0"/>
        <v>30860</v>
      </c>
      <c r="K25" s="11" t="str">
        <f t="shared" si="1"/>
        <v>GŁÓWNA</v>
      </c>
      <c r="L25">
        <f t="shared" si="5"/>
        <v>0</v>
      </c>
    </row>
    <row r="26" spans="1:12" x14ac:dyDescent="0.25">
      <c r="A26" s="6">
        <v>44219</v>
      </c>
      <c r="B26" s="4"/>
      <c r="C26" s="4"/>
      <c r="D26" s="4">
        <v>2870</v>
      </c>
      <c r="E26" s="4"/>
      <c r="F26" s="4">
        <v>2870</v>
      </c>
      <c r="G26" t="b">
        <f t="shared" si="3"/>
        <v>0</v>
      </c>
      <c r="H26">
        <f t="shared" si="4"/>
        <v>5000</v>
      </c>
      <c r="I26" s="13">
        <f t="shared" si="6"/>
        <v>35860</v>
      </c>
      <c r="J26" s="11">
        <f t="shared" si="0"/>
        <v>32990</v>
      </c>
      <c r="K26" s="11" t="str">
        <f t="shared" si="1"/>
        <v>GŁÓWNA</v>
      </c>
      <c r="L26">
        <f t="shared" si="5"/>
        <v>0</v>
      </c>
    </row>
    <row r="27" spans="1:12" x14ac:dyDescent="0.25">
      <c r="A27" s="6">
        <v>44220</v>
      </c>
      <c r="B27" s="4"/>
      <c r="C27" s="4"/>
      <c r="D27" s="4">
        <v>8690</v>
      </c>
      <c r="E27" s="4"/>
      <c r="F27" s="4">
        <v>8690</v>
      </c>
      <c r="G27" t="b">
        <f t="shared" si="3"/>
        <v>0</v>
      </c>
      <c r="H27">
        <f t="shared" si="4"/>
        <v>5000</v>
      </c>
      <c r="I27" s="13">
        <f t="shared" si="6"/>
        <v>37990</v>
      </c>
      <c r="J27" s="11">
        <f t="shared" si="0"/>
        <v>29300</v>
      </c>
      <c r="K27" s="11" t="str">
        <f t="shared" si="1"/>
        <v>GŁÓWNA</v>
      </c>
      <c r="L27">
        <f t="shared" si="5"/>
        <v>0</v>
      </c>
    </row>
    <row r="28" spans="1:12" x14ac:dyDescent="0.25">
      <c r="A28" s="6">
        <v>44221</v>
      </c>
      <c r="B28" s="4">
        <v>6450</v>
      </c>
      <c r="C28" s="4"/>
      <c r="D28" s="4"/>
      <c r="E28" s="4"/>
      <c r="F28" s="4">
        <v>6450</v>
      </c>
      <c r="G28" t="b">
        <f t="shared" si="3"/>
        <v>1</v>
      </c>
      <c r="H28">
        <f t="shared" si="4"/>
        <v>12000</v>
      </c>
      <c r="I28" s="13">
        <f t="shared" si="6"/>
        <v>41300</v>
      </c>
      <c r="J28" s="11">
        <f t="shared" si="0"/>
        <v>34850</v>
      </c>
      <c r="K28" s="11" t="str">
        <f t="shared" si="1"/>
        <v>GŁÓWNA</v>
      </c>
      <c r="L28">
        <f t="shared" si="5"/>
        <v>0</v>
      </c>
    </row>
    <row r="29" spans="1:12" x14ac:dyDescent="0.25">
      <c r="A29" s="6">
        <v>44222</v>
      </c>
      <c r="B29" s="4">
        <v>1970</v>
      </c>
      <c r="C29" s="4">
        <v>3050</v>
      </c>
      <c r="D29" s="4"/>
      <c r="E29" s="4">
        <v>7170</v>
      </c>
      <c r="F29" s="4">
        <v>12190</v>
      </c>
      <c r="G29" t="b">
        <f t="shared" si="3"/>
        <v>1</v>
      </c>
      <c r="H29">
        <f t="shared" si="4"/>
        <v>12000</v>
      </c>
      <c r="I29" s="13">
        <f t="shared" si="6"/>
        <v>46850</v>
      </c>
      <c r="J29" s="11">
        <f t="shared" si="0"/>
        <v>34660</v>
      </c>
      <c r="K29" s="11" t="str">
        <f t="shared" si="1"/>
        <v>GŁÓWNA</v>
      </c>
      <c r="L29">
        <f t="shared" si="5"/>
        <v>0</v>
      </c>
    </row>
    <row r="30" spans="1:12" x14ac:dyDescent="0.25">
      <c r="A30" s="6">
        <v>44223</v>
      </c>
      <c r="B30" s="4">
        <v>3670</v>
      </c>
      <c r="C30" s="4"/>
      <c r="D30" s="4">
        <v>7870</v>
      </c>
      <c r="E30" s="4"/>
      <c r="F30" s="4">
        <v>11540</v>
      </c>
      <c r="G30" t="b">
        <f t="shared" si="3"/>
        <v>1</v>
      </c>
      <c r="H30">
        <f t="shared" si="4"/>
        <v>12000</v>
      </c>
      <c r="I30" s="13">
        <f t="shared" si="6"/>
        <v>46660</v>
      </c>
      <c r="J30" s="11">
        <f t="shared" si="0"/>
        <v>35120</v>
      </c>
      <c r="K30" s="11" t="str">
        <f t="shared" si="1"/>
        <v>GŁÓWNA</v>
      </c>
      <c r="L30">
        <f t="shared" si="5"/>
        <v>0</v>
      </c>
    </row>
    <row r="31" spans="1:12" x14ac:dyDescent="0.25">
      <c r="A31" s="6">
        <v>44224</v>
      </c>
      <c r="B31" s="4"/>
      <c r="C31" s="4">
        <v>2340</v>
      </c>
      <c r="D31" s="4">
        <v>1940</v>
      </c>
      <c r="E31" s="4">
        <v>7930</v>
      </c>
      <c r="F31" s="4">
        <v>12210</v>
      </c>
      <c r="G31" t="b">
        <f t="shared" si="3"/>
        <v>1</v>
      </c>
      <c r="H31">
        <f t="shared" si="4"/>
        <v>12000</v>
      </c>
      <c r="I31" s="13">
        <f t="shared" si="6"/>
        <v>47120</v>
      </c>
      <c r="J31" s="11">
        <f t="shared" si="0"/>
        <v>34910</v>
      </c>
      <c r="K31" s="11" t="str">
        <f t="shared" si="1"/>
        <v>GŁÓWNA</v>
      </c>
      <c r="L31">
        <f t="shared" si="5"/>
        <v>0</v>
      </c>
    </row>
    <row r="32" spans="1:12" x14ac:dyDescent="0.25">
      <c r="A32" s="6">
        <v>44225</v>
      </c>
      <c r="B32" s="4">
        <v>1360</v>
      </c>
      <c r="C32" s="4">
        <v>8710</v>
      </c>
      <c r="D32" s="4"/>
      <c r="E32" s="4"/>
      <c r="F32" s="4">
        <v>10070</v>
      </c>
      <c r="G32" t="b">
        <f t="shared" si="3"/>
        <v>1</v>
      </c>
      <c r="H32">
        <f t="shared" si="4"/>
        <v>12000</v>
      </c>
      <c r="I32" s="13">
        <f t="shared" si="6"/>
        <v>46910</v>
      </c>
      <c r="J32" s="11">
        <f t="shared" si="0"/>
        <v>36840</v>
      </c>
      <c r="K32" s="11" t="str">
        <f t="shared" si="1"/>
        <v>GŁÓWNA</v>
      </c>
      <c r="L32">
        <f t="shared" si="5"/>
        <v>0</v>
      </c>
    </row>
    <row r="33" spans="1:12" x14ac:dyDescent="0.25">
      <c r="A33" s="6">
        <v>44226</v>
      </c>
      <c r="B33" s="4"/>
      <c r="C33" s="4">
        <v>9020</v>
      </c>
      <c r="D33" s="4"/>
      <c r="E33" s="4">
        <v>6820</v>
      </c>
      <c r="F33" s="4">
        <v>15840</v>
      </c>
      <c r="G33" t="b">
        <f t="shared" si="3"/>
        <v>0</v>
      </c>
      <c r="H33">
        <f t="shared" si="4"/>
        <v>5000</v>
      </c>
      <c r="I33" s="13">
        <f t="shared" si="6"/>
        <v>41840</v>
      </c>
      <c r="J33" s="11">
        <f t="shared" si="0"/>
        <v>26000</v>
      </c>
      <c r="K33" s="11" t="str">
        <f t="shared" si="1"/>
        <v>GŁÓWNA</v>
      </c>
      <c r="L33">
        <f t="shared" si="5"/>
        <v>0</v>
      </c>
    </row>
    <row r="34" spans="1:12" x14ac:dyDescent="0.25">
      <c r="A34" s="6">
        <v>44227</v>
      </c>
      <c r="B34" s="4"/>
      <c r="C34" s="4">
        <v>790</v>
      </c>
      <c r="D34" s="4">
        <v>6900</v>
      </c>
      <c r="E34" s="4">
        <v>9230</v>
      </c>
      <c r="F34" s="4">
        <v>16920</v>
      </c>
      <c r="G34" t="b">
        <f t="shared" si="3"/>
        <v>0</v>
      </c>
      <c r="H34">
        <f t="shared" si="4"/>
        <v>5000</v>
      </c>
      <c r="I34" s="13">
        <f t="shared" si="6"/>
        <v>31000</v>
      </c>
      <c r="J34" s="11">
        <f t="shared" si="0"/>
        <v>14080</v>
      </c>
      <c r="K34" s="11" t="str">
        <f t="shared" si="1"/>
        <v>GŁÓWNA</v>
      </c>
      <c r="L34">
        <f t="shared" si="5"/>
        <v>0</v>
      </c>
    </row>
    <row r="35" spans="1:12" x14ac:dyDescent="0.25">
      <c r="A35" s="6">
        <v>44228</v>
      </c>
      <c r="B35" s="4">
        <v>2100</v>
      </c>
      <c r="C35" s="4">
        <v>7820</v>
      </c>
      <c r="D35" s="4">
        <v>6960</v>
      </c>
      <c r="E35" s="4"/>
      <c r="F35" s="4">
        <v>16880</v>
      </c>
      <c r="G35" t="b">
        <f t="shared" si="3"/>
        <v>1</v>
      </c>
      <c r="H35">
        <f t="shared" si="4"/>
        <v>12000</v>
      </c>
      <c r="I35" s="13">
        <f t="shared" si="6"/>
        <v>26080</v>
      </c>
      <c r="J35" s="11">
        <f t="shared" si="0"/>
        <v>9200</v>
      </c>
      <c r="K35" s="11" t="str">
        <f t="shared" si="1"/>
        <v>GŁÓWNA</v>
      </c>
      <c r="L35">
        <f t="shared" si="5"/>
        <v>0</v>
      </c>
    </row>
    <row r="36" spans="1:12" x14ac:dyDescent="0.25">
      <c r="A36" s="6">
        <v>44229</v>
      </c>
      <c r="B36" s="4"/>
      <c r="C36" s="4"/>
      <c r="D36" s="4"/>
      <c r="E36" s="4">
        <v>2630</v>
      </c>
      <c r="F36" s="4">
        <v>2630</v>
      </c>
      <c r="G36" t="b">
        <f t="shared" si="3"/>
        <v>1</v>
      </c>
      <c r="H36">
        <f t="shared" si="4"/>
        <v>12000</v>
      </c>
      <c r="I36" s="13">
        <f t="shared" si="6"/>
        <v>21200</v>
      </c>
      <c r="J36" s="11">
        <f t="shared" si="0"/>
        <v>18570</v>
      </c>
      <c r="K36" s="11" t="str">
        <f t="shared" si="1"/>
        <v>GŁÓWNA</v>
      </c>
      <c r="L36">
        <f t="shared" si="5"/>
        <v>0</v>
      </c>
    </row>
    <row r="37" spans="1:12" x14ac:dyDescent="0.25">
      <c r="A37" s="6">
        <v>44230</v>
      </c>
      <c r="B37" s="4">
        <v>9250</v>
      </c>
      <c r="C37" s="4"/>
      <c r="D37" s="4"/>
      <c r="E37" s="4">
        <v>6540</v>
      </c>
      <c r="F37" s="4">
        <v>15790</v>
      </c>
      <c r="G37" t="b">
        <f t="shared" si="3"/>
        <v>1</v>
      </c>
      <c r="H37">
        <f t="shared" si="4"/>
        <v>12000</v>
      </c>
      <c r="I37" s="13">
        <f t="shared" si="6"/>
        <v>30570</v>
      </c>
      <c r="J37" s="11">
        <f t="shared" si="0"/>
        <v>14780</v>
      </c>
      <c r="K37" s="11" t="str">
        <f t="shared" si="1"/>
        <v>GŁÓWNA</v>
      </c>
      <c r="L37">
        <f t="shared" si="5"/>
        <v>0</v>
      </c>
    </row>
    <row r="38" spans="1:12" x14ac:dyDescent="0.25">
      <c r="A38" s="6">
        <v>44231</v>
      </c>
      <c r="B38" s="4"/>
      <c r="C38" s="4">
        <v>8470</v>
      </c>
      <c r="D38" s="4">
        <v>7770</v>
      </c>
      <c r="E38" s="4">
        <v>6270</v>
      </c>
      <c r="F38" s="4">
        <v>22510</v>
      </c>
      <c r="G38" t="b">
        <f t="shared" si="3"/>
        <v>1</v>
      </c>
      <c r="H38">
        <f t="shared" si="4"/>
        <v>12000</v>
      </c>
      <c r="I38" s="13">
        <f t="shared" si="6"/>
        <v>26780</v>
      </c>
      <c r="J38" s="11">
        <f t="shared" si="0"/>
        <v>4270</v>
      </c>
      <c r="K38" s="11" t="str">
        <f t="shared" si="1"/>
        <v>GŁÓWNA</v>
      </c>
      <c r="L38">
        <f t="shared" si="5"/>
        <v>0</v>
      </c>
    </row>
    <row r="39" spans="1:12" x14ac:dyDescent="0.25">
      <c r="A39" s="6">
        <v>44232</v>
      </c>
      <c r="B39" s="4">
        <v>1480</v>
      </c>
      <c r="C39" s="4"/>
      <c r="D39" s="4"/>
      <c r="E39" s="4"/>
      <c r="F39" s="4">
        <v>1480</v>
      </c>
      <c r="G39" t="b">
        <f t="shared" si="3"/>
        <v>1</v>
      </c>
      <c r="H39">
        <f t="shared" si="4"/>
        <v>12000</v>
      </c>
      <c r="I39" s="13">
        <f t="shared" si="6"/>
        <v>16270</v>
      </c>
      <c r="J39" s="11">
        <f t="shared" si="0"/>
        <v>14790</v>
      </c>
      <c r="K39" s="11" t="str">
        <f t="shared" si="1"/>
        <v>GŁÓWNA</v>
      </c>
      <c r="L39">
        <f t="shared" si="5"/>
        <v>0</v>
      </c>
    </row>
    <row r="40" spans="1:12" x14ac:dyDescent="0.25">
      <c r="A40" s="6">
        <v>44233</v>
      </c>
      <c r="B40" s="4"/>
      <c r="C40" s="4"/>
      <c r="D40" s="4">
        <v>1820</v>
      </c>
      <c r="E40" s="4">
        <v>6460</v>
      </c>
      <c r="F40" s="4">
        <v>8280</v>
      </c>
      <c r="G40" t="b">
        <f t="shared" si="3"/>
        <v>0</v>
      </c>
      <c r="H40">
        <f t="shared" si="4"/>
        <v>5000</v>
      </c>
      <c r="I40" s="13">
        <f t="shared" si="6"/>
        <v>19790</v>
      </c>
      <c r="J40" s="11">
        <f t="shared" si="0"/>
        <v>11510</v>
      </c>
      <c r="K40" s="11" t="str">
        <f t="shared" si="1"/>
        <v>GŁÓWNA</v>
      </c>
      <c r="L40">
        <f t="shared" si="5"/>
        <v>0</v>
      </c>
    </row>
    <row r="41" spans="1:12" x14ac:dyDescent="0.25">
      <c r="A41" s="6">
        <v>44234</v>
      </c>
      <c r="B41" s="4"/>
      <c r="C41" s="4">
        <v>8900</v>
      </c>
      <c r="D41" s="4">
        <v>5920</v>
      </c>
      <c r="E41" s="4"/>
      <c r="F41" s="4">
        <v>14820</v>
      </c>
      <c r="G41" t="b">
        <f t="shared" si="3"/>
        <v>0</v>
      </c>
      <c r="H41">
        <f t="shared" si="4"/>
        <v>5000</v>
      </c>
      <c r="I41" s="13">
        <f t="shared" si="6"/>
        <v>16510</v>
      </c>
      <c r="J41" s="11">
        <f t="shared" si="0"/>
        <v>1690</v>
      </c>
      <c r="K41" s="11" t="str">
        <f t="shared" si="1"/>
        <v>GŁÓWNA</v>
      </c>
      <c r="L41">
        <f t="shared" si="5"/>
        <v>0</v>
      </c>
    </row>
    <row r="42" spans="1:12" x14ac:dyDescent="0.25">
      <c r="A42" s="6">
        <v>44235</v>
      </c>
      <c r="B42" s="4"/>
      <c r="C42" s="4">
        <v>7370</v>
      </c>
      <c r="D42" s="4">
        <v>1970</v>
      </c>
      <c r="E42" s="4"/>
      <c r="F42" s="4">
        <v>9340</v>
      </c>
      <c r="G42" t="b">
        <f t="shared" si="3"/>
        <v>1</v>
      </c>
      <c r="H42">
        <f t="shared" si="4"/>
        <v>12000</v>
      </c>
      <c r="I42" s="13">
        <f t="shared" si="6"/>
        <v>13690</v>
      </c>
      <c r="J42" s="11">
        <f t="shared" si="0"/>
        <v>4350</v>
      </c>
      <c r="K42" s="11" t="str">
        <f t="shared" si="1"/>
        <v>GŁÓWNA</v>
      </c>
      <c r="L42">
        <f t="shared" si="5"/>
        <v>0</v>
      </c>
    </row>
    <row r="43" spans="1:12" x14ac:dyDescent="0.25">
      <c r="A43" s="6">
        <v>44236</v>
      </c>
      <c r="B43" s="4"/>
      <c r="C43" s="4">
        <v>7030</v>
      </c>
      <c r="D43" s="4"/>
      <c r="E43" s="4"/>
      <c r="F43" s="4">
        <v>7030</v>
      </c>
      <c r="G43" t="b">
        <f t="shared" si="3"/>
        <v>1</v>
      </c>
      <c r="H43">
        <f t="shared" si="4"/>
        <v>12000</v>
      </c>
      <c r="I43" s="13">
        <f t="shared" si="6"/>
        <v>16350</v>
      </c>
      <c r="J43" s="11">
        <f t="shared" si="0"/>
        <v>9320</v>
      </c>
      <c r="K43" s="11" t="str">
        <f t="shared" si="1"/>
        <v>GŁÓWNA</v>
      </c>
      <c r="L43">
        <f t="shared" si="5"/>
        <v>0</v>
      </c>
    </row>
    <row r="44" spans="1:12" x14ac:dyDescent="0.25">
      <c r="A44" s="6">
        <v>44237</v>
      </c>
      <c r="B44" s="4"/>
      <c r="C44" s="4">
        <v>1000</v>
      </c>
      <c r="D44" s="4">
        <v>2620</v>
      </c>
      <c r="E44" s="4"/>
      <c r="F44" s="4">
        <v>3620</v>
      </c>
      <c r="G44" t="b">
        <f t="shared" si="3"/>
        <v>1</v>
      </c>
      <c r="H44">
        <f t="shared" si="4"/>
        <v>12000</v>
      </c>
      <c r="I44" s="13">
        <f t="shared" si="6"/>
        <v>21320</v>
      </c>
      <c r="J44" s="11">
        <f t="shared" si="0"/>
        <v>17700</v>
      </c>
      <c r="K44" s="11" t="str">
        <f t="shared" si="1"/>
        <v>GŁÓWNA</v>
      </c>
      <c r="L44">
        <f t="shared" si="5"/>
        <v>0</v>
      </c>
    </row>
    <row r="45" spans="1:12" x14ac:dyDescent="0.25">
      <c r="A45" s="6">
        <v>44238</v>
      </c>
      <c r="B45" s="4">
        <v>5820</v>
      </c>
      <c r="C45" s="4">
        <v>9440</v>
      </c>
      <c r="D45" s="4"/>
      <c r="E45" s="4">
        <v>8020</v>
      </c>
      <c r="F45" s="4">
        <v>23280</v>
      </c>
      <c r="G45" t="b">
        <f t="shared" si="3"/>
        <v>1</v>
      </c>
      <c r="H45">
        <f t="shared" si="4"/>
        <v>12000</v>
      </c>
      <c r="I45" s="13">
        <f t="shared" si="6"/>
        <v>29700</v>
      </c>
      <c r="J45" s="11">
        <f t="shared" si="0"/>
        <v>6420</v>
      </c>
      <c r="K45" s="11" t="str">
        <f t="shared" si="1"/>
        <v>GŁÓWNA</v>
      </c>
      <c r="L45">
        <f t="shared" si="5"/>
        <v>0</v>
      </c>
    </row>
    <row r="46" spans="1:12" x14ac:dyDescent="0.25">
      <c r="A46" s="6">
        <v>44239</v>
      </c>
      <c r="B46" s="4"/>
      <c r="C46" s="4">
        <v>4850</v>
      </c>
      <c r="D46" s="4"/>
      <c r="E46" s="4">
        <v>4910</v>
      </c>
      <c r="F46" s="4">
        <v>9760</v>
      </c>
      <c r="G46" t="b">
        <f t="shared" si="3"/>
        <v>1</v>
      </c>
      <c r="H46">
        <f t="shared" si="4"/>
        <v>12000</v>
      </c>
      <c r="I46" s="13">
        <f t="shared" si="6"/>
        <v>18420</v>
      </c>
      <c r="J46" s="11">
        <f t="shared" si="0"/>
        <v>8660</v>
      </c>
      <c r="K46" s="11" t="str">
        <f t="shared" si="1"/>
        <v>GŁÓWNA</v>
      </c>
      <c r="L46">
        <f t="shared" si="5"/>
        <v>0</v>
      </c>
    </row>
    <row r="47" spans="1:12" x14ac:dyDescent="0.25">
      <c r="A47" s="6">
        <v>44240</v>
      </c>
      <c r="B47" s="4"/>
      <c r="C47" s="4"/>
      <c r="D47" s="4">
        <v>1870</v>
      </c>
      <c r="E47" s="4">
        <v>5690</v>
      </c>
      <c r="F47" s="4">
        <v>7560</v>
      </c>
      <c r="G47" t="b">
        <f t="shared" si="3"/>
        <v>0</v>
      </c>
      <c r="H47">
        <f t="shared" si="4"/>
        <v>5000</v>
      </c>
      <c r="I47" s="13">
        <f t="shared" si="6"/>
        <v>13660</v>
      </c>
      <c r="J47" s="11">
        <f t="shared" si="0"/>
        <v>6100</v>
      </c>
      <c r="K47" s="11" t="str">
        <f t="shared" si="1"/>
        <v>GŁÓWNA</v>
      </c>
      <c r="L47">
        <f t="shared" si="5"/>
        <v>0</v>
      </c>
    </row>
    <row r="48" spans="1:12" x14ac:dyDescent="0.25">
      <c r="A48" s="6">
        <v>44241</v>
      </c>
      <c r="B48" s="4">
        <v>4150</v>
      </c>
      <c r="C48" s="4"/>
      <c r="D48" s="4"/>
      <c r="E48" s="4">
        <v>1800</v>
      </c>
      <c r="F48" s="4">
        <v>5950</v>
      </c>
      <c r="G48" t="b">
        <f t="shared" si="3"/>
        <v>0</v>
      </c>
      <c r="H48">
        <f t="shared" si="4"/>
        <v>5000</v>
      </c>
      <c r="I48" s="13">
        <f t="shared" si="6"/>
        <v>11100</v>
      </c>
      <c r="J48" s="11">
        <f t="shared" si="0"/>
        <v>5150</v>
      </c>
      <c r="K48" s="11" t="str">
        <f t="shared" si="1"/>
        <v>GŁÓWNA</v>
      </c>
      <c r="L48">
        <f t="shared" si="5"/>
        <v>0</v>
      </c>
    </row>
    <row r="49" spans="1:12" x14ac:dyDescent="0.25">
      <c r="A49" s="6">
        <v>44242</v>
      </c>
      <c r="B49" s="4"/>
      <c r="C49" s="4"/>
      <c r="D49" s="4">
        <v>3780</v>
      </c>
      <c r="E49" s="4"/>
      <c r="F49" s="4">
        <v>3780</v>
      </c>
      <c r="G49" t="b">
        <f t="shared" si="3"/>
        <v>1</v>
      </c>
      <c r="H49">
        <f t="shared" si="4"/>
        <v>12000</v>
      </c>
      <c r="I49" s="13">
        <f t="shared" si="6"/>
        <v>17150</v>
      </c>
      <c r="J49" s="11">
        <f t="shared" si="0"/>
        <v>13370</v>
      </c>
      <c r="K49" s="11" t="str">
        <f t="shared" si="1"/>
        <v>GŁÓWNA</v>
      </c>
      <c r="L49">
        <f t="shared" si="5"/>
        <v>0</v>
      </c>
    </row>
    <row r="50" spans="1:12" x14ac:dyDescent="0.25">
      <c r="A50" s="6">
        <v>44243</v>
      </c>
      <c r="B50" s="4">
        <v>1590</v>
      </c>
      <c r="C50" s="4">
        <v>3330</v>
      </c>
      <c r="D50" s="4">
        <v>1570</v>
      </c>
      <c r="E50" s="4"/>
      <c r="F50" s="4">
        <v>6490</v>
      </c>
      <c r="G50" t="b">
        <f t="shared" si="3"/>
        <v>1</v>
      </c>
      <c r="H50">
        <f t="shared" si="4"/>
        <v>12000</v>
      </c>
      <c r="I50" s="13">
        <f t="shared" si="6"/>
        <v>25370</v>
      </c>
      <c r="J50" s="11">
        <f t="shared" si="0"/>
        <v>18880</v>
      </c>
      <c r="K50" s="11" t="str">
        <f t="shared" si="1"/>
        <v>GŁÓWNA</v>
      </c>
      <c r="L50">
        <f t="shared" si="5"/>
        <v>0</v>
      </c>
    </row>
    <row r="51" spans="1:12" x14ac:dyDescent="0.25">
      <c r="A51" s="6">
        <v>44244</v>
      </c>
      <c r="B51" s="4"/>
      <c r="C51" s="4">
        <v>5600</v>
      </c>
      <c r="D51" s="4">
        <v>9690</v>
      </c>
      <c r="E51" s="4">
        <v>7240</v>
      </c>
      <c r="F51" s="4">
        <v>22530</v>
      </c>
      <c r="G51" t="b">
        <f t="shared" si="3"/>
        <v>1</v>
      </c>
      <c r="H51">
        <f t="shared" si="4"/>
        <v>12000</v>
      </c>
      <c r="I51" s="13">
        <f t="shared" si="6"/>
        <v>30880</v>
      </c>
      <c r="J51" s="11">
        <f t="shared" si="0"/>
        <v>8350</v>
      </c>
      <c r="K51" s="11" t="str">
        <f t="shared" si="1"/>
        <v>GŁÓWNA</v>
      </c>
      <c r="L51">
        <f t="shared" si="5"/>
        <v>0</v>
      </c>
    </row>
    <row r="52" spans="1:12" x14ac:dyDescent="0.25">
      <c r="A52" s="6">
        <v>44245</v>
      </c>
      <c r="B52" s="4"/>
      <c r="C52" s="4"/>
      <c r="D52" s="4"/>
      <c r="E52" s="4">
        <v>1740</v>
      </c>
      <c r="F52" s="4">
        <v>1740</v>
      </c>
      <c r="G52" t="b">
        <f t="shared" si="3"/>
        <v>1</v>
      </c>
      <c r="H52">
        <f t="shared" si="4"/>
        <v>12000</v>
      </c>
      <c r="I52" s="13">
        <f t="shared" si="6"/>
        <v>20350</v>
      </c>
      <c r="J52" s="11">
        <f t="shared" si="0"/>
        <v>18610</v>
      </c>
      <c r="K52" s="11" t="str">
        <f t="shared" si="1"/>
        <v>GŁÓWNA</v>
      </c>
      <c r="L52">
        <f t="shared" si="5"/>
        <v>0</v>
      </c>
    </row>
    <row r="53" spans="1:12" x14ac:dyDescent="0.25">
      <c r="A53" s="6">
        <v>44246</v>
      </c>
      <c r="B53" s="4"/>
      <c r="C53" s="4"/>
      <c r="D53" s="4"/>
      <c r="E53" s="4">
        <v>5430</v>
      </c>
      <c r="F53" s="4">
        <v>5430</v>
      </c>
      <c r="G53" t="b">
        <f t="shared" si="3"/>
        <v>1</v>
      </c>
      <c r="H53">
        <f t="shared" si="4"/>
        <v>12000</v>
      </c>
      <c r="I53" s="13">
        <f t="shared" si="6"/>
        <v>30610</v>
      </c>
      <c r="J53" s="11">
        <f t="shared" si="0"/>
        <v>25180</v>
      </c>
      <c r="K53" s="11" t="str">
        <f t="shared" si="1"/>
        <v>GŁÓWNA</v>
      </c>
      <c r="L53">
        <f t="shared" si="5"/>
        <v>0</v>
      </c>
    </row>
    <row r="54" spans="1:12" x14ac:dyDescent="0.25">
      <c r="A54" s="6">
        <v>44247</v>
      </c>
      <c r="B54" s="4"/>
      <c r="C54" s="4">
        <v>8190</v>
      </c>
      <c r="D54" s="4"/>
      <c r="E54" s="4">
        <v>1470</v>
      </c>
      <c r="F54" s="4">
        <v>9660</v>
      </c>
      <c r="G54" t="b">
        <f t="shared" si="3"/>
        <v>0</v>
      </c>
      <c r="H54">
        <f t="shared" si="4"/>
        <v>5000</v>
      </c>
      <c r="I54" s="13">
        <f t="shared" si="6"/>
        <v>30180</v>
      </c>
      <c r="J54" s="11">
        <f t="shared" si="0"/>
        <v>20520</v>
      </c>
      <c r="K54" s="11" t="str">
        <f t="shared" si="1"/>
        <v>GŁÓWNA</v>
      </c>
      <c r="L54">
        <f t="shared" si="5"/>
        <v>0</v>
      </c>
    </row>
    <row r="55" spans="1:12" x14ac:dyDescent="0.25">
      <c r="A55" s="6">
        <v>44248</v>
      </c>
      <c r="B55" s="4">
        <v>1620</v>
      </c>
      <c r="C55" s="4"/>
      <c r="D55" s="4">
        <v>6700</v>
      </c>
      <c r="E55" s="4"/>
      <c r="F55" s="4">
        <v>8320</v>
      </c>
      <c r="G55" t="b">
        <f t="shared" si="3"/>
        <v>0</v>
      </c>
      <c r="H55">
        <f t="shared" si="4"/>
        <v>5000</v>
      </c>
      <c r="I55" s="13">
        <f t="shared" si="6"/>
        <v>25520</v>
      </c>
      <c r="J55" s="11">
        <f t="shared" si="0"/>
        <v>17200</v>
      </c>
      <c r="K55" s="11" t="str">
        <f t="shared" si="1"/>
        <v>GŁÓWNA</v>
      </c>
      <c r="L55">
        <f t="shared" si="5"/>
        <v>0</v>
      </c>
    </row>
    <row r="56" spans="1:12" x14ac:dyDescent="0.25">
      <c r="A56" s="6">
        <v>44249</v>
      </c>
      <c r="B56" s="4">
        <v>6500</v>
      </c>
      <c r="C56" s="4">
        <v>4070</v>
      </c>
      <c r="D56" s="4">
        <v>5570</v>
      </c>
      <c r="E56" s="4"/>
      <c r="F56" s="4">
        <v>16140</v>
      </c>
      <c r="G56" t="b">
        <f t="shared" si="3"/>
        <v>1</v>
      </c>
      <c r="H56">
        <f t="shared" si="4"/>
        <v>12000</v>
      </c>
      <c r="I56" s="13">
        <f t="shared" si="6"/>
        <v>29200</v>
      </c>
      <c r="J56" s="11">
        <f t="shared" si="0"/>
        <v>13060</v>
      </c>
      <c r="K56" s="11" t="str">
        <f t="shared" si="1"/>
        <v>GŁÓWNA</v>
      </c>
      <c r="L56">
        <f t="shared" si="5"/>
        <v>0</v>
      </c>
    </row>
    <row r="57" spans="1:12" x14ac:dyDescent="0.25">
      <c r="A57" s="6">
        <v>44250</v>
      </c>
      <c r="B57" s="4">
        <v>6050</v>
      </c>
      <c r="C57" s="4"/>
      <c r="D57" s="4"/>
      <c r="E57" s="4">
        <v>6880</v>
      </c>
      <c r="F57" s="4">
        <v>12930</v>
      </c>
      <c r="G57" t="b">
        <f t="shared" si="3"/>
        <v>1</v>
      </c>
      <c r="H57">
        <f t="shared" si="4"/>
        <v>12000</v>
      </c>
      <c r="I57" s="13">
        <f t="shared" si="6"/>
        <v>25060</v>
      </c>
      <c r="J57" s="11">
        <f t="shared" si="0"/>
        <v>12130</v>
      </c>
      <c r="K57" s="11" t="str">
        <f t="shared" si="1"/>
        <v>GŁÓWNA</v>
      </c>
      <c r="L57">
        <f t="shared" si="5"/>
        <v>0</v>
      </c>
    </row>
    <row r="58" spans="1:12" x14ac:dyDescent="0.25">
      <c r="A58" s="6">
        <v>44251</v>
      </c>
      <c r="B58" s="4"/>
      <c r="C58" s="4"/>
      <c r="D58" s="4"/>
      <c r="E58" s="4">
        <v>3790</v>
      </c>
      <c r="F58" s="4">
        <v>3790</v>
      </c>
      <c r="G58" t="b">
        <f t="shared" si="3"/>
        <v>1</v>
      </c>
      <c r="H58">
        <f t="shared" si="4"/>
        <v>12000</v>
      </c>
      <c r="I58" s="13">
        <f t="shared" si="6"/>
        <v>24130</v>
      </c>
      <c r="J58" s="11">
        <f t="shared" si="0"/>
        <v>20340</v>
      </c>
      <c r="K58" s="11" t="str">
        <f t="shared" si="1"/>
        <v>GŁÓWNA</v>
      </c>
      <c r="L58">
        <f t="shared" si="5"/>
        <v>0</v>
      </c>
    </row>
    <row r="59" spans="1:12" x14ac:dyDescent="0.25">
      <c r="A59" s="6">
        <v>44252</v>
      </c>
      <c r="B59" s="4">
        <v>3910</v>
      </c>
      <c r="C59" s="4"/>
      <c r="D59" s="4">
        <v>5060</v>
      </c>
      <c r="E59" s="4">
        <v>4560</v>
      </c>
      <c r="F59" s="4">
        <v>13530</v>
      </c>
      <c r="G59" t="b">
        <f t="shared" si="3"/>
        <v>1</v>
      </c>
      <c r="H59">
        <f t="shared" si="4"/>
        <v>12000</v>
      </c>
      <c r="I59" s="13">
        <f t="shared" si="6"/>
        <v>32340</v>
      </c>
      <c r="J59" s="11">
        <f t="shared" si="0"/>
        <v>18810</v>
      </c>
      <c r="K59" s="11" t="str">
        <f t="shared" si="1"/>
        <v>GŁÓWNA</v>
      </c>
      <c r="L59">
        <f t="shared" si="5"/>
        <v>0</v>
      </c>
    </row>
    <row r="60" spans="1:12" x14ac:dyDescent="0.25">
      <c r="A60" s="6">
        <v>44253</v>
      </c>
      <c r="B60" s="4"/>
      <c r="C60" s="4">
        <v>9440</v>
      </c>
      <c r="D60" s="4">
        <v>5100</v>
      </c>
      <c r="E60" s="4"/>
      <c r="F60" s="4">
        <v>14540</v>
      </c>
      <c r="G60" t="b">
        <f t="shared" si="3"/>
        <v>1</v>
      </c>
      <c r="H60">
        <f t="shared" si="4"/>
        <v>12000</v>
      </c>
      <c r="I60" s="13">
        <f t="shared" si="6"/>
        <v>30810</v>
      </c>
      <c r="J60" s="11">
        <f t="shared" si="0"/>
        <v>16270</v>
      </c>
      <c r="K60" s="11" t="str">
        <f t="shared" si="1"/>
        <v>GŁÓWNA</v>
      </c>
      <c r="L60">
        <f t="shared" si="5"/>
        <v>0</v>
      </c>
    </row>
    <row r="61" spans="1:12" x14ac:dyDescent="0.25">
      <c r="A61" s="6">
        <v>44254</v>
      </c>
      <c r="B61" s="4">
        <v>6220</v>
      </c>
      <c r="C61" s="4"/>
      <c r="D61" s="4"/>
      <c r="E61" s="4">
        <v>4360</v>
      </c>
      <c r="F61" s="4">
        <v>10580</v>
      </c>
      <c r="G61" t="b">
        <f t="shared" si="3"/>
        <v>0</v>
      </c>
      <c r="H61">
        <f t="shared" si="4"/>
        <v>5000</v>
      </c>
      <c r="I61" s="13">
        <f t="shared" si="6"/>
        <v>21270</v>
      </c>
      <c r="J61" s="11">
        <f t="shared" si="0"/>
        <v>10690</v>
      </c>
      <c r="K61" s="11" t="str">
        <f t="shared" si="1"/>
        <v>GŁÓWNA</v>
      </c>
      <c r="L61">
        <f t="shared" si="5"/>
        <v>0</v>
      </c>
    </row>
    <row r="62" spans="1:12" x14ac:dyDescent="0.25">
      <c r="A62" s="6">
        <v>44255</v>
      </c>
      <c r="B62" s="4">
        <v>1260</v>
      </c>
      <c r="C62" s="4"/>
      <c r="D62" s="4">
        <v>4290</v>
      </c>
      <c r="E62" s="4"/>
      <c r="F62" s="4">
        <v>5550</v>
      </c>
      <c r="G62" t="b">
        <f t="shared" si="3"/>
        <v>0</v>
      </c>
      <c r="H62">
        <f t="shared" si="4"/>
        <v>5000</v>
      </c>
      <c r="I62" s="13">
        <f t="shared" si="6"/>
        <v>15690</v>
      </c>
      <c r="J62" s="11">
        <f t="shared" si="0"/>
        <v>10140</v>
      </c>
      <c r="K62" s="11" t="str">
        <f t="shared" si="1"/>
        <v>GŁÓWNA</v>
      </c>
      <c r="L62">
        <f t="shared" si="5"/>
        <v>0</v>
      </c>
    </row>
    <row r="63" spans="1:12" x14ac:dyDescent="0.25">
      <c r="A63" s="6">
        <v>44256</v>
      </c>
      <c r="B63" s="4"/>
      <c r="C63" s="4"/>
      <c r="D63" s="4">
        <v>8650</v>
      </c>
      <c r="E63" s="4">
        <v>9520</v>
      </c>
      <c r="F63" s="4">
        <v>18170</v>
      </c>
      <c r="G63" t="b">
        <f t="shared" si="3"/>
        <v>1</v>
      </c>
      <c r="H63">
        <f t="shared" si="4"/>
        <v>12000</v>
      </c>
      <c r="I63" s="13">
        <f t="shared" si="6"/>
        <v>22140</v>
      </c>
      <c r="J63" s="11">
        <f t="shared" si="0"/>
        <v>3970</v>
      </c>
      <c r="K63" s="11" t="str">
        <f t="shared" si="1"/>
        <v>GŁÓWNA</v>
      </c>
      <c r="L63">
        <f t="shared" si="5"/>
        <v>0</v>
      </c>
    </row>
    <row r="64" spans="1:12" x14ac:dyDescent="0.25">
      <c r="A64" s="6">
        <v>44257</v>
      </c>
      <c r="B64" s="4">
        <v>9080</v>
      </c>
      <c r="C64" s="4"/>
      <c r="D64" s="4"/>
      <c r="E64" s="4">
        <v>1510</v>
      </c>
      <c r="F64" s="4">
        <v>10590</v>
      </c>
      <c r="G64" t="b">
        <f t="shared" si="3"/>
        <v>1</v>
      </c>
      <c r="H64">
        <f t="shared" si="4"/>
        <v>12000</v>
      </c>
      <c r="I64" s="13">
        <f t="shared" si="6"/>
        <v>15970</v>
      </c>
      <c r="J64" s="11">
        <f t="shared" si="0"/>
        <v>5380</v>
      </c>
      <c r="K64" s="11" t="str">
        <f t="shared" si="1"/>
        <v>GŁÓWNA</v>
      </c>
      <c r="L64">
        <f t="shared" si="5"/>
        <v>0</v>
      </c>
    </row>
    <row r="65" spans="1:12" x14ac:dyDescent="0.25">
      <c r="A65" s="6">
        <v>44258</v>
      </c>
      <c r="B65" s="4"/>
      <c r="C65" s="4"/>
      <c r="D65" s="4">
        <v>6850</v>
      </c>
      <c r="E65" s="4"/>
      <c r="F65" s="4">
        <v>6850</v>
      </c>
      <c r="G65" t="b">
        <f t="shared" si="3"/>
        <v>1</v>
      </c>
      <c r="H65">
        <f t="shared" si="4"/>
        <v>12000</v>
      </c>
      <c r="I65" s="13">
        <f t="shared" si="6"/>
        <v>17380</v>
      </c>
      <c r="J65" s="11">
        <f t="shared" si="0"/>
        <v>10530</v>
      </c>
      <c r="K65" s="11" t="str">
        <f t="shared" si="1"/>
        <v>GŁÓWNA</v>
      </c>
      <c r="L65">
        <f t="shared" si="5"/>
        <v>0</v>
      </c>
    </row>
    <row r="66" spans="1:12" x14ac:dyDescent="0.25">
      <c r="A66" s="6">
        <v>44259</v>
      </c>
      <c r="B66" s="4"/>
      <c r="C66" s="4"/>
      <c r="D66" s="4">
        <v>6210</v>
      </c>
      <c r="E66" s="4"/>
      <c r="F66" s="4">
        <v>6210</v>
      </c>
      <c r="G66" t="b">
        <f t="shared" si="3"/>
        <v>1</v>
      </c>
      <c r="H66">
        <f t="shared" si="4"/>
        <v>12000</v>
      </c>
      <c r="I66" s="13">
        <f t="shared" si="6"/>
        <v>22530</v>
      </c>
      <c r="J66" s="11">
        <f t="shared" si="0"/>
        <v>16320</v>
      </c>
      <c r="K66" s="11" t="str">
        <f t="shared" si="1"/>
        <v>GŁÓWNA</v>
      </c>
      <c r="L66">
        <f t="shared" si="5"/>
        <v>0</v>
      </c>
    </row>
    <row r="67" spans="1:12" x14ac:dyDescent="0.25">
      <c r="A67" s="6">
        <v>44260</v>
      </c>
      <c r="B67" s="4"/>
      <c r="C67" s="4"/>
      <c r="D67" s="4">
        <v>3340</v>
      </c>
      <c r="E67" s="4">
        <v>3450</v>
      </c>
      <c r="F67" s="4">
        <v>6790</v>
      </c>
      <c r="G67" t="b">
        <f t="shared" si="3"/>
        <v>1</v>
      </c>
      <c r="H67">
        <f t="shared" si="4"/>
        <v>12000</v>
      </c>
      <c r="I67" s="13">
        <f t="shared" si="6"/>
        <v>28320</v>
      </c>
      <c r="J67" s="11">
        <f t="shared" si="0"/>
        <v>21530</v>
      </c>
      <c r="K67" s="11" t="str">
        <f t="shared" si="1"/>
        <v>GŁÓWNA</v>
      </c>
      <c r="L67">
        <f t="shared" si="5"/>
        <v>0</v>
      </c>
    </row>
    <row r="68" spans="1:12" x14ac:dyDescent="0.25">
      <c r="A68" s="6">
        <v>44261</v>
      </c>
      <c r="B68" s="4">
        <v>3580</v>
      </c>
      <c r="C68" s="4">
        <v>3270</v>
      </c>
      <c r="D68" s="4"/>
      <c r="E68" s="4">
        <v>9560</v>
      </c>
      <c r="F68" s="4">
        <v>16410</v>
      </c>
      <c r="G68" t="b">
        <f t="shared" si="3"/>
        <v>0</v>
      </c>
      <c r="H68">
        <f t="shared" si="4"/>
        <v>5000</v>
      </c>
      <c r="I68" s="13">
        <f t="shared" si="6"/>
        <v>26530</v>
      </c>
      <c r="J68" s="11">
        <f t="shared" si="0"/>
        <v>10120</v>
      </c>
      <c r="K68" s="11" t="str">
        <f t="shared" si="1"/>
        <v>GŁÓWNA</v>
      </c>
      <c r="L68">
        <f t="shared" si="5"/>
        <v>0</v>
      </c>
    </row>
    <row r="69" spans="1:12" x14ac:dyDescent="0.25">
      <c r="A69" s="6">
        <v>44262</v>
      </c>
      <c r="B69" s="4"/>
      <c r="C69" s="4"/>
      <c r="D69" s="4">
        <v>5310</v>
      </c>
      <c r="E69" s="4"/>
      <c r="F69" s="4">
        <v>5310</v>
      </c>
      <c r="G69" t="b">
        <f t="shared" si="3"/>
        <v>0</v>
      </c>
      <c r="H69">
        <f t="shared" si="4"/>
        <v>5000</v>
      </c>
      <c r="I69" s="13">
        <f t="shared" si="6"/>
        <v>15120</v>
      </c>
      <c r="J69" s="11">
        <f t="shared" ref="J69:J132" si="7">IF($I69-$B69&lt;0,$I69,IF($I69-$B69-$C69&lt;0,$I69-$B69,IF($I69-$B69-$C69-$D69&lt;0,$I69-$B69-$C69,IF($I69-$B69-$C69-$D69-$E69&lt;0,$I69-$B69-$C69-$D69,$I69-$F69))))</f>
        <v>9810</v>
      </c>
      <c r="K69" s="11" t="str">
        <f t="shared" ref="K69:K132" si="8">IF($I69-$B69&lt;0,"F1",IF($I69-$B69-$C69&lt;0,"F2",IF($I69-$B69-$C69-$D69&lt;0,"F3",IF($I69-$B69-$C69-$D69-$E69&lt;0,"F4","GŁÓWNA"))))</f>
        <v>GŁÓWNA</v>
      </c>
      <c r="L69">
        <f t="shared" si="5"/>
        <v>0</v>
      </c>
    </row>
    <row r="70" spans="1:12" x14ac:dyDescent="0.25">
      <c r="A70" s="6">
        <v>44263</v>
      </c>
      <c r="B70" s="4"/>
      <c r="C70" s="4"/>
      <c r="D70" s="4">
        <v>9130</v>
      </c>
      <c r="E70" s="4">
        <v>8710</v>
      </c>
      <c r="F70" s="4">
        <v>17840</v>
      </c>
      <c r="G70" t="b">
        <f t="shared" ref="G70:G133" si="9">IF(WEEKDAY(A70,2)&gt;=6,FALSE,TRUE)</f>
        <v>1</v>
      </c>
      <c r="H70">
        <f t="shared" ref="H70:H133" si="10">IF(G70,$N$5,$N$6)</f>
        <v>12000</v>
      </c>
      <c r="I70" s="13">
        <f t="shared" si="6"/>
        <v>21810</v>
      </c>
      <c r="J70" s="11">
        <f t="shared" si="7"/>
        <v>3970</v>
      </c>
      <c r="K70" s="11" t="str">
        <f t="shared" si="8"/>
        <v>GŁÓWNA</v>
      </c>
      <c r="L70">
        <f t="shared" ref="L70:L133" si="11">IF(K70&lt;&gt;"GŁÓWNA",IF(K70="F1",SUM(B70:E70),IF(K70="F2",SUM(C70:E70),IF(K70="F3",SUM(D70:E70),IF(K70="F4",E70,)))),0)</f>
        <v>0</v>
      </c>
    </row>
    <row r="71" spans="1:12" x14ac:dyDescent="0.25">
      <c r="A71" s="6">
        <v>44264</v>
      </c>
      <c r="B71" s="4"/>
      <c r="C71" s="4"/>
      <c r="D71" s="4">
        <v>1920</v>
      </c>
      <c r="E71" s="4">
        <v>4330</v>
      </c>
      <c r="F71" s="4">
        <v>6250</v>
      </c>
      <c r="G71" t="b">
        <f t="shared" si="9"/>
        <v>1</v>
      </c>
      <c r="H71">
        <f t="shared" si="10"/>
        <v>12000</v>
      </c>
      <c r="I71" s="13">
        <f t="shared" ref="I71:I134" si="12">J70+H71</f>
        <v>15970</v>
      </c>
      <c r="J71" s="11">
        <f t="shared" si="7"/>
        <v>9720</v>
      </c>
      <c r="K71" s="11" t="str">
        <f t="shared" si="8"/>
        <v>GŁÓWNA</v>
      </c>
      <c r="L71">
        <f t="shared" si="11"/>
        <v>0</v>
      </c>
    </row>
    <row r="72" spans="1:12" x14ac:dyDescent="0.25">
      <c r="A72" s="6">
        <v>44265</v>
      </c>
      <c r="B72" s="4">
        <v>6010</v>
      </c>
      <c r="C72" s="4">
        <v>6950</v>
      </c>
      <c r="D72" s="4"/>
      <c r="E72" s="4">
        <v>8680</v>
      </c>
      <c r="F72" s="4">
        <v>21640</v>
      </c>
      <c r="G72" t="b">
        <f t="shared" si="9"/>
        <v>1</v>
      </c>
      <c r="H72">
        <f t="shared" si="10"/>
        <v>12000</v>
      </c>
      <c r="I72" s="13">
        <f t="shared" si="12"/>
        <v>21720</v>
      </c>
      <c r="J72" s="11">
        <f t="shared" si="7"/>
        <v>80</v>
      </c>
      <c r="K72" s="11" t="str">
        <f t="shared" si="8"/>
        <v>GŁÓWNA</v>
      </c>
      <c r="L72">
        <f t="shared" si="11"/>
        <v>0</v>
      </c>
    </row>
    <row r="73" spans="1:12" x14ac:dyDescent="0.25">
      <c r="A73" s="6">
        <v>44266</v>
      </c>
      <c r="B73" s="4"/>
      <c r="C73" s="4"/>
      <c r="D73" s="4"/>
      <c r="E73" s="4">
        <v>3280</v>
      </c>
      <c r="F73" s="4">
        <v>3280</v>
      </c>
      <c r="G73" t="b">
        <f t="shared" si="9"/>
        <v>1</v>
      </c>
      <c r="H73">
        <f t="shared" si="10"/>
        <v>12000</v>
      </c>
      <c r="I73" s="13">
        <f t="shared" si="12"/>
        <v>12080</v>
      </c>
      <c r="J73" s="11">
        <f t="shared" si="7"/>
        <v>8800</v>
      </c>
      <c r="K73" s="11" t="str">
        <f t="shared" si="8"/>
        <v>GŁÓWNA</v>
      </c>
      <c r="L73">
        <f t="shared" si="11"/>
        <v>0</v>
      </c>
    </row>
    <row r="74" spans="1:12" x14ac:dyDescent="0.25">
      <c r="A74" s="6">
        <v>44267</v>
      </c>
      <c r="B74" s="4">
        <v>9590</v>
      </c>
      <c r="C74" s="4"/>
      <c r="D74" s="4">
        <v>820</v>
      </c>
      <c r="E74" s="4"/>
      <c r="F74" s="4">
        <v>10410</v>
      </c>
      <c r="G74" t="b">
        <f t="shared" si="9"/>
        <v>1</v>
      </c>
      <c r="H74">
        <f t="shared" si="10"/>
        <v>12000</v>
      </c>
      <c r="I74" s="13">
        <f t="shared" si="12"/>
        <v>20800</v>
      </c>
      <c r="J74" s="11">
        <f t="shared" si="7"/>
        <v>10390</v>
      </c>
      <c r="K74" s="11" t="str">
        <f t="shared" si="8"/>
        <v>GŁÓWNA</v>
      </c>
      <c r="L74">
        <f t="shared" si="11"/>
        <v>0</v>
      </c>
    </row>
    <row r="75" spans="1:12" x14ac:dyDescent="0.25">
      <c r="A75" s="6">
        <v>44268</v>
      </c>
      <c r="B75" s="4"/>
      <c r="C75" s="4"/>
      <c r="D75" s="4">
        <v>5220</v>
      </c>
      <c r="E75" s="4"/>
      <c r="F75" s="4">
        <v>5220</v>
      </c>
      <c r="G75" t="b">
        <f t="shared" si="9"/>
        <v>0</v>
      </c>
      <c r="H75">
        <f t="shared" si="10"/>
        <v>5000</v>
      </c>
      <c r="I75" s="13">
        <f t="shared" si="12"/>
        <v>15390</v>
      </c>
      <c r="J75" s="11">
        <f t="shared" si="7"/>
        <v>10170</v>
      </c>
      <c r="K75" s="11" t="str">
        <f t="shared" si="8"/>
        <v>GŁÓWNA</v>
      </c>
      <c r="L75">
        <f t="shared" si="11"/>
        <v>0</v>
      </c>
    </row>
    <row r="76" spans="1:12" x14ac:dyDescent="0.25">
      <c r="A76" s="6">
        <v>44269</v>
      </c>
      <c r="B76" s="4">
        <v>6210</v>
      </c>
      <c r="C76" s="4"/>
      <c r="D76" s="4"/>
      <c r="E76" s="4">
        <v>3180</v>
      </c>
      <c r="F76" s="4">
        <v>9390</v>
      </c>
      <c r="G76" t="b">
        <f t="shared" si="9"/>
        <v>0</v>
      </c>
      <c r="H76">
        <f t="shared" si="10"/>
        <v>5000</v>
      </c>
      <c r="I76" s="13">
        <f t="shared" si="12"/>
        <v>15170</v>
      </c>
      <c r="J76" s="11">
        <f t="shared" si="7"/>
        <v>5780</v>
      </c>
      <c r="K76" s="11" t="str">
        <f t="shared" si="8"/>
        <v>GŁÓWNA</v>
      </c>
      <c r="L76">
        <f t="shared" si="11"/>
        <v>0</v>
      </c>
    </row>
    <row r="77" spans="1:12" x14ac:dyDescent="0.25">
      <c r="A77" s="6">
        <v>44270</v>
      </c>
      <c r="B77" s="4"/>
      <c r="C77" s="4"/>
      <c r="D77" s="4">
        <v>6860</v>
      </c>
      <c r="E77" s="4"/>
      <c r="F77" s="4">
        <v>6860</v>
      </c>
      <c r="G77" t="b">
        <f t="shared" si="9"/>
        <v>1</v>
      </c>
      <c r="H77">
        <f t="shared" si="10"/>
        <v>12000</v>
      </c>
      <c r="I77" s="13">
        <f t="shared" si="12"/>
        <v>17780</v>
      </c>
      <c r="J77" s="11">
        <f t="shared" si="7"/>
        <v>10920</v>
      </c>
      <c r="K77" s="11" t="str">
        <f t="shared" si="8"/>
        <v>GŁÓWNA</v>
      </c>
      <c r="L77">
        <f t="shared" si="11"/>
        <v>0</v>
      </c>
    </row>
    <row r="78" spans="1:12" x14ac:dyDescent="0.25">
      <c r="A78" s="6">
        <v>44271</v>
      </c>
      <c r="B78" s="4"/>
      <c r="C78" s="4"/>
      <c r="D78" s="4">
        <v>2020</v>
      </c>
      <c r="E78" s="4">
        <v>3650</v>
      </c>
      <c r="F78" s="4">
        <v>5670</v>
      </c>
      <c r="G78" t="b">
        <f t="shared" si="9"/>
        <v>1</v>
      </c>
      <c r="H78">
        <f t="shared" si="10"/>
        <v>12000</v>
      </c>
      <c r="I78" s="13">
        <f t="shared" si="12"/>
        <v>22920</v>
      </c>
      <c r="J78" s="11">
        <f t="shared" si="7"/>
        <v>17250</v>
      </c>
      <c r="K78" s="11" t="str">
        <f t="shared" si="8"/>
        <v>GŁÓWNA</v>
      </c>
      <c r="L78">
        <f t="shared" si="11"/>
        <v>0</v>
      </c>
    </row>
    <row r="79" spans="1:12" x14ac:dyDescent="0.25">
      <c r="A79" s="6">
        <v>44272</v>
      </c>
      <c r="B79" s="4"/>
      <c r="C79" s="4"/>
      <c r="D79" s="4">
        <v>9720</v>
      </c>
      <c r="E79" s="4"/>
      <c r="F79" s="4">
        <v>9720</v>
      </c>
      <c r="G79" t="b">
        <f t="shared" si="9"/>
        <v>1</v>
      </c>
      <c r="H79">
        <f t="shared" si="10"/>
        <v>12000</v>
      </c>
      <c r="I79" s="13">
        <f t="shared" si="12"/>
        <v>29250</v>
      </c>
      <c r="J79" s="11">
        <f t="shared" si="7"/>
        <v>19530</v>
      </c>
      <c r="K79" s="11" t="str">
        <f t="shared" si="8"/>
        <v>GŁÓWNA</v>
      </c>
      <c r="L79">
        <f t="shared" si="11"/>
        <v>0</v>
      </c>
    </row>
    <row r="80" spans="1:12" x14ac:dyDescent="0.25">
      <c r="A80" s="6">
        <v>44273</v>
      </c>
      <c r="B80" s="4">
        <v>3490</v>
      </c>
      <c r="C80" s="4">
        <v>9980</v>
      </c>
      <c r="D80" s="4">
        <v>6780</v>
      </c>
      <c r="E80" s="4">
        <v>7840</v>
      </c>
      <c r="F80" s="4">
        <v>28090</v>
      </c>
      <c r="G80" t="b">
        <f t="shared" si="9"/>
        <v>1</v>
      </c>
      <c r="H80">
        <f t="shared" si="10"/>
        <v>12000</v>
      </c>
      <c r="I80" s="13">
        <f t="shared" si="12"/>
        <v>31530</v>
      </c>
      <c r="J80" s="11">
        <f t="shared" si="7"/>
        <v>3440</v>
      </c>
      <c r="K80" s="11" t="str">
        <f t="shared" si="8"/>
        <v>GŁÓWNA</v>
      </c>
      <c r="L80">
        <f t="shared" si="11"/>
        <v>0</v>
      </c>
    </row>
    <row r="81" spans="1:14" x14ac:dyDescent="0.25">
      <c r="A81" s="6">
        <v>44274</v>
      </c>
      <c r="B81" s="4">
        <v>9770</v>
      </c>
      <c r="C81" s="4">
        <v>7850</v>
      </c>
      <c r="D81" s="4"/>
      <c r="E81" s="4"/>
      <c r="F81" s="4">
        <v>17620</v>
      </c>
      <c r="G81" t="b">
        <f t="shared" si="9"/>
        <v>1</v>
      </c>
      <c r="H81">
        <f t="shared" si="10"/>
        <v>12000</v>
      </c>
      <c r="I81" s="13">
        <f t="shared" si="12"/>
        <v>15440</v>
      </c>
      <c r="J81" s="11">
        <f t="shared" si="7"/>
        <v>5670</v>
      </c>
      <c r="K81" s="11" t="str">
        <f t="shared" si="8"/>
        <v>F2</v>
      </c>
      <c r="L81">
        <f t="shared" si="11"/>
        <v>7850</v>
      </c>
      <c r="M81" t="s">
        <v>30</v>
      </c>
      <c r="N81" t="s">
        <v>31</v>
      </c>
    </row>
    <row r="82" spans="1:14" x14ac:dyDescent="0.25">
      <c r="A82" s="6">
        <v>44275</v>
      </c>
      <c r="B82" s="4">
        <v>750</v>
      </c>
      <c r="C82" s="4">
        <v>8900</v>
      </c>
      <c r="D82" s="4">
        <v>9410</v>
      </c>
      <c r="E82" s="4"/>
      <c r="F82" s="4">
        <v>19060</v>
      </c>
      <c r="G82" t="b">
        <f t="shared" si="9"/>
        <v>0</v>
      </c>
      <c r="H82">
        <f t="shared" si="10"/>
        <v>5000</v>
      </c>
      <c r="I82" s="13">
        <f t="shared" si="12"/>
        <v>10670</v>
      </c>
      <c r="J82" s="11">
        <f t="shared" si="7"/>
        <v>1020</v>
      </c>
      <c r="K82" s="11" t="str">
        <f t="shared" si="8"/>
        <v>F3</v>
      </c>
      <c r="L82">
        <f t="shared" si="11"/>
        <v>9410</v>
      </c>
    </row>
    <row r="83" spans="1:14" x14ac:dyDescent="0.25">
      <c r="A83" s="6">
        <v>44276</v>
      </c>
      <c r="B83" s="4">
        <v>9310</v>
      </c>
      <c r="C83" s="4"/>
      <c r="D83" s="4">
        <v>2480</v>
      </c>
      <c r="E83" s="4">
        <v>1740</v>
      </c>
      <c r="F83" s="4">
        <v>13530</v>
      </c>
      <c r="G83" t="b">
        <f t="shared" si="9"/>
        <v>0</v>
      </c>
      <c r="H83">
        <f t="shared" si="10"/>
        <v>5000</v>
      </c>
      <c r="I83" s="13">
        <f t="shared" si="12"/>
        <v>6020</v>
      </c>
      <c r="J83" s="11">
        <f t="shared" si="7"/>
        <v>6020</v>
      </c>
      <c r="K83" s="11" t="str">
        <f t="shared" si="8"/>
        <v>F1</v>
      </c>
      <c r="L83">
        <f t="shared" si="11"/>
        <v>13530</v>
      </c>
    </row>
    <row r="84" spans="1:14" x14ac:dyDescent="0.25">
      <c r="A84" s="6">
        <v>44277</v>
      </c>
      <c r="B84" s="4"/>
      <c r="C84" s="4"/>
      <c r="D84" s="4">
        <v>860</v>
      </c>
      <c r="E84" s="4"/>
      <c r="F84" s="4">
        <v>860</v>
      </c>
      <c r="G84" t="b">
        <f t="shared" si="9"/>
        <v>1</v>
      </c>
      <c r="H84">
        <f t="shared" si="10"/>
        <v>12000</v>
      </c>
      <c r="I84" s="13">
        <f t="shared" si="12"/>
        <v>18020</v>
      </c>
      <c r="J84" s="11">
        <f t="shared" si="7"/>
        <v>17160</v>
      </c>
      <c r="K84" s="11" t="str">
        <f t="shared" si="8"/>
        <v>GŁÓWNA</v>
      </c>
      <c r="L84">
        <f t="shared" si="11"/>
        <v>0</v>
      </c>
    </row>
    <row r="85" spans="1:14" x14ac:dyDescent="0.25">
      <c r="A85" s="6">
        <v>44278</v>
      </c>
      <c r="B85" s="4"/>
      <c r="C85" s="4"/>
      <c r="D85" s="4"/>
      <c r="E85" s="4">
        <v>1830</v>
      </c>
      <c r="F85" s="4">
        <v>1830</v>
      </c>
      <c r="G85" t="b">
        <f t="shared" si="9"/>
        <v>1</v>
      </c>
      <c r="H85">
        <f t="shared" si="10"/>
        <v>12000</v>
      </c>
      <c r="I85" s="13">
        <f t="shared" si="12"/>
        <v>29160</v>
      </c>
      <c r="J85" s="11">
        <f t="shared" si="7"/>
        <v>27330</v>
      </c>
      <c r="K85" s="11" t="str">
        <f t="shared" si="8"/>
        <v>GŁÓWNA</v>
      </c>
      <c r="L85">
        <f t="shared" si="11"/>
        <v>0</v>
      </c>
    </row>
    <row r="86" spans="1:14" x14ac:dyDescent="0.25">
      <c r="A86" s="6">
        <v>44279</v>
      </c>
      <c r="B86" s="4">
        <v>1770</v>
      </c>
      <c r="C86" s="4">
        <v>7830</v>
      </c>
      <c r="D86" s="4">
        <v>8300</v>
      </c>
      <c r="E86" s="4"/>
      <c r="F86" s="4">
        <v>17900</v>
      </c>
      <c r="G86" t="b">
        <f t="shared" si="9"/>
        <v>1</v>
      </c>
      <c r="H86">
        <f t="shared" si="10"/>
        <v>12000</v>
      </c>
      <c r="I86" s="13">
        <f t="shared" si="12"/>
        <v>39330</v>
      </c>
      <c r="J86" s="11">
        <f t="shared" si="7"/>
        <v>21430</v>
      </c>
      <c r="K86" s="11" t="str">
        <f t="shared" si="8"/>
        <v>GŁÓWNA</v>
      </c>
      <c r="L86">
        <f t="shared" si="11"/>
        <v>0</v>
      </c>
    </row>
    <row r="87" spans="1:14" x14ac:dyDescent="0.25">
      <c r="A87" s="6">
        <v>44280</v>
      </c>
      <c r="B87" s="4">
        <v>6860</v>
      </c>
      <c r="C87" s="4">
        <v>5150</v>
      </c>
      <c r="D87" s="4"/>
      <c r="E87" s="4">
        <v>1050</v>
      </c>
      <c r="F87" s="4">
        <v>13060</v>
      </c>
      <c r="G87" t="b">
        <f t="shared" si="9"/>
        <v>1</v>
      </c>
      <c r="H87">
        <f t="shared" si="10"/>
        <v>12000</v>
      </c>
      <c r="I87" s="13">
        <f t="shared" si="12"/>
        <v>33430</v>
      </c>
      <c r="J87" s="11">
        <f t="shared" si="7"/>
        <v>20370</v>
      </c>
      <c r="K87" s="11" t="str">
        <f t="shared" si="8"/>
        <v>GŁÓWNA</v>
      </c>
      <c r="L87">
        <f t="shared" si="11"/>
        <v>0</v>
      </c>
    </row>
    <row r="88" spans="1:14" x14ac:dyDescent="0.25">
      <c r="A88" s="6">
        <v>44281</v>
      </c>
      <c r="B88" s="4"/>
      <c r="C88" s="4"/>
      <c r="D88" s="4">
        <v>1300</v>
      </c>
      <c r="E88" s="4">
        <v>8800</v>
      </c>
      <c r="F88" s="4">
        <v>10100</v>
      </c>
      <c r="G88" t="b">
        <f t="shared" si="9"/>
        <v>1</v>
      </c>
      <c r="H88">
        <f t="shared" si="10"/>
        <v>12000</v>
      </c>
      <c r="I88" s="13">
        <f t="shared" si="12"/>
        <v>32370</v>
      </c>
      <c r="J88" s="11">
        <f t="shared" si="7"/>
        <v>22270</v>
      </c>
      <c r="K88" s="11" t="str">
        <f t="shared" si="8"/>
        <v>GŁÓWNA</v>
      </c>
      <c r="L88">
        <f t="shared" si="11"/>
        <v>0</v>
      </c>
    </row>
    <row r="89" spans="1:14" x14ac:dyDescent="0.25">
      <c r="A89" s="6">
        <v>44282</v>
      </c>
      <c r="B89" s="4">
        <v>1250</v>
      </c>
      <c r="C89" s="4"/>
      <c r="D89" s="4"/>
      <c r="E89" s="4"/>
      <c r="F89" s="4">
        <v>1250</v>
      </c>
      <c r="G89" t="b">
        <f t="shared" si="9"/>
        <v>0</v>
      </c>
      <c r="H89">
        <f t="shared" si="10"/>
        <v>5000</v>
      </c>
      <c r="I89" s="13">
        <f t="shared" si="12"/>
        <v>27270</v>
      </c>
      <c r="J89" s="11">
        <f t="shared" si="7"/>
        <v>26020</v>
      </c>
      <c r="K89" s="11" t="str">
        <f t="shared" si="8"/>
        <v>GŁÓWNA</v>
      </c>
      <c r="L89">
        <f t="shared" si="11"/>
        <v>0</v>
      </c>
    </row>
    <row r="90" spans="1:14" x14ac:dyDescent="0.25">
      <c r="A90" s="6">
        <v>44283</v>
      </c>
      <c r="B90" s="4">
        <v>6580</v>
      </c>
      <c r="C90" s="4">
        <v>6470</v>
      </c>
      <c r="D90" s="4">
        <v>1460</v>
      </c>
      <c r="E90" s="4">
        <v>3910</v>
      </c>
      <c r="F90" s="4">
        <v>18420</v>
      </c>
      <c r="G90" t="b">
        <f t="shared" si="9"/>
        <v>0</v>
      </c>
      <c r="H90">
        <f t="shared" si="10"/>
        <v>5000</v>
      </c>
      <c r="I90" s="13">
        <f t="shared" si="12"/>
        <v>31020</v>
      </c>
      <c r="J90" s="11">
        <f t="shared" si="7"/>
        <v>12600</v>
      </c>
      <c r="K90" s="11" t="str">
        <f t="shared" si="8"/>
        <v>GŁÓWNA</v>
      </c>
      <c r="L90">
        <f t="shared" si="11"/>
        <v>0</v>
      </c>
    </row>
    <row r="91" spans="1:14" x14ac:dyDescent="0.25">
      <c r="A91" s="6">
        <v>44284</v>
      </c>
      <c r="B91" s="4"/>
      <c r="C91" s="4"/>
      <c r="D91" s="4">
        <v>8090</v>
      </c>
      <c r="E91" s="4"/>
      <c r="F91" s="4">
        <v>8090</v>
      </c>
      <c r="G91" t="b">
        <f t="shared" si="9"/>
        <v>1</v>
      </c>
      <c r="H91">
        <f t="shared" si="10"/>
        <v>12000</v>
      </c>
      <c r="I91" s="13">
        <f t="shared" si="12"/>
        <v>24600</v>
      </c>
      <c r="J91" s="11">
        <f t="shared" si="7"/>
        <v>16510</v>
      </c>
      <c r="K91" s="11" t="str">
        <f t="shared" si="8"/>
        <v>GŁÓWNA</v>
      </c>
      <c r="L91">
        <f t="shared" si="11"/>
        <v>0</v>
      </c>
    </row>
    <row r="92" spans="1:14" x14ac:dyDescent="0.25">
      <c r="A92" s="6">
        <v>44285</v>
      </c>
      <c r="B92" s="4"/>
      <c r="C92" s="4"/>
      <c r="D92" s="4">
        <v>4230</v>
      </c>
      <c r="E92" s="4"/>
      <c r="F92" s="4">
        <v>4230</v>
      </c>
      <c r="G92" t="b">
        <f t="shared" si="9"/>
        <v>1</v>
      </c>
      <c r="H92">
        <f t="shared" si="10"/>
        <v>12000</v>
      </c>
      <c r="I92" s="13">
        <f t="shared" si="12"/>
        <v>28510</v>
      </c>
      <c r="J92" s="11">
        <f t="shared" si="7"/>
        <v>24280</v>
      </c>
      <c r="K92" s="11" t="str">
        <f t="shared" si="8"/>
        <v>GŁÓWNA</v>
      </c>
      <c r="L92">
        <f t="shared" si="11"/>
        <v>0</v>
      </c>
    </row>
    <row r="93" spans="1:14" x14ac:dyDescent="0.25">
      <c r="A93" s="6">
        <v>44286</v>
      </c>
      <c r="B93" s="4"/>
      <c r="C93" s="4">
        <v>2750</v>
      </c>
      <c r="D93" s="4"/>
      <c r="E93" s="4">
        <v>5660</v>
      </c>
      <c r="F93" s="4">
        <v>8410</v>
      </c>
      <c r="G93" t="b">
        <f t="shared" si="9"/>
        <v>1</v>
      </c>
      <c r="H93">
        <f t="shared" si="10"/>
        <v>12000</v>
      </c>
      <c r="I93" s="13">
        <f t="shared" si="12"/>
        <v>36280</v>
      </c>
      <c r="J93" s="11">
        <f t="shared" si="7"/>
        <v>27870</v>
      </c>
      <c r="K93" s="11" t="str">
        <f t="shared" si="8"/>
        <v>GŁÓWNA</v>
      </c>
      <c r="L93">
        <f t="shared" si="11"/>
        <v>0</v>
      </c>
    </row>
    <row r="94" spans="1:14" x14ac:dyDescent="0.25">
      <c r="A94" s="6">
        <v>44287</v>
      </c>
      <c r="B94" s="4"/>
      <c r="C94" s="4">
        <v>2630</v>
      </c>
      <c r="D94" s="4">
        <v>3540</v>
      </c>
      <c r="E94" s="4"/>
      <c r="F94" s="4">
        <v>6170</v>
      </c>
      <c r="G94" t="b">
        <f t="shared" si="9"/>
        <v>1</v>
      </c>
      <c r="H94">
        <f t="shared" si="10"/>
        <v>12000</v>
      </c>
      <c r="I94" s="13">
        <f t="shared" si="12"/>
        <v>39870</v>
      </c>
      <c r="J94" s="11">
        <f t="shared" si="7"/>
        <v>33700</v>
      </c>
      <c r="K94" s="11" t="str">
        <f t="shared" si="8"/>
        <v>GŁÓWNA</v>
      </c>
      <c r="L94">
        <f t="shared" si="11"/>
        <v>0</v>
      </c>
    </row>
    <row r="95" spans="1:14" x14ac:dyDescent="0.25">
      <c r="A95" s="6">
        <v>44288</v>
      </c>
      <c r="B95" s="4">
        <v>1030</v>
      </c>
      <c r="C95" s="4"/>
      <c r="D95" s="4">
        <v>4560</v>
      </c>
      <c r="E95" s="4"/>
      <c r="F95" s="4">
        <v>5590</v>
      </c>
      <c r="G95" t="b">
        <f t="shared" si="9"/>
        <v>1</v>
      </c>
      <c r="H95">
        <f t="shared" si="10"/>
        <v>12000</v>
      </c>
      <c r="I95" s="13">
        <f t="shared" si="12"/>
        <v>45700</v>
      </c>
      <c r="J95" s="11">
        <f t="shared" si="7"/>
        <v>40110</v>
      </c>
      <c r="K95" s="11" t="str">
        <f t="shared" si="8"/>
        <v>GŁÓWNA</v>
      </c>
      <c r="L95">
        <f t="shared" si="11"/>
        <v>0</v>
      </c>
    </row>
    <row r="96" spans="1:14" x14ac:dyDescent="0.25">
      <c r="A96" s="6">
        <v>44289</v>
      </c>
      <c r="B96" s="4"/>
      <c r="C96" s="4"/>
      <c r="D96" s="4"/>
      <c r="E96" s="4">
        <v>6400</v>
      </c>
      <c r="F96" s="4">
        <v>6400</v>
      </c>
      <c r="G96" t="b">
        <f t="shared" si="9"/>
        <v>0</v>
      </c>
      <c r="H96">
        <f t="shared" si="10"/>
        <v>5000</v>
      </c>
      <c r="I96" s="13">
        <f t="shared" si="12"/>
        <v>45110</v>
      </c>
      <c r="J96" s="11">
        <f t="shared" si="7"/>
        <v>38710</v>
      </c>
      <c r="K96" s="11" t="str">
        <f t="shared" si="8"/>
        <v>GŁÓWNA</v>
      </c>
      <c r="L96">
        <f t="shared" si="11"/>
        <v>0</v>
      </c>
    </row>
    <row r="97" spans="1:12" x14ac:dyDescent="0.25">
      <c r="A97" s="6">
        <v>44290</v>
      </c>
      <c r="B97" s="4">
        <v>6450</v>
      </c>
      <c r="C97" s="4"/>
      <c r="D97" s="4"/>
      <c r="E97" s="4">
        <v>3040</v>
      </c>
      <c r="F97" s="4">
        <v>9490</v>
      </c>
      <c r="G97" t="b">
        <f t="shared" si="9"/>
        <v>0</v>
      </c>
      <c r="H97">
        <f t="shared" si="10"/>
        <v>5000</v>
      </c>
      <c r="I97" s="13">
        <f t="shared" si="12"/>
        <v>43710</v>
      </c>
      <c r="J97" s="11">
        <f t="shared" si="7"/>
        <v>34220</v>
      </c>
      <c r="K97" s="11" t="str">
        <f t="shared" si="8"/>
        <v>GŁÓWNA</v>
      </c>
      <c r="L97">
        <f t="shared" si="11"/>
        <v>0</v>
      </c>
    </row>
    <row r="98" spans="1:12" x14ac:dyDescent="0.25">
      <c r="A98" s="6">
        <v>44291</v>
      </c>
      <c r="B98" s="4">
        <v>7650</v>
      </c>
      <c r="C98" s="4"/>
      <c r="D98" s="4"/>
      <c r="E98" s="4"/>
      <c r="F98" s="4">
        <v>7650</v>
      </c>
      <c r="G98" t="b">
        <f t="shared" si="9"/>
        <v>1</v>
      </c>
      <c r="H98">
        <f t="shared" si="10"/>
        <v>12000</v>
      </c>
      <c r="I98" s="13">
        <f t="shared" si="12"/>
        <v>46220</v>
      </c>
      <c r="J98" s="11">
        <f t="shared" si="7"/>
        <v>38570</v>
      </c>
      <c r="K98" s="11" t="str">
        <f t="shared" si="8"/>
        <v>GŁÓWNA</v>
      </c>
      <c r="L98">
        <f t="shared" si="11"/>
        <v>0</v>
      </c>
    </row>
    <row r="99" spans="1:12" x14ac:dyDescent="0.25">
      <c r="A99" s="6">
        <v>44292</v>
      </c>
      <c r="B99" s="4"/>
      <c r="C99" s="4">
        <v>8950</v>
      </c>
      <c r="D99" s="4">
        <v>7100</v>
      </c>
      <c r="E99" s="4">
        <v>7190</v>
      </c>
      <c r="F99" s="4">
        <v>23240</v>
      </c>
      <c r="G99" t="b">
        <f t="shared" si="9"/>
        <v>1</v>
      </c>
      <c r="H99">
        <f t="shared" si="10"/>
        <v>12000</v>
      </c>
      <c r="I99" s="13">
        <f t="shared" si="12"/>
        <v>50570</v>
      </c>
      <c r="J99" s="11">
        <f t="shared" si="7"/>
        <v>27330</v>
      </c>
      <c r="K99" s="11" t="str">
        <f t="shared" si="8"/>
        <v>GŁÓWNA</v>
      </c>
      <c r="L99">
        <f t="shared" si="11"/>
        <v>0</v>
      </c>
    </row>
    <row r="100" spans="1:12" x14ac:dyDescent="0.25">
      <c r="A100" s="6">
        <v>44293</v>
      </c>
      <c r="B100" s="4">
        <v>3350</v>
      </c>
      <c r="C100" s="4"/>
      <c r="D100" s="4">
        <v>7650</v>
      </c>
      <c r="E100" s="4"/>
      <c r="F100" s="4">
        <v>11000</v>
      </c>
      <c r="G100" t="b">
        <f t="shared" si="9"/>
        <v>1</v>
      </c>
      <c r="H100">
        <f t="shared" si="10"/>
        <v>12000</v>
      </c>
      <c r="I100" s="13">
        <f t="shared" si="12"/>
        <v>39330</v>
      </c>
      <c r="J100" s="11">
        <f t="shared" si="7"/>
        <v>28330</v>
      </c>
      <c r="K100" s="11" t="str">
        <f t="shared" si="8"/>
        <v>GŁÓWNA</v>
      </c>
      <c r="L100">
        <f t="shared" si="11"/>
        <v>0</v>
      </c>
    </row>
    <row r="101" spans="1:12" x14ac:dyDescent="0.25">
      <c r="A101" s="6">
        <v>44294</v>
      </c>
      <c r="B101" s="4">
        <v>2250</v>
      </c>
      <c r="C101" s="4">
        <v>4860</v>
      </c>
      <c r="D101" s="4">
        <v>8230</v>
      </c>
      <c r="E101" s="4"/>
      <c r="F101" s="4">
        <v>15340</v>
      </c>
      <c r="G101" t="b">
        <f t="shared" si="9"/>
        <v>1</v>
      </c>
      <c r="H101">
        <f t="shared" si="10"/>
        <v>12000</v>
      </c>
      <c r="I101" s="13">
        <f t="shared" si="12"/>
        <v>40330</v>
      </c>
      <c r="J101" s="11">
        <f t="shared" si="7"/>
        <v>24990</v>
      </c>
      <c r="K101" s="11" t="str">
        <f t="shared" si="8"/>
        <v>GŁÓWNA</v>
      </c>
      <c r="L101">
        <f t="shared" si="11"/>
        <v>0</v>
      </c>
    </row>
    <row r="102" spans="1:12" x14ac:dyDescent="0.25">
      <c r="A102" s="6">
        <v>44295</v>
      </c>
      <c r="B102" s="4">
        <v>6320</v>
      </c>
      <c r="C102" s="4">
        <v>4600</v>
      </c>
      <c r="D102" s="4">
        <v>9980</v>
      </c>
      <c r="E102" s="4"/>
      <c r="F102" s="4">
        <v>20900</v>
      </c>
      <c r="G102" t="b">
        <f t="shared" si="9"/>
        <v>1</v>
      </c>
      <c r="H102">
        <f t="shared" si="10"/>
        <v>12000</v>
      </c>
      <c r="I102" s="13">
        <f t="shared" si="12"/>
        <v>36990</v>
      </c>
      <c r="J102" s="11">
        <f t="shared" si="7"/>
        <v>16090</v>
      </c>
      <c r="K102" s="11" t="str">
        <f t="shared" si="8"/>
        <v>GŁÓWNA</v>
      </c>
      <c r="L102">
        <f t="shared" si="11"/>
        <v>0</v>
      </c>
    </row>
    <row r="103" spans="1:12" x14ac:dyDescent="0.25">
      <c r="A103" s="6">
        <v>44296</v>
      </c>
      <c r="B103" s="4"/>
      <c r="C103" s="4"/>
      <c r="D103" s="4"/>
      <c r="E103" s="4">
        <v>9150</v>
      </c>
      <c r="F103" s="4">
        <v>9150</v>
      </c>
      <c r="G103" t="b">
        <f t="shared" si="9"/>
        <v>0</v>
      </c>
      <c r="H103">
        <f t="shared" si="10"/>
        <v>5000</v>
      </c>
      <c r="I103" s="13">
        <f t="shared" si="12"/>
        <v>21090</v>
      </c>
      <c r="J103" s="11">
        <f t="shared" si="7"/>
        <v>11940</v>
      </c>
      <c r="K103" s="11" t="str">
        <f t="shared" si="8"/>
        <v>GŁÓWNA</v>
      </c>
      <c r="L103">
        <f t="shared" si="11"/>
        <v>0</v>
      </c>
    </row>
    <row r="104" spans="1:12" x14ac:dyDescent="0.25">
      <c r="A104" s="6">
        <v>44297</v>
      </c>
      <c r="B104" s="4"/>
      <c r="C104" s="4">
        <v>4940</v>
      </c>
      <c r="D104" s="4"/>
      <c r="E104" s="4"/>
      <c r="F104" s="4">
        <v>4940</v>
      </c>
      <c r="G104" t="b">
        <f t="shared" si="9"/>
        <v>0</v>
      </c>
      <c r="H104">
        <f t="shared" si="10"/>
        <v>5000</v>
      </c>
      <c r="I104" s="13">
        <f t="shared" si="12"/>
        <v>16940</v>
      </c>
      <c r="J104" s="11">
        <f t="shared" si="7"/>
        <v>12000</v>
      </c>
      <c r="K104" s="11" t="str">
        <f t="shared" si="8"/>
        <v>GŁÓWNA</v>
      </c>
      <c r="L104">
        <f t="shared" si="11"/>
        <v>0</v>
      </c>
    </row>
    <row r="105" spans="1:12" x14ac:dyDescent="0.25">
      <c r="A105" s="6">
        <v>44298</v>
      </c>
      <c r="B105" s="4"/>
      <c r="C105" s="4"/>
      <c r="D105" s="4">
        <v>4460</v>
      </c>
      <c r="E105" s="4">
        <v>7550</v>
      </c>
      <c r="F105" s="4">
        <v>12010</v>
      </c>
      <c r="G105" t="b">
        <f t="shared" si="9"/>
        <v>1</v>
      </c>
      <c r="H105">
        <f t="shared" si="10"/>
        <v>12000</v>
      </c>
      <c r="I105" s="13">
        <f t="shared" si="12"/>
        <v>24000</v>
      </c>
      <c r="J105" s="11">
        <f t="shared" si="7"/>
        <v>11990</v>
      </c>
      <c r="K105" s="11" t="str">
        <f t="shared" si="8"/>
        <v>GŁÓWNA</v>
      </c>
      <c r="L105">
        <f t="shared" si="11"/>
        <v>0</v>
      </c>
    </row>
    <row r="106" spans="1:12" x14ac:dyDescent="0.25">
      <c r="A106" s="6">
        <v>44299</v>
      </c>
      <c r="B106" s="4">
        <v>6180</v>
      </c>
      <c r="C106" s="4">
        <v>5220</v>
      </c>
      <c r="D106" s="4"/>
      <c r="E106" s="4">
        <v>1680</v>
      </c>
      <c r="F106" s="4">
        <v>13080</v>
      </c>
      <c r="G106" t="b">
        <f t="shared" si="9"/>
        <v>1</v>
      </c>
      <c r="H106">
        <f t="shared" si="10"/>
        <v>12000</v>
      </c>
      <c r="I106" s="13">
        <f t="shared" si="12"/>
        <v>23990</v>
      </c>
      <c r="J106" s="11">
        <f t="shared" si="7"/>
        <v>10910</v>
      </c>
      <c r="K106" s="11" t="str">
        <f t="shared" si="8"/>
        <v>GŁÓWNA</v>
      </c>
      <c r="L106">
        <f t="shared" si="11"/>
        <v>0</v>
      </c>
    </row>
    <row r="107" spans="1:12" x14ac:dyDescent="0.25">
      <c r="A107" s="6">
        <v>44300</v>
      </c>
      <c r="B107" s="4">
        <v>6770</v>
      </c>
      <c r="C107" s="4">
        <v>2070</v>
      </c>
      <c r="D107" s="4">
        <v>6780</v>
      </c>
      <c r="E107" s="4"/>
      <c r="F107" s="4">
        <v>15620</v>
      </c>
      <c r="G107" t="b">
        <f t="shared" si="9"/>
        <v>1</v>
      </c>
      <c r="H107">
        <f t="shared" si="10"/>
        <v>12000</v>
      </c>
      <c r="I107" s="13">
        <f t="shared" si="12"/>
        <v>22910</v>
      </c>
      <c r="J107" s="11">
        <f t="shared" si="7"/>
        <v>7290</v>
      </c>
      <c r="K107" s="11" t="str">
        <f t="shared" si="8"/>
        <v>GŁÓWNA</v>
      </c>
      <c r="L107">
        <f t="shared" si="11"/>
        <v>0</v>
      </c>
    </row>
    <row r="108" spans="1:12" x14ac:dyDescent="0.25">
      <c r="A108" s="6">
        <v>44301</v>
      </c>
      <c r="B108" s="4">
        <v>5160</v>
      </c>
      <c r="C108" s="4">
        <v>3130</v>
      </c>
      <c r="D108" s="4">
        <v>6720</v>
      </c>
      <c r="E108" s="4"/>
      <c r="F108" s="4">
        <v>15010</v>
      </c>
      <c r="G108" t="b">
        <f t="shared" si="9"/>
        <v>1</v>
      </c>
      <c r="H108">
        <f t="shared" si="10"/>
        <v>12000</v>
      </c>
      <c r="I108" s="13">
        <f t="shared" si="12"/>
        <v>19290</v>
      </c>
      <c r="J108" s="11">
        <f t="shared" si="7"/>
        <v>4280</v>
      </c>
      <c r="K108" s="11" t="str">
        <f t="shared" si="8"/>
        <v>GŁÓWNA</v>
      </c>
      <c r="L108">
        <f t="shared" si="11"/>
        <v>0</v>
      </c>
    </row>
    <row r="109" spans="1:12" x14ac:dyDescent="0.25">
      <c r="A109" s="6">
        <v>44302</v>
      </c>
      <c r="B109" s="4"/>
      <c r="C109" s="4"/>
      <c r="D109" s="4">
        <v>1000</v>
      </c>
      <c r="E109" s="4">
        <v>6560</v>
      </c>
      <c r="F109" s="4">
        <v>7560</v>
      </c>
      <c r="G109" t="b">
        <f t="shared" si="9"/>
        <v>1</v>
      </c>
      <c r="H109">
        <f t="shared" si="10"/>
        <v>12000</v>
      </c>
      <c r="I109" s="13">
        <f t="shared" si="12"/>
        <v>16280</v>
      </c>
      <c r="J109" s="11">
        <f t="shared" si="7"/>
        <v>8720</v>
      </c>
      <c r="K109" s="11" t="str">
        <f t="shared" si="8"/>
        <v>GŁÓWNA</v>
      </c>
      <c r="L109">
        <f t="shared" si="11"/>
        <v>0</v>
      </c>
    </row>
    <row r="110" spans="1:12" x14ac:dyDescent="0.25">
      <c r="A110" s="6">
        <v>44303</v>
      </c>
      <c r="B110" s="4">
        <v>8880</v>
      </c>
      <c r="C110" s="4">
        <v>2660</v>
      </c>
      <c r="D110" s="4">
        <v>1800</v>
      </c>
      <c r="E110" s="4"/>
      <c r="F110" s="4">
        <v>13340</v>
      </c>
      <c r="G110" t="b">
        <f t="shared" si="9"/>
        <v>0</v>
      </c>
      <c r="H110">
        <f t="shared" si="10"/>
        <v>5000</v>
      </c>
      <c r="I110" s="13">
        <f t="shared" si="12"/>
        <v>13720</v>
      </c>
      <c r="J110" s="11">
        <f t="shared" si="7"/>
        <v>380</v>
      </c>
      <c r="K110" s="11" t="str">
        <f t="shared" si="8"/>
        <v>GŁÓWNA</v>
      </c>
      <c r="L110">
        <f t="shared" si="11"/>
        <v>0</v>
      </c>
    </row>
    <row r="111" spans="1:12" x14ac:dyDescent="0.25">
      <c r="A111" s="6">
        <v>44304</v>
      </c>
      <c r="B111" s="4">
        <v>6820</v>
      </c>
      <c r="C111" s="4">
        <v>3860</v>
      </c>
      <c r="D111" s="4">
        <v>6470</v>
      </c>
      <c r="E111" s="4"/>
      <c r="F111" s="4">
        <v>17150</v>
      </c>
      <c r="G111" t="b">
        <f t="shared" si="9"/>
        <v>0</v>
      </c>
      <c r="H111">
        <f t="shared" si="10"/>
        <v>5000</v>
      </c>
      <c r="I111" s="13">
        <f t="shared" si="12"/>
        <v>5380</v>
      </c>
      <c r="J111" s="11">
        <f t="shared" si="7"/>
        <v>5380</v>
      </c>
      <c r="K111" s="11" t="str">
        <f t="shared" si="8"/>
        <v>F1</v>
      </c>
      <c r="L111">
        <f t="shared" si="11"/>
        <v>17150</v>
      </c>
    </row>
    <row r="112" spans="1:12" x14ac:dyDescent="0.25">
      <c r="A112" s="6">
        <v>44305</v>
      </c>
      <c r="B112" s="4">
        <v>1560</v>
      </c>
      <c r="C112" s="4">
        <v>3420</v>
      </c>
      <c r="D112" s="4">
        <v>5220</v>
      </c>
      <c r="E112" s="4"/>
      <c r="F112" s="4">
        <v>10200</v>
      </c>
      <c r="G112" t="b">
        <f t="shared" si="9"/>
        <v>1</v>
      </c>
      <c r="H112">
        <f t="shared" si="10"/>
        <v>12000</v>
      </c>
      <c r="I112" s="13">
        <f t="shared" si="12"/>
        <v>17380</v>
      </c>
      <c r="J112" s="11">
        <f t="shared" si="7"/>
        <v>7180</v>
      </c>
      <c r="K112" s="11" t="str">
        <f t="shared" si="8"/>
        <v>GŁÓWNA</v>
      </c>
      <c r="L112">
        <f t="shared" si="11"/>
        <v>0</v>
      </c>
    </row>
    <row r="113" spans="1:12" x14ac:dyDescent="0.25">
      <c r="A113" s="6">
        <v>44306</v>
      </c>
      <c r="B113" s="4"/>
      <c r="C113" s="4">
        <v>6100</v>
      </c>
      <c r="D113" s="4"/>
      <c r="E113" s="4">
        <v>3800</v>
      </c>
      <c r="F113" s="4">
        <v>9900</v>
      </c>
      <c r="G113" t="b">
        <f t="shared" si="9"/>
        <v>1</v>
      </c>
      <c r="H113">
        <f t="shared" si="10"/>
        <v>12000</v>
      </c>
      <c r="I113" s="13">
        <f t="shared" si="12"/>
        <v>19180</v>
      </c>
      <c r="J113" s="11">
        <f t="shared" si="7"/>
        <v>9280</v>
      </c>
      <c r="K113" s="11" t="str">
        <f t="shared" si="8"/>
        <v>GŁÓWNA</v>
      </c>
      <c r="L113">
        <f t="shared" si="11"/>
        <v>0</v>
      </c>
    </row>
    <row r="114" spans="1:12" x14ac:dyDescent="0.25">
      <c r="A114" s="6">
        <v>44307</v>
      </c>
      <c r="B114" s="4"/>
      <c r="C114" s="4">
        <v>3170</v>
      </c>
      <c r="D114" s="4">
        <v>4140</v>
      </c>
      <c r="E114" s="4">
        <v>2060</v>
      </c>
      <c r="F114" s="4">
        <v>9370</v>
      </c>
      <c r="G114" t="b">
        <f t="shared" si="9"/>
        <v>1</v>
      </c>
      <c r="H114">
        <f t="shared" si="10"/>
        <v>12000</v>
      </c>
      <c r="I114" s="13">
        <f t="shared" si="12"/>
        <v>21280</v>
      </c>
      <c r="J114" s="11">
        <f t="shared" si="7"/>
        <v>11910</v>
      </c>
      <c r="K114" s="11" t="str">
        <f t="shared" si="8"/>
        <v>GŁÓWNA</v>
      </c>
      <c r="L114">
        <f t="shared" si="11"/>
        <v>0</v>
      </c>
    </row>
    <row r="115" spans="1:12" x14ac:dyDescent="0.25">
      <c r="A115" s="6">
        <v>44308</v>
      </c>
      <c r="B115" s="4"/>
      <c r="C115" s="4"/>
      <c r="D115" s="4"/>
      <c r="E115" s="4">
        <v>8220</v>
      </c>
      <c r="F115" s="4">
        <v>8220</v>
      </c>
      <c r="G115" t="b">
        <f t="shared" si="9"/>
        <v>1</v>
      </c>
      <c r="H115">
        <f t="shared" si="10"/>
        <v>12000</v>
      </c>
      <c r="I115" s="13">
        <f t="shared" si="12"/>
        <v>23910</v>
      </c>
      <c r="J115" s="11">
        <f t="shared" si="7"/>
        <v>15690</v>
      </c>
      <c r="K115" s="11" t="str">
        <f t="shared" si="8"/>
        <v>GŁÓWNA</v>
      </c>
      <c r="L115">
        <f t="shared" si="11"/>
        <v>0</v>
      </c>
    </row>
    <row r="116" spans="1:12" x14ac:dyDescent="0.25">
      <c r="A116" s="6">
        <v>44309</v>
      </c>
      <c r="B116" s="4"/>
      <c r="C116" s="4">
        <v>9490</v>
      </c>
      <c r="D116" s="4">
        <v>950</v>
      </c>
      <c r="E116" s="4"/>
      <c r="F116" s="4">
        <v>10440</v>
      </c>
      <c r="G116" t="b">
        <f t="shared" si="9"/>
        <v>1</v>
      </c>
      <c r="H116">
        <f t="shared" si="10"/>
        <v>12000</v>
      </c>
      <c r="I116" s="13">
        <f t="shared" si="12"/>
        <v>27690</v>
      </c>
      <c r="J116" s="11">
        <f t="shared" si="7"/>
        <v>17250</v>
      </c>
      <c r="K116" s="11" t="str">
        <f t="shared" si="8"/>
        <v>GŁÓWNA</v>
      </c>
      <c r="L116">
        <f t="shared" si="11"/>
        <v>0</v>
      </c>
    </row>
    <row r="117" spans="1:12" x14ac:dyDescent="0.25">
      <c r="A117" s="6">
        <v>44310</v>
      </c>
      <c r="B117" s="4"/>
      <c r="C117" s="4"/>
      <c r="D117" s="4"/>
      <c r="E117" s="4">
        <v>3110</v>
      </c>
      <c r="F117" s="4">
        <v>3110</v>
      </c>
      <c r="G117" t="b">
        <f t="shared" si="9"/>
        <v>0</v>
      </c>
      <c r="H117">
        <f t="shared" si="10"/>
        <v>5000</v>
      </c>
      <c r="I117" s="13">
        <f t="shared" si="12"/>
        <v>22250</v>
      </c>
      <c r="J117" s="11">
        <f t="shared" si="7"/>
        <v>19140</v>
      </c>
      <c r="K117" s="11" t="str">
        <f t="shared" si="8"/>
        <v>GŁÓWNA</v>
      </c>
      <c r="L117">
        <f t="shared" si="11"/>
        <v>0</v>
      </c>
    </row>
    <row r="118" spans="1:12" x14ac:dyDescent="0.25">
      <c r="A118" s="6">
        <v>44311</v>
      </c>
      <c r="B118" s="4">
        <v>6010</v>
      </c>
      <c r="C118" s="4">
        <v>1220</v>
      </c>
      <c r="D118" s="4">
        <v>8060</v>
      </c>
      <c r="E118" s="4"/>
      <c r="F118" s="4">
        <v>15290</v>
      </c>
      <c r="G118" t="b">
        <f t="shared" si="9"/>
        <v>0</v>
      </c>
      <c r="H118">
        <f t="shared" si="10"/>
        <v>5000</v>
      </c>
      <c r="I118" s="13">
        <f t="shared" si="12"/>
        <v>24140</v>
      </c>
      <c r="J118" s="11">
        <f t="shared" si="7"/>
        <v>8850</v>
      </c>
      <c r="K118" s="11" t="str">
        <f t="shared" si="8"/>
        <v>GŁÓWNA</v>
      </c>
      <c r="L118">
        <f t="shared" si="11"/>
        <v>0</v>
      </c>
    </row>
    <row r="119" spans="1:12" x14ac:dyDescent="0.25">
      <c r="A119" s="6">
        <v>44312</v>
      </c>
      <c r="B119" s="4"/>
      <c r="C119" s="4">
        <v>4040</v>
      </c>
      <c r="D119" s="4"/>
      <c r="E119" s="4"/>
      <c r="F119" s="4">
        <v>4040</v>
      </c>
      <c r="G119" t="b">
        <f t="shared" si="9"/>
        <v>1</v>
      </c>
      <c r="H119">
        <f t="shared" si="10"/>
        <v>12000</v>
      </c>
      <c r="I119" s="13">
        <f t="shared" si="12"/>
        <v>20850</v>
      </c>
      <c r="J119" s="11">
        <f t="shared" si="7"/>
        <v>16810</v>
      </c>
      <c r="K119" s="11" t="str">
        <f t="shared" si="8"/>
        <v>GŁÓWNA</v>
      </c>
      <c r="L119">
        <f t="shared" si="11"/>
        <v>0</v>
      </c>
    </row>
    <row r="120" spans="1:12" x14ac:dyDescent="0.25">
      <c r="A120" s="6">
        <v>44313</v>
      </c>
      <c r="B120" s="4">
        <v>950</v>
      </c>
      <c r="C120" s="4">
        <v>4760</v>
      </c>
      <c r="D120" s="4"/>
      <c r="E120" s="4">
        <v>9470</v>
      </c>
      <c r="F120" s="4">
        <v>15180</v>
      </c>
      <c r="G120" t="b">
        <f t="shared" si="9"/>
        <v>1</v>
      </c>
      <c r="H120">
        <f t="shared" si="10"/>
        <v>12000</v>
      </c>
      <c r="I120" s="13">
        <f t="shared" si="12"/>
        <v>28810</v>
      </c>
      <c r="J120" s="11">
        <f t="shared" si="7"/>
        <v>13630</v>
      </c>
      <c r="K120" s="11" t="str">
        <f t="shared" si="8"/>
        <v>GŁÓWNA</v>
      </c>
      <c r="L120">
        <f t="shared" si="11"/>
        <v>0</v>
      </c>
    </row>
    <row r="121" spans="1:12" x14ac:dyDescent="0.25">
      <c r="A121" s="6">
        <v>44314</v>
      </c>
      <c r="B121" s="4"/>
      <c r="C121" s="4"/>
      <c r="D121" s="4">
        <v>9390</v>
      </c>
      <c r="E121" s="4">
        <v>4520</v>
      </c>
      <c r="F121" s="4">
        <v>13910</v>
      </c>
      <c r="G121" t="b">
        <f t="shared" si="9"/>
        <v>1</v>
      </c>
      <c r="H121">
        <f t="shared" si="10"/>
        <v>12000</v>
      </c>
      <c r="I121" s="13">
        <f t="shared" si="12"/>
        <v>25630</v>
      </c>
      <c r="J121" s="11">
        <f t="shared" si="7"/>
        <v>11720</v>
      </c>
      <c r="K121" s="11" t="str">
        <f t="shared" si="8"/>
        <v>GŁÓWNA</v>
      </c>
      <c r="L121">
        <f t="shared" si="11"/>
        <v>0</v>
      </c>
    </row>
    <row r="122" spans="1:12" x14ac:dyDescent="0.25">
      <c r="A122" s="6">
        <v>44315</v>
      </c>
      <c r="B122" s="4"/>
      <c r="C122" s="4"/>
      <c r="D122" s="4"/>
      <c r="E122" s="4">
        <v>8460</v>
      </c>
      <c r="F122" s="4">
        <v>8460</v>
      </c>
      <c r="G122" t="b">
        <f t="shared" si="9"/>
        <v>1</v>
      </c>
      <c r="H122">
        <f t="shared" si="10"/>
        <v>12000</v>
      </c>
      <c r="I122" s="13">
        <f t="shared" si="12"/>
        <v>23720</v>
      </c>
      <c r="J122" s="11">
        <f t="shared" si="7"/>
        <v>15260</v>
      </c>
      <c r="K122" s="11" t="str">
        <f t="shared" si="8"/>
        <v>GŁÓWNA</v>
      </c>
      <c r="L122">
        <f t="shared" si="11"/>
        <v>0</v>
      </c>
    </row>
    <row r="123" spans="1:12" x14ac:dyDescent="0.25">
      <c r="A123" s="6">
        <v>44316</v>
      </c>
      <c r="B123" s="4"/>
      <c r="C123" s="4"/>
      <c r="D123" s="4">
        <v>4880</v>
      </c>
      <c r="E123" s="4"/>
      <c r="F123" s="4">
        <v>4880</v>
      </c>
      <c r="G123" t="b">
        <f t="shared" si="9"/>
        <v>1</v>
      </c>
      <c r="H123">
        <f t="shared" si="10"/>
        <v>12000</v>
      </c>
      <c r="I123" s="13">
        <f t="shared" si="12"/>
        <v>27260</v>
      </c>
      <c r="J123" s="11">
        <f t="shared" si="7"/>
        <v>22380</v>
      </c>
      <c r="K123" s="11" t="str">
        <f t="shared" si="8"/>
        <v>GŁÓWNA</v>
      </c>
      <c r="L123">
        <f t="shared" si="11"/>
        <v>0</v>
      </c>
    </row>
    <row r="124" spans="1:12" x14ac:dyDescent="0.25">
      <c r="A124" s="6">
        <v>44317</v>
      </c>
      <c r="B124" s="4"/>
      <c r="C124" s="4"/>
      <c r="D124" s="4">
        <v>3980</v>
      </c>
      <c r="E124" s="4"/>
      <c r="F124" s="4">
        <v>3980</v>
      </c>
      <c r="G124" t="b">
        <f t="shared" si="9"/>
        <v>0</v>
      </c>
      <c r="H124">
        <f t="shared" si="10"/>
        <v>5000</v>
      </c>
      <c r="I124" s="13">
        <f t="shared" si="12"/>
        <v>27380</v>
      </c>
      <c r="J124" s="11">
        <f t="shared" si="7"/>
        <v>23400</v>
      </c>
      <c r="K124" s="11" t="str">
        <f t="shared" si="8"/>
        <v>GŁÓWNA</v>
      </c>
      <c r="L124">
        <f t="shared" si="11"/>
        <v>0</v>
      </c>
    </row>
    <row r="125" spans="1:12" x14ac:dyDescent="0.25">
      <c r="A125" s="6">
        <v>44318</v>
      </c>
      <c r="B125" s="4"/>
      <c r="C125" s="4"/>
      <c r="D125" s="4">
        <v>3980</v>
      </c>
      <c r="E125" s="4"/>
      <c r="F125" s="4">
        <v>3980</v>
      </c>
      <c r="G125" t="b">
        <f t="shared" si="9"/>
        <v>0</v>
      </c>
      <c r="H125">
        <f t="shared" si="10"/>
        <v>5000</v>
      </c>
      <c r="I125" s="13">
        <f t="shared" si="12"/>
        <v>28400</v>
      </c>
      <c r="J125" s="11">
        <f t="shared" si="7"/>
        <v>24420</v>
      </c>
      <c r="K125" s="11" t="str">
        <f t="shared" si="8"/>
        <v>GŁÓWNA</v>
      </c>
      <c r="L125">
        <f t="shared" si="11"/>
        <v>0</v>
      </c>
    </row>
    <row r="126" spans="1:12" x14ac:dyDescent="0.25">
      <c r="A126" s="6">
        <v>44319</v>
      </c>
      <c r="B126" s="4">
        <v>2130</v>
      </c>
      <c r="C126" s="4"/>
      <c r="D126" s="4"/>
      <c r="E126" s="4">
        <v>7520</v>
      </c>
      <c r="F126" s="4">
        <v>9650</v>
      </c>
      <c r="G126" t="b">
        <f t="shared" si="9"/>
        <v>1</v>
      </c>
      <c r="H126">
        <f t="shared" si="10"/>
        <v>12000</v>
      </c>
      <c r="I126" s="13">
        <f t="shared" si="12"/>
        <v>36420</v>
      </c>
      <c r="J126" s="11">
        <f t="shared" si="7"/>
        <v>26770</v>
      </c>
      <c r="K126" s="11" t="str">
        <f t="shared" si="8"/>
        <v>GŁÓWNA</v>
      </c>
      <c r="L126">
        <f t="shared" si="11"/>
        <v>0</v>
      </c>
    </row>
    <row r="127" spans="1:12" x14ac:dyDescent="0.25">
      <c r="A127" s="6">
        <v>44320</v>
      </c>
      <c r="B127" s="4"/>
      <c r="C127" s="4"/>
      <c r="D127" s="4"/>
      <c r="E127" s="4">
        <v>3900</v>
      </c>
      <c r="F127" s="4">
        <v>3900</v>
      </c>
      <c r="G127" t="b">
        <f t="shared" si="9"/>
        <v>1</v>
      </c>
      <c r="H127">
        <f t="shared" si="10"/>
        <v>12000</v>
      </c>
      <c r="I127" s="13">
        <f t="shared" si="12"/>
        <v>38770</v>
      </c>
      <c r="J127" s="11">
        <f t="shared" si="7"/>
        <v>34870</v>
      </c>
      <c r="K127" s="11" t="str">
        <f t="shared" si="8"/>
        <v>GŁÓWNA</v>
      </c>
      <c r="L127">
        <f t="shared" si="11"/>
        <v>0</v>
      </c>
    </row>
    <row r="128" spans="1:12" x14ac:dyDescent="0.25">
      <c r="A128" s="6">
        <v>44321</v>
      </c>
      <c r="B128" s="4"/>
      <c r="C128" s="4"/>
      <c r="D128" s="4">
        <v>3070</v>
      </c>
      <c r="E128" s="4">
        <v>8960</v>
      </c>
      <c r="F128" s="4">
        <v>12030</v>
      </c>
      <c r="G128" t="b">
        <f t="shared" si="9"/>
        <v>1</v>
      </c>
      <c r="H128">
        <f t="shared" si="10"/>
        <v>12000</v>
      </c>
      <c r="I128" s="13">
        <f t="shared" si="12"/>
        <v>46870</v>
      </c>
      <c r="J128" s="11">
        <f t="shared" si="7"/>
        <v>34840</v>
      </c>
      <c r="K128" s="11" t="str">
        <f t="shared" si="8"/>
        <v>GŁÓWNA</v>
      </c>
      <c r="L128">
        <f t="shared" si="11"/>
        <v>0</v>
      </c>
    </row>
    <row r="129" spans="1:12" x14ac:dyDescent="0.25">
      <c r="A129" s="6">
        <v>44322</v>
      </c>
      <c r="B129" s="4"/>
      <c r="C129" s="4">
        <v>4340</v>
      </c>
      <c r="D129" s="4">
        <v>1950</v>
      </c>
      <c r="E129" s="4"/>
      <c r="F129" s="4">
        <v>6290</v>
      </c>
      <c r="G129" t="b">
        <f t="shared" si="9"/>
        <v>1</v>
      </c>
      <c r="H129">
        <f t="shared" si="10"/>
        <v>12000</v>
      </c>
      <c r="I129" s="13">
        <f t="shared" si="12"/>
        <v>46840</v>
      </c>
      <c r="J129" s="11">
        <f t="shared" si="7"/>
        <v>40550</v>
      </c>
      <c r="K129" s="11" t="str">
        <f t="shared" si="8"/>
        <v>GŁÓWNA</v>
      </c>
      <c r="L129">
        <f t="shared" si="11"/>
        <v>0</v>
      </c>
    </row>
    <row r="130" spans="1:12" x14ac:dyDescent="0.25">
      <c r="A130" s="6">
        <v>44323</v>
      </c>
      <c r="B130" s="4">
        <v>5560</v>
      </c>
      <c r="C130" s="4">
        <v>8510</v>
      </c>
      <c r="D130" s="4">
        <v>9810</v>
      </c>
      <c r="E130" s="4">
        <v>8340</v>
      </c>
      <c r="F130" s="4">
        <v>32220</v>
      </c>
      <c r="G130" t="b">
        <f t="shared" si="9"/>
        <v>1</v>
      </c>
      <c r="H130">
        <f t="shared" si="10"/>
        <v>12000</v>
      </c>
      <c r="I130" s="13">
        <f t="shared" si="12"/>
        <v>52550</v>
      </c>
      <c r="J130" s="11">
        <f t="shared" si="7"/>
        <v>20330</v>
      </c>
      <c r="K130" s="11" t="str">
        <f t="shared" si="8"/>
        <v>GŁÓWNA</v>
      </c>
      <c r="L130">
        <f t="shared" si="11"/>
        <v>0</v>
      </c>
    </row>
    <row r="131" spans="1:12" x14ac:dyDescent="0.25">
      <c r="A131" s="6">
        <v>44324</v>
      </c>
      <c r="B131" s="4"/>
      <c r="C131" s="4"/>
      <c r="D131" s="4">
        <v>7270</v>
      </c>
      <c r="E131" s="4">
        <v>4510</v>
      </c>
      <c r="F131" s="4">
        <v>11780</v>
      </c>
      <c r="G131" t="b">
        <f t="shared" si="9"/>
        <v>0</v>
      </c>
      <c r="H131">
        <f t="shared" si="10"/>
        <v>5000</v>
      </c>
      <c r="I131" s="13">
        <f t="shared" si="12"/>
        <v>25330</v>
      </c>
      <c r="J131" s="11">
        <f t="shared" si="7"/>
        <v>13550</v>
      </c>
      <c r="K131" s="11" t="str">
        <f t="shared" si="8"/>
        <v>GŁÓWNA</v>
      </c>
      <c r="L131">
        <f t="shared" si="11"/>
        <v>0</v>
      </c>
    </row>
    <row r="132" spans="1:12" x14ac:dyDescent="0.25">
      <c r="A132" s="6">
        <v>44325</v>
      </c>
      <c r="B132" s="4">
        <v>8090</v>
      </c>
      <c r="C132" s="4">
        <v>4060</v>
      </c>
      <c r="D132" s="4">
        <v>5440</v>
      </c>
      <c r="E132" s="4">
        <v>7710</v>
      </c>
      <c r="F132" s="4">
        <v>25300</v>
      </c>
      <c r="G132" t="b">
        <f t="shared" si="9"/>
        <v>0</v>
      </c>
      <c r="H132">
        <f t="shared" si="10"/>
        <v>5000</v>
      </c>
      <c r="I132" s="13">
        <f t="shared" si="12"/>
        <v>18550</v>
      </c>
      <c r="J132" s="11">
        <f t="shared" si="7"/>
        <v>960</v>
      </c>
      <c r="K132" s="11" t="str">
        <f t="shared" si="8"/>
        <v>F4</v>
      </c>
      <c r="L132">
        <f t="shared" si="11"/>
        <v>7710</v>
      </c>
    </row>
    <row r="133" spans="1:12" x14ac:dyDescent="0.25">
      <c r="A133" s="6">
        <v>44326</v>
      </c>
      <c r="B133" s="4"/>
      <c r="C133" s="4"/>
      <c r="D133" s="4"/>
      <c r="E133" s="4">
        <v>9620</v>
      </c>
      <c r="F133" s="4">
        <v>9620</v>
      </c>
      <c r="G133" t="b">
        <f t="shared" si="9"/>
        <v>1</v>
      </c>
      <c r="H133">
        <f t="shared" si="10"/>
        <v>12000</v>
      </c>
      <c r="I133" s="13">
        <f t="shared" si="12"/>
        <v>12960</v>
      </c>
      <c r="J133" s="11">
        <f t="shared" ref="J133:J196" si="13">IF($I133-$B133&lt;0,$I133,IF($I133-$B133-$C133&lt;0,$I133-$B133,IF($I133-$B133-$C133-$D133&lt;0,$I133-$B133-$C133,IF($I133-$B133-$C133-$D133-$E133&lt;0,$I133-$B133-$C133-$D133,$I133-$F133))))</f>
        <v>3340</v>
      </c>
      <c r="K133" s="11" t="str">
        <f t="shared" ref="K133:K196" si="14">IF($I133-$B133&lt;0,"F1",IF($I133-$B133-$C133&lt;0,"F2",IF($I133-$B133-$C133-$D133&lt;0,"F3",IF($I133-$B133-$C133-$D133-$E133&lt;0,"F4","GŁÓWNA"))))</f>
        <v>GŁÓWNA</v>
      </c>
      <c r="L133">
        <f t="shared" si="11"/>
        <v>0</v>
      </c>
    </row>
    <row r="134" spans="1:12" x14ac:dyDescent="0.25">
      <c r="A134" s="6">
        <v>44327</v>
      </c>
      <c r="B134" s="4">
        <v>9630</v>
      </c>
      <c r="C134" s="4"/>
      <c r="D134" s="4"/>
      <c r="E134" s="4"/>
      <c r="F134" s="4">
        <v>9630</v>
      </c>
      <c r="G134" t="b">
        <f t="shared" ref="G134:G197" si="15">IF(WEEKDAY(A134,2)&gt;=6,FALSE,TRUE)</f>
        <v>1</v>
      </c>
      <c r="H134">
        <f t="shared" ref="H134:H197" si="16">IF(G134,$N$5,$N$6)</f>
        <v>12000</v>
      </c>
      <c r="I134" s="13">
        <f t="shared" si="12"/>
        <v>15340</v>
      </c>
      <c r="J134" s="11">
        <f t="shared" si="13"/>
        <v>5710</v>
      </c>
      <c r="K134" s="11" t="str">
        <f t="shared" si="14"/>
        <v>GŁÓWNA</v>
      </c>
      <c r="L134">
        <f t="shared" ref="L134:L197" si="17">IF(K134&lt;&gt;"GŁÓWNA",IF(K134="F1",SUM(B134:E134),IF(K134="F2",SUM(C134:E134),IF(K134="F3",SUM(D134:E134),IF(K134="F4",E134,)))),0)</f>
        <v>0</v>
      </c>
    </row>
    <row r="135" spans="1:12" x14ac:dyDescent="0.25">
      <c r="A135" s="6">
        <v>44328</v>
      </c>
      <c r="B135" s="4">
        <v>390</v>
      </c>
      <c r="C135" s="4"/>
      <c r="D135" s="4"/>
      <c r="E135" s="4"/>
      <c r="F135" s="4">
        <v>390</v>
      </c>
      <c r="G135" t="b">
        <f t="shared" si="15"/>
        <v>1</v>
      </c>
      <c r="H135">
        <f t="shared" si="16"/>
        <v>12000</v>
      </c>
      <c r="I135" s="13">
        <f t="shared" ref="I135:I198" si="18">J134+H135</f>
        <v>17710</v>
      </c>
      <c r="J135" s="11">
        <f t="shared" si="13"/>
        <v>17320</v>
      </c>
      <c r="K135" s="11" t="str">
        <f t="shared" si="14"/>
        <v>GŁÓWNA</v>
      </c>
      <c r="L135">
        <f t="shared" si="17"/>
        <v>0</v>
      </c>
    </row>
    <row r="136" spans="1:12" x14ac:dyDescent="0.25">
      <c r="A136" s="6">
        <v>44329</v>
      </c>
      <c r="B136" s="4"/>
      <c r="C136" s="4">
        <v>7870</v>
      </c>
      <c r="D136" s="4">
        <v>600</v>
      </c>
      <c r="E136" s="4">
        <v>4100</v>
      </c>
      <c r="F136" s="4">
        <v>12570</v>
      </c>
      <c r="G136" t="b">
        <f t="shared" si="15"/>
        <v>1</v>
      </c>
      <c r="H136">
        <f t="shared" si="16"/>
        <v>12000</v>
      </c>
      <c r="I136" s="13">
        <f t="shared" si="18"/>
        <v>29320</v>
      </c>
      <c r="J136" s="11">
        <f t="shared" si="13"/>
        <v>16750</v>
      </c>
      <c r="K136" s="11" t="str">
        <f t="shared" si="14"/>
        <v>GŁÓWNA</v>
      </c>
      <c r="L136">
        <f t="shared" si="17"/>
        <v>0</v>
      </c>
    </row>
    <row r="137" spans="1:12" x14ac:dyDescent="0.25">
      <c r="A137" s="6">
        <v>44330</v>
      </c>
      <c r="B137" s="4"/>
      <c r="C137" s="4">
        <v>860</v>
      </c>
      <c r="D137" s="4">
        <v>1170</v>
      </c>
      <c r="E137" s="4"/>
      <c r="F137" s="4">
        <v>2030</v>
      </c>
      <c r="G137" t="b">
        <f t="shared" si="15"/>
        <v>1</v>
      </c>
      <c r="H137">
        <f t="shared" si="16"/>
        <v>12000</v>
      </c>
      <c r="I137" s="13">
        <f t="shared" si="18"/>
        <v>28750</v>
      </c>
      <c r="J137" s="11">
        <f t="shared" si="13"/>
        <v>26720</v>
      </c>
      <c r="K137" s="11" t="str">
        <f t="shared" si="14"/>
        <v>GŁÓWNA</v>
      </c>
      <c r="L137">
        <f t="shared" si="17"/>
        <v>0</v>
      </c>
    </row>
    <row r="138" spans="1:12" x14ac:dyDescent="0.25">
      <c r="A138" s="6">
        <v>44331</v>
      </c>
      <c r="B138" s="4">
        <v>2350</v>
      </c>
      <c r="C138" s="4">
        <v>9230</v>
      </c>
      <c r="D138" s="4"/>
      <c r="E138" s="4"/>
      <c r="F138" s="4">
        <v>11580</v>
      </c>
      <c r="G138" t="b">
        <f t="shared" si="15"/>
        <v>0</v>
      </c>
      <c r="H138">
        <f t="shared" si="16"/>
        <v>5000</v>
      </c>
      <c r="I138" s="13">
        <f t="shared" si="18"/>
        <v>31720</v>
      </c>
      <c r="J138" s="11">
        <f t="shared" si="13"/>
        <v>20140</v>
      </c>
      <c r="K138" s="11" t="str">
        <f t="shared" si="14"/>
        <v>GŁÓWNA</v>
      </c>
      <c r="L138">
        <f t="shared" si="17"/>
        <v>0</v>
      </c>
    </row>
    <row r="139" spans="1:12" x14ac:dyDescent="0.25">
      <c r="A139" s="6">
        <v>44332</v>
      </c>
      <c r="B139" s="4"/>
      <c r="C139" s="4"/>
      <c r="D139" s="4">
        <v>1200</v>
      </c>
      <c r="E139" s="4">
        <v>7370</v>
      </c>
      <c r="F139" s="4">
        <v>8570</v>
      </c>
      <c r="G139" t="b">
        <f t="shared" si="15"/>
        <v>0</v>
      </c>
      <c r="H139">
        <f t="shared" si="16"/>
        <v>5000</v>
      </c>
      <c r="I139" s="13">
        <f t="shared" si="18"/>
        <v>25140</v>
      </c>
      <c r="J139" s="11">
        <f t="shared" si="13"/>
        <v>16570</v>
      </c>
      <c r="K139" s="11" t="str">
        <f t="shared" si="14"/>
        <v>GŁÓWNA</v>
      </c>
      <c r="L139">
        <f t="shared" si="17"/>
        <v>0</v>
      </c>
    </row>
    <row r="140" spans="1:12" x14ac:dyDescent="0.25">
      <c r="A140" s="6">
        <v>44333</v>
      </c>
      <c r="B140" s="4"/>
      <c r="C140" s="4"/>
      <c r="D140" s="4">
        <v>2210</v>
      </c>
      <c r="E140" s="4"/>
      <c r="F140" s="4">
        <v>2210</v>
      </c>
      <c r="G140" t="b">
        <f t="shared" si="15"/>
        <v>1</v>
      </c>
      <c r="H140">
        <f t="shared" si="16"/>
        <v>12000</v>
      </c>
      <c r="I140" s="13">
        <f t="shared" si="18"/>
        <v>28570</v>
      </c>
      <c r="J140" s="11">
        <f t="shared" si="13"/>
        <v>26360</v>
      </c>
      <c r="K140" s="11" t="str">
        <f t="shared" si="14"/>
        <v>GŁÓWNA</v>
      </c>
      <c r="L140">
        <f t="shared" si="17"/>
        <v>0</v>
      </c>
    </row>
    <row r="141" spans="1:12" x14ac:dyDescent="0.25">
      <c r="A141" s="6">
        <v>44334</v>
      </c>
      <c r="B141" s="4">
        <v>4170</v>
      </c>
      <c r="C141" s="4"/>
      <c r="D141" s="4">
        <v>1170</v>
      </c>
      <c r="E141" s="4">
        <v>7330</v>
      </c>
      <c r="F141" s="4">
        <v>12670</v>
      </c>
      <c r="G141" t="b">
        <f t="shared" si="15"/>
        <v>1</v>
      </c>
      <c r="H141">
        <f t="shared" si="16"/>
        <v>12000</v>
      </c>
      <c r="I141" s="13">
        <f t="shared" si="18"/>
        <v>38360</v>
      </c>
      <c r="J141" s="11">
        <f t="shared" si="13"/>
        <v>25690</v>
      </c>
      <c r="K141" s="11" t="str">
        <f t="shared" si="14"/>
        <v>GŁÓWNA</v>
      </c>
      <c r="L141">
        <f t="shared" si="17"/>
        <v>0</v>
      </c>
    </row>
    <row r="142" spans="1:12" x14ac:dyDescent="0.25">
      <c r="A142" s="6">
        <v>44335</v>
      </c>
      <c r="B142" s="4">
        <v>6170</v>
      </c>
      <c r="C142" s="4">
        <v>5020</v>
      </c>
      <c r="D142" s="4">
        <v>4470</v>
      </c>
      <c r="E142" s="4">
        <v>8450</v>
      </c>
      <c r="F142" s="4">
        <v>24110</v>
      </c>
      <c r="G142" t="b">
        <f t="shared" si="15"/>
        <v>1</v>
      </c>
      <c r="H142">
        <f t="shared" si="16"/>
        <v>12000</v>
      </c>
      <c r="I142" s="13">
        <f t="shared" si="18"/>
        <v>37690</v>
      </c>
      <c r="J142" s="11">
        <f t="shared" si="13"/>
        <v>13580</v>
      </c>
      <c r="K142" s="11" t="str">
        <f t="shared" si="14"/>
        <v>GŁÓWNA</v>
      </c>
      <c r="L142">
        <f t="shared" si="17"/>
        <v>0</v>
      </c>
    </row>
    <row r="143" spans="1:12" x14ac:dyDescent="0.25">
      <c r="A143" s="6">
        <v>44336</v>
      </c>
      <c r="B143" s="4"/>
      <c r="C143" s="4"/>
      <c r="D143" s="4">
        <v>2250</v>
      </c>
      <c r="E143" s="4">
        <v>6050</v>
      </c>
      <c r="F143" s="4">
        <v>8300</v>
      </c>
      <c r="G143" t="b">
        <f t="shared" si="15"/>
        <v>1</v>
      </c>
      <c r="H143">
        <f t="shared" si="16"/>
        <v>12000</v>
      </c>
      <c r="I143" s="13">
        <f t="shared" si="18"/>
        <v>25580</v>
      </c>
      <c r="J143" s="11">
        <f t="shared" si="13"/>
        <v>17280</v>
      </c>
      <c r="K143" s="11" t="str">
        <f t="shared" si="14"/>
        <v>GŁÓWNA</v>
      </c>
      <c r="L143">
        <f t="shared" si="17"/>
        <v>0</v>
      </c>
    </row>
    <row r="144" spans="1:12" x14ac:dyDescent="0.25">
      <c r="A144" s="6">
        <v>44337</v>
      </c>
      <c r="B144" s="4"/>
      <c r="C144" s="4"/>
      <c r="D144" s="4"/>
      <c r="E144" s="4">
        <v>5490</v>
      </c>
      <c r="F144" s="4">
        <v>5490</v>
      </c>
      <c r="G144" t="b">
        <f t="shared" si="15"/>
        <v>1</v>
      </c>
      <c r="H144">
        <f t="shared" si="16"/>
        <v>12000</v>
      </c>
      <c r="I144" s="13">
        <f t="shared" si="18"/>
        <v>29280</v>
      </c>
      <c r="J144" s="11">
        <f t="shared" si="13"/>
        <v>23790</v>
      </c>
      <c r="K144" s="11" t="str">
        <f t="shared" si="14"/>
        <v>GŁÓWNA</v>
      </c>
      <c r="L144">
        <f t="shared" si="17"/>
        <v>0</v>
      </c>
    </row>
    <row r="145" spans="1:12" x14ac:dyDescent="0.25">
      <c r="A145" s="6">
        <v>44338</v>
      </c>
      <c r="B145" s="4">
        <v>9670</v>
      </c>
      <c r="C145" s="4">
        <v>3000</v>
      </c>
      <c r="D145" s="4"/>
      <c r="E145" s="4"/>
      <c r="F145" s="4">
        <v>12670</v>
      </c>
      <c r="G145" t="b">
        <f t="shared" si="15"/>
        <v>0</v>
      </c>
      <c r="H145">
        <f t="shared" si="16"/>
        <v>5000</v>
      </c>
      <c r="I145" s="13">
        <f t="shared" si="18"/>
        <v>28790</v>
      </c>
      <c r="J145" s="11">
        <f t="shared" si="13"/>
        <v>16120</v>
      </c>
      <c r="K145" s="11" t="str">
        <f t="shared" si="14"/>
        <v>GŁÓWNA</v>
      </c>
      <c r="L145">
        <f t="shared" si="17"/>
        <v>0</v>
      </c>
    </row>
    <row r="146" spans="1:12" x14ac:dyDescent="0.25">
      <c r="A146" s="6">
        <v>44339</v>
      </c>
      <c r="B146" s="4"/>
      <c r="C146" s="4">
        <v>3710</v>
      </c>
      <c r="D146" s="4">
        <v>4700</v>
      </c>
      <c r="E146" s="4">
        <v>2680</v>
      </c>
      <c r="F146" s="4">
        <v>11090</v>
      </c>
      <c r="G146" t="b">
        <f t="shared" si="15"/>
        <v>0</v>
      </c>
      <c r="H146">
        <f t="shared" si="16"/>
        <v>5000</v>
      </c>
      <c r="I146" s="13">
        <f t="shared" si="18"/>
        <v>21120</v>
      </c>
      <c r="J146" s="11">
        <f t="shared" si="13"/>
        <v>10030</v>
      </c>
      <c r="K146" s="11" t="str">
        <f t="shared" si="14"/>
        <v>GŁÓWNA</v>
      </c>
      <c r="L146">
        <f t="shared" si="17"/>
        <v>0</v>
      </c>
    </row>
    <row r="147" spans="1:12" x14ac:dyDescent="0.25">
      <c r="A147" s="6">
        <v>44340</v>
      </c>
      <c r="B147" s="4"/>
      <c r="C147" s="4"/>
      <c r="D147" s="4">
        <v>1830</v>
      </c>
      <c r="E147" s="4">
        <v>4100</v>
      </c>
      <c r="F147" s="4">
        <v>5930</v>
      </c>
      <c r="G147" t="b">
        <f t="shared" si="15"/>
        <v>1</v>
      </c>
      <c r="H147">
        <f t="shared" si="16"/>
        <v>12000</v>
      </c>
      <c r="I147" s="13">
        <f t="shared" si="18"/>
        <v>22030</v>
      </c>
      <c r="J147" s="11">
        <f t="shared" si="13"/>
        <v>16100</v>
      </c>
      <c r="K147" s="11" t="str">
        <f t="shared" si="14"/>
        <v>GŁÓWNA</v>
      </c>
      <c r="L147">
        <f t="shared" si="17"/>
        <v>0</v>
      </c>
    </row>
    <row r="148" spans="1:12" x14ac:dyDescent="0.25">
      <c r="A148" s="6">
        <v>44341</v>
      </c>
      <c r="B148" s="4">
        <v>9200</v>
      </c>
      <c r="C148" s="4">
        <v>7870</v>
      </c>
      <c r="D148" s="4"/>
      <c r="E148" s="4">
        <v>7160</v>
      </c>
      <c r="F148" s="4">
        <v>24230</v>
      </c>
      <c r="G148" t="b">
        <f t="shared" si="15"/>
        <v>1</v>
      </c>
      <c r="H148">
        <f t="shared" si="16"/>
        <v>12000</v>
      </c>
      <c r="I148" s="13">
        <f t="shared" si="18"/>
        <v>28100</v>
      </c>
      <c r="J148" s="11">
        <f t="shared" si="13"/>
        <v>3870</v>
      </c>
      <c r="K148" s="11" t="str">
        <f t="shared" si="14"/>
        <v>GŁÓWNA</v>
      </c>
      <c r="L148">
        <f t="shared" si="17"/>
        <v>0</v>
      </c>
    </row>
    <row r="149" spans="1:12" x14ac:dyDescent="0.25">
      <c r="A149" s="6">
        <v>44342</v>
      </c>
      <c r="B149" s="4"/>
      <c r="C149" s="4"/>
      <c r="D149" s="4">
        <v>4560</v>
      </c>
      <c r="E149" s="4">
        <v>7390</v>
      </c>
      <c r="F149" s="4">
        <v>11950</v>
      </c>
      <c r="G149" t="b">
        <f t="shared" si="15"/>
        <v>1</v>
      </c>
      <c r="H149">
        <f t="shared" si="16"/>
        <v>12000</v>
      </c>
      <c r="I149" s="13">
        <f t="shared" si="18"/>
        <v>15870</v>
      </c>
      <c r="J149" s="11">
        <f t="shared" si="13"/>
        <v>3920</v>
      </c>
      <c r="K149" s="11" t="str">
        <f t="shared" si="14"/>
        <v>GŁÓWNA</v>
      </c>
      <c r="L149">
        <f t="shared" si="17"/>
        <v>0</v>
      </c>
    </row>
    <row r="150" spans="1:12" x14ac:dyDescent="0.25">
      <c r="A150" s="6">
        <v>44343</v>
      </c>
      <c r="B150" s="4"/>
      <c r="C150" s="4">
        <v>8770</v>
      </c>
      <c r="D150" s="4">
        <v>3110</v>
      </c>
      <c r="E150" s="4">
        <v>8680</v>
      </c>
      <c r="F150" s="4">
        <v>20560</v>
      </c>
      <c r="G150" t="b">
        <f t="shared" si="15"/>
        <v>1</v>
      </c>
      <c r="H150">
        <f t="shared" si="16"/>
        <v>12000</v>
      </c>
      <c r="I150" s="13">
        <f t="shared" si="18"/>
        <v>15920</v>
      </c>
      <c r="J150" s="11">
        <f t="shared" si="13"/>
        <v>4040</v>
      </c>
      <c r="K150" s="11" t="str">
        <f t="shared" si="14"/>
        <v>F4</v>
      </c>
      <c r="L150">
        <f t="shared" si="17"/>
        <v>8680</v>
      </c>
    </row>
    <row r="151" spans="1:12" x14ac:dyDescent="0.25">
      <c r="A151" s="6">
        <v>44344</v>
      </c>
      <c r="B151" s="4"/>
      <c r="C151" s="4">
        <v>6900</v>
      </c>
      <c r="D151" s="4">
        <v>9220</v>
      </c>
      <c r="E151" s="4"/>
      <c r="F151" s="4">
        <v>16120</v>
      </c>
      <c r="G151" t="b">
        <f t="shared" si="15"/>
        <v>1</v>
      </c>
      <c r="H151">
        <f t="shared" si="16"/>
        <v>12000</v>
      </c>
      <c r="I151" s="13">
        <f t="shared" si="18"/>
        <v>16040</v>
      </c>
      <c r="J151" s="11">
        <f t="shared" si="13"/>
        <v>9140</v>
      </c>
      <c r="K151" s="11" t="str">
        <f t="shared" si="14"/>
        <v>F3</v>
      </c>
      <c r="L151">
        <f t="shared" si="17"/>
        <v>9220</v>
      </c>
    </row>
    <row r="152" spans="1:12" x14ac:dyDescent="0.25">
      <c r="A152" s="6">
        <v>44345</v>
      </c>
      <c r="B152" s="4"/>
      <c r="C152" s="4"/>
      <c r="D152" s="4">
        <v>9740</v>
      </c>
      <c r="E152" s="4"/>
      <c r="F152" s="4">
        <v>9740</v>
      </c>
      <c r="G152" t="b">
        <f t="shared" si="15"/>
        <v>0</v>
      </c>
      <c r="H152">
        <f t="shared" si="16"/>
        <v>5000</v>
      </c>
      <c r="I152" s="13">
        <f t="shared" si="18"/>
        <v>14140</v>
      </c>
      <c r="J152" s="11">
        <f t="shared" si="13"/>
        <v>4400</v>
      </c>
      <c r="K152" s="11" t="str">
        <f t="shared" si="14"/>
        <v>GŁÓWNA</v>
      </c>
      <c r="L152">
        <f t="shared" si="17"/>
        <v>0</v>
      </c>
    </row>
    <row r="153" spans="1:12" x14ac:dyDescent="0.25">
      <c r="A153" s="6">
        <v>44346</v>
      </c>
      <c r="B153" s="4">
        <v>9950</v>
      </c>
      <c r="C153" s="4"/>
      <c r="D153" s="4">
        <v>4500</v>
      </c>
      <c r="E153" s="4"/>
      <c r="F153" s="4">
        <v>14450</v>
      </c>
      <c r="G153" t="b">
        <f t="shared" si="15"/>
        <v>0</v>
      </c>
      <c r="H153">
        <f t="shared" si="16"/>
        <v>5000</v>
      </c>
      <c r="I153" s="13">
        <f t="shared" si="18"/>
        <v>9400</v>
      </c>
      <c r="J153" s="11">
        <f t="shared" si="13"/>
        <v>9400</v>
      </c>
      <c r="K153" s="11" t="str">
        <f t="shared" si="14"/>
        <v>F1</v>
      </c>
      <c r="L153">
        <f t="shared" si="17"/>
        <v>14450</v>
      </c>
    </row>
    <row r="154" spans="1:12" x14ac:dyDescent="0.25">
      <c r="A154" s="6">
        <v>44347</v>
      </c>
      <c r="B154" s="4">
        <v>8880</v>
      </c>
      <c r="C154" s="4"/>
      <c r="D154" s="4">
        <v>9960</v>
      </c>
      <c r="E154" s="4">
        <v>4160</v>
      </c>
      <c r="F154" s="4">
        <v>23000</v>
      </c>
      <c r="G154" t="b">
        <f t="shared" si="15"/>
        <v>1</v>
      </c>
      <c r="H154">
        <f t="shared" si="16"/>
        <v>12000</v>
      </c>
      <c r="I154" s="13">
        <f t="shared" si="18"/>
        <v>21400</v>
      </c>
      <c r="J154" s="11">
        <f t="shared" si="13"/>
        <v>2560</v>
      </c>
      <c r="K154" s="11" t="str">
        <f t="shared" si="14"/>
        <v>F4</v>
      </c>
      <c r="L154">
        <f t="shared" si="17"/>
        <v>4160</v>
      </c>
    </row>
    <row r="155" spans="1:12" x14ac:dyDescent="0.25">
      <c r="A155" s="6">
        <v>44348</v>
      </c>
      <c r="B155" s="4"/>
      <c r="C155" s="4">
        <v>9040</v>
      </c>
      <c r="D155" s="4"/>
      <c r="E155" s="4">
        <v>6300</v>
      </c>
      <c r="F155" s="4">
        <v>15340</v>
      </c>
      <c r="G155" t="b">
        <f t="shared" si="15"/>
        <v>1</v>
      </c>
      <c r="H155">
        <f t="shared" si="16"/>
        <v>12000</v>
      </c>
      <c r="I155" s="13">
        <f t="shared" si="18"/>
        <v>14560</v>
      </c>
      <c r="J155" s="11">
        <f t="shared" si="13"/>
        <v>5520</v>
      </c>
      <c r="K155" s="11" t="str">
        <f t="shared" si="14"/>
        <v>F4</v>
      </c>
      <c r="L155">
        <f t="shared" si="17"/>
        <v>6300</v>
      </c>
    </row>
    <row r="156" spans="1:12" x14ac:dyDescent="0.25">
      <c r="A156" s="6">
        <v>44349</v>
      </c>
      <c r="B156" s="4"/>
      <c r="C156" s="4">
        <v>8880</v>
      </c>
      <c r="D156" s="4"/>
      <c r="E156" s="4"/>
      <c r="F156" s="4">
        <v>8880</v>
      </c>
      <c r="G156" t="b">
        <f t="shared" si="15"/>
        <v>1</v>
      </c>
      <c r="H156">
        <f t="shared" si="16"/>
        <v>12000</v>
      </c>
      <c r="I156" s="13">
        <f t="shared" si="18"/>
        <v>17520</v>
      </c>
      <c r="J156" s="11">
        <f t="shared" si="13"/>
        <v>8640</v>
      </c>
      <c r="K156" s="11" t="str">
        <f t="shared" si="14"/>
        <v>GŁÓWNA</v>
      </c>
      <c r="L156">
        <f t="shared" si="17"/>
        <v>0</v>
      </c>
    </row>
    <row r="157" spans="1:12" x14ac:dyDescent="0.25">
      <c r="A157" s="6">
        <v>44350</v>
      </c>
      <c r="B157" s="4">
        <v>6010</v>
      </c>
      <c r="C157" s="4"/>
      <c r="D157" s="4">
        <v>5030</v>
      </c>
      <c r="E157" s="4"/>
      <c r="F157" s="4">
        <v>11040</v>
      </c>
      <c r="G157" t="b">
        <f t="shared" si="15"/>
        <v>1</v>
      </c>
      <c r="H157">
        <f t="shared" si="16"/>
        <v>12000</v>
      </c>
      <c r="I157" s="13">
        <f t="shared" si="18"/>
        <v>20640</v>
      </c>
      <c r="J157" s="11">
        <f t="shared" si="13"/>
        <v>9600</v>
      </c>
      <c r="K157" s="11" t="str">
        <f t="shared" si="14"/>
        <v>GŁÓWNA</v>
      </c>
      <c r="L157">
        <f t="shared" si="17"/>
        <v>0</v>
      </c>
    </row>
    <row r="158" spans="1:12" x14ac:dyDescent="0.25">
      <c r="A158" s="6">
        <v>44351</v>
      </c>
      <c r="B158" s="4"/>
      <c r="C158" s="4"/>
      <c r="D158" s="4"/>
      <c r="E158" s="4">
        <v>8880</v>
      </c>
      <c r="F158" s="4">
        <v>8880</v>
      </c>
      <c r="G158" t="b">
        <f t="shared" si="15"/>
        <v>1</v>
      </c>
      <c r="H158">
        <f t="shared" si="16"/>
        <v>12000</v>
      </c>
      <c r="I158" s="13">
        <f t="shared" si="18"/>
        <v>21600</v>
      </c>
      <c r="J158" s="11">
        <f t="shared" si="13"/>
        <v>12720</v>
      </c>
      <c r="K158" s="11" t="str">
        <f t="shared" si="14"/>
        <v>GŁÓWNA</v>
      </c>
      <c r="L158">
        <f t="shared" si="17"/>
        <v>0</v>
      </c>
    </row>
    <row r="159" spans="1:12" x14ac:dyDescent="0.25">
      <c r="A159" s="6">
        <v>44352</v>
      </c>
      <c r="B159" s="4"/>
      <c r="C159" s="4"/>
      <c r="D159" s="4">
        <v>5490</v>
      </c>
      <c r="E159" s="4"/>
      <c r="F159" s="4">
        <v>5490</v>
      </c>
      <c r="G159" t="b">
        <f t="shared" si="15"/>
        <v>0</v>
      </c>
      <c r="H159">
        <f t="shared" si="16"/>
        <v>5000</v>
      </c>
      <c r="I159" s="13">
        <f t="shared" si="18"/>
        <v>17720</v>
      </c>
      <c r="J159" s="11">
        <f t="shared" si="13"/>
        <v>12230</v>
      </c>
      <c r="K159" s="11" t="str">
        <f t="shared" si="14"/>
        <v>GŁÓWNA</v>
      </c>
      <c r="L159">
        <f t="shared" si="17"/>
        <v>0</v>
      </c>
    </row>
    <row r="160" spans="1:12" x14ac:dyDescent="0.25">
      <c r="A160" s="6">
        <v>44353</v>
      </c>
      <c r="B160" s="4"/>
      <c r="C160" s="4">
        <v>9370</v>
      </c>
      <c r="D160" s="4">
        <v>6790</v>
      </c>
      <c r="E160" s="4"/>
      <c r="F160" s="4">
        <v>16160</v>
      </c>
      <c r="G160" t="b">
        <f t="shared" si="15"/>
        <v>0</v>
      </c>
      <c r="H160">
        <f t="shared" si="16"/>
        <v>5000</v>
      </c>
      <c r="I160" s="13">
        <f t="shared" si="18"/>
        <v>17230</v>
      </c>
      <c r="J160" s="11">
        <f t="shared" si="13"/>
        <v>1070</v>
      </c>
      <c r="K160" s="11" t="str">
        <f t="shared" si="14"/>
        <v>GŁÓWNA</v>
      </c>
      <c r="L160">
        <f t="shared" si="17"/>
        <v>0</v>
      </c>
    </row>
    <row r="161" spans="1:12" x14ac:dyDescent="0.25">
      <c r="A161" s="6">
        <v>44354</v>
      </c>
      <c r="B161" s="4"/>
      <c r="C161" s="4">
        <v>7020</v>
      </c>
      <c r="D161" s="4">
        <v>5530</v>
      </c>
      <c r="E161" s="4">
        <v>2540</v>
      </c>
      <c r="F161" s="4">
        <v>15090</v>
      </c>
      <c r="G161" t="b">
        <f t="shared" si="15"/>
        <v>1</v>
      </c>
      <c r="H161">
        <f t="shared" si="16"/>
        <v>12000</v>
      </c>
      <c r="I161" s="13">
        <f t="shared" si="18"/>
        <v>13070</v>
      </c>
      <c r="J161" s="11">
        <f t="shared" si="13"/>
        <v>520</v>
      </c>
      <c r="K161" s="11" t="str">
        <f t="shared" si="14"/>
        <v>F4</v>
      </c>
      <c r="L161">
        <f t="shared" si="17"/>
        <v>2540</v>
      </c>
    </row>
    <row r="162" spans="1:12" x14ac:dyDescent="0.25">
      <c r="A162" s="6">
        <v>44355</v>
      </c>
      <c r="B162" s="4"/>
      <c r="C162" s="4"/>
      <c r="D162" s="4"/>
      <c r="E162" s="4">
        <v>2330</v>
      </c>
      <c r="F162" s="4">
        <v>2330</v>
      </c>
      <c r="G162" t="b">
        <f t="shared" si="15"/>
        <v>1</v>
      </c>
      <c r="H162">
        <f t="shared" si="16"/>
        <v>12000</v>
      </c>
      <c r="I162" s="13">
        <f t="shared" si="18"/>
        <v>12520</v>
      </c>
      <c r="J162" s="11">
        <f t="shared" si="13"/>
        <v>10190</v>
      </c>
      <c r="K162" s="11" t="str">
        <f t="shared" si="14"/>
        <v>GŁÓWNA</v>
      </c>
      <c r="L162">
        <f t="shared" si="17"/>
        <v>0</v>
      </c>
    </row>
    <row r="163" spans="1:12" x14ac:dyDescent="0.25">
      <c r="A163" s="6">
        <v>44356</v>
      </c>
      <c r="B163" s="4">
        <v>6150</v>
      </c>
      <c r="C163" s="4"/>
      <c r="D163" s="4">
        <v>5550</v>
      </c>
      <c r="E163" s="4"/>
      <c r="F163" s="4">
        <v>11700</v>
      </c>
      <c r="G163" t="b">
        <f t="shared" si="15"/>
        <v>1</v>
      </c>
      <c r="H163">
        <f t="shared" si="16"/>
        <v>12000</v>
      </c>
      <c r="I163" s="13">
        <f t="shared" si="18"/>
        <v>22190</v>
      </c>
      <c r="J163" s="11">
        <f t="shared" si="13"/>
        <v>10490</v>
      </c>
      <c r="K163" s="11" t="str">
        <f t="shared" si="14"/>
        <v>GŁÓWNA</v>
      </c>
      <c r="L163">
        <f t="shared" si="17"/>
        <v>0</v>
      </c>
    </row>
    <row r="164" spans="1:12" x14ac:dyDescent="0.25">
      <c r="A164" s="6">
        <v>44357</v>
      </c>
      <c r="B164" s="4"/>
      <c r="C164" s="4">
        <v>3220</v>
      </c>
      <c r="D164" s="4">
        <v>4330</v>
      </c>
      <c r="E164" s="4">
        <v>4000</v>
      </c>
      <c r="F164" s="4">
        <v>11550</v>
      </c>
      <c r="G164" t="b">
        <f t="shared" si="15"/>
        <v>1</v>
      </c>
      <c r="H164">
        <f t="shared" si="16"/>
        <v>12000</v>
      </c>
      <c r="I164" s="13">
        <f t="shared" si="18"/>
        <v>22490</v>
      </c>
      <c r="J164" s="11">
        <f t="shared" si="13"/>
        <v>10940</v>
      </c>
      <c r="K164" s="11" t="str">
        <f t="shared" si="14"/>
        <v>GŁÓWNA</v>
      </c>
      <c r="L164">
        <f t="shared" si="17"/>
        <v>0</v>
      </c>
    </row>
    <row r="165" spans="1:12" x14ac:dyDescent="0.25">
      <c r="A165" s="6">
        <v>44358</v>
      </c>
      <c r="B165" s="4">
        <v>8900</v>
      </c>
      <c r="C165" s="4">
        <v>4970</v>
      </c>
      <c r="D165" s="4"/>
      <c r="E165" s="4"/>
      <c r="F165" s="4">
        <v>13870</v>
      </c>
      <c r="G165" t="b">
        <f t="shared" si="15"/>
        <v>1</v>
      </c>
      <c r="H165">
        <f t="shared" si="16"/>
        <v>12000</v>
      </c>
      <c r="I165" s="13">
        <f t="shared" si="18"/>
        <v>22940</v>
      </c>
      <c r="J165" s="11">
        <f t="shared" si="13"/>
        <v>9070</v>
      </c>
      <c r="K165" s="11" t="str">
        <f t="shared" si="14"/>
        <v>GŁÓWNA</v>
      </c>
      <c r="L165">
        <f t="shared" si="17"/>
        <v>0</v>
      </c>
    </row>
    <row r="166" spans="1:12" x14ac:dyDescent="0.25">
      <c r="A166" s="6">
        <v>44359</v>
      </c>
      <c r="B166" s="4"/>
      <c r="C166" s="4"/>
      <c r="D166" s="4">
        <v>2240</v>
      </c>
      <c r="E166" s="4">
        <v>5340</v>
      </c>
      <c r="F166" s="4">
        <v>7580</v>
      </c>
      <c r="G166" t="b">
        <f t="shared" si="15"/>
        <v>0</v>
      </c>
      <c r="H166">
        <f t="shared" si="16"/>
        <v>5000</v>
      </c>
      <c r="I166" s="13">
        <f t="shared" si="18"/>
        <v>14070</v>
      </c>
      <c r="J166" s="11">
        <f t="shared" si="13"/>
        <v>6490</v>
      </c>
      <c r="K166" s="11" t="str">
        <f t="shared" si="14"/>
        <v>GŁÓWNA</v>
      </c>
      <c r="L166">
        <f t="shared" si="17"/>
        <v>0</v>
      </c>
    </row>
    <row r="167" spans="1:12" x14ac:dyDescent="0.25">
      <c r="A167" s="6">
        <v>44360</v>
      </c>
      <c r="B167" s="4">
        <v>7960</v>
      </c>
      <c r="C167" s="4"/>
      <c r="D167" s="4">
        <v>1810</v>
      </c>
      <c r="E167" s="4">
        <v>9400</v>
      </c>
      <c r="F167" s="4">
        <v>19170</v>
      </c>
      <c r="G167" t="b">
        <f t="shared" si="15"/>
        <v>0</v>
      </c>
      <c r="H167">
        <f t="shared" si="16"/>
        <v>5000</v>
      </c>
      <c r="I167" s="13">
        <f t="shared" si="18"/>
        <v>11490</v>
      </c>
      <c r="J167" s="11">
        <f t="shared" si="13"/>
        <v>1720</v>
      </c>
      <c r="K167" s="11" t="str">
        <f t="shared" si="14"/>
        <v>F4</v>
      </c>
      <c r="L167">
        <f t="shared" si="17"/>
        <v>9400</v>
      </c>
    </row>
    <row r="168" spans="1:12" x14ac:dyDescent="0.25">
      <c r="A168" s="6">
        <v>44361</v>
      </c>
      <c r="B168" s="4"/>
      <c r="C168" s="4">
        <v>5380</v>
      </c>
      <c r="D168" s="4">
        <v>1230</v>
      </c>
      <c r="E168" s="4">
        <v>4220</v>
      </c>
      <c r="F168" s="4">
        <v>10830</v>
      </c>
      <c r="G168" t="b">
        <f t="shared" si="15"/>
        <v>1</v>
      </c>
      <c r="H168">
        <f t="shared" si="16"/>
        <v>12000</v>
      </c>
      <c r="I168" s="13">
        <f t="shared" si="18"/>
        <v>13720</v>
      </c>
      <c r="J168" s="11">
        <f t="shared" si="13"/>
        <v>2890</v>
      </c>
      <c r="K168" s="11" t="str">
        <f t="shared" si="14"/>
        <v>GŁÓWNA</v>
      </c>
      <c r="L168">
        <f t="shared" si="17"/>
        <v>0</v>
      </c>
    </row>
    <row r="169" spans="1:12" x14ac:dyDescent="0.25">
      <c r="A169" s="6">
        <v>44362</v>
      </c>
      <c r="B169" s="4">
        <v>7950</v>
      </c>
      <c r="C169" s="4">
        <v>1920</v>
      </c>
      <c r="D169" s="4"/>
      <c r="E169" s="4">
        <v>6790</v>
      </c>
      <c r="F169" s="4">
        <v>16660</v>
      </c>
      <c r="G169" t="b">
        <f t="shared" si="15"/>
        <v>1</v>
      </c>
      <c r="H169">
        <f t="shared" si="16"/>
        <v>12000</v>
      </c>
      <c r="I169" s="13">
        <f t="shared" si="18"/>
        <v>14890</v>
      </c>
      <c r="J169" s="11">
        <f t="shared" si="13"/>
        <v>5020</v>
      </c>
      <c r="K169" s="11" t="str">
        <f t="shared" si="14"/>
        <v>F4</v>
      </c>
      <c r="L169">
        <f t="shared" si="17"/>
        <v>6790</v>
      </c>
    </row>
    <row r="170" spans="1:12" x14ac:dyDescent="0.25">
      <c r="A170" s="6">
        <v>44363</v>
      </c>
      <c r="B170" s="4"/>
      <c r="C170" s="4"/>
      <c r="D170" s="4">
        <v>3020</v>
      </c>
      <c r="E170" s="4"/>
      <c r="F170" s="4">
        <v>3020</v>
      </c>
      <c r="G170" t="b">
        <f t="shared" si="15"/>
        <v>1</v>
      </c>
      <c r="H170">
        <f t="shared" si="16"/>
        <v>12000</v>
      </c>
      <c r="I170" s="13">
        <f t="shared" si="18"/>
        <v>17020</v>
      </c>
      <c r="J170" s="11">
        <f t="shared" si="13"/>
        <v>14000</v>
      </c>
      <c r="K170" s="11" t="str">
        <f t="shared" si="14"/>
        <v>GŁÓWNA</v>
      </c>
      <c r="L170">
        <f t="shared" si="17"/>
        <v>0</v>
      </c>
    </row>
    <row r="171" spans="1:12" x14ac:dyDescent="0.25">
      <c r="A171" s="6">
        <v>44364</v>
      </c>
      <c r="B171" s="4">
        <v>6390</v>
      </c>
      <c r="C171" s="4"/>
      <c r="D171" s="4">
        <v>4180</v>
      </c>
      <c r="E171" s="4">
        <v>7990</v>
      </c>
      <c r="F171" s="4">
        <v>18560</v>
      </c>
      <c r="G171" t="b">
        <f t="shared" si="15"/>
        <v>1</v>
      </c>
      <c r="H171">
        <f t="shared" si="16"/>
        <v>12000</v>
      </c>
      <c r="I171" s="13">
        <f t="shared" si="18"/>
        <v>26000</v>
      </c>
      <c r="J171" s="11">
        <f t="shared" si="13"/>
        <v>7440</v>
      </c>
      <c r="K171" s="11" t="str">
        <f t="shared" si="14"/>
        <v>GŁÓWNA</v>
      </c>
      <c r="L171">
        <f t="shared" si="17"/>
        <v>0</v>
      </c>
    </row>
    <row r="172" spans="1:12" x14ac:dyDescent="0.25">
      <c r="A172" s="6">
        <v>44365</v>
      </c>
      <c r="B172" s="4">
        <v>8070</v>
      </c>
      <c r="C172" s="4">
        <v>7940</v>
      </c>
      <c r="D172" s="4">
        <v>9420</v>
      </c>
      <c r="E172" s="4">
        <v>6060</v>
      </c>
      <c r="F172" s="4">
        <v>31490</v>
      </c>
      <c r="G172" t="b">
        <f t="shared" si="15"/>
        <v>1</v>
      </c>
      <c r="H172">
        <f t="shared" si="16"/>
        <v>12000</v>
      </c>
      <c r="I172" s="13">
        <f t="shared" si="18"/>
        <v>19440</v>
      </c>
      <c r="J172" s="11">
        <f t="shared" si="13"/>
        <v>3430</v>
      </c>
      <c r="K172" s="11" t="str">
        <f t="shared" si="14"/>
        <v>F3</v>
      </c>
      <c r="L172">
        <f t="shared" si="17"/>
        <v>15480</v>
      </c>
    </row>
    <row r="173" spans="1:12" x14ac:dyDescent="0.25">
      <c r="A173" s="6">
        <v>44366</v>
      </c>
      <c r="B173" s="4"/>
      <c r="C173" s="4">
        <v>4440</v>
      </c>
      <c r="D173" s="4"/>
      <c r="E173" s="4"/>
      <c r="F173" s="4">
        <v>4440</v>
      </c>
      <c r="G173" t="b">
        <f t="shared" si="15"/>
        <v>0</v>
      </c>
      <c r="H173">
        <f t="shared" si="16"/>
        <v>5000</v>
      </c>
      <c r="I173" s="13">
        <f t="shared" si="18"/>
        <v>8430</v>
      </c>
      <c r="J173" s="11">
        <f t="shared" si="13"/>
        <v>3990</v>
      </c>
      <c r="K173" s="11" t="str">
        <f t="shared" si="14"/>
        <v>GŁÓWNA</v>
      </c>
      <c r="L173">
        <f t="shared" si="17"/>
        <v>0</v>
      </c>
    </row>
    <row r="174" spans="1:12" x14ac:dyDescent="0.25">
      <c r="A174" s="6">
        <v>44367</v>
      </c>
      <c r="B174" s="4"/>
      <c r="C174" s="4">
        <v>3010</v>
      </c>
      <c r="D174" s="4">
        <v>1060</v>
      </c>
      <c r="E174" s="4"/>
      <c r="F174" s="4">
        <v>4070</v>
      </c>
      <c r="G174" t="b">
        <f t="shared" si="15"/>
        <v>0</v>
      </c>
      <c r="H174">
        <f t="shared" si="16"/>
        <v>5000</v>
      </c>
      <c r="I174" s="13">
        <f t="shared" si="18"/>
        <v>8990</v>
      </c>
      <c r="J174" s="11">
        <f t="shared" si="13"/>
        <v>4920</v>
      </c>
      <c r="K174" s="11" t="str">
        <f t="shared" si="14"/>
        <v>GŁÓWNA</v>
      </c>
      <c r="L174">
        <f t="shared" si="17"/>
        <v>0</v>
      </c>
    </row>
    <row r="175" spans="1:12" x14ac:dyDescent="0.25">
      <c r="A175" s="6">
        <v>44368</v>
      </c>
      <c r="B175" s="4"/>
      <c r="C175" s="4">
        <v>5970</v>
      </c>
      <c r="D175" s="4"/>
      <c r="E175" s="4">
        <v>1180</v>
      </c>
      <c r="F175" s="4">
        <v>7150</v>
      </c>
      <c r="G175" t="b">
        <f t="shared" si="15"/>
        <v>1</v>
      </c>
      <c r="H175">
        <f t="shared" si="16"/>
        <v>12000</v>
      </c>
      <c r="I175" s="13">
        <f t="shared" si="18"/>
        <v>16920</v>
      </c>
      <c r="J175" s="11">
        <f t="shared" si="13"/>
        <v>9770</v>
      </c>
      <c r="K175" s="11" t="str">
        <f t="shared" si="14"/>
        <v>GŁÓWNA</v>
      </c>
      <c r="L175">
        <f t="shared" si="17"/>
        <v>0</v>
      </c>
    </row>
    <row r="176" spans="1:12" x14ac:dyDescent="0.25">
      <c r="A176" s="6">
        <v>44369</v>
      </c>
      <c r="B176" s="4"/>
      <c r="C176" s="4"/>
      <c r="D176" s="4"/>
      <c r="E176" s="4">
        <v>1510</v>
      </c>
      <c r="F176" s="4">
        <v>1510</v>
      </c>
      <c r="G176" t="b">
        <f t="shared" si="15"/>
        <v>1</v>
      </c>
      <c r="H176">
        <f t="shared" si="16"/>
        <v>12000</v>
      </c>
      <c r="I176" s="13">
        <f t="shared" si="18"/>
        <v>21770</v>
      </c>
      <c r="J176" s="11">
        <f t="shared" si="13"/>
        <v>20260</v>
      </c>
      <c r="K176" s="11" t="str">
        <f t="shared" si="14"/>
        <v>GŁÓWNA</v>
      </c>
      <c r="L176">
        <f t="shared" si="17"/>
        <v>0</v>
      </c>
    </row>
    <row r="177" spans="1:12" x14ac:dyDescent="0.25">
      <c r="A177" s="6">
        <v>44370</v>
      </c>
      <c r="B177" s="4">
        <v>5610</v>
      </c>
      <c r="C177" s="4">
        <v>4850</v>
      </c>
      <c r="D177" s="4"/>
      <c r="E177" s="4"/>
      <c r="F177" s="4">
        <v>10460</v>
      </c>
      <c r="G177" t="b">
        <f t="shared" si="15"/>
        <v>1</v>
      </c>
      <c r="H177">
        <f t="shared" si="16"/>
        <v>12000</v>
      </c>
      <c r="I177" s="13">
        <f t="shared" si="18"/>
        <v>32260</v>
      </c>
      <c r="J177" s="11">
        <f t="shared" si="13"/>
        <v>21800</v>
      </c>
      <c r="K177" s="11" t="str">
        <f t="shared" si="14"/>
        <v>GŁÓWNA</v>
      </c>
      <c r="L177">
        <f t="shared" si="17"/>
        <v>0</v>
      </c>
    </row>
    <row r="178" spans="1:12" x14ac:dyDescent="0.25">
      <c r="A178" s="6">
        <v>44371</v>
      </c>
      <c r="B178" s="4">
        <v>3640</v>
      </c>
      <c r="C178" s="4"/>
      <c r="D178" s="4"/>
      <c r="E178" s="4"/>
      <c r="F178" s="4">
        <v>3640</v>
      </c>
      <c r="G178" t="b">
        <f t="shared" si="15"/>
        <v>1</v>
      </c>
      <c r="H178">
        <f t="shared" si="16"/>
        <v>12000</v>
      </c>
      <c r="I178" s="13">
        <f t="shared" si="18"/>
        <v>33800</v>
      </c>
      <c r="J178" s="11">
        <f t="shared" si="13"/>
        <v>30160</v>
      </c>
      <c r="K178" s="11" t="str">
        <f t="shared" si="14"/>
        <v>GŁÓWNA</v>
      </c>
      <c r="L178">
        <f t="shared" si="17"/>
        <v>0</v>
      </c>
    </row>
    <row r="179" spans="1:12" x14ac:dyDescent="0.25">
      <c r="A179" s="6">
        <v>44372</v>
      </c>
      <c r="B179" s="4">
        <v>6950</v>
      </c>
      <c r="C179" s="4">
        <v>3790</v>
      </c>
      <c r="D179" s="4"/>
      <c r="E179" s="4"/>
      <c r="F179" s="4">
        <v>10740</v>
      </c>
      <c r="G179" t="b">
        <f t="shared" si="15"/>
        <v>1</v>
      </c>
      <c r="H179">
        <f t="shared" si="16"/>
        <v>12000</v>
      </c>
      <c r="I179" s="13">
        <f t="shared" si="18"/>
        <v>42160</v>
      </c>
      <c r="J179" s="11">
        <f t="shared" si="13"/>
        <v>31420</v>
      </c>
      <c r="K179" s="11" t="str">
        <f t="shared" si="14"/>
        <v>GŁÓWNA</v>
      </c>
      <c r="L179">
        <f t="shared" si="17"/>
        <v>0</v>
      </c>
    </row>
    <row r="180" spans="1:12" x14ac:dyDescent="0.25">
      <c r="A180" s="6">
        <v>44373</v>
      </c>
      <c r="B180" s="4"/>
      <c r="C180" s="4"/>
      <c r="D180" s="4"/>
      <c r="E180" s="4">
        <v>6570</v>
      </c>
      <c r="F180" s="4">
        <v>6570</v>
      </c>
      <c r="G180" t="b">
        <f t="shared" si="15"/>
        <v>0</v>
      </c>
      <c r="H180">
        <f t="shared" si="16"/>
        <v>5000</v>
      </c>
      <c r="I180" s="13">
        <f t="shared" si="18"/>
        <v>36420</v>
      </c>
      <c r="J180" s="11">
        <f t="shared" si="13"/>
        <v>29850</v>
      </c>
      <c r="K180" s="11" t="str">
        <f t="shared" si="14"/>
        <v>GŁÓWNA</v>
      </c>
      <c r="L180">
        <f t="shared" si="17"/>
        <v>0</v>
      </c>
    </row>
    <row r="181" spans="1:12" x14ac:dyDescent="0.25">
      <c r="A181" s="6">
        <v>44374</v>
      </c>
      <c r="B181" s="4">
        <v>6200</v>
      </c>
      <c r="C181" s="4"/>
      <c r="D181" s="4">
        <v>9010</v>
      </c>
      <c r="E181" s="4"/>
      <c r="F181" s="4">
        <v>15210</v>
      </c>
      <c r="G181" t="b">
        <f t="shared" si="15"/>
        <v>0</v>
      </c>
      <c r="H181">
        <f t="shared" si="16"/>
        <v>5000</v>
      </c>
      <c r="I181" s="13">
        <f t="shared" si="18"/>
        <v>34850</v>
      </c>
      <c r="J181" s="11">
        <f t="shared" si="13"/>
        <v>19640</v>
      </c>
      <c r="K181" s="11" t="str">
        <f t="shared" si="14"/>
        <v>GŁÓWNA</v>
      </c>
      <c r="L181">
        <f t="shared" si="17"/>
        <v>0</v>
      </c>
    </row>
    <row r="182" spans="1:12" x14ac:dyDescent="0.25">
      <c r="A182" s="6">
        <v>44375</v>
      </c>
      <c r="B182" s="4"/>
      <c r="C182" s="4">
        <v>1510</v>
      </c>
      <c r="D182" s="4"/>
      <c r="E182" s="4"/>
      <c r="F182" s="4">
        <v>1510</v>
      </c>
      <c r="G182" t="b">
        <f t="shared" si="15"/>
        <v>1</v>
      </c>
      <c r="H182">
        <f t="shared" si="16"/>
        <v>12000</v>
      </c>
      <c r="I182" s="13">
        <f t="shared" si="18"/>
        <v>31640</v>
      </c>
      <c r="J182" s="11">
        <f t="shared" si="13"/>
        <v>30130</v>
      </c>
      <c r="K182" s="11" t="str">
        <f t="shared" si="14"/>
        <v>GŁÓWNA</v>
      </c>
      <c r="L182">
        <f t="shared" si="17"/>
        <v>0</v>
      </c>
    </row>
    <row r="183" spans="1:12" x14ac:dyDescent="0.25">
      <c r="A183" s="6">
        <v>44376</v>
      </c>
      <c r="B183" s="4">
        <v>6310</v>
      </c>
      <c r="C183" s="4"/>
      <c r="D183" s="4">
        <v>2910</v>
      </c>
      <c r="E183" s="4"/>
      <c r="F183" s="4">
        <v>9220</v>
      </c>
      <c r="G183" t="b">
        <f t="shared" si="15"/>
        <v>1</v>
      </c>
      <c r="H183">
        <f t="shared" si="16"/>
        <v>12000</v>
      </c>
      <c r="I183" s="13">
        <f t="shared" si="18"/>
        <v>42130</v>
      </c>
      <c r="J183" s="11">
        <f t="shared" si="13"/>
        <v>32910</v>
      </c>
      <c r="K183" s="11" t="str">
        <f t="shared" si="14"/>
        <v>GŁÓWNA</v>
      </c>
      <c r="L183">
        <f t="shared" si="17"/>
        <v>0</v>
      </c>
    </row>
    <row r="184" spans="1:12" x14ac:dyDescent="0.25">
      <c r="A184" s="6">
        <v>44377</v>
      </c>
      <c r="B184" s="4">
        <v>7110</v>
      </c>
      <c r="C184" s="4">
        <v>8140</v>
      </c>
      <c r="D184" s="4"/>
      <c r="E184" s="4">
        <v>2540</v>
      </c>
      <c r="F184" s="4">
        <v>17790</v>
      </c>
      <c r="G184" t="b">
        <f t="shared" si="15"/>
        <v>1</v>
      </c>
      <c r="H184">
        <f t="shared" si="16"/>
        <v>12000</v>
      </c>
      <c r="I184" s="13">
        <f t="shared" si="18"/>
        <v>44910</v>
      </c>
      <c r="J184" s="11">
        <f t="shared" si="13"/>
        <v>27120</v>
      </c>
      <c r="K184" s="11" t="str">
        <f t="shared" si="14"/>
        <v>GŁÓWNA</v>
      </c>
      <c r="L184">
        <f t="shared" si="17"/>
        <v>0</v>
      </c>
    </row>
    <row r="185" spans="1:12" x14ac:dyDescent="0.25">
      <c r="A185" s="6">
        <v>44378</v>
      </c>
      <c r="B185" s="4"/>
      <c r="C185" s="4">
        <v>5840</v>
      </c>
      <c r="D185" s="4">
        <v>1740</v>
      </c>
      <c r="E185" s="4"/>
      <c r="F185" s="4">
        <v>7580</v>
      </c>
      <c r="G185" t="b">
        <f t="shared" si="15"/>
        <v>1</v>
      </c>
      <c r="H185">
        <f t="shared" si="16"/>
        <v>12000</v>
      </c>
      <c r="I185" s="13">
        <f t="shared" si="18"/>
        <v>39120</v>
      </c>
      <c r="J185" s="11">
        <f t="shared" si="13"/>
        <v>31540</v>
      </c>
      <c r="K185" s="11" t="str">
        <f t="shared" si="14"/>
        <v>GŁÓWNA</v>
      </c>
      <c r="L185">
        <f t="shared" si="17"/>
        <v>0</v>
      </c>
    </row>
    <row r="186" spans="1:12" x14ac:dyDescent="0.25">
      <c r="A186" s="6">
        <v>44379</v>
      </c>
      <c r="B186" s="4"/>
      <c r="C186" s="4">
        <v>4000</v>
      </c>
      <c r="D186" s="4"/>
      <c r="E186" s="4">
        <v>3170</v>
      </c>
      <c r="F186" s="4">
        <v>7170</v>
      </c>
      <c r="G186" t="b">
        <f t="shared" si="15"/>
        <v>1</v>
      </c>
      <c r="H186">
        <f t="shared" si="16"/>
        <v>12000</v>
      </c>
      <c r="I186" s="13">
        <f t="shared" si="18"/>
        <v>43540</v>
      </c>
      <c r="J186" s="11">
        <f t="shared" si="13"/>
        <v>36370</v>
      </c>
      <c r="K186" s="11" t="str">
        <f t="shared" si="14"/>
        <v>GŁÓWNA</v>
      </c>
      <c r="L186">
        <f t="shared" si="17"/>
        <v>0</v>
      </c>
    </row>
    <row r="187" spans="1:12" x14ac:dyDescent="0.25">
      <c r="A187" s="6">
        <v>44380</v>
      </c>
      <c r="B187" s="4"/>
      <c r="C187" s="4"/>
      <c r="D187" s="4">
        <v>4600</v>
      </c>
      <c r="E187" s="4">
        <v>9870</v>
      </c>
      <c r="F187" s="4">
        <v>14470</v>
      </c>
      <c r="G187" t="b">
        <f t="shared" si="15"/>
        <v>0</v>
      </c>
      <c r="H187">
        <f t="shared" si="16"/>
        <v>5000</v>
      </c>
      <c r="I187" s="13">
        <f t="shared" si="18"/>
        <v>41370</v>
      </c>
      <c r="J187" s="11">
        <f t="shared" si="13"/>
        <v>26900</v>
      </c>
      <c r="K187" s="11" t="str">
        <f t="shared" si="14"/>
        <v>GŁÓWNA</v>
      </c>
      <c r="L187">
        <f t="shared" si="17"/>
        <v>0</v>
      </c>
    </row>
    <row r="188" spans="1:12" x14ac:dyDescent="0.25">
      <c r="A188" s="6">
        <v>44381</v>
      </c>
      <c r="B188" s="4"/>
      <c r="C188" s="4"/>
      <c r="D188" s="4"/>
      <c r="E188" s="4">
        <v>9390</v>
      </c>
      <c r="F188" s="4">
        <v>9390</v>
      </c>
      <c r="G188" t="b">
        <f t="shared" si="15"/>
        <v>0</v>
      </c>
      <c r="H188">
        <f t="shared" si="16"/>
        <v>5000</v>
      </c>
      <c r="I188" s="13">
        <f t="shared" si="18"/>
        <v>31900</v>
      </c>
      <c r="J188" s="11">
        <f t="shared" si="13"/>
        <v>22510</v>
      </c>
      <c r="K188" s="11" t="str">
        <f t="shared" si="14"/>
        <v>GŁÓWNA</v>
      </c>
      <c r="L188">
        <f t="shared" si="17"/>
        <v>0</v>
      </c>
    </row>
    <row r="189" spans="1:12" x14ac:dyDescent="0.25">
      <c r="A189" s="6">
        <v>44382</v>
      </c>
      <c r="B189" s="4"/>
      <c r="C189" s="4">
        <v>1300</v>
      </c>
      <c r="D189" s="4">
        <v>2650</v>
      </c>
      <c r="E189" s="4"/>
      <c r="F189" s="4">
        <v>3950</v>
      </c>
      <c r="G189" t="b">
        <f t="shared" si="15"/>
        <v>1</v>
      </c>
      <c r="H189">
        <f t="shared" si="16"/>
        <v>12000</v>
      </c>
      <c r="I189" s="13">
        <f t="shared" si="18"/>
        <v>34510</v>
      </c>
      <c r="J189" s="11">
        <f t="shared" si="13"/>
        <v>30560</v>
      </c>
      <c r="K189" s="11" t="str">
        <f t="shared" si="14"/>
        <v>GŁÓWNA</v>
      </c>
      <c r="L189">
        <f t="shared" si="17"/>
        <v>0</v>
      </c>
    </row>
    <row r="190" spans="1:12" x14ac:dyDescent="0.25">
      <c r="A190" s="6">
        <v>44383</v>
      </c>
      <c r="B190" s="4"/>
      <c r="C190" s="4"/>
      <c r="D190" s="4">
        <v>4460</v>
      </c>
      <c r="E190" s="4">
        <v>4060</v>
      </c>
      <c r="F190" s="4">
        <v>8520</v>
      </c>
      <c r="G190" t="b">
        <f t="shared" si="15"/>
        <v>1</v>
      </c>
      <c r="H190">
        <f t="shared" si="16"/>
        <v>12000</v>
      </c>
      <c r="I190" s="13">
        <f t="shared" si="18"/>
        <v>42560</v>
      </c>
      <c r="J190" s="11">
        <f t="shared" si="13"/>
        <v>34040</v>
      </c>
      <c r="K190" s="11" t="str">
        <f t="shared" si="14"/>
        <v>GŁÓWNA</v>
      </c>
      <c r="L190">
        <f t="shared" si="17"/>
        <v>0</v>
      </c>
    </row>
    <row r="191" spans="1:12" x14ac:dyDescent="0.25">
      <c r="A191" s="6">
        <v>44384</v>
      </c>
      <c r="B191" s="4">
        <v>9390</v>
      </c>
      <c r="C191" s="4"/>
      <c r="D191" s="4">
        <v>9670</v>
      </c>
      <c r="E191" s="4">
        <v>3460</v>
      </c>
      <c r="F191" s="4">
        <v>22520</v>
      </c>
      <c r="G191" t="b">
        <f t="shared" si="15"/>
        <v>1</v>
      </c>
      <c r="H191">
        <f t="shared" si="16"/>
        <v>12000</v>
      </c>
      <c r="I191" s="13">
        <f t="shared" si="18"/>
        <v>46040</v>
      </c>
      <c r="J191" s="11">
        <f t="shared" si="13"/>
        <v>23520</v>
      </c>
      <c r="K191" s="11" t="str">
        <f t="shared" si="14"/>
        <v>GŁÓWNA</v>
      </c>
      <c r="L191">
        <f t="shared" si="17"/>
        <v>0</v>
      </c>
    </row>
    <row r="192" spans="1:12" x14ac:dyDescent="0.25">
      <c r="A192" s="6">
        <v>44385</v>
      </c>
      <c r="B192" s="4">
        <v>3860</v>
      </c>
      <c r="C192" s="4"/>
      <c r="D192" s="4">
        <v>2030</v>
      </c>
      <c r="E192" s="4">
        <v>3770</v>
      </c>
      <c r="F192" s="4">
        <v>9660</v>
      </c>
      <c r="G192" t="b">
        <f t="shared" si="15"/>
        <v>1</v>
      </c>
      <c r="H192">
        <f t="shared" si="16"/>
        <v>12000</v>
      </c>
      <c r="I192" s="13">
        <f t="shared" si="18"/>
        <v>35520</v>
      </c>
      <c r="J192" s="11">
        <f t="shared" si="13"/>
        <v>25860</v>
      </c>
      <c r="K192" s="11" t="str">
        <f t="shared" si="14"/>
        <v>GŁÓWNA</v>
      </c>
      <c r="L192">
        <f t="shared" si="17"/>
        <v>0</v>
      </c>
    </row>
    <row r="193" spans="1:12" x14ac:dyDescent="0.25">
      <c r="A193" s="6">
        <v>44386</v>
      </c>
      <c r="B193" s="4">
        <v>3970</v>
      </c>
      <c r="C193" s="4"/>
      <c r="D193" s="4">
        <v>9280</v>
      </c>
      <c r="E193" s="4"/>
      <c r="F193" s="4">
        <v>13250</v>
      </c>
      <c r="G193" t="b">
        <f t="shared" si="15"/>
        <v>1</v>
      </c>
      <c r="H193">
        <f t="shared" si="16"/>
        <v>12000</v>
      </c>
      <c r="I193" s="13">
        <f t="shared" si="18"/>
        <v>37860</v>
      </c>
      <c r="J193" s="11">
        <f t="shared" si="13"/>
        <v>24610</v>
      </c>
      <c r="K193" s="11" t="str">
        <f t="shared" si="14"/>
        <v>GŁÓWNA</v>
      </c>
      <c r="L193">
        <f t="shared" si="17"/>
        <v>0</v>
      </c>
    </row>
    <row r="194" spans="1:12" x14ac:dyDescent="0.25">
      <c r="A194" s="6">
        <v>44387</v>
      </c>
      <c r="B194" s="4"/>
      <c r="C194" s="4">
        <v>6930</v>
      </c>
      <c r="D194" s="4"/>
      <c r="E194" s="4"/>
      <c r="F194" s="4">
        <v>6930</v>
      </c>
      <c r="G194" t="b">
        <f t="shared" si="15"/>
        <v>0</v>
      </c>
      <c r="H194">
        <f t="shared" si="16"/>
        <v>5000</v>
      </c>
      <c r="I194" s="13">
        <f t="shared" si="18"/>
        <v>29610</v>
      </c>
      <c r="J194" s="11">
        <f t="shared" si="13"/>
        <v>22680</v>
      </c>
      <c r="K194" s="11" t="str">
        <f t="shared" si="14"/>
        <v>GŁÓWNA</v>
      </c>
      <c r="L194">
        <f t="shared" si="17"/>
        <v>0</v>
      </c>
    </row>
    <row r="195" spans="1:12" x14ac:dyDescent="0.25">
      <c r="A195" s="6">
        <v>44388</v>
      </c>
      <c r="B195" s="4"/>
      <c r="C195" s="4">
        <v>2850</v>
      </c>
      <c r="D195" s="4">
        <v>4170</v>
      </c>
      <c r="E195" s="4">
        <v>7480</v>
      </c>
      <c r="F195" s="4">
        <v>14500</v>
      </c>
      <c r="G195" t="b">
        <f t="shared" si="15"/>
        <v>0</v>
      </c>
      <c r="H195">
        <f t="shared" si="16"/>
        <v>5000</v>
      </c>
      <c r="I195" s="13">
        <f t="shared" si="18"/>
        <v>27680</v>
      </c>
      <c r="J195" s="11">
        <f t="shared" si="13"/>
        <v>13180</v>
      </c>
      <c r="K195" s="11" t="str">
        <f t="shared" si="14"/>
        <v>GŁÓWNA</v>
      </c>
      <c r="L195">
        <f t="shared" si="17"/>
        <v>0</v>
      </c>
    </row>
    <row r="196" spans="1:12" x14ac:dyDescent="0.25">
      <c r="A196" s="6">
        <v>44389</v>
      </c>
      <c r="B196" s="4"/>
      <c r="C196" s="4">
        <v>3250</v>
      </c>
      <c r="D196" s="4">
        <v>6110</v>
      </c>
      <c r="E196" s="4"/>
      <c r="F196" s="4">
        <v>9360</v>
      </c>
      <c r="G196" t="b">
        <f t="shared" si="15"/>
        <v>1</v>
      </c>
      <c r="H196">
        <f t="shared" si="16"/>
        <v>12000</v>
      </c>
      <c r="I196" s="13">
        <f t="shared" si="18"/>
        <v>25180</v>
      </c>
      <c r="J196" s="11">
        <f t="shared" si="13"/>
        <v>15820</v>
      </c>
      <c r="K196" s="11" t="str">
        <f t="shared" si="14"/>
        <v>GŁÓWNA</v>
      </c>
      <c r="L196">
        <f t="shared" si="17"/>
        <v>0</v>
      </c>
    </row>
    <row r="197" spans="1:12" x14ac:dyDescent="0.25">
      <c r="A197" s="6">
        <v>44390</v>
      </c>
      <c r="B197" s="4"/>
      <c r="C197" s="4">
        <v>3110</v>
      </c>
      <c r="D197" s="4">
        <v>6930</v>
      </c>
      <c r="E197" s="4">
        <v>4790</v>
      </c>
      <c r="F197" s="4">
        <v>14830</v>
      </c>
      <c r="G197" t="b">
        <f t="shared" si="15"/>
        <v>1</v>
      </c>
      <c r="H197">
        <f t="shared" si="16"/>
        <v>12000</v>
      </c>
      <c r="I197" s="13">
        <f t="shared" si="18"/>
        <v>27820</v>
      </c>
      <c r="J197" s="11">
        <f t="shared" ref="J197:J260" si="19">IF($I197-$B197&lt;0,$I197,IF($I197-$B197-$C197&lt;0,$I197-$B197,IF($I197-$B197-$C197-$D197&lt;0,$I197-$B197-$C197,IF($I197-$B197-$C197-$D197-$E197&lt;0,$I197-$B197-$C197-$D197,$I197-$F197))))</f>
        <v>12990</v>
      </c>
      <c r="K197" s="11" t="str">
        <f t="shared" ref="K197:K260" si="20">IF($I197-$B197&lt;0,"F1",IF($I197-$B197-$C197&lt;0,"F2",IF($I197-$B197-$C197-$D197&lt;0,"F3",IF($I197-$B197-$C197-$D197-$E197&lt;0,"F4","GŁÓWNA"))))</f>
        <v>GŁÓWNA</v>
      </c>
      <c r="L197">
        <f t="shared" si="17"/>
        <v>0</v>
      </c>
    </row>
    <row r="198" spans="1:12" x14ac:dyDescent="0.25">
      <c r="A198" s="6">
        <v>44391</v>
      </c>
      <c r="B198" s="4"/>
      <c r="C198" s="4">
        <v>6930</v>
      </c>
      <c r="D198" s="4"/>
      <c r="E198" s="4"/>
      <c r="F198" s="4">
        <v>6930</v>
      </c>
      <c r="G198" t="b">
        <f t="shared" ref="G198:G261" si="21">IF(WEEKDAY(A198,2)&gt;=6,FALSE,TRUE)</f>
        <v>1</v>
      </c>
      <c r="H198">
        <f t="shared" ref="H198:H261" si="22">IF(G198,$N$5,$N$6)</f>
        <v>12000</v>
      </c>
      <c r="I198" s="13">
        <f t="shared" si="18"/>
        <v>24990</v>
      </c>
      <c r="J198" s="11">
        <f t="shared" si="19"/>
        <v>18060</v>
      </c>
      <c r="K198" s="11" t="str">
        <f t="shared" si="20"/>
        <v>GŁÓWNA</v>
      </c>
      <c r="L198">
        <f t="shared" ref="L198:L261" si="23">IF(K198&lt;&gt;"GŁÓWNA",IF(K198="F1",SUM(B198:E198),IF(K198="F2",SUM(C198:E198),IF(K198="F3",SUM(D198:E198),IF(K198="F4",E198,)))),0)</f>
        <v>0</v>
      </c>
    </row>
    <row r="199" spans="1:12" x14ac:dyDescent="0.25">
      <c r="A199" s="6">
        <v>44392</v>
      </c>
      <c r="B199" s="4"/>
      <c r="C199" s="4">
        <v>6600</v>
      </c>
      <c r="D199" s="4">
        <v>9850</v>
      </c>
      <c r="E199" s="4">
        <v>8100</v>
      </c>
      <c r="F199" s="4">
        <v>24550</v>
      </c>
      <c r="G199" t="b">
        <f t="shared" si="21"/>
        <v>1</v>
      </c>
      <c r="H199">
        <f t="shared" si="22"/>
        <v>12000</v>
      </c>
      <c r="I199" s="13">
        <f t="shared" ref="I199:I262" si="24">J198+H199</f>
        <v>30060</v>
      </c>
      <c r="J199" s="11">
        <f t="shared" si="19"/>
        <v>5510</v>
      </c>
      <c r="K199" s="11" t="str">
        <f t="shared" si="20"/>
        <v>GŁÓWNA</v>
      </c>
      <c r="L199">
        <f t="shared" si="23"/>
        <v>0</v>
      </c>
    </row>
    <row r="200" spans="1:12" x14ac:dyDescent="0.25">
      <c r="A200" s="6">
        <v>44393</v>
      </c>
      <c r="B200" s="4"/>
      <c r="C200" s="4"/>
      <c r="D200" s="4">
        <v>8950</v>
      </c>
      <c r="E200" s="4"/>
      <c r="F200" s="4">
        <v>8950</v>
      </c>
      <c r="G200" t="b">
        <f t="shared" si="21"/>
        <v>1</v>
      </c>
      <c r="H200">
        <f t="shared" si="22"/>
        <v>12000</v>
      </c>
      <c r="I200" s="13">
        <f t="shared" si="24"/>
        <v>17510</v>
      </c>
      <c r="J200" s="11">
        <f t="shared" si="19"/>
        <v>8560</v>
      </c>
      <c r="K200" s="11" t="str">
        <f t="shared" si="20"/>
        <v>GŁÓWNA</v>
      </c>
      <c r="L200">
        <f t="shared" si="23"/>
        <v>0</v>
      </c>
    </row>
    <row r="201" spans="1:12" x14ac:dyDescent="0.25">
      <c r="A201" s="6">
        <v>44394</v>
      </c>
      <c r="B201" s="4"/>
      <c r="C201" s="4">
        <v>3280</v>
      </c>
      <c r="D201" s="4">
        <v>4680</v>
      </c>
      <c r="E201" s="4"/>
      <c r="F201" s="4">
        <v>7960</v>
      </c>
      <c r="G201" t="b">
        <f t="shared" si="21"/>
        <v>0</v>
      </c>
      <c r="H201">
        <f t="shared" si="22"/>
        <v>5000</v>
      </c>
      <c r="I201" s="13">
        <f t="shared" si="24"/>
        <v>13560</v>
      </c>
      <c r="J201" s="11">
        <f t="shared" si="19"/>
        <v>5600</v>
      </c>
      <c r="K201" s="11" t="str">
        <f t="shared" si="20"/>
        <v>GŁÓWNA</v>
      </c>
      <c r="L201">
        <f t="shared" si="23"/>
        <v>0</v>
      </c>
    </row>
    <row r="202" spans="1:12" x14ac:dyDescent="0.25">
      <c r="A202" s="6">
        <v>44395</v>
      </c>
      <c r="B202" s="4">
        <v>5750</v>
      </c>
      <c r="C202" s="4"/>
      <c r="D202" s="4"/>
      <c r="E202" s="4">
        <v>7000</v>
      </c>
      <c r="F202" s="4">
        <v>12750</v>
      </c>
      <c r="G202" t="b">
        <f t="shared" si="21"/>
        <v>0</v>
      </c>
      <c r="H202">
        <f t="shared" si="22"/>
        <v>5000</v>
      </c>
      <c r="I202" s="13">
        <f t="shared" si="24"/>
        <v>10600</v>
      </c>
      <c r="J202" s="11">
        <f t="shared" si="19"/>
        <v>4850</v>
      </c>
      <c r="K202" s="11" t="str">
        <f t="shared" si="20"/>
        <v>F4</v>
      </c>
      <c r="L202">
        <f t="shared" si="23"/>
        <v>7000</v>
      </c>
    </row>
    <row r="203" spans="1:12" x14ac:dyDescent="0.25">
      <c r="A203" s="6">
        <v>44396</v>
      </c>
      <c r="B203" s="4"/>
      <c r="C203" s="4">
        <v>6070</v>
      </c>
      <c r="D203" s="4">
        <v>5870</v>
      </c>
      <c r="E203" s="4"/>
      <c r="F203" s="4">
        <v>11940</v>
      </c>
      <c r="G203" t="b">
        <f t="shared" si="21"/>
        <v>1</v>
      </c>
      <c r="H203">
        <f t="shared" si="22"/>
        <v>12000</v>
      </c>
      <c r="I203" s="13">
        <f t="shared" si="24"/>
        <v>16850</v>
      </c>
      <c r="J203" s="11">
        <f t="shared" si="19"/>
        <v>4910</v>
      </c>
      <c r="K203" s="11" t="str">
        <f t="shared" si="20"/>
        <v>GŁÓWNA</v>
      </c>
      <c r="L203">
        <f t="shared" si="23"/>
        <v>0</v>
      </c>
    </row>
    <row r="204" spans="1:12" x14ac:dyDescent="0.25">
      <c r="A204" s="6">
        <v>44397</v>
      </c>
      <c r="B204" s="4"/>
      <c r="C204" s="4"/>
      <c r="D204" s="4">
        <v>1500</v>
      </c>
      <c r="E204" s="4">
        <v>6820</v>
      </c>
      <c r="F204" s="4">
        <v>8320</v>
      </c>
      <c r="G204" t="b">
        <f t="shared" si="21"/>
        <v>1</v>
      </c>
      <c r="H204">
        <f t="shared" si="22"/>
        <v>12000</v>
      </c>
      <c r="I204" s="13">
        <f t="shared" si="24"/>
        <v>16910</v>
      </c>
      <c r="J204" s="11">
        <f t="shared" si="19"/>
        <v>8590</v>
      </c>
      <c r="K204" s="11" t="str">
        <f t="shared" si="20"/>
        <v>GŁÓWNA</v>
      </c>
      <c r="L204">
        <f t="shared" si="23"/>
        <v>0</v>
      </c>
    </row>
    <row r="205" spans="1:12" x14ac:dyDescent="0.25">
      <c r="A205" s="6">
        <v>44398</v>
      </c>
      <c r="B205" s="4"/>
      <c r="C205" s="4"/>
      <c r="D205" s="4">
        <v>2150</v>
      </c>
      <c r="E205" s="4"/>
      <c r="F205" s="4">
        <v>2150</v>
      </c>
      <c r="G205" t="b">
        <f t="shared" si="21"/>
        <v>1</v>
      </c>
      <c r="H205">
        <f t="shared" si="22"/>
        <v>12000</v>
      </c>
      <c r="I205" s="13">
        <f t="shared" si="24"/>
        <v>20590</v>
      </c>
      <c r="J205" s="11">
        <f t="shared" si="19"/>
        <v>18440</v>
      </c>
      <c r="K205" s="11" t="str">
        <f t="shared" si="20"/>
        <v>GŁÓWNA</v>
      </c>
      <c r="L205">
        <f t="shared" si="23"/>
        <v>0</v>
      </c>
    </row>
    <row r="206" spans="1:12" x14ac:dyDescent="0.25">
      <c r="A206" s="6">
        <v>44399</v>
      </c>
      <c r="B206" s="4">
        <v>7040</v>
      </c>
      <c r="C206" s="4">
        <v>6600</v>
      </c>
      <c r="D206" s="4">
        <v>1560</v>
      </c>
      <c r="E206" s="4">
        <v>7270</v>
      </c>
      <c r="F206" s="4">
        <v>22470</v>
      </c>
      <c r="G206" t="b">
        <f t="shared" si="21"/>
        <v>1</v>
      </c>
      <c r="H206">
        <f t="shared" si="22"/>
        <v>12000</v>
      </c>
      <c r="I206" s="13">
        <f t="shared" si="24"/>
        <v>30440</v>
      </c>
      <c r="J206" s="11">
        <f t="shared" si="19"/>
        <v>7970</v>
      </c>
      <c r="K206" s="11" t="str">
        <f t="shared" si="20"/>
        <v>GŁÓWNA</v>
      </c>
      <c r="L206">
        <f t="shared" si="23"/>
        <v>0</v>
      </c>
    </row>
    <row r="207" spans="1:12" x14ac:dyDescent="0.25">
      <c r="A207" s="6">
        <v>44400</v>
      </c>
      <c r="B207" s="4"/>
      <c r="C207" s="4">
        <v>2470</v>
      </c>
      <c r="D207" s="4">
        <v>8550</v>
      </c>
      <c r="E207" s="4">
        <v>6160</v>
      </c>
      <c r="F207" s="4">
        <v>17180</v>
      </c>
      <c r="G207" t="b">
        <f t="shared" si="21"/>
        <v>1</v>
      </c>
      <c r="H207">
        <f t="shared" si="22"/>
        <v>12000</v>
      </c>
      <c r="I207" s="13">
        <f t="shared" si="24"/>
        <v>19970</v>
      </c>
      <c r="J207" s="11">
        <f t="shared" si="19"/>
        <v>2790</v>
      </c>
      <c r="K207" s="11" t="str">
        <f t="shared" si="20"/>
        <v>GŁÓWNA</v>
      </c>
      <c r="L207">
        <f t="shared" si="23"/>
        <v>0</v>
      </c>
    </row>
    <row r="208" spans="1:12" x14ac:dyDescent="0.25">
      <c r="A208" s="6">
        <v>44401</v>
      </c>
      <c r="B208" s="4">
        <v>1400</v>
      </c>
      <c r="C208" s="4">
        <v>9010</v>
      </c>
      <c r="D208" s="4">
        <v>8020</v>
      </c>
      <c r="E208" s="4">
        <v>7730</v>
      </c>
      <c r="F208" s="4">
        <v>26160</v>
      </c>
      <c r="G208" t="b">
        <f t="shared" si="21"/>
        <v>0</v>
      </c>
      <c r="H208">
        <f t="shared" si="22"/>
        <v>5000</v>
      </c>
      <c r="I208" s="13">
        <f t="shared" si="24"/>
        <v>7790</v>
      </c>
      <c r="J208" s="11">
        <f t="shared" si="19"/>
        <v>6390</v>
      </c>
      <c r="K208" s="11" t="str">
        <f t="shared" si="20"/>
        <v>F2</v>
      </c>
      <c r="L208">
        <f t="shared" si="23"/>
        <v>24760</v>
      </c>
    </row>
    <row r="209" spans="1:12" x14ac:dyDescent="0.25">
      <c r="A209" s="6">
        <v>44402</v>
      </c>
      <c r="B209" s="4"/>
      <c r="C209" s="4"/>
      <c r="D209" s="4">
        <v>2730</v>
      </c>
      <c r="E209" s="4"/>
      <c r="F209" s="4">
        <v>2730</v>
      </c>
      <c r="G209" t="b">
        <f t="shared" si="21"/>
        <v>0</v>
      </c>
      <c r="H209">
        <f t="shared" si="22"/>
        <v>5000</v>
      </c>
      <c r="I209" s="13">
        <f t="shared" si="24"/>
        <v>11390</v>
      </c>
      <c r="J209" s="11">
        <f t="shared" si="19"/>
        <v>8660</v>
      </c>
      <c r="K209" s="11" t="str">
        <f t="shared" si="20"/>
        <v>GŁÓWNA</v>
      </c>
      <c r="L209">
        <f t="shared" si="23"/>
        <v>0</v>
      </c>
    </row>
    <row r="210" spans="1:12" x14ac:dyDescent="0.25">
      <c r="A210" s="6">
        <v>44403</v>
      </c>
      <c r="B210" s="4">
        <v>8340</v>
      </c>
      <c r="C210" s="4"/>
      <c r="D210" s="4"/>
      <c r="E210" s="4"/>
      <c r="F210" s="4">
        <v>8340</v>
      </c>
      <c r="G210" t="b">
        <f t="shared" si="21"/>
        <v>1</v>
      </c>
      <c r="H210">
        <f t="shared" si="22"/>
        <v>12000</v>
      </c>
      <c r="I210" s="13">
        <f t="shared" si="24"/>
        <v>20660</v>
      </c>
      <c r="J210" s="11">
        <f t="shared" si="19"/>
        <v>12320</v>
      </c>
      <c r="K210" s="11" t="str">
        <f t="shared" si="20"/>
        <v>GŁÓWNA</v>
      </c>
      <c r="L210">
        <f t="shared" si="23"/>
        <v>0</v>
      </c>
    </row>
    <row r="211" spans="1:12" x14ac:dyDescent="0.25">
      <c r="A211" s="6">
        <v>44404</v>
      </c>
      <c r="B211" s="4"/>
      <c r="C211" s="4">
        <v>8740</v>
      </c>
      <c r="D211" s="4"/>
      <c r="E211" s="4">
        <v>850</v>
      </c>
      <c r="F211" s="4">
        <v>9590</v>
      </c>
      <c r="G211" t="b">
        <f t="shared" si="21"/>
        <v>1</v>
      </c>
      <c r="H211">
        <f t="shared" si="22"/>
        <v>12000</v>
      </c>
      <c r="I211" s="13">
        <f t="shared" si="24"/>
        <v>24320</v>
      </c>
      <c r="J211" s="11">
        <f t="shared" si="19"/>
        <v>14730</v>
      </c>
      <c r="K211" s="11" t="str">
        <f t="shared" si="20"/>
        <v>GŁÓWNA</v>
      </c>
      <c r="L211">
        <f t="shared" si="23"/>
        <v>0</v>
      </c>
    </row>
    <row r="212" spans="1:12" x14ac:dyDescent="0.25">
      <c r="A212" s="6">
        <v>44405</v>
      </c>
      <c r="B212" s="4"/>
      <c r="C212" s="4">
        <v>1020</v>
      </c>
      <c r="D212" s="4">
        <v>780</v>
      </c>
      <c r="E212" s="4">
        <v>6720</v>
      </c>
      <c r="F212" s="4">
        <v>8520</v>
      </c>
      <c r="G212" t="b">
        <f t="shared" si="21"/>
        <v>1</v>
      </c>
      <c r="H212">
        <f t="shared" si="22"/>
        <v>12000</v>
      </c>
      <c r="I212" s="13">
        <f t="shared" si="24"/>
        <v>26730</v>
      </c>
      <c r="J212" s="11">
        <f t="shared" si="19"/>
        <v>18210</v>
      </c>
      <c r="K212" s="11" t="str">
        <f t="shared" si="20"/>
        <v>GŁÓWNA</v>
      </c>
      <c r="L212">
        <f t="shared" si="23"/>
        <v>0</v>
      </c>
    </row>
    <row r="213" spans="1:12" x14ac:dyDescent="0.25">
      <c r="A213" s="6">
        <v>44406</v>
      </c>
      <c r="B213" s="4">
        <v>7250</v>
      </c>
      <c r="C213" s="4"/>
      <c r="D213" s="4">
        <v>330</v>
      </c>
      <c r="E213" s="4">
        <v>4870</v>
      </c>
      <c r="F213" s="4">
        <v>12450</v>
      </c>
      <c r="G213" t="b">
        <f t="shared" si="21"/>
        <v>1</v>
      </c>
      <c r="H213">
        <f t="shared" si="22"/>
        <v>12000</v>
      </c>
      <c r="I213" s="13">
        <f t="shared" si="24"/>
        <v>30210</v>
      </c>
      <c r="J213" s="11">
        <f t="shared" si="19"/>
        <v>17760</v>
      </c>
      <c r="K213" s="11" t="str">
        <f t="shared" si="20"/>
        <v>GŁÓWNA</v>
      </c>
      <c r="L213">
        <f t="shared" si="23"/>
        <v>0</v>
      </c>
    </row>
    <row r="214" spans="1:12" x14ac:dyDescent="0.25">
      <c r="A214" s="6">
        <v>44407</v>
      </c>
      <c r="B214" s="4">
        <v>3820</v>
      </c>
      <c r="C214" s="4"/>
      <c r="D214" s="4">
        <v>5660</v>
      </c>
      <c r="E214" s="4">
        <v>3290</v>
      </c>
      <c r="F214" s="4">
        <v>12770</v>
      </c>
      <c r="G214" t="b">
        <f t="shared" si="21"/>
        <v>1</v>
      </c>
      <c r="H214">
        <f t="shared" si="22"/>
        <v>12000</v>
      </c>
      <c r="I214" s="13">
        <f t="shared" si="24"/>
        <v>29760</v>
      </c>
      <c r="J214" s="11">
        <f t="shared" si="19"/>
        <v>16990</v>
      </c>
      <c r="K214" s="11" t="str">
        <f t="shared" si="20"/>
        <v>GŁÓWNA</v>
      </c>
      <c r="L214">
        <f t="shared" si="23"/>
        <v>0</v>
      </c>
    </row>
    <row r="215" spans="1:12" x14ac:dyDescent="0.25">
      <c r="A215" s="6">
        <v>44408</v>
      </c>
      <c r="B215" s="4">
        <v>1670</v>
      </c>
      <c r="C215" s="4">
        <v>5870</v>
      </c>
      <c r="D215" s="4">
        <v>4200</v>
      </c>
      <c r="E215" s="4">
        <v>3960</v>
      </c>
      <c r="F215" s="4">
        <v>15700</v>
      </c>
      <c r="G215" t="b">
        <f t="shared" si="21"/>
        <v>0</v>
      </c>
      <c r="H215">
        <f t="shared" si="22"/>
        <v>5000</v>
      </c>
      <c r="I215" s="13">
        <f t="shared" si="24"/>
        <v>21990</v>
      </c>
      <c r="J215" s="11">
        <f t="shared" si="19"/>
        <v>6290</v>
      </c>
      <c r="K215" s="11" t="str">
        <f t="shared" si="20"/>
        <v>GŁÓWNA</v>
      </c>
      <c r="L215">
        <f t="shared" si="23"/>
        <v>0</v>
      </c>
    </row>
    <row r="216" spans="1:12" x14ac:dyDescent="0.25">
      <c r="A216" s="6">
        <v>44409</v>
      </c>
      <c r="B216" s="4"/>
      <c r="C216" s="4"/>
      <c r="D216" s="4">
        <v>4200</v>
      </c>
      <c r="E216" s="4"/>
      <c r="F216" s="4">
        <v>4200</v>
      </c>
      <c r="G216" t="b">
        <f t="shared" si="21"/>
        <v>0</v>
      </c>
      <c r="H216">
        <f t="shared" si="22"/>
        <v>5000</v>
      </c>
      <c r="I216" s="13">
        <f t="shared" si="24"/>
        <v>11290</v>
      </c>
      <c r="J216" s="11">
        <f t="shared" si="19"/>
        <v>7090</v>
      </c>
      <c r="K216" s="11" t="str">
        <f t="shared" si="20"/>
        <v>GŁÓWNA</v>
      </c>
      <c r="L216">
        <f t="shared" si="23"/>
        <v>0</v>
      </c>
    </row>
    <row r="217" spans="1:12" x14ac:dyDescent="0.25">
      <c r="A217" s="6">
        <v>44410</v>
      </c>
      <c r="B217" s="4"/>
      <c r="C217" s="4">
        <v>7980</v>
      </c>
      <c r="D217" s="4">
        <v>6110</v>
      </c>
      <c r="E217" s="4"/>
      <c r="F217" s="4">
        <v>14090</v>
      </c>
      <c r="G217" t="b">
        <f t="shared" si="21"/>
        <v>1</v>
      </c>
      <c r="H217">
        <f t="shared" si="22"/>
        <v>12000</v>
      </c>
      <c r="I217" s="13">
        <f t="shared" si="24"/>
        <v>19090</v>
      </c>
      <c r="J217" s="11">
        <f t="shared" si="19"/>
        <v>5000</v>
      </c>
      <c r="K217" s="11" t="str">
        <f t="shared" si="20"/>
        <v>GŁÓWNA</v>
      </c>
      <c r="L217">
        <f t="shared" si="23"/>
        <v>0</v>
      </c>
    </row>
    <row r="218" spans="1:12" x14ac:dyDescent="0.25">
      <c r="A218" s="6">
        <v>44411</v>
      </c>
      <c r="B218" s="4"/>
      <c r="C218" s="4">
        <v>7750</v>
      </c>
      <c r="D218" s="4"/>
      <c r="E218" s="4">
        <v>7450</v>
      </c>
      <c r="F218" s="4">
        <v>15200</v>
      </c>
      <c r="G218" t="b">
        <f t="shared" si="21"/>
        <v>1</v>
      </c>
      <c r="H218">
        <f t="shared" si="22"/>
        <v>12000</v>
      </c>
      <c r="I218" s="13">
        <f t="shared" si="24"/>
        <v>17000</v>
      </c>
      <c r="J218" s="11">
        <f t="shared" si="19"/>
        <v>1800</v>
      </c>
      <c r="K218" s="11" t="str">
        <f t="shared" si="20"/>
        <v>GŁÓWNA</v>
      </c>
      <c r="L218">
        <f t="shared" si="23"/>
        <v>0</v>
      </c>
    </row>
    <row r="219" spans="1:12" x14ac:dyDescent="0.25">
      <c r="A219" s="6">
        <v>44412</v>
      </c>
      <c r="B219" s="4">
        <v>3400</v>
      </c>
      <c r="C219" s="4">
        <v>8560</v>
      </c>
      <c r="D219" s="4"/>
      <c r="E219" s="4"/>
      <c r="F219" s="4">
        <v>11960</v>
      </c>
      <c r="G219" t="b">
        <f t="shared" si="21"/>
        <v>1</v>
      </c>
      <c r="H219">
        <f t="shared" si="22"/>
        <v>12000</v>
      </c>
      <c r="I219" s="13">
        <f t="shared" si="24"/>
        <v>13800</v>
      </c>
      <c r="J219" s="11">
        <f t="shared" si="19"/>
        <v>1840</v>
      </c>
      <c r="K219" s="11" t="str">
        <f t="shared" si="20"/>
        <v>GŁÓWNA</v>
      </c>
      <c r="L219">
        <f t="shared" si="23"/>
        <v>0</v>
      </c>
    </row>
    <row r="220" spans="1:12" x14ac:dyDescent="0.25">
      <c r="A220" s="6">
        <v>44413</v>
      </c>
      <c r="B220" s="4">
        <v>7190</v>
      </c>
      <c r="C220" s="4"/>
      <c r="D220" s="4"/>
      <c r="E220" s="4"/>
      <c r="F220" s="4">
        <v>7190</v>
      </c>
      <c r="G220" t="b">
        <f t="shared" si="21"/>
        <v>1</v>
      </c>
      <c r="H220">
        <f t="shared" si="22"/>
        <v>12000</v>
      </c>
      <c r="I220" s="13">
        <f t="shared" si="24"/>
        <v>13840</v>
      </c>
      <c r="J220" s="11">
        <f t="shared" si="19"/>
        <v>6650</v>
      </c>
      <c r="K220" s="11" t="str">
        <f t="shared" si="20"/>
        <v>GŁÓWNA</v>
      </c>
      <c r="L220">
        <f t="shared" si="23"/>
        <v>0</v>
      </c>
    </row>
    <row r="221" spans="1:12" x14ac:dyDescent="0.25">
      <c r="A221" s="6">
        <v>44414</v>
      </c>
      <c r="B221" s="4">
        <v>4590</v>
      </c>
      <c r="C221" s="4"/>
      <c r="D221" s="4"/>
      <c r="E221" s="4"/>
      <c r="F221" s="4">
        <v>4590</v>
      </c>
      <c r="G221" t="b">
        <f t="shared" si="21"/>
        <v>1</v>
      </c>
      <c r="H221">
        <f t="shared" si="22"/>
        <v>12000</v>
      </c>
      <c r="I221" s="13">
        <f t="shared" si="24"/>
        <v>18650</v>
      </c>
      <c r="J221" s="11">
        <f t="shared" si="19"/>
        <v>14060</v>
      </c>
      <c r="K221" s="11" t="str">
        <f t="shared" si="20"/>
        <v>GŁÓWNA</v>
      </c>
      <c r="L221">
        <f t="shared" si="23"/>
        <v>0</v>
      </c>
    </row>
    <row r="222" spans="1:12" x14ac:dyDescent="0.25">
      <c r="A222" s="6">
        <v>44415</v>
      </c>
      <c r="B222" s="4"/>
      <c r="C222" s="4">
        <v>4050</v>
      </c>
      <c r="D222" s="4"/>
      <c r="E222" s="4">
        <v>4310</v>
      </c>
      <c r="F222" s="4">
        <v>8360</v>
      </c>
      <c r="G222" t="b">
        <f t="shared" si="21"/>
        <v>0</v>
      </c>
      <c r="H222">
        <f t="shared" si="22"/>
        <v>5000</v>
      </c>
      <c r="I222" s="13">
        <f t="shared" si="24"/>
        <v>19060</v>
      </c>
      <c r="J222" s="11">
        <f t="shared" si="19"/>
        <v>10700</v>
      </c>
      <c r="K222" s="11" t="str">
        <f t="shared" si="20"/>
        <v>GŁÓWNA</v>
      </c>
      <c r="L222">
        <f t="shared" si="23"/>
        <v>0</v>
      </c>
    </row>
    <row r="223" spans="1:12" x14ac:dyDescent="0.25">
      <c r="A223" s="6">
        <v>44416</v>
      </c>
      <c r="B223" s="4">
        <v>7100</v>
      </c>
      <c r="C223" s="4">
        <v>3350</v>
      </c>
      <c r="D223" s="4">
        <v>5280</v>
      </c>
      <c r="E223" s="4"/>
      <c r="F223" s="4">
        <v>15730</v>
      </c>
      <c r="G223" t="b">
        <f t="shared" si="21"/>
        <v>0</v>
      </c>
      <c r="H223">
        <f t="shared" si="22"/>
        <v>5000</v>
      </c>
      <c r="I223" s="13">
        <f t="shared" si="24"/>
        <v>15700</v>
      </c>
      <c r="J223" s="11">
        <f t="shared" si="19"/>
        <v>5250</v>
      </c>
      <c r="K223" s="11" t="str">
        <f t="shared" si="20"/>
        <v>F3</v>
      </c>
      <c r="L223">
        <f t="shared" si="23"/>
        <v>5280</v>
      </c>
    </row>
    <row r="224" spans="1:12" x14ac:dyDescent="0.25">
      <c r="A224" s="6">
        <v>44417</v>
      </c>
      <c r="B224" s="4">
        <v>7820</v>
      </c>
      <c r="C224" s="4"/>
      <c r="D224" s="4"/>
      <c r="E224" s="4"/>
      <c r="F224" s="4">
        <v>7820</v>
      </c>
      <c r="G224" t="b">
        <f t="shared" si="21"/>
        <v>1</v>
      </c>
      <c r="H224">
        <f t="shared" si="22"/>
        <v>12000</v>
      </c>
      <c r="I224" s="13">
        <f t="shared" si="24"/>
        <v>17250</v>
      </c>
      <c r="J224" s="11">
        <f t="shared" si="19"/>
        <v>9430</v>
      </c>
      <c r="K224" s="11" t="str">
        <f t="shared" si="20"/>
        <v>GŁÓWNA</v>
      </c>
      <c r="L224">
        <f t="shared" si="23"/>
        <v>0</v>
      </c>
    </row>
    <row r="225" spans="1:12" x14ac:dyDescent="0.25">
      <c r="A225" s="6">
        <v>44418</v>
      </c>
      <c r="B225" s="4">
        <v>7910</v>
      </c>
      <c r="C225" s="4"/>
      <c r="D225" s="4"/>
      <c r="E225" s="4">
        <v>9000</v>
      </c>
      <c r="F225" s="4">
        <v>16910</v>
      </c>
      <c r="G225" t="b">
        <f t="shared" si="21"/>
        <v>1</v>
      </c>
      <c r="H225">
        <f t="shared" si="22"/>
        <v>12000</v>
      </c>
      <c r="I225" s="13">
        <f t="shared" si="24"/>
        <v>21430</v>
      </c>
      <c r="J225" s="11">
        <f t="shared" si="19"/>
        <v>4520</v>
      </c>
      <c r="K225" s="11" t="str">
        <f t="shared" si="20"/>
        <v>GŁÓWNA</v>
      </c>
      <c r="L225">
        <f t="shared" si="23"/>
        <v>0</v>
      </c>
    </row>
    <row r="226" spans="1:12" x14ac:dyDescent="0.25">
      <c r="A226" s="6">
        <v>44419</v>
      </c>
      <c r="B226" s="4"/>
      <c r="C226" s="4">
        <v>8700</v>
      </c>
      <c r="D226" s="4">
        <v>8110</v>
      </c>
      <c r="E226" s="4">
        <v>3240</v>
      </c>
      <c r="F226" s="4">
        <v>20050</v>
      </c>
      <c r="G226" t="b">
        <f t="shared" si="21"/>
        <v>1</v>
      </c>
      <c r="H226">
        <f t="shared" si="22"/>
        <v>12000</v>
      </c>
      <c r="I226" s="13">
        <f t="shared" si="24"/>
        <v>16520</v>
      </c>
      <c r="J226" s="11">
        <f t="shared" si="19"/>
        <v>7820</v>
      </c>
      <c r="K226" s="11" t="str">
        <f t="shared" si="20"/>
        <v>F3</v>
      </c>
      <c r="L226">
        <f t="shared" si="23"/>
        <v>11350</v>
      </c>
    </row>
    <row r="227" spans="1:12" x14ac:dyDescent="0.25">
      <c r="A227" s="6">
        <v>44420</v>
      </c>
      <c r="B227" s="4"/>
      <c r="C227" s="4">
        <v>6510</v>
      </c>
      <c r="D227" s="4"/>
      <c r="E227" s="4"/>
      <c r="F227" s="4">
        <v>6510</v>
      </c>
      <c r="G227" t="b">
        <f t="shared" si="21"/>
        <v>1</v>
      </c>
      <c r="H227">
        <f t="shared" si="22"/>
        <v>12000</v>
      </c>
      <c r="I227" s="13">
        <f t="shared" si="24"/>
        <v>19820</v>
      </c>
      <c r="J227" s="11">
        <f t="shared" si="19"/>
        <v>13310</v>
      </c>
      <c r="K227" s="11" t="str">
        <f t="shared" si="20"/>
        <v>GŁÓWNA</v>
      </c>
      <c r="L227">
        <f t="shared" si="23"/>
        <v>0</v>
      </c>
    </row>
    <row r="228" spans="1:12" x14ac:dyDescent="0.25">
      <c r="A228" s="6">
        <v>44421</v>
      </c>
      <c r="B228" s="4"/>
      <c r="C228" s="4"/>
      <c r="D228" s="4"/>
      <c r="E228" s="4">
        <v>1150</v>
      </c>
      <c r="F228" s="4">
        <v>1150</v>
      </c>
      <c r="G228" t="b">
        <f t="shared" si="21"/>
        <v>1</v>
      </c>
      <c r="H228">
        <f t="shared" si="22"/>
        <v>12000</v>
      </c>
      <c r="I228" s="13">
        <f t="shared" si="24"/>
        <v>25310</v>
      </c>
      <c r="J228" s="11">
        <f t="shared" si="19"/>
        <v>24160</v>
      </c>
      <c r="K228" s="11" t="str">
        <f t="shared" si="20"/>
        <v>GŁÓWNA</v>
      </c>
      <c r="L228">
        <f t="shared" si="23"/>
        <v>0</v>
      </c>
    </row>
    <row r="229" spans="1:12" x14ac:dyDescent="0.25">
      <c r="A229" s="6">
        <v>44422</v>
      </c>
      <c r="B229" s="4"/>
      <c r="C229" s="4">
        <v>9430</v>
      </c>
      <c r="D229" s="4">
        <v>6500</v>
      </c>
      <c r="E229" s="4">
        <v>6410</v>
      </c>
      <c r="F229" s="4">
        <v>22340</v>
      </c>
      <c r="G229" t="b">
        <f t="shared" si="21"/>
        <v>0</v>
      </c>
      <c r="H229">
        <f t="shared" si="22"/>
        <v>5000</v>
      </c>
      <c r="I229" s="13">
        <f t="shared" si="24"/>
        <v>29160</v>
      </c>
      <c r="J229" s="11">
        <f t="shared" si="19"/>
        <v>6820</v>
      </c>
      <c r="K229" s="11" t="str">
        <f t="shared" si="20"/>
        <v>GŁÓWNA</v>
      </c>
      <c r="L229">
        <f t="shared" si="23"/>
        <v>0</v>
      </c>
    </row>
    <row r="230" spans="1:12" x14ac:dyDescent="0.25">
      <c r="A230" s="6">
        <v>44423</v>
      </c>
      <c r="B230" s="4"/>
      <c r="C230" s="4">
        <v>5300</v>
      </c>
      <c r="D230" s="4">
        <v>5430</v>
      </c>
      <c r="E230" s="4">
        <v>3660</v>
      </c>
      <c r="F230" s="4">
        <v>14390</v>
      </c>
      <c r="G230" t="b">
        <f t="shared" si="21"/>
        <v>0</v>
      </c>
      <c r="H230">
        <f t="shared" si="22"/>
        <v>5000</v>
      </c>
      <c r="I230" s="13">
        <f t="shared" si="24"/>
        <v>11820</v>
      </c>
      <c r="J230" s="11">
        <f t="shared" si="19"/>
        <v>1090</v>
      </c>
      <c r="K230" s="11" t="str">
        <f t="shared" si="20"/>
        <v>F4</v>
      </c>
      <c r="L230">
        <f t="shared" si="23"/>
        <v>3660</v>
      </c>
    </row>
    <row r="231" spans="1:12" x14ac:dyDescent="0.25">
      <c r="A231" s="6">
        <v>44424</v>
      </c>
      <c r="B231" s="4">
        <v>5850</v>
      </c>
      <c r="C231" s="4"/>
      <c r="D231" s="4">
        <v>3000</v>
      </c>
      <c r="E231" s="4">
        <v>6120</v>
      </c>
      <c r="F231" s="4">
        <v>14970</v>
      </c>
      <c r="G231" t="b">
        <f t="shared" si="21"/>
        <v>1</v>
      </c>
      <c r="H231">
        <f t="shared" si="22"/>
        <v>12000</v>
      </c>
      <c r="I231" s="13">
        <f t="shared" si="24"/>
        <v>13090</v>
      </c>
      <c r="J231" s="11">
        <f t="shared" si="19"/>
        <v>4240</v>
      </c>
      <c r="K231" s="11" t="str">
        <f t="shared" si="20"/>
        <v>F4</v>
      </c>
      <c r="L231">
        <f t="shared" si="23"/>
        <v>6120</v>
      </c>
    </row>
    <row r="232" spans="1:12" x14ac:dyDescent="0.25">
      <c r="A232" s="6">
        <v>44425</v>
      </c>
      <c r="B232" s="4"/>
      <c r="C232" s="4"/>
      <c r="D232" s="4">
        <v>2510</v>
      </c>
      <c r="E232" s="4">
        <v>6690</v>
      </c>
      <c r="F232" s="4">
        <v>9200</v>
      </c>
      <c r="G232" t="b">
        <f t="shared" si="21"/>
        <v>1</v>
      </c>
      <c r="H232">
        <f t="shared" si="22"/>
        <v>12000</v>
      </c>
      <c r="I232" s="13">
        <f t="shared" si="24"/>
        <v>16240</v>
      </c>
      <c r="J232" s="11">
        <f t="shared" si="19"/>
        <v>7040</v>
      </c>
      <c r="K232" s="11" t="str">
        <f t="shared" si="20"/>
        <v>GŁÓWNA</v>
      </c>
      <c r="L232">
        <f t="shared" si="23"/>
        <v>0</v>
      </c>
    </row>
    <row r="233" spans="1:12" x14ac:dyDescent="0.25">
      <c r="A233" s="6">
        <v>44426</v>
      </c>
      <c r="B233" s="4">
        <v>4090</v>
      </c>
      <c r="C233" s="4"/>
      <c r="D233" s="4"/>
      <c r="E233" s="4"/>
      <c r="F233" s="4">
        <v>4090</v>
      </c>
      <c r="G233" t="b">
        <f t="shared" si="21"/>
        <v>1</v>
      </c>
      <c r="H233">
        <f t="shared" si="22"/>
        <v>12000</v>
      </c>
      <c r="I233" s="13">
        <f t="shared" si="24"/>
        <v>19040</v>
      </c>
      <c r="J233" s="11">
        <f t="shared" si="19"/>
        <v>14950</v>
      </c>
      <c r="K233" s="11" t="str">
        <f t="shared" si="20"/>
        <v>GŁÓWNA</v>
      </c>
      <c r="L233">
        <f t="shared" si="23"/>
        <v>0</v>
      </c>
    </row>
    <row r="234" spans="1:12" x14ac:dyDescent="0.25">
      <c r="A234" s="6">
        <v>44427</v>
      </c>
      <c r="B234" s="4"/>
      <c r="C234" s="4"/>
      <c r="D234" s="4"/>
      <c r="E234" s="4">
        <v>4580</v>
      </c>
      <c r="F234" s="4">
        <v>4580</v>
      </c>
      <c r="G234" t="b">
        <f t="shared" si="21"/>
        <v>1</v>
      </c>
      <c r="H234">
        <f t="shared" si="22"/>
        <v>12000</v>
      </c>
      <c r="I234" s="13">
        <f t="shared" si="24"/>
        <v>26950</v>
      </c>
      <c r="J234" s="11">
        <f t="shared" si="19"/>
        <v>22370</v>
      </c>
      <c r="K234" s="11" t="str">
        <f t="shared" si="20"/>
        <v>GŁÓWNA</v>
      </c>
      <c r="L234">
        <f t="shared" si="23"/>
        <v>0</v>
      </c>
    </row>
    <row r="235" spans="1:12" x14ac:dyDescent="0.25">
      <c r="A235" s="6">
        <v>44428</v>
      </c>
      <c r="B235" s="4">
        <v>6590</v>
      </c>
      <c r="C235" s="4">
        <v>1220</v>
      </c>
      <c r="D235" s="4">
        <v>3060</v>
      </c>
      <c r="E235" s="4"/>
      <c r="F235" s="4">
        <v>10870</v>
      </c>
      <c r="G235" t="b">
        <f t="shared" si="21"/>
        <v>1</v>
      </c>
      <c r="H235">
        <f t="shared" si="22"/>
        <v>12000</v>
      </c>
      <c r="I235" s="13">
        <f t="shared" si="24"/>
        <v>34370</v>
      </c>
      <c r="J235" s="11">
        <f t="shared" si="19"/>
        <v>23500</v>
      </c>
      <c r="K235" s="11" t="str">
        <f t="shared" si="20"/>
        <v>GŁÓWNA</v>
      </c>
      <c r="L235">
        <f t="shared" si="23"/>
        <v>0</v>
      </c>
    </row>
    <row r="236" spans="1:12" x14ac:dyDescent="0.25">
      <c r="A236" s="6">
        <v>44429</v>
      </c>
      <c r="B236" s="4"/>
      <c r="C236" s="4">
        <v>6590</v>
      </c>
      <c r="D236" s="4"/>
      <c r="E236" s="4"/>
      <c r="F236" s="4">
        <v>6590</v>
      </c>
      <c r="G236" t="b">
        <f t="shared" si="21"/>
        <v>0</v>
      </c>
      <c r="H236">
        <f t="shared" si="22"/>
        <v>5000</v>
      </c>
      <c r="I236" s="13">
        <f t="shared" si="24"/>
        <v>28500</v>
      </c>
      <c r="J236" s="11">
        <f t="shared" si="19"/>
        <v>21910</v>
      </c>
      <c r="K236" s="11" t="str">
        <f t="shared" si="20"/>
        <v>GŁÓWNA</v>
      </c>
      <c r="L236">
        <f t="shared" si="23"/>
        <v>0</v>
      </c>
    </row>
    <row r="237" spans="1:12" x14ac:dyDescent="0.25">
      <c r="A237" s="6">
        <v>44430</v>
      </c>
      <c r="B237" s="4"/>
      <c r="C237" s="4">
        <v>5480</v>
      </c>
      <c r="D237" s="4">
        <v>4530</v>
      </c>
      <c r="E237" s="4">
        <v>7000</v>
      </c>
      <c r="F237" s="4">
        <v>17010</v>
      </c>
      <c r="G237" t="b">
        <f t="shared" si="21"/>
        <v>0</v>
      </c>
      <c r="H237">
        <f t="shared" si="22"/>
        <v>5000</v>
      </c>
      <c r="I237" s="13">
        <f t="shared" si="24"/>
        <v>26910</v>
      </c>
      <c r="J237" s="11">
        <f t="shared" si="19"/>
        <v>9900</v>
      </c>
      <c r="K237" s="11" t="str">
        <f t="shared" si="20"/>
        <v>GŁÓWNA</v>
      </c>
      <c r="L237">
        <f t="shared" si="23"/>
        <v>0</v>
      </c>
    </row>
    <row r="238" spans="1:12" x14ac:dyDescent="0.25">
      <c r="A238" s="6">
        <v>44431</v>
      </c>
      <c r="B238" s="4"/>
      <c r="C238" s="4">
        <v>7490</v>
      </c>
      <c r="D238" s="4">
        <v>6400</v>
      </c>
      <c r="E238" s="4">
        <v>7870</v>
      </c>
      <c r="F238" s="4">
        <v>21760</v>
      </c>
      <c r="G238" t="b">
        <f t="shared" si="21"/>
        <v>1</v>
      </c>
      <c r="H238">
        <f t="shared" si="22"/>
        <v>12000</v>
      </c>
      <c r="I238" s="13">
        <f t="shared" si="24"/>
        <v>21900</v>
      </c>
      <c r="J238" s="11">
        <f t="shared" si="19"/>
        <v>140</v>
      </c>
      <c r="K238" s="11" t="str">
        <f t="shared" si="20"/>
        <v>GŁÓWNA</v>
      </c>
      <c r="L238">
        <f t="shared" si="23"/>
        <v>0</v>
      </c>
    </row>
    <row r="239" spans="1:12" x14ac:dyDescent="0.25">
      <c r="A239" s="6">
        <v>44432</v>
      </c>
      <c r="B239" s="4">
        <v>5180</v>
      </c>
      <c r="C239" s="4"/>
      <c r="D239" s="4">
        <v>1870</v>
      </c>
      <c r="E239" s="4">
        <v>6900</v>
      </c>
      <c r="F239" s="4">
        <v>13950</v>
      </c>
      <c r="G239" t="b">
        <f t="shared" si="21"/>
        <v>1</v>
      </c>
      <c r="H239">
        <f t="shared" si="22"/>
        <v>12000</v>
      </c>
      <c r="I239" s="13">
        <f t="shared" si="24"/>
        <v>12140</v>
      </c>
      <c r="J239" s="11">
        <f t="shared" si="19"/>
        <v>5090</v>
      </c>
      <c r="K239" s="11" t="str">
        <f t="shared" si="20"/>
        <v>F4</v>
      </c>
      <c r="L239">
        <f t="shared" si="23"/>
        <v>6900</v>
      </c>
    </row>
    <row r="240" spans="1:12" x14ac:dyDescent="0.25">
      <c r="A240" s="6">
        <v>44433</v>
      </c>
      <c r="B240" s="4"/>
      <c r="C240" s="4">
        <v>2520</v>
      </c>
      <c r="D240" s="4"/>
      <c r="E240" s="4">
        <v>6360</v>
      </c>
      <c r="F240" s="4">
        <v>8880</v>
      </c>
      <c r="G240" t="b">
        <f t="shared" si="21"/>
        <v>1</v>
      </c>
      <c r="H240">
        <f t="shared" si="22"/>
        <v>12000</v>
      </c>
      <c r="I240" s="13">
        <f t="shared" si="24"/>
        <v>17090</v>
      </c>
      <c r="J240" s="11">
        <f t="shared" si="19"/>
        <v>8210</v>
      </c>
      <c r="K240" s="11" t="str">
        <f t="shared" si="20"/>
        <v>GŁÓWNA</v>
      </c>
      <c r="L240">
        <f t="shared" si="23"/>
        <v>0</v>
      </c>
    </row>
    <row r="241" spans="1:12" x14ac:dyDescent="0.25">
      <c r="A241" s="6">
        <v>44434</v>
      </c>
      <c r="B241" s="4"/>
      <c r="C241" s="4"/>
      <c r="D241" s="4">
        <v>8890</v>
      </c>
      <c r="E241" s="4"/>
      <c r="F241" s="4">
        <v>8890</v>
      </c>
      <c r="G241" t="b">
        <f t="shared" si="21"/>
        <v>1</v>
      </c>
      <c r="H241">
        <f t="shared" si="22"/>
        <v>12000</v>
      </c>
      <c r="I241" s="13">
        <f t="shared" si="24"/>
        <v>20210</v>
      </c>
      <c r="J241" s="11">
        <f t="shared" si="19"/>
        <v>11320</v>
      </c>
      <c r="K241" s="11" t="str">
        <f t="shared" si="20"/>
        <v>GŁÓWNA</v>
      </c>
      <c r="L241">
        <f t="shared" si="23"/>
        <v>0</v>
      </c>
    </row>
    <row r="242" spans="1:12" x14ac:dyDescent="0.25">
      <c r="A242" s="6">
        <v>44435</v>
      </c>
      <c r="B242" s="4"/>
      <c r="C242" s="4">
        <v>1470</v>
      </c>
      <c r="D242" s="4"/>
      <c r="E242" s="4"/>
      <c r="F242" s="4">
        <v>1470</v>
      </c>
      <c r="G242" t="b">
        <f t="shared" si="21"/>
        <v>1</v>
      </c>
      <c r="H242">
        <f t="shared" si="22"/>
        <v>12000</v>
      </c>
      <c r="I242" s="13">
        <f t="shared" si="24"/>
        <v>23320</v>
      </c>
      <c r="J242" s="11">
        <f t="shared" si="19"/>
        <v>21850</v>
      </c>
      <c r="K242" s="11" t="str">
        <f t="shared" si="20"/>
        <v>GŁÓWNA</v>
      </c>
      <c r="L242">
        <f t="shared" si="23"/>
        <v>0</v>
      </c>
    </row>
    <row r="243" spans="1:12" x14ac:dyDescent="0.25">
      <c r="A243" s="6">
        <v>44436</v>
      </c>
      <c r="B243" s="4"/>
      <c r="C243" s="4">
        <v>2950</v>
      </c>
      <c r="D243" s="4">
        <v>6730</v>
      </c>
      <c r="E243" s="4"/>
      <c r="F243" s="4">
        <v>9680</v>
      </c>
      <c r="G243" t="b">
        <f t="shared" si="21"/>
        <v>0</v>
      </c>
      <c r="H243">
        <f t="shared" si="22"/>
        <v>5000</v>
      </c>
      <c r="I243" s="13">
        <f t="shared" si="24"/>
        <v>26850</v>
      </c>
      <c r="J243" s="11">
        <f t="shared" si="19"/>
        <v>17170</v>
      </c>
      <c r="K243" s="11" t="str">
        <f t="shared" si="20"/>
        <v>GŁÓWNA</v>
      </c>
      <c r="L243">
        <f t="shared" si="23"/>
        <v>0</v>
      </c>
    </row>
    <row r="244" spans="1:12" x14ac:dyDescent="0.25">
      <c r="A244" s="6">
        <v>44437</v>
      </c>
      <c r="B244" s="4"/>
      <c r="C244" s="4">
        <v>6600</v>
      </c>
      <c r="D244" s="4"/>
      <c r="E244" s="4">
        <v>5530</v>
      </c>
      <c r="F244" s="4">
        <v>12130</v>
      </c>
      <c r="G244" t="b">
        <f t="shared" si="21"/>
        <v>0</v>
      </c>
      <c r="H244">
        <f t="shared" si="22"/>
        <v>5000</v>
      </c>
      <c r="I244" s="13">
        <f t="shared" si="24"/>
        <v>22170</v>
      </c>
      <c r="J244" s="11">
        <f t="shared" si="19"/>
        <v>10040</v>
      </c>
      <c r="K244" s="11" t="str">
        <f t="shared" si="20"/>
        <v>GŁÓWNA</v>
      </c>
      <c r="L244">
        <f t="shared" si="23"/>
        <v>0</v>
      </c>
    </row>
    <row r="245" spans="1:12" x14ac:dyDescent="0.25">
      <c r="A245" s="6">
        <v>44438</v>
      </c>
      <c r="B245" s="4"/>
      <c r="C245" s="4">
        <v>3800</v>
      </c>
      <c r="D245" s="4">
        <v>7060</v>
      </c>
      <c r="E245" s="4">
        <v>7740</v>
      </c>
      <c r="F245" s="4">
        <v>18600</v>
      </c>
      <c r="G245" t="b">
        <f t="shared" si="21"/>
        <v>1</v>
      </c>
      <c r="H245">
        <f t="shared" si="22"/>
        <v>12000</v>
      </c>
      <c r="I245" s="13">
        <f t="shared" si="24"/>
        <v>22040</v>
      </c>
      <c r="J245" s="11">
        <f t="shared" si="19"/>
        <v>3440</v>
      </c>
      <c r="K245" s="11" t="str">
        <f t="shared" si="20"/>
        <v>GŁÓWNA</v>
      </c>
      <c r="L245">
        <f t="shared" si="23"/>
        <v>0</v>
      </c>
    </row>
    <row r="246" spans="1:12" x14ac:dyDescent="0.25">
      <c r="A246" s="6">
        <v>44439</v>
      </c>
      <c r="B246" s="4"/>
      <c r="C246" s="4"/>
      <c r="D246" s="4">
        <v>4560</v>
      </c>
      <c r="E246" s="4"/>
      <c r="F246" s="4">
        <v>4560</v>
      </c>
      <c r="G246" t="b">
        <f t="shared" si="21"/>
        <v>1</v>
      </c>
      <c r="H246">
        <f t="shared" si="22"/>
        <v>12000</v>
      </c>
      <c r="I246" s="13">
        <f t="shared" si="24"/>
        <v>15440</v>
      </c>
      <c r="J246" s="11">
        <f t="shared" si="19"/>
        <v>10880</v>
      </c>
      <c r="K246" s="11" t="str">
        <f t="shared" si="20"/>
        <v>GŁÓWNA</v>
      </c>
      <c r="L246">
        <f t="shared" si="23"/>
        <v>0</v>
      </c>
    </row>
    <row r="247" spans="1:12" x14ac:dyDescent="0.25">
      <c r="A247" s="6">
        <v>44440</v>
      </c>
      <c r="B247" s="4"/>
      <c r="C247" s="4">
        <v>1530</v>
      </c>
      <c r="D247" s="4">
        <v>4620</v>
      </c>
      <c r="E247" s="4"/>
      <c r="F247" s="4">
        <v>6150</v>
      </c>
      <c r="G247" t="b">
        <f t="shared" si="21"/>
        <v>1</v>
      </c>
      <c r="H247">
        <f t="shared" si="22"/>
        <v>12000</v>
      </c>
      <c r="I247" s="13">
        <f t="shared" si="24"/>
        <v>22880</v>
      </c>
      <c r="J247" s="11">
        <f t="shared" si="19"/>
        <v>16730</v>
      </c>
      <c r="K247" s="11" t="str">
        <f t="shared" si="20"/>
        <v>GŁÓWNA</v>
      </c>
      <c r="L247">
        <f t="shared" si="23"/>
        <v>0</v>
      </c>
    </row>
    <row r="248" spans="1:12" x14ac:dyDescent="0.25">
      <c r="A248" s="6">
        <v>44441</v>
      </c>
      <c r="B248" s="4">
        <v>4100</v>
      </c>
      <c r="C248" s="4"/>
      <c r="D248" s="4">
        <v>6920</v>
      </c>
      <c r="E248" s="4"/>
      <c r="F248" s="4">
        <v>11020</v>
      </c>
      <c r="G248" t="b">
        <f t="shared" si="21"/>
        <v>1</v>
      </c>
      <c r="H248">
        <f t="shared" si="22"/>
        <v>12000</v>
      </c>
      <c r="I248" s="13">
        <f t="shared" si="24"/>
        <v>28730</v>
      </c>
      <c r="J248" s="11">
        <f t="shared" si="19"/>
        <v>17710</v>
      </c>
      <c r="K248" s="11" t="str">
        <f t="shared" si="20"/>
        <v>GŁÓWNA</v>
      </c>
      <c r="L248">
        <f t="shared" si="23"/>
        <v>0</v>
      </c>
    </row>
    <row r="249" spans="1:12" x14ac:dyDescent="0.25">
      <c r="A249" s="6">
        <v>44442</v>
      </c>
      <c r="B249" s="4">
        <v>8460</v>
      </c>
      <c r="C249" s="4"/>
      <c r="D249" s="4">
        <v>1160</v>
      </c>
      <c r="E249" s="4">
        <v>2870</v>
      </c>
      <c r="F249" s="4">
        <v>12490</v>
      </c>
      <c r="G249" t="b">
        <f t="shared" si="21"/>
        <v>1</v>
      </c>
      <c r="H249">
        <f t="shared" si="22"/>
        <v>12000</v>
      </c>
      <c r="I249" s="13">
        <f t="shared" si="24"/>
        <v>29710</v>
      </c>
      <c r="J249" s="11">
        <f t="shared" si="19"/>
        <v>17220</v>
      </c>
      <c r="K249" s="11" t="str">
        <f t="shared" si="20"/>
        <v>GŁÓWNA</v>
      </c>
      <c r="L249">
        <f t="shared" si="23"/>
        <v>0</v>
      </c>
    </row>
    <row r="250" spans="1:12" x14ac:dyDescent="0.25">
      <c r="A250" s="6">
        <v>44443</v>
      </c>
      <c r="B250" s="4"/>
      <c r="C250" s="4"/>
      <c r="D250" s="4"/>
      <c r="E250" s="4">
        <v>6880</v>
      </c>
      <c r="F250" s="4">
        <v>6880</v>
      </c>
      <c r="G250" t="b">
        <f t="shared" si="21"/>
        <v>0</v>
      </c>
      <c r="H250">
        <f t="shared" si="22"/>
        <v>5000</v>
      </c>
      <c r="I250" s="13">
        <f t="shared" si="24"/>
        <v>22220</v>
      </c>
      <c r="J250" s="11">
        <f t="shared" si="19"/>
        <v>15340</v>
      </c>
      <c r="K250" s="11" t="str">
        <f t="shared" si="20"/>
        <v>GŁÓWNA</v>
      </c>
      <c r="L250">
        <f t="shared" si="23"/>
        <v>0</v>
      </c>
    </row>
    <row r="251" spans="1:12" x14ac:dyDescent="0.25">
      <c r="A251" s="6">
        <v>44444</v>
      </c>
      <c r="B251" s="4"/>
      <c r="C251" s="4">
        <v>3610</v>
      </c>
      <c r="D251" s="4"/>
      <c r="E251" s="4"/>
      <c r="F251" s="4">
        <v>3610</v>
      </c>
      <c r="G251" t="b">
        <f t="shared" si="21"/>
        <v>0</v>
      </c>
      <c r="H251">
        <f t="shared" si="22"/>
        <v>5000</v>
      </c>
      <c r="I251" s="13">
        <f t="shared" si="24"/>
        <v>20340</v>
      </c>
      <c r="J251" s="11">
        <f t="shared" si="19"/>
        <v>16730</v>
      </c>
      <c r="K251" s="11" t="str">
        <f t="shared" si="20"/>
        <v>GŁÓWNA</v>
      </c>
      <c r="L251">
        <f t="shared" si="23"/>
        <v>0</v>
      </c>
    </row>
    <row r="252" spans="1:12" x14ac:dyDescent="0.25">
      <c r="A252" s="6">
        <v>44445</v>
      </c>
      <c r="B252" s="4">
        <v>2400</v>
      </c>
      <c r="C252" s="4"/>
      <c r="D252" s="4"/>
      <c r="E252" s="4"/>
      <c r="F252" s="4">
        <v>2400</v>
      </c>
      <c r="G252" t="b">
        <f t="shared" si="21"/>
        <v>1</v>
      </c>
      <c r="H252">
        <f t="shared" si="22"/>
        <v>12000</v>
      </c>
      <c r="I252" s="13">
        <f t="shared" si="24"/>
        <v>28730</v>
      </c>
      <c r="J252" s="11">
        <f t="shared" si="19"/>
        <v>26330</v>
      </c>
      <c r="K252" s="11" t="str">
        <f t="shared" si="20"/>
        <v>GŁÓWNA</v>
      </c>
      <c r="L252">
        <f t="shared" si="23"/>
        <v>0</v>
      </c>
    </row>
    <row r="253" spans="1:12" x14ac:dyDescent="0.25">
      <c r="A253" s="6">
        <v>44446</v>
      </c>
      <c r="B253" s="4"/>
      <c r="C253" s="4"/>
      <c r="D253" s="4"/>
      <c r="E253" s="4">
        <v>2660</v>
      </c>
      <c r="F253" s="4">
        <v>2660</v>
      </c>
      <c r="G253" t="b">
        <f t="shared" si="21"/>
        <v>1</v>
      </c>
      <c r="H253">
        <f t="shared" si="22"/>
        <v>12000</v>
      </c>
      <c r="I253" s="13">
        <f t="shared" si="24"/>
        <v>38330</v>
      </c>
      <c r="J253" s="11">
        <f t="shared" si="19"/>
        <v>35670</v>
      </c>
      <c r="K253" s="11" t="str">
        <f t="shared" si="20"/>
        <v>GŁÓWNA</v>
      </c>
      <c r="L253">
        <f t="shared" si="23"/>
        <v>0</v>
      </c>
    </row>
    <row r="254" spans="1:12" x14ac:dyDescent="0.25">
      <c r="A254" s="6">
        <v>44447</v>
      </c>
      <c r="B254" s="4"/>
      <c r="C254" s="4">
        <v>9310</v>
      </c>
      <c r="D254" s="4"/>
      <c r="E254" s="4">
        <v>3980</v>
      </c>
      <c r="F254" s="4">
        <v>13290</v>
      </c>
      <c r="G254" t="b">
        <f t="shared" si="21"/>
        <v>1</v>
      </c>
      <c r="H254">
        <f t="shared" si="22"/>
        <v>12000</v>
      </c>
      <c r="I254" s="13">
        <f t="shared" si="24"/>
        <v>47670</v>
      </c>
      <c r="J254" s="11">
        <f t="shared" si="19"/>
        <v>34380</v>
      </c>
      <c r="K254" s="11" t="str">
        <f t="shared" si="20"/>
        <v>GŁÓWNA</v>
      </c>
      <c r="L254">
        <f t="shared" si="23"/>
        <v>0</v>
      </c>
    </row>
    <row r="255" spans="1:12" x14ac:dyDescent="0.25">
      <c r="A255" s="6">
        <v>44448</v>
      </c>
      <c r="B255" s="4">
        <v>7000</v>
      </c>
      <c r="C255" s="4"/>
      <c r="D255" s="4">
        <v>6620</v>
      </c>
      <c r="E255" s="4">
        <v>4660</v>
      </c>
      <c r="F255" s="4">
        <v>18280</v>
      </c>
      <c r="G255" t="b">
        <f t="shared" si="21"/>
        <v>1</v>
      </c>
      <c r="H255">
        <f t="shared" si="22"/>
        <v>12000</v>
      </c>
      <c r="I255" s="13">
        <f t="shared" si="24"/>
        <v>46380</v>
      </c>
      <c r="J255" s="11">
        <f t="shared" si="19"/>
        <v>28100</v>
      </c>
      <c r="K255" s="11" t="str">
        <f t="shared" si="20"/>
        <v>GŁÓWNA</v>
      </c>
      <c r="L255">
        <f t="shared" si="23"/>
        <v>0</v>
      </c>
    </row>
    <row r="256" spans="1:12" x14ac:dyDescent="0.25">
      <c r="A256" s="6">
        <v>44449</v>
      </c>
      <c r="B256" s="4">
        <v>1690</v>
      </c>
      <c r="C256" s="4">
        <v>6080</v>
      </c>
      <c r="D256" s="4"/>
      <c r="E256" s="4"/>
      <c r="F256" s="4">
        <v>7770</v>
      </c>
      <c r="G256" t="b">
        <f t="shared" si="21"/>
        <v>1</v>
      </c>
      <c r="H256">
        <f t="shared" si="22"/>
        <v>12000</v>
      </c>
      <c r="I256" s="13">
        <f t="shared" si="24"/>
        <v>40100</v>
      </c>
      <c r="J256" s="11">
        <f t="shared" si="19"/>
        <v>32330</v>
      </c>
      <c r="K256" s="11" t="str">
        <f t="shared" si="20"/>
        <v>GŁÓWNA</v>
      </c>
      <c r="L256">
        <f t="shared" si="23"/>
        <v>0</v>
      </c>
    </row>
    <row r="257" spans="1:12" x14ac:dyDescent="0.25">
      <c r="A257" s="6">
        <v>44450</v>
      </c>
      <c r="B257" s="4">
        <v>4320</v>
      </c>
      <c r="C257" s="4"/>
      <c r="D257" s="4">
        <v>1970</v>
      </c>
      <c r="E257" s="4">
        <v>3310</v>
      </c>
      <c r="F257" s="4">
        <v>9600</v>
      </c>
      <c r="G257" t="b">
        <f t="shared" si="21"/>
        <v>0</v>
      </c>
      <c r="H257">
        <f t="shared" si="22"/>
        <v>5000</v>
      </c>
      <c r="I257" s="13">
        <f t="shared" si="24"/>
        <v>37330</v>
      </c>
      <c r="J257" s="11">
        <f t="shared" si="19"/>
        <v>27730</v>
      </c>
      <c r="K257" s="11" t="str">
        <f t="shared" si="20"/>
        <v>GŁÓWNA</v>
      </c>
      <c r="L257">
        <f t="shared" si="23"/>
        <v>0</v>
      </c>
    </row>
    <row r="258" spans="1:12" x14ac:dyDescent="0.25">
      <c r="A258" s="6">
        <v>44451</v>
      </c>
      <c r="B258" s="4"/>
      <c r="C258" s="4">
        <v>3550</v>
      </c>
      <c r="D258" s="4">
        <v>5210</v>
      </c>
      <c r="E258" s="4">
        <v>2990</v>
      </c>
      <c r="F258" s="4">
        <v>11750</v>
      </c>
      <c r="G258" t="b">
        <f t="shared" si="21"/>
        <v>0</v>
      </c>
      <c r="H258">
        <f t="shared" si="22"/>
        <v>5000</v>
      </c>
      <c r="I258" s="13">
        <f t="shared" si="24"/>
        <v>32730</v>
      </c>
      <c r="J258" s="11">
        <f t="shared" si="19"/>
        <v>20980</v>
      </c>
      <c r="K258" s="11" t="str">
        <f t="shared" si="20"/>
        <v>GŁÓWNA</v>
      </c>
      <c r="L258">
        <f t="shared" si="23"/>
        <v>0</v>
      </c>
    </row>
    <row r="259" spans="1:12" x14ac:dyDescent="0.25">
      <c r="A259" s="6">
        <v>44452</v>
      </c>
      <c r="B259" s="4">
        <v>7890</v>
      </c>
      <c r="C259" s="4">
        <v>6170</v>
      </c>
      <c r="D259" s="4"/>
      <c r="E259" s="4">
        <v>3440</v>
      </c>
      <c r="F259" s="4">
        <v>17500</v>
      </c>
      <c r="G259" t="b">
        <f t="shared" si="21"/>
        <v>1</v>
      </c>
      <c r="H259">
        <f t="shared" si="22"/>
        <v>12000</v>
      </c>
      <c r="I259" s="13">
        <f t="shared" si="24"/>
        <v>32980</v>
      </c>
      <c r="J259" s="11">
        <f t="shared" si="19"/>
        <v>15480</v>
      </c>
      <c r="K259" s="11" t="str">
        <f t="shared" si="20"/>
        <v>GŁÓWNA</v>
      </c>
      <c r="L259">
        <f t="shared" si="23"/>
        <v>0</v>
      </c>
    </row>
    <row r="260" spans="1:12" x14ac:dyDescent="0.25">
      <c r="A260" s="6">
        <v>44453</v>
      </c>
      <c r="B260" s="4"/>
      <c r="C260" s="4"/>
      <c r="D260" s="4">
        <v>8230</v>
      </c>
      <c r="E260" s="4"/>
      <c r="F260" s="4">
        <v>8230</v>
      </c>
      <c r="G260" t="b">
        <f t="shared" si="21"/>
        <v>1</v>
      </c>
      <c r="H260">
        <f t="shared" si="22"/>
        <v>12000</v>
      </c>
      <c r="I260" s="13">
        <f t="shared" si="24"/>
        <v>27480</v>
      </c>
      <c r="J260" s="11">
        <f t="shared" si="19"/>
        <v>19250</v>
      </c>
      <c r="K260" s="11" t="str">
        <f t="shared" si="20"/>
        <v>GŁÓWNA</v>
      </c>
      <c r="L260">
        <f t="shared" si="23"/>
        <v>0</v>
      </c>
    </row>
    <row r="261" spans="1:12" x14ac:dyDescent="0.25">
      <c r="A261" s="6">
        <v>44454</v>
      </c>
      <c r="B261" s="4">
        <v>5870</v>
      </c>
      <c r="C261" s="4">
        <v>4400</v>
      </c>
      <c r="D261" s="4"/>
      <c r="E261" s="4">
        <v>4710</v>
      </c>
      <c r="F261" s="4">
        <v>14980</v>
      </c>
      <c r="G261" t="b">
        <f t="shared" si="21"/>
        <v>1</v>
      </c>
      <c r="H261">
        <f t="shared" si="22"/>
        <v>12000</v>
      </c>
      <c r="I261" s="13">
        <f t="shared" si="24"/>
        <v>31250</v>
      </c>
      <c r="J261" s="11">
        <f t="shared" ref="J261:J324" si="25">IF($I261-$B261&lt;0,$I261,IF($I261-$B261-$C261&lt;0,$I261-$B261,IF($I261-$B261-$C261-$D261&lt;0,$I261-$B261-$C261,IF($I261-$B261-$C261-$D261-$E261&lt;0,$I261-$B261-$C261-$D261,$I261-$F261))))</f>
        <v>16270</v>
      </c>
      <c r="K261" s="11" t="str">
        <f t="shared" ref="K261:K324" si="26">IF($I261-$B261&lt;0,"F1",IF($I261-$B261-$C261&lt;0,"F2",IF($I261-$B261-$C261-$D261&lt;0,"F3",IF($I261-$B261-$C261-$D261-$E261&lt;0,"F4","GŁÓWNA"))))</f>
        <v>GŁÓWNA</v>
      </c>
      <c r="L261">
        <f t="shared" si="23"/>
        <v>0</v>
      </c>
    </row>
    <row r="262" spans="1:12" x14ac:dyDescent="0.25">
      <c r="A262" s="6">
        <v>44455</v>
      </c>
      <c r="B262" s="4"/>
      <c r="C262" s="4"/>
      <c r="D262" s="4">
        <v>9580</v>
      </c>
      <c r="E262" s="4"/>
      <c r="F262" s="4">
        <v>9580</v>
      </c>
      <c r="G262" t="b">
        <f t="shared" ref="G262:G325" si="27">IF(WEEKDAY(A262,2)&gt;=6,FALSE,TRUE)</f>
        <v>1</v>
      </c>
      <c r="H262">
        <f t="shared" ref="H262:H325" si="28">IF(G262,$N$5,$N$6)</f>
        <v>12000</v>
      </c>
      <c r="I262" s="13">
        <f t="shared" si="24"/>
        <v>28270</v>
      </c>
      <c r="J262" s="11">
        <f t="shared" si="25"/>
        <v>18690</v>
      </c>
      <c r="K262" s="11" t="str">
        <f t="shared" si="26"/>
        <v>GŁÓWNA</v>
      </c>
      <c r="L262">
        <f t="shared" ref="L262:L325" si="29">IF(K262&lt;&gt;"GŁÓWNA",IF(K262="F1",SUM(B262:E262),IF(K262="F2",SUM(C262:E262),IF(K262="F3",SUM(D262:E262),IF(K262="F4",E262,)))),0)</f>
        <v>0</v>
      </c>
    </row>
    <row r="263" spans="1:12" x14ac:dyDescent="0.25">
      <c r="A263" s="6">
        <v>44456</v>
      </c>
      <c r="B263" s="4"/>
      <c r="C263" s="4">
        <v>3320</v>
      </c>
      <c r="D263" s="4">
        <v>7580</v>
      </c>
      <c r="E263" s="4">
        <v>6730</v>
      </c>
      <c r="F263" s="4">
        <v>17630</v>
      </c>
      <c r="G263" t="b">
        <f t="shared" si="27"/>
        <v>1</v>
      </c>
      <c r="H263">
        <f t="shared" si="28"/>
        <v>12000</v>
      </c>
      <c r="I263" s="13">
        <f t="shared" ref="I263:I326" si="30">J262+H263</f>
        <v>30690</v>
      </c>
      <c r="J263" s="11">
        <f t="shared" si="25"/>
        <v>13060</v>
      </c>
      <c r="K263" s="11" t="str">
        <f t="shared" si="26"/>
        <v>GŁÓWNA</v>
      </c>
      <c r="L263">
        <f t="shared" si="29"/>
        <v>0</v>
      </c>
    </row>
    <row r="264" spans="1:12" x14ac:dyDescent="0.25">
      <c r="A264" s="6">
        <v>44457</v>
      </c>
      <c r="B264" s="4">
        <v>7650</v>
      </c>
      <c r="C264" s="4"/>
      <c r="D264" s="4"/>
      <c r="E264" s="4">
        <v>2640</v>
      </c>
      <c r="F264" s="4">
        <v>10290</v>
      </c>
      <c r="G264" t="b">
        <f t="shared" si="27"/>
        <v>0</v>
      </c>
      <c r="H264">
        <f t="shared" si="28"/>
        <v>5000</v>
      </c>
      <c r="I264" s="13">
        <f t="shared" si="30"/>
        <v>18060</v>
      </c>
      <c r="J264" s="11">
        <f t="shared" si="25"/>
        <v>7770</v>
      </c>
      <c r="K264" s="11" t="str">
        <f t="shared" si="26"/>
        <v>GŁÓWNA</v>
      </c>
      <c r="L264">
        <f t="shared" si="29"/>
        <v>0</v>
      </c>
    </row>
    <row r="265" spans="1:12" x14ac:dyDescent="0.25">
      <c r="A265" s="6">
        <v>44458</v>
      </c>
      <c r="B265" s="4">
        <v>8160</v>
      </c>
      <c r="C265" s="4">
        <v>9750</v>
      </c>
      <c r="D265" s="4"/>
      <c r="E265" s="4">
        <v>9860</v>
      </c>
      <c r="F265" s="4">
        <v>27770</v>
      </c>
      <c r="G265" t="b">
        <f t="shared" si="27"/>
        <v>0</v>
      </c>
      <c r="H265">
        <f t="shared" si="28"/>
        <v>5000</v>
      </c>
      <c r="I265" s="13">
        <f t="shared" si="30"/>
        <v>12770</v>
      </c>
      <c r="J265" s="11">
        <f t="shared" si="25"/>
        <v>4610</v>
      </c>
      <c r="K265" s="11" t="str">
        <f t="shared" si="26"/>
        <v>F2</v>
      </c>
      <c r="L265">
        <f t="shared" si="29"/>
        <v>19610</v>
      </c>
    </row>
    <row r="266" spans="1:12" x14ac:dyDescent="0.25">
      <c r="A266" s="6">
        <v>44459</v>
      </c>
      <c r="B266" s="4"/>
      <c r="C266" s="4">
        <v>6490</v>
      </c>
      <c r="D266" s="4">
        <v>6280</v>
      </c>
      <c r="E266" s="4"/>
      <c r="F266" s="4">
        <v>12770</v>
      </c>
      <c r="G266" t="b">
        <f t="shared" si="27"/>
        <v>1</v>
      </c>
      <c r="H266">
        <f t="shared" si="28"/>
        <v>12000</v>
      </c>
      <c r="I266" s="13">
        <f t="shared" si="30"/>
        <v>16610</v>
      </c>
      <c r="J266" s="11">
        <f t="shared" si="25"/>
        <v>3840</v>
      </c>
      <c r="K266" s="11" t="str">
        <f t="shared" si="26"/>
        <v>GŁÓWNA</v>
      </c>
      <c r="L266">
        <f t="shared" si="29"/>
        <v>0</v>
      </c>
    </row>
    <row r="267" spans="1:12" x14ac:dyDescent="0.25">
      <c r="A267" s="6">
        <v>44460</v>
      </c>
      <c r="B267" s="4"/>
      <c r="C267" s="4">
        <v>3140</v>
      </c>
      <c r="D267" s="4">
        <v>4110</v>
      </c>
      <c r="E267" s="4"/>
      <c r="F267" s="4">
        <v>7250</v>
      </c>
      <c r="G267" t="b">
        <f t="shared" si="27"/>
        <v>1</v>
      </c>
      <c r="H267">
        <f t="shared" si="28"/>
        <v>12000</v>
      </c>
      <c r="I267" s="13">
        <f t="shared" si="30"/>
        <v>15840</v>
      </c>
      <c r="J267" s="11">
        <f t="shared" si="25"/>
        <v>8590</v>
      </c>
      <c r="K267" s="11" t="str">
        <f t="shared" si="26"/>
        <v>GŁÓWNA</v>
      </c>
      <c r="L267">
        <f t="shared" si="29"/>
        <v>0</v>
      </c>
    </row>
    <row r="268" spans="1:12" x14ac:dyDescent="0.25">
      <c r="A268" s="6">
        <v>44461</v>
      </c>
      <c r="B268" s="4">
        <v>1280</v>
      </c>
      <c r="C268" s="4">
        <v>3550</v>
      </c>
      <c r="D268" s="4"/>
      <c r="E268" s="4"/>
      <c r="F268" s="4">
        <v>4830</v>
      </c>
      <c r="G268" t="b">
        <f t="shared" si="27"/>
        <v>1</v>
      </c>
      <c r="H268">
        <f t="shared" si="28"/>
        <v>12000</v>
      </c>
      <c r="I268" s="13">
        <f t="shared" si="30"/>
        <v>20590</v>
      </c>
      <c r="J268" s="11">
        <f t="shared" si="25"/>
        <v>15760</v>
      </c>
      <c r="K268" s="11" t="str">
        <f t="shared" si="26"/>
        <v>GŁÓWNA</v>
      </c>
      <c r="L268">
        <f t="shared" si="29"/>
        <v>0</v>
      </c>
    </row>
    <row r="269" spans="1:12" x14ac:dyDescent="0.25">
      <c r="A269" s="6">
        <v>44462</v>
      </c>
      <c r="B269" s="4">
        <v>8360</v>
      </c>
      <c r="C269" s="4"/>
      <c r="D269" s="4"/>
      <c r="E269" s="4"/>
      <c r="F269" s="4">
        <v>8360</v>
      </c>
      <c r="G269" t="b">
        <f t="shared" si="27"/>
        <v>1</v>
      </c>
      <c r="H269">
        <f t="shared" si="28"/>
        <v>12000</v>
      </c>
      <c r="I269" s="13">
        <f t="shared" si="30"/>
        <v>27760</v>
      </c>
      <c r="J269" s="11">
        <f t="shared" si="25"/>
        <v>19400</v>
      </c>
      <c r="K269" s="11" t="str">
        <f t="shared" si="26"/>
        <v>GŁÓWNA</v>
      </c>
      <c r="L269">
        <f t="shared" si="29"/>
        <v>0</v>
      </c>
    </row>
    <row r="270" spans="1:12" x14ac:dyDescent="0.25">
      <c r="A270" s="6">
        <v>44463</v>
      </c>
      <c r="B270" s="4">
        <v>9920</v>
      </c>
      <c r="C270" s="4">
        <v>2930</v>
      </c>
      <c r="D270" s="4"/>
      <c r="E270" s="4"/>
      <c r="F270" s="4">
        <v>12850</v>
      </c>
      <c r="G270" t="b">
        <f t="shared" si="27"/>
        <v>1</v>
      </c>
      <c r="H270">
        <f t="shared" si="28"/>
        <v>12000</v>
      </c>
      <c r="I270" s="13">
        <f t="shared" si="30"/>
        <v>31400</v>
      </c>
      <c r="J270" s="11">
        <f t="shared" si="25"/>
        <v>18550</v>
      </c>
      <c r="K270" s="11" t="str">
        <f t="shared" si="26"/>
        <v>GŁÓWNA</v>
      </c>
      <c r="L270">
        <f t="shared" si="29"/>
        <v>0</v>
      </c>
    </row>
    <row r="271" spans="1:12" x14ac:dyDescent="0.25">
      <c r="A271" s="6">
        <v>44464</v>
      </c>
      <c r="B271" s="4">
        <v>3140</v>
      </c>
      <c r="C271" s="4"/>
      <c r="D271" s="4"/>
      <c r="E271" s="4"/>
      <c r="F271" s="4">
        <v>3140</v>
      </c>
      <c r="G271" t="b">
        <f t="shared" si="27"/>
        <v>0</v>
      </c>
      <c r="H271">
        <f t="shared" si="28"/>
        <v>5000</v>
      </c>
      <c r="I271" s="13">
        <f t="shared" si="30"/>
        <v>23550</v>
      </c>
      <c r="J271" s="11">
        <f t="shared" si="25"/>
        <v>20410</v>
      </c>
      <c r="K271" s="11" t="str">
        <f t="shared" si="26"/>
        <v>GŁÓWNA</v>
      </c>
      <c r="L271">
        <f t="shared" si="29"/>
        <v>0</v>
      </c>
    </row>
    <row r="272" spans="1:12" x14ac:dyDescent="0.25">
      <c r="A272" s="6">
        <v>44465</v>
      </c>
      <c r="B272" s="4"/>
      <c r="C272" s="4"/>
      <c r="D272" s="4">
        <v>1010</v>
      </c>
      <c r="E272" s="4"/>
      <c r="F272" s="4">
        <v>1010</v>
      </c>
      <c r="G272" t="b">
        <f t="shared" si="27"/>
        <v>0</v>
      </c>
      <c r="H272">
        <f t="shared" si="28"/>
        <v>5000</v>
      </c>
      <c r="I272" s="13">
        <f t="shared" si="30"/>
        <v>25410</v>
      </c>
      <c r="J272" s="11">
        <f t="shared" si="25"/>
        <v>24400</v>
      </c>
      <c r="K272" s="11" t="str">
        <f t="shared" si="26"/>
        <v>GŁÓWNA</v>
      </c>
      <c r="L272">
        <f t="shared" si="29"/>
        <v>0</v>
      </c>
    </row>
    <row r="273" spans="1:12" x14ac:dyDescent="0.25">
      <c r="A273" s="6">
        <v>44466</v>
      </c>
      <c r="B273" s="4">
        <v>9210</v>
      </c>
      <c r="C273" s="4">
        <v>1880</v>
      </c>
      <c r="D273" s="4"/>
      <c r="E273" s="4"/>
      <c r="F273" s="4">
        <v>11090</v>
      </c>
      <c r="G273" t="b">
        <f t="shared" si="27"/>
        <v>1</v>
      </c>
      <c r="H273">
        <f t="shared" si="28"/>
        <v>12000</v>
      </c>
      <c r="I273" s="13">
        <f t="shared" si="30"/>
        <v>36400</v>
      </c>
      <c r="J273" s="11">
        <f t="shared" si="25"/>
        <v>25310</v>
      </c>
      <c r="K273" s="11" t="str">
        <f t="shared" si="26"/>
        <v>GŁÓWNA</v>
      </c>
      <c r="L273">
        <f t="shared" si="29"/>
        <v>0</v>
      </c>
    </row>
    <row r="274" spans="1:12" x14ac:dyDescent="0.25">
      <c r="A274" s="6">
        <v>44467</v>
      </c>
      <c r="B274" s="4"/>
      <c r="C274" s="4">
        <v>6540</v>
      </c>
      <c r="D274" s="4"/>
      <c r="E274" s="4">
        <v>5080</v>
      </c>
      <c r="F274" s="4">
        <v>11620</v>
      </c>
      <c r="G274" t="b">
        <f t="shared" si="27"/>
        <v>1</v>
      </c>
      <c r="H274">
        <f t="shared" si="28"/>
        <v>12000</v>
      </c>
      <c r="I274" s="13">
        <f t="shared" si="30"/>
        <v>37310</v>
      </c>
      <c r="J274" s="11">
        <f t="shared" si="25"/>
        <v>25690</v>
      </c>
      <c r="K274" s="11" t="str">
        <f t="shared" si="26"/>
        <v>GŁÓWNA</v>
      </c>
      <c r="L274">
        <f t="shared" si="29"/>
        <v>0</v>
      </c>
    </row>
    <row r="275" spans="1:12" x14ac:dyDescent="0.25">
      <c r="A275" s="6">
        <v>44468</v>
      </c>
      <c r="B275" s="4">
        <v>3250</v>
      </c>
      <c r="C275" s="4"/>
      <c r="D275" s="4"/>
      <c r="E275" s="4"/>
      <c r="F275" s="4">
        <v>3250</v>
      </c>
      <c r="G275" t="b">
        <f t="shared" si="27"/>
        <v>1</v>
      </c>
      <c r="H275">
        <f t="shared" si="28"/>
        <v>12000</v>
      </c>
      <c r="I275" s="13">
        <f t="shared" si="30"/>
        <v>37690</v>
      </c>
      <c r="J275" s="11">
        <f t="shared" si="25"/>
        <v>34440</v>
      </c>
      <c r="K275" s="11" t="str">
        <f t="shared" si="26"/>
        <v>GŁÓWNA</v>
      </c>
      <c r="L275">
        <f t="shared" si="29"/>
        <v>0</v>
      </c>
    </row>
    <row r="276" spans="1:12" x14ac:dyDescent="0.25">
      <c r="A276" s="6">
        <v>44469</v>
      </c>
      <c r="B276" s="4"/>
      <c r="C276" s="4"/>
      <c r="D276" s="4">
        <v>5080</v>
      </c>
      <c r="E276" s="4">
        <v>7660</v>
      </c>
      <c r="F276" s="4">
        <v>12740</v>
      </c>
      <c r="G276" t="b">
        <f t="shared" si="27"/>
        <v>1</v>
      </c>
      <c r="H276">
        <f t="shared" si="28"/>
        <v>12000</v>
      </c>
      <c r="I276" s="13">
        <f t="shared" si="30"/>
        <v>46440</v>
      </c>
      <c r="J276" s="11">
        <f t="shared" si="25"/>
        <v>33700</v>
      </c>
      <c r="K276" s="11" t="str">
        <f t="shared" si="26"/>
        <v>GŁÓWNA</v>
      </c>
      <c r="L276">
        <f t="shared" si="29"/>
        <v>0</v>
      </c>
    </row>
    <row r="277" spans="1:12" x14ac:dyDescent="0.25">
      <c r="A277" s="6">
        <v>44470</v>
      </c>
      <c r="B277" s="4">
        <v>2060</v>
      </c>
      <c r="C277" s="4">
        <v>7840</v>
      </c>
      <c r="D277" s="4"/>
      <c r="E277" s="4"/>
      <c r="F277" s="4">
        <v>9900</v>
      </c>
      <c r="G277" t="b">
        <f t="shared" si="27"/>
        <v>1</v>
      </c>
      <c r="H277">
        <f t="shared" si="28"/>
        <v>12000</v>
      </c>
      <c r="I277" s="13">
        <f t="shared" si="30"/>
        <v>45700</v>
      </c>
      <c r="J277" s="11">
        <f t="shared" si="25"/>
        <v>35800</v>
      </c>
      <c r="K277" s="11" t="str">
        <f t="shared" si="26"/>
        <v>GŁÓWNA</v>
      </c>
      <c r="L277">
        <f t="shared" si="29"/>
        <v>0</v>
      </c>
    </row>
    <row r="278" spans="1:12" x14ac:dyDescent="0.25">
      <c r="A278" s="6">
        <v>44471</v>
      </c>
      <c r="B278" s="4"/>
      <c r="C278" s="4"/>
      <c r="D278" s="4"/>
      <c r="E278" s="4">
        <v>1010</v>
      </c>
      <c r="F278" s="4">
        <v>1010</v>
      </c>
      <c r="G278" t="b">
        <f t="shared" si="27"/>
        <v>0</v>
      </c>
      <c r="H278">
        <f t="shared" si="28"/>
        <v>5000</v>
      </c>
      <c r="I278" s="13">
        <f t="shared" si="30"/>
        <v>40800</v>
      </c>
      <c r="J278" s="11">
        <f t="shared" si="25"/>
        <v>39790</v>
      </c>
      <c r="K278" s="11" t="str">
        <f t="shared" si="26"/>
        <v>GŁÓWNA</v>
      </c>
      <c r="L278">
        <f t="shared" si="29"/>
        <v>0</v>
      </c>
    </row>
    <row r="279" spans="1:12" x14ac:dyDescent="0.25">
      <c r="A279" s="6">
        <v>44472</v>
      </c>
      <c r="B279" s="4"/>
      <c r="C279" s="4">
        <v>6350</v>
      </c>
      <c r="D279" s="4">
        <v>9160</v>
      </c>
      <c r="E279" s="4">
        <v>7540</v>
      </c>
      <c r="F279" s="4">
        <v>23050</v>
      </c>
      <c r="G279" t="b">
        <f t="shared" si="27"/>
        <v>0</v>
      </c>
      <c r="H279">
        <f t="shared" si="28"/>
        <v>5000</v>
      </c>
      <c r="I279" s="13">
        <f t="shared" si="30"/>
        <v>44790</v>
      </c>
      <c r="J279" s="11">
        <f t="shared" si="25"/>
        <v>21740</v>
      </c>
      <c r="K279" s="11" t="str">
        <f t="shared" si="26"/>
        <v>GŁÓWNA</v>
      </c>
      <c r="L279">
        <f t="shared" si="29"/>
        <v>0</v>
      </c>
    </row>
    <row r="280" spans="1:12" x14ac:dyDescent="0.25">
      <c r="A280" s="6">
        <v>44473</v>
      </c>
      <c r="B280" s="4"/>
      <c r="C280" s="4">
        <v>4990</v>
      </c>
      <c r="D280" s="4"/>
      <c r="E280" s="4">
        <v>9800</v>
      </c>
      <c r="F280" s="4">
        <v>14790</v>
      </c>
      <c r="G280" t="b">
        <f t="shared" si="27"/>
        <v>1</v>
      </c>
      <c r="H280">
        <f t="shared" si="28"/>
        <v>12000</v>
      </c>
      <c r="I280" s="13">
        <f t="shared" si="30"/>
        <v>33740</v>
      </c>
      <c r="J280" s="11">
        <f t="shared" si="25"/>
        <v>18950</v>
      </c>
      <c r="K280" s="11" t="str">
        <f t="shared" si="26"/>
        <v>GŁÓWNA</v>
      </c>
      <c r="L280">
        <f t="shared" si="29"/>
        <v>0</v>
      </c>
    </row>
    <row r="281" spans="1:12" x14ac:dyDescent="0.25">
      <c r="A281" s="6">
        <v>44474</v>
      </c>
      <c r="B281" s="4">
        <v>5220</v>
      </c>
      <c r="C281" s="4"/>
      <c r="D281" s="4">
        <v>3610</v>
      </c>
      <c r="E281" s="4">
        <v>5150</v>
      </c>
      <c r="F281" s="4">
        <v>13980</v>
      </c>
      <c r="G281" t="b">
        <f t="shared" si="27"/>
        <v>1</v>
      </c>
      <c r="H281">
        <f t="shared" si="28"/>
        <v>12000</v>
      </c>
      <c r="I281" s="13">
        <f t="shared" si="30"/>
        <v>30950</v>
      </c>
      <c r="J281" s="11">
        <f t="shared" si="25"/>
        <v>16970</v>
      </c>
      <c r="K281" s="11" t="str">
        <f t="shared" si="26"/>
        <v>GŁÓWNA</v>
      </c>
      <c r="L281">
        <f t="shared" si="29"/>
        <v>0</v>
      </c>
    </row>
    <row r="282" spans="1:12" x14ac:dyDescent="0.25">
      <c r="A282" s="6">
        <v>44475</v>
      </c>
      <c r="B282" s="4">
        <v>2500</v>
      </c>
      <c r="C282" s="4">
        <v>2040</v>
      </c>
      <c r="D282" s="4"/>
      <c r="E282" s="4">
        <v>8900</v>
      </c>
      <c r="F282" s="4">
        <v>13440</v>
      </c>
      <c r="G282" t="b">
        <f t="shared" si="27"/>
        <v>1</v>
      </c>
      <c r="H282">
        <f t="shared" si="28"/>
        <v>12000</v>
      </c>
      <c r="I282" s="13">
        <f t="shared" si="30"/>
        <v>28970</v>
      </c>
      <c r="J282" s="11">
        <f t="shared" si="25"/>
        <v>15530</v>
      </c>
      <c r="K282" s="11" t="str">
        <f t="shared" si="26"/>
        <v>GŁÓWNA</v>
      </c>
      <c r="L282">
        <f t="shared" si="29"/>
        <v>0</v>
      </c>
    </row>
    <row r="283" spans="1:12" x14ac:dyDescent="0.25">
      <c r="A283" s="6">
        <v>44476</v>
      </c>
      <c r="B283" s="4"/>
      <c r="C283" s="4"/>
      <c r="D283" s="4">
        <v>8930</v>
      </c>
      <c r="E283" s="4"/>
      <c r="F283" s="4">
        <v>8930</v>
      </c>
      <c r="G283" t="b">
        <f t="shared" si="27"/>
        <v>1</v>
      </c>
      <c r="H283">
        <f t="shared" si="28"/>
        <v>12000</v>
      </c>
      <c r="I283" s="13">
        <f t="shared" si="30"/>
        <v>27530</v>
      </c>
      <c r="J283" s="11">
        <f t="shared" si="25"/>
        <v>18600</v>
      </c>
      <c r="K283" s="11" t="str">
        <f t="shared" si="26"/>
        <v>GŁÓWNA</v>
      </c>
      <c r="L283">
        <f t="shared" si="29"/>
        <v>0</v>
      </c>
    </row>
    <row r="284" spans="1:12" x14ac:dyDescent="0.25">
      <c r="A284" s="6">
        <v>44477</v>
      </c>
      <c r="B284" s="4">
        <v>7120</v>
      </c>
      <c r="C284" s="4"/>
      <c r="D284" s="4">
        <v>1780</v>
      </c>
      <c r="E284" s="4">
        <v>4980</v>
      </c>
      <c r="F284" s="4">
        <v>13880</v>
      </c>
      <c r="G284" t="b">
        <f t="shared" si="27"/>
        <v>1</v>
      </c>
      <c r="H284">
        <f t="shared" si="28"/>
        <v>12000</v>
      </c>
      <c r="I284" s="13">
        <f t="shared" si="30"/>
        <v>30600</v>
      </c>
      <c r="J284" s="11">
        <f t="shared" si="25"/>
        <v>16720</v>
      </c>
      <c r="K284" s="11" t="str">
        <f t="shared" si="26"/>
        <v>GŁÓWNA</v>
      </c>
      <c r="L284">
        <f t="shared" si="29"/>
        <v>0</v>
      </c>
    </row>
    <row r="285" spans="1:12" x14ac:dyDescent="0.25">
      <c r="A285" s="6">
        <v>44478</v>
      </c>
      <c r="B285" s="4"/>
      <c r="C285" s="4">
        <v>5420</v>
      </c>
      <c r="D285" s="4">
        <v>5240</v>
      </c>
      <c r="E285" s="4">
        <v>8360</v>
      </c>
      <c r="F285" s="4">
        <v>19020</v>
      </c>
      <c r="G285" t="b">
        <f t="shared" si="27"/>
        <v>0</v>
      </c>
      <c r="H285">
        <f t="shared" si="28"/>
        <v>5000</v>
      </c>
      <c r="I285" s="13">
        <f t="shared" si="30"/>
        <v>21720</v>
      </c>
      <c r="J285" s="11">
        <f t="shared" si="25"/>
        <v>2700</v>
      </c>
      <c r="K285" s="11" t="str">
        <f t="shared" si="26"/>
        <v>GŁÓWNA</v>
      </c>
      <c r="L285">
        <f t="shared" si="29"/>
        <v>0</v>
      </c>
    </row>
    <row r="286" spans="1:12" x14ac:dyDescent="0.25">
      <c r="A286" s="6">
        <v>44479</v>
      </c>
      <c r="B286" s="4"/>
      <c r="C286" s="4">
        <v>9390</v>
      </c>
      <c r="D286" s="4">
        <v>2510</v>
      </c>
      <c r="E286" s="4"/>
      <c r="F286" s="4">
        <v>11900</v>
      </c>
      <c r="G286" t="b">
        <f t="shared" si="27"/>
        <v>0</v>
      </c>
      <c r="H286">
        <f t="shared" si="28"/>
        <v>5000</v>
      </c>
      <c r="I286" s="13">
        <f t="shared" si="30"/>
        <v>7700</v>
      </c>
      <c r="J286" s="11">
        <f t="shared" si="25"/>
        <v>7700</v>
      </c>
      <c r="K286" s="11" t="str">
        <f t="shared" si="26"/>
        <v>F2</v>
      </c>
      <c r="L286">
        <f t="shared" si="29"/>
        <v>11900</v>
      </c>
    </row>
    <row r="287" spans="1:12" x14ac:dyDescent="0.25">
      <c r="A287" s="6">
        <v>44480</v>
      </c>
      <c r="B287" s="4"/>
      <c r="C287" s="4">
        <v>7980</v>
      </c>
      <c r="D287" s="4">
        <v>3720</v>
      </c>
      <c r="E287" s="4"/>
      <c r="F287" s="4">
        <v>11700</v>
      </c>
      <c r="G287" t="b">
        <f t="shared" si="27"/>
        <v>1</v>
      </c>
      <c r="H287">
        <f t="shared" si="28"/>
        <v>12000</v>
      </c>
      <c r="I287" s="13">
        <f t="shared" si="30"/>
        <v>19700</v>
      </c>
      <c r="J287" s="11">
        <f t="shared" si="25"/>
        <v>8000</v>
      </c>
      <c r="K287" s="11" t="str">
        <f t="shared" si="26"/>
        <v>GŁÓWNA</v>
      </c>
      <c r="L287">
        <f t="shared" si="29"/>
        <v>0</v>
      </c>
    </row>
    <row r="288" spans="1:12" x14ac:dyDescent="0.25">
      <c r="A288" s="6">
        <v>44481</v>
      </c>
      <c r="B288" s="4"/>
      <c r="C288" s="4"/>
      <c r="D288" s="4">
        <v>3210</v>
      </c>
      <c r="E288" s="4"/>
      <c r="F288" s="4">
        <v>3210</v>
      </c>
      <c r="G288" t="b">
        <f t="shared" si="27"/>
        <v>1</v>
      </c>
      <c r="H288">
        <f t="shared" si="28"/>
        <v>12000</v>
      </c>
      <c r="I288" s="13">
        <f t="shared" si="30"/>
        <v>20000</v>
      </c>
      <c r="J288" s="11">
        <f t="shared" si="25"/>
        <v>16790</v>
      </c>
      <c r="K288" s="11" t="str">
        <f t="shared" si="26"/>
        <v>GŁÓWNA</v>
      </c>
      <c r="L288">
        <f t="shared" si="29"/>
        <v>0</v>
      </c>
    </row>
    <row r="289" spans="1:12" x14ac:dyDescent="0.25">
      <c r="A289" s="6">
        <v>44482</v>
      </c>
      <c r="B289" s="4"/>
      <c r="C289" s="4">
        <v>7640</v>
      </c>
      <c r="D289" s="4">
        <v>6100</v>
      </c>
      <c r="E289" s="4"/>
      <c r="F289" s="4">
        <v>13740</v>
      </c>
      <c r="G289" t="b">
        <f t="shared" si="27"/>
        <v>1</v>
      </c>
      <c r="H289">
        <f t="shared" si="28"/>
        <v>12000</v>
      </c>
      <c r="I289" s="13">
        <f t="shared" si="30"/>
        <v>28790</v>
      </c>
      <c r="J289" s="11">
        <f t="shared" si="25"/>
        <v>15050</v>
      </c>
      <c r="K289" s="11" t="str">
        <f t="shared" si="26"/>
        <v>GŁÓWNA</v>
      </c>
      <c r="L289">
        <f t="shared" si="29"/>
        <v>0</v>
      </c>
    </row>
    <row r="290" spans="1:12" x14ac:dyDescent="0.25">
      <c r="A290" s="6">
        <v>44483</v>
      </c>
      <c r="B290" s="4"/>
      <c r="C290" s="4">
        <v>2170</v>
      </c>
      <c r="D290" s="4">
        <v>6850</v>
      </c>
      <c r="E290" s="4"/>
      <c r="F290" s="4">
        <v>9020</v>
      </c>
      <c r="G290" t="b">
        <f t="shared" si="27"/>
        <v>1</v>
      </c>
      <c r="H290">
        <f t="shared" si="28"/>
        <v>12000</v>
      </c>
      <c r="I290" s="13">
        <f t="shared" si="30"/>
        <v>27050</v>
      </c>
      <c r="J290" s="11">
        <f t="shared" si="25"/>
        <v>18030</v>
      </c>
      <c r="K290" s="11" t="str">
        <f t="shared" si="26"/>
        <v>GŁÓWNA</v>
      </c>
      <c r="L290">
        <f t="shared" si="29"/>
        <v>0</v>
      </c>
    </row>
    <row r="291" spans="1:12" x14ac:dyDescent="0.25">
      <c r="A291" s="6">
        <v>44484</v>
      </c>
      <c r="B291" s="4"/>
      <c r="C291" s="4">
        <v>2310</v>
      </c>
      <c r="D291" s="4"/>
      <c r="E291" s="4">
        <v>6230</v>
      </c>
      <c r="F291" s="4">
        <v>8540</v>
      </c>
      <c r="G291" t="b">
        <f t="shared" si="27"/>
        <v>1</v>
      </c>
      <c r="H291">
        <f t="shared" si="28"/>
        <v>12000</v>
      </c>
      <c r="I291" s="13">
        <f t="shared" si="30"/>
        <v>30030</v>
      </c>
      <c r="J291" s="11">
        <f t="shared" si="25"/>
        <v>21490</v>
      </c>
      <c r="K291" s="11" t="str">
        <f t="shared" si="26"/>
        <v>GŁÓWNA</v>
      </c>
      <c r="L291">
        <f t="shared" si="29"/>
        <v>0</v>
      </c>
    </row>
    <row r="292" spans="1:12" x14ac:dyDescent="0.25">
      <c r="A292" s="6">
        <v>44485</v>
      </c>
      <c r="B292" s="4">
        <v>5650</v>
      </c>
      <c r="C292" s="4">
        <v>7250</v>
      </c>
      <c r="D292" s="4"/>
      <c r="E292" s="4"/>
      <c r="F292" s="4">
        <v>12900</v>
      </c>
      <c r="G292" t="b">
        <f t="shared" si="27"/>
        <v>0</v>
      </c>
      <c r="H292">
        <f t="shared" si="28"/>
        <v>5000</v>
      </c>
      <c r="I292" s="13">
        <f t="shared" si="30"/>
        <v>26490</v>
      </c>
      <c r="J292" s="11">
        <f t="shared" si="25"/>
        <v>13590</v>
      </c>
      <c r="K292" s="11" t="str">
        <f t="shared" si="26"/>
        <v>GŁÓWNA</v>
      </c>
      <c r="L292">
        <f t="shared" si="29"/>
        <v>0</v>
      </c>
    </row>
    <row r="293" spans="1:12" x14ac:dyDescent="0.25">
      <c r="A293" s="6">
        <v>44486</v>
      </c>
      <c r="B293" s="4"/>
      <c r="C293" s="4">
        <v>3650</v>
      </c>
      <c r="D293" s="4">
        <v>7920</v>
      </c>
      <c r="E293" s="4">
        <v>4190</v>
      </c>
      <c r="F293" s="4">
        <v>15760</v>
      </c>
      <c r="G293" t="b">
        <f t="shared" si="27"/>
        <v>0</v>
      </c>
      <c r="H293">
        <f t="shared" si="28"/>
        <v>5000</v>
      </c>
      <c r="I293" s="13">
        <f t="shared" si="30"/>
        <v>18590</v>
      </c>
      <c r="J293" s="11">
        <f t="shared" si="25"/>
        <v>2830</v>
      </c>
      <c r="K293" s="11" t="str">
        <f t="shared" si="26"/>
        <v>GŁÓWNA</v>
      </c>
      <c r="L293">
        <f t="shared" si="29"/>
        <v>0</v>
      </c>
    </row>
    <row r="294" spans="1:12" x14ac:dyDescent="0.25">
      <c r="A294" s="6">
        <v>44487</v>
      </c>
      <c r="B294" s="4"/>
      <c r="C294" s="4"/>
      <c r="D294" s="4">
        <v>5270</v>
      </c>
      <c r="E294" s="4">
        <v>5920</v>
      </c>
      <c r="F294" s="4">
        <v>11190</v>
      </c>
      <c r="G294" t="b">
        <f t="shared" si="27"/>
        <v>1</v>
      </c>
      <c r="H294">
        <f t="shared" si="28"/>
        <v>12000</v>
      </c>
      <c r="I294" s="13">
        <f t="shared" si="30"/>
        <v>14830</v>
      </c>
      <c r="J294" s="11">
        <f t="shared" si="25"/>
        <v>3640</v>
      </c>
      <c r="K294" s="11" t="str">
        <f t="shared" si="26"/>
        <v>GŁÓWNA</v>
      </c>
      <c r="L294">
        <f t="shared" si="29"/>
        <v>0</v>
      </c>
    </row>
    <row r="295" spans="1:12" x14ac:dyDescent="0.25">
      <c r="A295" s="6">
        <v>44488</v>
      </c>
      <c r="B295" s="4">
        <v>7990</v>
      </c>
      <c r="C295" s="4"/>
      <c r="D295" s="4"/>
      <c r="E295" s="4">
        <v>5450</v>
      </c>
      <c r="F295" s="4">
        <v>13440</v>
      </c>
      <c r="G295" t="b">
        <f t="shared" si="27"/>
        <v>1</v>
      </c>
      <c r="H295">
        <f t="shared" si="28"/>
        <v>12000</v>
      </c>
      <c r="I295" s="13">
        <f t="shared" si="30"/>
        <v>15640</v>
      </c>
      <c r="J295" s="11">
        <f t="shared" si="25"/>
        <v>2200</v>
      </c>
      <c r="K295" s="11" t="str">
        <f t="shared" si="26"/>
        <v>GŁÓWNA</v>
      </c>
      <c r="L295">
        <f t="shared" si="29"/>
        <v>0</v>
      </c>
    </row>
    <row r="296" spans="1:12" x14ac:dyDescent="0.25">
      <c r="A296" s="6">
        <v>44489</v>
      </c>
      <c r="B296" s="4"/>
      <c r="C296" s="4"/>
      <c r="D296" s="4">
        <v>2580</v>
      </c>
      <c r="E296" s="4"/>
      <c r="F296" s="4">
        <v>2580</v>
      </c>
      <c r="G296" t="b">
        <f t="shared" si="27"/>
        <v>1</v>
      </c>
      <c r="H296">
        <f t="shared" si="28"/>
        <v>12000</v>
      </c>
      <c r="I296" s="13">
        <f t="shared" si="30"/>
        <v>14200</v>
      </c>
      <c r="J296" s="11">
        <f t="shared" si="25"/>
        <v>11620</v>
      </c>
      <c r="K296" s="11" t="str">
        <f t="shared" si="26"/>
        <v>GŁÓWNA</v>
      </c>
      <c r="L296">
        <f t="shared" si="29"/>
        <v>0</v>
      </c>
    </row>
    <row r="297" spans="1:12" x14ac:dyDescent="0.25">
      <c r="A297" s="6">
        <v>44490</v>
      </c>
      <c r="B297" s="4"/>
      <c r="C297" s="4">
        <v>1920</v>
      </c>
      <c r="D297" s="4">
        <v>8040</v>
      </c>
      <c r="E297" s="4"/>
      <c r="F297" s="4">
        <v>9960</v>
      </c>
      <c r="G297" t="b">
        <f t="shared" si="27"/>
        <v>1</v>
      </c>
      <c r="H297">
        <f t="shared" si="28"/>
        <v>12000</v>
      </c>
      <c r="I297" s="13">
        <f t="shared" si="30"/>
        <v>23620</v>
      </c>
      <c r="J297" s="11">
        <f t="shared" si="25"/>
        <v>13660</v>
      </c>
      <c r="K297" s="11" t="str">
        <f t="shared" si="26"/>
        <v>GŁÓWNA</v>
      </c>
      <c r="L297">
        <f t="shared" si="29"/>
        <v>0</v>
      </c>
    </row>
    <row r="298" spans="1:12" x14ac:dyDescent="0.25">
      <c r="A298" s="6">
        <v>44491</v>
      </c>
      <c r="B298" s="4">
        <v>9480</v>
      </c>
      <c r="C298" s="4"/>
      <c r="D298" s="4">
        <v>6930</v>
      </c>
      <c r="E298" s="4">
        <v>4810</v>
      </c>
      <c r="F298" s="4">
        <v>21220</v>
      </c>
      <c r="G298" t="b">
        <f t="shared" si="27"/>
        <v>1</v>
      </c>
      <c r="H298">
        <f t="shared" si="28"/>
        <v>12000</v>
      </c>
      <c r="I298" s="13">
        <f t="shared" si="30"/>
        <v>25660</v>
      </c>
      <c r="J298" s="11">
        <f t="shared" si="25"/>
        <v>4440</v>
      </c>
      <c r="K298" s="11" t="str">
        <f t="shared" si="26"/>
        <v>GŁÓWNA</v>
      </c>
      <c r="L298">
        <f t="shared" si="29"/>
        <v>0</v>
      </c>
    </row>
    <row r="299" spans="1:12" x14ac:dyDescent="0.25">
      <c r="A299" s="6">
        <v>44492</v>
      </c>
      <c r="B299" s="4"/>
      <c r="C299" s="4">
        <v>2610</v>
      </c>
      <c r="D299" s="4">
        <v>5770</v>
      </c>
      <c r="E299" s="4"/>
      <c r="F299" s="4">
        <v>8380</v>
      </c>
      <c r="G299" t="b">
        <f t="shared" si="27"/>
        <v>0</v>
      </c>
      <c r="H299">
        <f t="shared" si="28"/>
        <v>5000</v>
      </c>
      <c r="I299" s="13">
        <f t="shared" si="30"/>
        <v>9440</v>
      </c>
      <c r="J299" s="11">
        <f t="shared" si="25"/>
        <v>1060</v>
      </c>
      <c r="K299" s="11" t="str">
        <f t="shared" si="26"/>
        <v>GŁÓWNA</v>
      </c>
      <c r="L299">
        <f t="shared" si="29"/>
        <v>0</v>
      </c>
    </row>
    <row r="300" spans="1:12" x14ac:dyDescent="0.25">
      <c r="A300" s="6">
        <v>44493</v>
      </c>
      <c r="B300" s="4"/>
      <c r="C300" s="4">
        <v>1330</v>
      </c>
      <c r="D300" s="4"/>
      <c r="E300" s="4">
        <v>2670</v>
      </c>
      <c r="F300" s="4">
        <v>4000</v>
      </c>
      <c r="G300" t="b">
        <f t="shared" si="27"/>
        <v>0</v>
      </c>
      <c r="H300">
        <f t="shared" si="28"/>
        <v>5000</v>
      </c>
      <c r="I300" s="13">
        <f t="shared" si="30"/>
        <v>6060</v>
      </c>
      <c r="J300" s="11">
        <f t="shared" si="25"/>
        <v>2060</v>
      </c>
      <c r="K300" s="11" t="str">
        <f t="shared" si="26"/>
        <v>GŁÓWNA</v>
      </c>
      <c r="L300">
        <f t="shared" si="29"/>
        <v>0</v>
      </c>
    </row>
    <row r="301" spans="1:12" x14ac:dyDescent="0.25">
      <c r="A301" s="6">
        <v>44494</v>
      </c>
      <c r="B301" s="4">
        <v>1050</v>
      </c>
      <c r="C301" s="4">
        <v>6530</v>
      </c>
      <c r="D301" s="4">
        <v>1750</v>
      </c>
      <c r="E301" s="4">
        <v>1700</v>
      </c>
      <c r="F301" s="4">
        <v>11030</v>
      </c>
      <c r="G301" t="b">
        <f t="shared" si="27"/>
        <v>1</v>
      </c>
      <c r="H301">
        <f t="shared" si="28"/>
        <v>12000</v>
      </c>
      <c r="I301" s="13">
        <f t="shared" si="30"/>
        <v>14060</v>
      </c>
      <c r="J301" s="11">
        <f t="shared" si="25"/>
        <v>3030</v>
      </c>
      <c r="K301" s="11" t="str">
        <f t="shared" si="26"/>
        <v>GŁÓWNA</v>
      </c>
      <c r="L301">
        <f t="shared" si="29"/>
        <v>0</v>
      </c>
    </row>
    <row r="302" spans="1:12" x14ac:dyDescent="0.25">
      <c r="A302" s="6">
        <v>44495</v>
      </c>
      <c r="B302" s="4">
        <v>6590</v>
      </c>
      <c r="C302" s="4"/>
      <c r="D302" s="4">
        <v>6980</v>
      </c>
      <c r="E302" s="4">
        <v>2090</v>
      </c>
      <c r="F302" s="4">
        <v>15660</v>
      </c>
      <c r="G302" t="b">
        <f t="shared" si="27"/>
        <v>1</v>
      </c>
      <c r="H302">
        <f t="shared" si="28"/>
        <v>12000</v>
      </c>
      <c r="I302" s="13">
        <f t="shared" si="30"/>
        <v>15030</v>
      </c>
      <c r="J302" s="11">
        <f t="shared" si="25"/>
        <v>1460</v>
      </c>
      <c r="K302" s="11" t="str">
        <f t="shared" si="26"/>
        <v>F4</v>
      </c>
      <c r="L302">
        <f t="shared" si="29"/>
        <v>2090</v>
      </c>
    </row>
    <row r="303" spans="1:12" x14ac:dyDescent="0.25">
      <c r="A303" s="6">
        <v>44496</v>
      </c>
      <c r="B303" s="4">
        <v>6430</v>
      </c>
      <c r="C303" s="4">
        <v>4220</v>
      </c>
      <c r="D303" s="4">
        <v>9940</v>
      </c>
      <c r="E303" s="4">
        <v>3960</v>
      </c>
      <c r="F303" s="4">
        <v>24550</v>
      </c>
      <c r="G303" t="b">
        <f t="shared" si="27"/>
        <v>1</v>
      </c>
      <c r="H303">
        <f t="shared" si="28"/>
        <v>12000</v>
      </c>
      <c r="I303" s="13">
        <f t="shared" si="30"/>
        <v>13460</v>
      </c>
      <c r="J303" s="11">
        <f t="shared" si="25"/>
        <v>2810</v>
      </c>
      <c r="K303" s="11" t="str">
        <f t="shared" si="26"/>
        <v>F3</v>
      </c>
      <c r="L303">
        <f t="shared" si="29"/>
        <v>13900</v>
      </c>
    </row>
    <row r="304" spans="1:12" x14ac:dyDescent="0.25">
      <c r="A304" s="6">
        <v>44497</v>
      </c>
      <c r="B304" s="4"/>
      <c r="C304" s="4">
        <v>2630</v>
      </c>
      <c r="D304" s="4">
        <v>3540</v>
      </c>
      <c r="E304" s="4"/>
      <c r="F304" s="4">
        <v>6170</v>
      </c>
      <c r="G304" t="b">
        <f t="shared" si="27"/>
        <v>1</v>
      </c>
      <c r="H304">
        <f t="shared" si="28"/>
        <v>12000</v>
      </c>
      <c r="I304" s="13">
        <f t="shared" si="30"/>
        <v>14810</v>
      </c>
      <c r="J304" s="11">
        <f t="shared" si="25"/>
        <v>8640</v>
      </c>
      <c r="K304" s="11" t="str">
        <f t="shared" si="26"/>
        <v>GŁÓWNA</v>
      </c>
      <c r="L304">
        <f t="shared" si="29"/>
        <v>0</v>
      </c>
    </row>
    <row r="305" spans="1:12" x14ac:dyDescent="0.25">
      <c r="A305" s="6">
        <v>44498</v>
      </c>
      <c r="B305" s="4"/>
      <c r="C305" s="4"/>
      <c r="D305" s="4"/>
      <c r="E305" s="4">
        <v>2630</v>
      </c>
      <c r="F305" s="4">
        <v>2630</v>
      </c>
      <c r="G305" t="b">
        <f t="shared" si="27"/>
        <v>1</v>
      </c>
      <c r="H305">
        <f t="shared" si="28"/>
        <v>12000</v>
      </c>
      <c r="I305" s="13">
        <f t="shared" si="30"/>
        <v>20640</v>
      </c>
      <c r="J305" s="11">
        <f t="shared" si="25"/>
        <v>18010</v>
      </c>
      <c r="K305" s="11" t="str">
        <f t="shared" si="26"/>
        <v>GŁÓWNA</v>
      </c>
      <c r="L305">
        <f t="shared" si="29"/>
        <v>0</v>
      </c>
    </row>
    <row r="306" spans="1:12" x14ac:dyDescent="0.25">
      <c r="A306" s="6">
        <v>44499</v>
      </c>
      <c r="B306" s="4">
        <v>4230</v>
      </c>
      <c r="C306" s="4"/>
      <c r="D306" s="4">
        <v>4630</v>
      </c>
      <c r="E306" s="4"/>
      <c r="F306" s="4">
        <v>8860</v>
      </c>
      <c r="G306" t="b">
        <f t="shared" si="27"/>
        <v>0</v>
      </c>
      <c r="H306">
        <f t="shared" si="28"/>
        <v>5000</v>
      </c>
      <c r="I306" s="13">
        <f t="shared" si="30"/>
        <v>23010</v>
      </c>
      <c r="J306" s="11">
        <f t="shared" si="25"/>
        <v>14150</v>
      </c>
      <c r="K306" s="11" t="str">
        <f t="shared" si="26"/>
        <v>GŁÓWNA</v>
      </c>
      <c r="L306">
        <f t="shared" si="29"/>
        <v>0</v>
      </c>
    </row>
    <row r="307" spans="1:12" x14ac:dyDescent="0.25">
      <c r="A307" s="6">
        <v>44500</v>
      </c>
      <c r="B307" s="4"/>
      <c r="C307" s="4"/>
      <c r="D307" s="4"/>
      <c r="E307" s="4">
        <v>2100</v>
      </c>
      <c r="F307" s="4">
        <v>2100</v>
      </c>
      <c r="G307" t="b">
        <f t="shared" si="27"/>
        <v>0</v>
      </c>
      <c r="H307">
        <f t="shared" si="28"/>
        <v>5000</v>
      </c>
      <c r="I307" s="13">
        <f t="shared" si="30"/>
        <v>19150</v>
      </c>
      <c r="J307" s="11">
        <f t="shared" si="25"/>
        <v>17050</v>
      </c>
      <c r="K307" s="11" t="str">
        <f t="shared" si="26"/>
        <v>GŁÓWNA</v>
      </c>
      <c r="L307">
        <f t="shared" si="29"/>
        <v>0</v>
      </c>
    </row>
    <row r="308" spans="1:12" x14ac:dyDescent="0.25">
      <c r="A308" s="6">
        <v>44501</v>
      </c>
      <c r="B308" s="4">
        <v>2870</v>
      </c>
      <c r="C308" s="4"/>
      <c r="D308" s="4">
        <v>4290</v>
      </c>
      <c r="E308" s="4">
        <v>3550</v>
      </c>
      <c r="F308" s="4">
        <v>10710</v>
      </c>
      <c r="G308" t="b">
        <f t="shared" si="27"/>
        <v>1</v>
      </c>
      <c r="H308">
        <f t="shared" si="28"/>
        <v>12000</v>
      </c>
      <c r="I308" s="13">
        <f t="shared" si="30"/>
        <v>29050</v>
      </c>
      <c r="J308" s="11">
        <f t="shared" si="25"/>
        <v>18340</v>
      </c>
      <c r="K308" s="11" t="str">
        <f t="shared" si="26"/>
        <v>GŁÓWNA</v>
      </c>
      <c r="L308">
        <f t="shared" si="29"/>
        <v>0</v>
      </c>
    </row>
    <row r="309" spans="1:12" x14ac:dyDescent="0.25">
      <c r="A309" s="6">
        <v>44502</v>
      </c>
      <c r="B309" s="4"/>
      <c r="C309" s="4"/>
      <c r="D309" s="4">
        <v>8480</v>
      </c>
      <c r="E309" s="4"/>
      <c r="F309" s="4">
        <v>8480</v>
      </c>
      <c r="G309" t="b">
        <f t="shared" si="27"/>
        <v>1</v>
      </c>
      <c r="H309">
        <f t="shared" si="28"/>
        <v>12000</v>
      </c>
      <c r="I309" s="13">
        <f t="shared" si="30"/>
        <v>30340</v>
      </c>
      <c r="J309" s="11">
        <f t="shared" si="25"/>
        <v>21860</v>
      </c>
      <c r="K309" s="11" t="str">
        <f t="shared" si="26"/>
        <v>GŁÓWNA</v>
      </c>
      <c r="L309">
        <f t="shared" si="29"/>
        <v>0</v>
      </c>
    </row>
    <row r="310" spans="1:12" x14ac:dyDescent="0.25">
      <c r="A310" s="6">
        <v>44503</v>
      </c>
      <c r="B310" s="4"/>
      <c r="C310" s="4"/>
      <c r="D310" s="4">
        <v>4860</v>
      </c>
      <c r="E310" s="4">
        <v>8270</v>
      </c>
      <c r="F310" s="4">
        <v>13130</v>
      </c>
      <c r="G310" t="b">
        <f t="shared" si="27"/>
        <v>1</v>
      </c>
      <c r="H310">
        <f t="shared" si="28"/>
        <v>12000</v>
      </c>
      <c r="I310" s="13">
        <f t="shared" si="30"/>
        <v>33860</v>
      </c>
      <c r="J310" s="11">
        <f t="shared" si="25"/>
        <v>20730</v>
      </c>
      <c r="K310" s="11" t="str">
        <f t="shared" si="26"/>
        <v>GŁÓWNA</v>
      </c>
      <c r="L310">
        <f t="shared" si="29"/>
        <v>0</v>
      </c>
    </row>
    <row r="311" spans="1:12" x14ac:dyDescent="0.25">
      <c r="A311" s="6">
        <v>44504</v>
      </c>
      <c r="B311" s="4">
        <v>3110</v>
      </c>
      <c r="C311" s="4">
        <v>8790</v>
      </c>
      <c r="D311" s="4"/>
      <c r="E311" s="4">
        <v>1440</v>
      </c>
      <c r="F311" s="4">
        <v>13340</v>
      </c>
      <c r="G311" t="b">
        <f t="shared" si="27"/>
        <v>1</v>
      </c>
      <c r="H311">
        <f t="shared" si="28"/>
        <v>12000</v>
      </c>
      <c r="I311" s="13">
        <f t="shared" si="30"/>
        <v>32730</v>
      </c>
      <c r="J311" s="11">
        <f t="shared" si="25"/>
        <v>19390</v>
      </c>
      <c r="K311" s="11" t="str">
        <f t="shared" si="26"/>
        <v>GŁÓWNA</v>
      </c>
      <c r="L311">
        <f t="shared" si="29"/>
        <v>0</v>
      </c>
    </row>
    <row r="312" spans="1:12" x14ac:dyDescent="0.25">
      <c r="A312" s="6">
        <v>44505</v>
      </c>
      <c r="B312" s="4"/>
      <c r="C312" s="4">
        <v>4550</v>
      </c>
      <c r="D312" s="4">
        <v>6980</v>
      </c>
      <c r="E312" s="4"/>
      <c r="F312" s="4">
        <v>11530</v>
      </c>
      <c r="G312" t="b">
        <f t="shared" si="27"/>
        <v>1</v>
      </c>
      <c r="H312">
        <f t="shared" si="28"/>
        <v>12000</v>
      </c>
      <c r="I312" s="13">
        <f t="shared" si="30"/>
        <v>31390</v>
      </c>
      <c r="J312" s="11">
        <f t="shared" si="25"/>
        <v>19860</v>
      </c>
      <c r="K312" s="11" t="str">
        <f t="shared" si="26"/>
        <v>GŁÓWNA</v>
      </c>
      <c r="L312">
        <f t="shared" si="29"/>
        <v>0</v>
      </c>
    </row>
    <row r="313" spans="1:12" x14ac:dyDescent="0.25">
      <c r="A313" s="6">
        <v>44506</v>
      </c>
      <c r="B313" s="4"/>
      <c r="C313" s="4"/>
      <c r="D313" s="4"/>
      <c r="E313" s="4">
        <v>3920</v>
      </c>
      <c r="F313" s="4">
        <v>3920</v>
      </c>
      <c r="G313" t="b">
        <f t="shared" si="27"/>
        <v>0</v>
      </c>
      <c r="H313">
        <f t="shared" si="28"/>
        <v>5000</v>
      </c>
      <c r="I313" s="13">
        <f t="shared" si="30"/>
        <v>24860</v>
      </c>
      <c r="J313" s="11">
        <f t="shared" si="25"/>
        <v>20940</v>
      </c>
      <c r="K313" s="11" t="str">
        <f t="shared" si="26"/>
        <v>GŁÓWNA</v>
      </c>
      <c r="L313">
        <f t="shared" si="29"/>
        <v>0</v>
      </c>
    </row>
    <row r="314" spans="1:12" x14ac:dyDescent="0.25">
      <c r="A314" s="6">
        <v>44507</v>
      </c>
      <c r="B314" s="4"/>
      <c r="C314" s="4"/>
      <c r="D314" s="4">
        <v>7000</v>
      </c>
      <c r="E314" s="4">
        <v>7040</v>
      </c>
      <c r="F314" s="4">
        <v>14040</v>
      </c>
      <c r="G314" t="b">
        <f t="shared" si="27"/>
        <v>0</v>
      </c>
      <c r="H314">
        <f t="shared" si="28"/>
        <v>5000</v>
      </c>
      <c r="I314" s="13">
        <f t="shared" si="30"/>
        <v>25940</v>
      </c>
      <c r="J314" s="11">
        <f t="shared" si="25"/>
        <v>11900</v>
      </c>
      <c r="K314" s="11" t="str">
        <f t="shared" si="26"/>
        <v>GŁÓWNA</v>
      </c>
      <c r="L314">
        <f t="shared" si="29"/>
        <v>0</v>
      </c>
    </row>
    <row r="315" spans="1:12" x14ac:dyDescent="0.25">
      <c r="A315" s="6">
        <v>44508</v>
      </c>
      <c r="B315" s="4"/>
      <c r="C315" s="4"/>
      <c r="D315" s="4">
        <v>7550</v>
      </c>
      <c r="E315" s="4">
        <v>1980</v>
      </c>
      <c r="F315" s="4">
        <v>9530</v>
      </c>
      <c r="G315" t="b">
        <f t="shared" si="27"/>
        <v>1</v>
      </c>
      <c r="H315">
        <f t="shared" si="28"/>
        <v>12000</v>
      </c>
      <c r="I315" s="13">
        <f t="shared" si="30"/>
        <v>23900</v>
      </c>
      <c r="J315" s="11">
        <f t="shared" si="25"/>
        <v>14370</v>
      </c>
      <c r="K315" s="11" t="str">
        <f t="shared" si="26"/>
        <v>GŁÓWNA</v>
      </c>
      <c r="L315">
        <f t="shared" si="29"/>
        <v>0</v>
      </c>
    </row>
    <row r="316" spans="1:12" x14ac:dyDescent="0.25">
      <c r="A316" s="6">
        <v>44509</v>
      </c>
      <c r="B316" s="4">
        <v>2300</v>
      </c>
      <c r="C316" s="4">
        <v>4860</v>
      </c>
      <c r="D316" s="4"/>
      <c r="E316" s="4">
        <v>5950</v>
      </c>
      <c r="F316" s="4">
        <v>13110</v>
      </c>
      <c r="G316" t="b">
        <f t="shared" si="27"/>
        <v>1</v>
      </c>
      <c r="H316">
        <f t="shared" si="28"/>
        <v>12000</v>
      </c>
      <c r="I316" s="13">
        <f t="shared" si="30"/>
        <v>26370</v>
      </c>
      <c r="J316" s="11">
        <f t="shared" si="25"/>
        <v>13260</v>
      </c>
      <c r="K316" s="11" t="str">
        <f t="shared" si="26"/>
        <v>GŁÓWNA</v>
      </c>
      <c r="L316">
        <f t="shared" si="29"/>
        <v>0</v>
      </c>
    </row>
    <row r="317" spans="1:12" x14ac:dyDescent="0.25">
      <c r="A317" s="6">
        <v>44510</v>
      </c>
      <c r="B317" s="4">
        <v>6320</v>
      </c>
      <c r="C317" s="4"/>
      <c r="D317" s="4">
        <v>6800</v>
      </c>
      <c r="E317" s="4">
        <v>7210</v>
      </c>
      <c r="F317" s="4">
        <v>20330</v>
      </c>
      <c r="G317" t="b">
        <f t="shared" si="27"/>
        <v>1</v>
      </c>
      <c r="H317">
        <f t="shared" si="28"/>
        <v>12000</v>
      </c>
      <c r="I317" s="13">
        <f t="shared" si="30"/>
        <v>25260</v>
      </c>
      <c r="J317" s="11">
        <f t="shared" si="25"/>
        <v>4930</v>
      </c>
      <c r="K317" s="11" t="str">
        <f t="shared" si="26"/>
        <v>GŁÓWNA</v>
      </c>
      <c r="L317">
        <f t="shared" si="29"/>
        <v>0</v>
      </c>
    </row>
    <row r="318" spans="1:12" x14ac:dyDescent="0.25">
      <c r="A318" s="6">
        <v>44511</v>
      </c>
      <c r="B318" s="4">
        <v>2960</v>
      </c>
      <c r="C318" s="4"/>
      <c r="D318" s="4">
        <v>8040</v>
      </c>
      <c r="E318" s="4"/>
      <c r="F318" s="4">
        <v>11000</v>
      </c>
      <c r="G318" t="b">
        <f t="shared" si="27"/>
        <v>1</v>
      </c>
      <c r="H318">
        <f t="shared" si="28"/>
        <v>12000</v>
      </c>
      <c r="I318" s="13">
        <f t="shared" si="30"/>
        <v>16930</v>
      </c>
      <c r="J318" s="11">
        <f t="shared" si="25"/>
        <v>5930</v>
      </c>
      <c r="K318" s="11" t="str">
        <f t="shared" si="26"/>
        <v>GŁÓWNA</v>
      </c>
      <c r="L318">
        <f t="shared" si="29"/>
        <v>0</v>
      </c>
    </row>
    <row r="319" spans="1:12" x14ac:dyDescent="0.25">
      <c r="A319" s="6">
        <v>44512</v>
      </c>
      <c r="B319" s="4"/>
      <c r="C319" s="4"/>
      <c r="D319" s="4"/>
      <c r="E319" s="4">
        <v>1960</v>
      </c>
      <c r="F319" s="4">
        <v>1960</v>
      </c>
      <c r="G319" t="b">
        <f t="shared" si="27"/>
        <v>1</v>
      </c>
      <c r="H319">
        <f t="shared" si="28"/>
        <v>12000</v>
      </c>
      <c r="I319" s="13">
        <f t="shared" si="30"/>
        <v>17930</v>
      </c>
      <c r="J319" s="11">
        <f t="shared" si="25"/>
        <v>15970</v>
      </c>
      <c r="K319" s="11" t="str">
        <f t="shared" si="26"/>
        <v>GŁÓWNA</v>
      </c>
      <c r="L319">
        <f t="shared" si="29"/>
        <v>0</v>
      </c>
    </row>
    <row r="320" spans="1:12" x14ac:dyDescent="0.25">
      <c r="A320" s="6">
        <v>44513</v>
      </c>
      <c r="B320" s="4"/>
      <c r="C320" s="4"/>
      <c r="D320" s="4">
        <v>5740</v>
      </c>
      <c r="E320" s="4"/>
      <c r="F320" s="4">
        <v>5740</v>
      </c>
      <c r="G320" t="b">
        <f t="shared" si="27"/>
        <v>0</v>
      </c>
      <c r="H320">
        <f t="shared" si="28"/>
        <v>5000</v>
      </c>
      <c r="I320" s="13">
        <f t="shared" si="30"/>
        <v>20970</v>
      </c>
      <c r="J320" s="11">
        <f t="shared" si="25"/>
        <v>15230</v>
      </c>
      <c r="K320" s="11" t="str">
        <f t="shared" si="26"/>
        <v>GŁÓWNA</v>
      </c>
      <c r="L320">
        <f t="shared" si="29"/>
        <v>0</v>
      </c>
    </row>
    <row r="321" spans="1:12" x14ac:dyDescent="0.25">
      <c r="A321" s="6">
        <v>44514</v>
      </c>
      <c r="B321" s="4"/>
      <c r="C321" s="4"/>
      <c r="D321" s="4">
        <v>5910</v>
      </c>
      <c r="E321" s="4">
        <v>2610</v>
      </c>
      <c r="F321" s="4">
        <v>8520</v>
      </c>
      <c r="G321" t="b">
        <f t="shared" si="27"/>
        <v>0</v>
      </c>
      <c r="H321">
        <f t="shared" si="28"/>
        <v>5000</v>
      </c>
      <c r="I321" s="13">
        <f t="shared" si="30"/>
        <v>20230</v>
      </c>
      <c r="J321" s="11">
        <f t="shared" si="25"/>
        <v>11710</v>
      </c>
      <c r="K321" s="11" t="str">
        <f t="shared" si="26"/>
        <v>GŁÓWNA</v>
      </c>
      <c r="L321">
        <f t="shared" si="29"/>
        <v>0</v>
      </c>
    </row>
    <row r="322" spans="1:12" x14ac:dyDescent="0.25">
      <c r="A322" s="6">
        <v>44515</v>
      </c>
      <c r="B322" s="4">
        <v>8320</v>
      </c>
      <c r="C322" s="4">
        <v>1580</v>
      </c>
      <c r="D322" s="4">
        <v>2820</v>
      </c>
      <c r="E322" s="4">
        <v>4410</v>
      </c>
      <c r="F322" s="4">
        <v>17130</v>
      </c>
      <c r="G322" t="b">
        <f t="shared" si="27"/>
        <v>1</v>
      </c>
      <c r="H322">
        <f t="shared" si="28"/>
        <v>12000</v>
      </c>
      <c r="I322" s="13">
        <f t="shared" si="30"/>
        <v>23710</v>
      </c>
      <c r="J322" s="11">
        <f t="shared" si="25"/>
        <v>6580</v>
      </c>
      <c r="K322" s="11" t="str">
        <f t="shared" si="26"/>
        <v>GŁÓWNA</v>
      </c>
      <c r="L322">
        <f t="shared" si="29"/>
        <v>0</v>
      </c>
    </row>
    <row r="323" spans="1:12" x14ac:dyDescent="0.25">
      <c r="A323" s="6">
        <v>44516</v>
      </c>
      <c r="B323" s="4">
        <v>4420</v>
      </c>
      <c r="C323" s="4">
        <v>3470</v>
      </c>
      <c r="D323" s="4"/>
      <c r="E323" s="4"/>
      <c r="F323" s="4">
        <v>7890</v>
      </c>
      <c r="G323" t="b">
        <f t="shared" si="27"/>
        <v>1</v>
      </c>
      <c r="H323">
        <f t="shared" si="28"/>
        <v>12000</v>
      </c>
      <c r="I323" s="13">
        <f t="shared" si="30"/>
        <v>18580</v>
      </c>
      <c r="J323" s="11">
        <f t="shared" si="25"/>
        <v>10690</v>
      </c>
      <c r="K323" s="11" t="str">
        <f t="shared" si="26"/>
        <v>GŁÓWNA</v>
      </c>
      <c r="L323">
        <f t="shared" si="29"/>
        <v>0</v>
      </c>
    </row>
    <row r="324" spans="1:12" x14ac:dyDescent="0.25">
      <c r="A324" s="6">
        <v>44517</v>
      </c>
      <c r="B324" s="4">
        <v>3130</v>
      </c>
      <c r="C324" s="4">
        <v>1320</v>
      </c>
      <c r="D324" s="4">
        <v>8470</v>
      </c>
      <c r="E324" s="4"/>
      <c r="F324" s="4">
        <v>12920</v>
      </c>
      <c r="G324" t="b">
        <f t="shared" si="27"/>
        <v>1</v>
      </c>
      <c r="H324">
        <f t="shared" si="28"/>
        <v>12000</v>
      </c>
      <c r="I324" s="13">
        <f t="shared" si="30"/>
        <v>22690</v>
      </c>
      <c r="J324" s="11">
        <f t="shared" si="25"/>
        <v>9770</v>
      </c>
      <c r="K324" s="11" t="str">
        <f t="shared" si="26"/>
        <v>GŁÓWNA</v>
      </c>
      <c r="L324">
        <f t="shared" si="29"/>
        <v>0</v>
      </c>
    </row>
    <row r="325" spans="1:12" x14ac:dyDescent="0.25">
      <c r="A325" s="6">
        <v>44518</v>
      </c>
      <c r="B325" s="4">
        <v>1030</v>
      </c>
      <c r="C325" s="4"/>
      <c r="D325" s="4"/>
      <c r="E325" s="4"/>
      <c r="F325" s="4">
        <v>1030</v>
      </c>
      <c r="G325" t="b">
        <f t="shared" si="27"/>
        <v>1</v>
      </c>
      <c r="H325">
        <f t="shared" si="28"/>
        <v>12000</v>
      </c>
      <c r="I325" s="13">
        <f t="shared" si="30"/>
        <v>21770</v>
      </c>
      <c r="J325" s="11">
        <f t="shared" ref="J325:J368" si="31">IF($I325-$B325&lt;0,$I325,IF($I325-$B325-$C325&lt;0,$I325-$B325,IF($I325-$B325-$C325-$D325&lt;0,$I325-$B325-$C325,IF($I325-$B325-$C325-$D325-$E325&lt;0,$I325-$B325-$C325-$D325,$I325-$F325))))</f>
        <v>20740</v>
      </c>
      <c r="K325" s="11" t="str">
        <f t="shared" ref="K325:K368" si="32">IF($I325-$B325&lt;0,"F1",IF($I325-$B325-$C325&lt;0,"F2",IF($I325-$B325-$C325-$D325&lt;0,"F3",IF($I325-$B325-$C325-$D325-$E325&lt;0,"F4","GŁÓWNA"))))</f>
        <v>GŁÓWNA</v>
      </c>
      <c r="L325">
        <f t="shared" si="29"/>
        <v>0</v>
      </c>
    </row>
    <row r="326" spans="1:12" x14ac:dyDescent="0.25">
      <c r="A326" s="6">
        <v>44519</v>
      </c>
      <c r="B326" s="4"/>
      <c r="C326" s="4"/>
      <c r="D326" s="4">
        <v>6050</v>
      </c>
      <c r="E326" s="4">
        <v>4740</v>
      </c>
      <c r="F326" s="4">
        <v>10790</v>
      </c>
      <c r="G326" t="b">
        <f t="shared" ref="G326:G369" si="33">IF(WEEKDAY(A326,2)&gt;=6,FALSE,TRUE)</f>
        <v>1</v>
      </c>
      <c r="H326">
        <f t="shared" ref="H326:H368" si="34">IF(G326,$N$5,$N$6)</f>
        <v>12000</v>
      </c>
      <c r="I326" s="13">
        <f t="shared" si="30"/>
        <v>32740</v>
      </c>
      <c r="J326" s="11">
        <f t="shared" si="31"/>
        <v>21950</v>
      </c>
      <c r="K326" s="11" t="str">
        <f t="shared" si="32"/>
        <v>GŁÓWNA</v>
      </c>
      <c r="L326">
        <f t="shared" ref="L326:L368" si="35">IF(K326&lt;&gt;"GŁÓWNA",IF(K326="F1",SUM(B326:E326),IF(K326="F2",SUM(C326:E326),IF(K326="F3",SUM(D326:E326),IF(K326="F4",E326,)))),0)</f>
        <v>0</v>
      </c>
    </row>
    <row r="327" spans="1:12" x14ac:dyDescent="0.25">
      <c r="A327" s="6">
        <v>44520</v>
      </c>
      <c r="B327" s="4">
        <v>8790</v>
      </c>
      <c r="C327" s="4">
        <v>2830</v>
      </c>
      <c r="D327" s="4">
        <v>5270</v>
      </c>
      <c r="E327" s="4">
        <v>9150</v>
      </c>
      <c r="F327" s="4">
        <v>26040</v>
      </c>
      <c r="G327" t="b">
        <f t="shared" si="33"/>
        <v>0</v>
      </c>
      <c r="H327">
        <f t="shared" si="34"/>
        <v>5000</v>
      </c>
      <c r="I327" s="13">
        <f t="shared" ref="I327:I368" si="36">J326+H327</f>
        <v>26950</v>
      </c>
      <c r="J327" s="11">
        <f t="shared" si="31"/>
        <v>910</v>
      </c>
      <c r="K327" s="11" t="str">
        <f t="shared" si="32"/>
        <v>GŁÓWNA</v>
      </c>
      <c r="L327">
        <f t="shared" si="35"/>
        <v>0</v>
      </c>
    </row>
    <row r="328" spans="1:12" x14ac:dyDescent="0.25">
      <c r="A328" s="6">
        <v>44521</v>
      </c>
      <c r="B328" s="4"/>
      <c r="C328" s="4"/>
      <c r="D328" s="4">
        <v>1380</v>
      </c>
      <c r="E328" s="4"/>
      <c r="F328" s="4">
        <v>1380</v>
      </c>
      <c r="G328" t="b">
        <f t="shared" si="33"/>
        <v>0</v>
      </c>
      <c r="H328">
        <f t="shared" si="34"/>
        <v>5000</v>
      </c>
      <c r="I328" s="13">
        <f t="shared" si="36"/>
        <v>5910</v>
      </c>
      <c r="J328" s="11">
        <f t="shared" si="31"/>
        <v>4530</v>
      </c>
      <c r="K328" s="11" t="str">
        <f t="shared" si="32"/>
        <v>GŁÓWNA</v>
      </c>
      <c r="L328">
        <f t="shared" si="35"/>
        <v>0</v>
      </c>
    </row>
    <row r="329" spans="1:12" x14ac:dyDescent="0.25">
      <c r="A329" s="6">
        <v>44522</v>
      </c>
      <c r="B329" s="4">
        <v>4380</v>
      </c>
      <c r="C329" s="4">
        <v>3190</v>
      </c>
      <c r="D329" s="4">
        <v>5930</v>
      </c>
      <c r="E329" s="4">
        <v>9060</v>
      </c>
      <c r="F329" s="4">
        <v>22560</v>
      </c>
      <c r="G329" t="b">
        <f t="shared" si="33"/>
        <v>1</v>
      </c>
      <c r="H329">
        <f t="shared" si="34"/>
        <v>12000</v>
      </c>
      <c r="I329" s="13">
        <f t="shared" si="36"/>
        <v>16530</v>
      </c>
      <c r="J329" s="11">
        <f t="shared" si="31"/>
        <v>3030</v>
      </c>
      <c r="K329" s="11" t="str">
        <f t="shared" si="32"/>
        <v>F4</v>
      </c>
      <c r="L329">
        <f t="shared" si="35"/>
        <v>9060</v>
      </c>
    </row>
    <row r="330" spans="1:12" x14ac:dyDescent="0.25">
      <c r="A330" s="6">
        <v>44523</v>
      </c>
      <c r="B330" s="4">
        <v>5350</v>
      </c>
      <c r="C330" s="4">
        <v>7340</v>
      </c>
      <c r="D330" s="4">
        <v>9750</v>
      </c>
      <c r="E330" s="4">
        <v>3980</v>
      </c>
      <c r="F330" s="4">
        <v>26420</v>
      </c>
      <c r="G330" t="b">
        <f t="shared" si="33"/>
        <v>1</v>
      </c>
      <c r="H330">
        <f t="shared" si="34"/>
        <v>12000</v>
      </c>
      <c r="I330" s="13">
        <f t="shared" si="36"/>
        <v>15030</v>
      </c>
      <c r="J330" s="11">
        <f t="shared" si="31"/>
        <v>2340</v>
      </c>
      <c r="K330" s="11" t="str">
        <f t="shared" si="32"/>
        <v>F3</v>
      </c>
      <c r="L330">
        <f t="shared" si="35"/>
        <v>13730</v>
      </c>
    </row>
    <row r="331" spans="1:12" x14ac:dyDescent="0.25">
      <c r="A331" s="6">
        <v>44524</v>
      </c>
      <c r="B331" s="4"/>
      <c r="C331" s="4">
        <v>1180</v>
      </c>
      <c r="D331" s="4">
        <v>5490</v>
      </c>
      <c r="E331" s="4"/>
      <c r="F331" s="4">
        <v>6670</v>
      </c>
      <c r="G331" t="b">
        <f t="shared" si="33"/>
        <v>1</v>
      </c>
      <c r="H331">
        <f t="shared" si="34"/>
        <v>12000</v>
      </c>
      <c r="I331" s="13">
        <f t="shared" si="36"/>
        <v>14340</v>
      </c>
      <c r="J331" s="11">
        <f t="shared" si="31"/>
        <v>7670</v>
      </c>
      <c r="K331" s="11" t="str">
        <f t="shared" si="32"/>
        <v>GŁÓWNA</v>
      </c>
      <c r="L331">
        <f t="shared" si="35"/>
        <v>0</v>
      </c>
    </row>
    <row r="332" spans="1:12" x14ac:dyDescent="0.25">
      <c r="A332" s="6">
        <v>44525</v>
      </c>
      <c r="B332" s="4"/>
      <c r="C332" s="4">
        <v>7560</v>
      </c>
      <c r="D332" s="4"/>
      <c r="E332" s="4"/>
      <c r="F332" s="4">
        <v>7560</v>
      </c>
      <c r="G332" t="b">
        <f t="shared" si="33"/>
        <v>1</v>
      </c>
      <c r="H332">
        <f t="shared" si="34"/>
        <v>12000</v>
      </c>
      <c r="I332" s="13">
        <f t="shared" si="36"/>
        <v>19670</v>
      </c>
      <c r="J332" s="11">
        <f t="shared" si="31"/>
        <v>12110</v>
      </c>
      <c r="K332" s="11" t="str">
        <f t="shared" si="32"/>
        <v>GŁÓWNA</v>
      </c>
      <c r="L332">
        <f t="shared" si="35"/>
        <v>0</v>
      </c>
    </row>
    <row r="333" spans="1:12" x14ac:dyDescent="0.25">
      <c r="A333" s="6">
        <v>44526</v>
      </c>
      <c r="B333" s="4"/>
      <c r="C333" s="4">
        <v>2400</v>
      </c>
      <c r="D333" s="4">
        <v>7120</v>
      </c>
      <c r="E333" s="4">
        <v>7970</v>
      </c>
      <c r="F333" s="4">
        <v>17490</v>
      </c>
      <c r="G333" t="b">
        <f t="shared" si="33"/>
        <v>1</v>
      </c>
      <c r="H333">
        <f t="shared" si="34"/>
        <v>12000</v>
      </c>
      <c r="I333" s="13">
        <f t="shared" si="36"/>
        <v>24110</v>
      </c>
      <c r="J333" s="11">
        <f t="shared" si="31"/>
        <v>6620</v>
      </c>
      <c r="K333" s="11" t="str">
        <f t="shared" si="32"/>
        <v>GŁÓWNA</v>
      </c>
      <c r="L333">
        <f t="shared" si="35"/>
        <v>0</v>
      </c>
    </row>
    <row r="334" spans="1:12" x14ac:dyDescent="0.25">
      <c r="A334" s="6">
        <v>44527</v>
      </c>
      <c r="B334" s="4"/>
      <c r="C334" s="4">
        <v>3500</v>
      </c>
      <c r="D334" s="4">
        <v>8590</v>
      </c>
      <c r="E334" s="4"/>
      <c r="F334" s="4">
        <v>12090</v>
      </c>
      <c r="G334" t="b">
        <f t="shared" si="33"/>
        <v>0</v>
      </c>
      <c r="H334">
        <f t="shared" si="34"/>
        <v>5000</v>
      </c>
      <c r="I334" s="13">
        <f t="shared" si="36"/>
        <v>11620</v>
      </c>
      <c r="J334" s="11">
        <f t="shared" si="31"/>
        <v>8120</v>
      </c>
      <c r="K334" s="11" t="str">
        <f t="shared" si="32"/>
        <v>F3</v>
      </c>
      <c r="L334">
        <f t="shared" si="35"/>
        <v>8590</v>
      </c>
    </row>
    <row r="335" spans="1:12" x14ac:dyDescent="0.25">
      <c r="A335" s="6">
        <v>44528</v>
      </c>
      <c r="B335" s="4">
        <v>4710</v>
      </c>
      <c r="C335" s="4"/>
      <c r="D335" s="4">
        <v>2510</v>
      </c>
      <c r="E335" s="4">
        <v>2180</v>
      </c>
      <c r="F335" s="4">
        <v>9400</v>
      </c>
      <c r="G335" t="b">
        <f t="shared" si="33"/>
        <v>0</v>
      </c>
      <c r="H335">
        <f t="shared" si="34"/>
        <v>5000</v>
      </c>
      <c r="I335" s="13">
        <f t="shared" si="36"/>
        <v>13120</v>
      </c>
      <c r="J335" s="11">
        <f t="shared" si="31"/>
        <v>3720</v>
      </c>
      <c r="K335" s="11" t="str">
        <f t="shared" si="32"/>
        <v>GŁÓWNA</v>
      </c>
      <c r="L335">
        <f t="shared" si="35"/>
        <v>0</v>
      </c>
    </row>
    <row r="336" spans="1:12" x14ac:dyDescent="0.25">
      <c r="A336" s="6">
        <v>44529</v>
      </c>
      <c r="B336" s="4"/>
      <c r="C336" s="4">
        <v>9840</v>
      </c>
      <c r="D336" s="4">
        <v>3110</v>
      </c>
      <c r="E336" s="4">
        <v>3830</v>
      </c>
      <c r="F336" s="4">
        <v>16780</v>
      </c>
      <c r="G336" t="b">
        <f t="shared" si="33"/>
        <v>1</v>
      </c>
      <c r="H336">
        <f t="shared" si="34"/>
        <v>12000</v>
      </c>
      <c r="I336" s="13">
        <f t="shared" si="36"/>
        <v>15720</v>
      </c>
      <c r="J336" s="11">
        <f t="shared" si="31"/>
        <v>2770</v>
      </c>
      <c r="K336" s="11" t="str">
        <f t="shared" si="32"/>
        <v>F4</v>
      </c>
      <c r="L336">
        <f t="shared" si="35"/>
        <v>3830</v>
      </c>
    </row>
    <row r="337" spans="1:12" x14ac:dyDescent="0.25">
      <c r="A337" s="6">
        <v>44530</v>
      </c>
      <c r="B337" s="4"/>
      <c r="C337" s="4">
        <v>9670</v>
      </c>
      <c r="D337" s="4">
        <v>3880</v>
      </c>
      <c r="E337" s="4"/>
      <c r="F337" s="4">
        <v>13550</v>
      </c>
      <c r="G337" t="b">
        <f t="shared" si="33"/>
        <v>1</v>
      </c>
      <c r="H337">
        <f t="shared" si="34"/>
        <v>12000</v>
      </c>
      <c r="I337" s="13">
        <f t="shared" si="36"/>
        <v>14770</v>
      </c>
      <c r="J337" s="11">
        <f t="shared" si="31"/>
        <v>1220</v>
      </c>
      <c r="K337" s="11" t="str">
        <f t="shared" si="32"/>
        <v>GŁÓWNA</v>
      </c>
      <c r="L337">
        <f t="shared" si="35"/>
        <v>0</v>
      </c>
    </row>
    <row r="338" spans="1:12" x14ac:dyDescent="0.25">
      <c r="A338" s="6">
        <v>44531</v>
      </c>
      <c r="B338" s="4"/>
      <c r="C338" s="4">
        <v>3510</v>
      </c>
      <c r="D338" s="4"/>
      <c r="E338" s="4"/>
      <c r="F338" s="4">
        <v>3510</v>
      </c>
      <c r="G338" t="b">
        <f t="shared" si="33"/>
        <v>1</v>
      </c>
      <c r="H338">
        <f t="shared" si="34"/>
        <v>12000</v>
      </c>
      <c r="I338" s="13">
        <f t="shared" si="36"/>
        <v>13220</v>
      </c>
      <c r="J338" s="11">
        <f t="shared" si="31"/>
        <v>9710</v>
      </c>
      <c r="K338" s="11" t="str">
        <f t="shared" si="32"/>
        <v>GŁÓWNA</v>
      </c>
      <c r="L338">
        <f t="shared" si="35"/>
        <v>0</v>
      </c>
    </row>
    <row r="339" spans="1:12" x14ac:dyDescent="0.25">
      <c r="A339" s="6">
        <v>44532</v>
      </c>
      <c r="B339" s="4"/>
      <c r="C339" s="4">
        <v>5820</v>
      </c>
      <c r="D339" s="4">
        <v>1950</v>
      </c>
      <c r="E339" s="4"/>
      <c r="F339" s="4">
        <v>7770</v>
      </c>
      <c r="G339" t="b">
        <f t="shared" si="33"/>
        <v>1</v>
      </c>
      <c r="H339">
        <f t="shared" si="34"/>
        <v>12000</v>
      </c>
      <c r="I339" s="13">
        <f t="shared" si="36"/>
        <v>21710</v>
      </c>
      <c r="J339" s="11">
        <f t="shared" si="31"/>
        <v>13940</v>
      </c>
      <c r="K339" s="11" t="str">
        <f t="shared" si="32"/>
        <v>GŁÓWNA</v>
      </c>
      <c r="L339">
        <f t="shared" si="35"/>
        <v>0</v>
      </c>
    </row>
    <row r="340" spans="1:12" x14ac:dyDescent="0.25">
      <c r="A340" s="6">
        <v>44533</v>
      </c>
      <c r="B340" s="4">
        <v>4160</v>
      </c>
      <c r="C340" s="4">
        <v>1310</v>
      </c>
      <c r="D340" s="4"/>
      <c r="E340" s="4">
        <v>3850</v>
      </c>
      <c r="F340" s="4">
        <v>9320</v>
      </c>
      <c r="G340" t="b">
        <f t="shared" si="33"/>
        <v>1</v>
      </c>
      <c r="H340">
        <f t="shared" si="34"/>
        <v>12000</v>
      </c>
      <c r="I340" s="13">
        <f t="shared" si="36"/>
        <v>25940</v>
      </c>
      <c r="J340" s="11">
        <f t="shared" si="31"/>
        <v>16620</v>
      </c>
      <c r="K340" s="11" t="str">
        <f t="shared" si="32"/>
        <v>GŁÓWNA</v>
      </c>
      <c r="L340">
        <f t="shared" si="35"/>
        <v>0</v>
      </c>
    </row>
    <row r="341" spans="1:12" x14ac:dyDescent="0.25">
      <c r="A341" s="6">
        <v>44534</v>
      </c>
      <c r="B341" s="4"/>
      <c r="C341" s="4">
        <v>3550</v>
      </c>
      <c r="D341" s="4"/>
      <c r="E341" s="4">
        <v>2700</v>
      </c>
      <c r="F341" s="4">
        <v>6250</v>
      </c>
      <c r="G341" t="b">
        <f t="shared" si="33"/>
        <v>0</v>
      </c>
      <c r="H341">
        <f t="shared" si="34"/>
        <v>5000</v>
      </c>
      <c r="I341" s="13">
        <f t="shared" si="36"/>
        <v>21620</v>
      </c>
      <c r="J341" s="11">
        <f t="shared" si="31"/>
        <v>15370</v>
      </c>
      <c r="K341" s="11" t="str">
        <f t="shared" si="32"/>
        <v>GŁÓWNA</v>
      </c>
      <c r="L341">
        <f t="shared" si="35"/>
        <v>0</v>
      </c>
    </row>
    <row r="342" spans="1:12" x14ac:dyDescent="0.25">
      <c r="A342" s="6">
        <v>44535</v>
      </c>
      <c r="B342" s="4"/>
      <c r="C342" s="4"/>
      <c r="D342" s="4">
        <v>4620</v>
      </c>
      <c r="E342" s="4">
        <v>5060</v>
      </c>
      <c r="F342" s="4">
        <v>9680</v>
      </c>
      <c r="G342" t="b">
        <f t="shared" si="33"/>
        <v>0</v>
      </c>
      <c r="H342">
        <f t="shared" si="34"/>
        <v>5000</v>
      </c>
      <c r="I342" s="13">
        <f t="shared" si="36"/>
        <v>20370</v>
      </c>
      <c r="J342" s="11">
        <f t="shared" si="31"/>
        <v>10690</v>
      </c>
      <c r="K342" s="11" t="str">
        <f t="shared" si="32"/>
        <v>GŁÓWNA</v>
      </c>
      <c r="L342">
        <f t="shared" si="35"/>
        <v>0</v>
      </c>
    </row>
    <row r="343" spans="1:12" x14ac:dyDescent="0.25">
      <c r="A343" s="6">
        <v>44536</v>
      </c>
      <c r="B343" s="4">
        <v>7210</v>
      </c>
      <c r="C343" s="4"/>
      <c r="D343" s="4">
        <v>2550</v>
      </c>
      <c r="E343" s="4">
        <v>4310</v>
      </c>
      <c r="F343" s="4">
        <v>14070</v>
      </c>
      <c r="G343" t="b">
        <f t="shared" si="33"/>
        <v>1</v>
      </c>
      <c r="H343">
        <f t="shared" si="34"/>
        <v>12000</v>
      </c>
      <c r="I343" s="13">
        <f t="shared" si="36"/>
        <v>22690</v>
      </c>
      <c r="J343" s="11">
        <f t="shared" si="31"/>
        <v>8620</v>
      </c>
      <c r="K343" s="11" t="str">
        <f t="shared" si="32"/>
        <v>GŁÓWNA</v>
      </c>
      <c r="L343">
        <f t="shared" si="35"/>
        <v>0</v>
      </c>
    </row>
    <row r="344" spans="1:12" x14ac:dyDescent="0.25">
      <c r="A344" s="6">
        <v>44537</v>
      </c>
      <c r="B344" s="4">
        <v>3560</v>
      </c>
      <c r="C344" s="4"/>
      <c r="D344" s="4"/>
      <c r="E344" s="4"/>
      <c r="F344" s="4">
        <v>3560</v>
      </c>
      <c r="G344" t="b">
        <f t="shared" si="33"/>
        <v>1</v>
      </c>
      <c r="H344">
        <f t="shared" si="34"/>
        <v>12000</v>
      </c>
      <c r="I344" s="13">
        <f t="shared" si="36"/>
        <v>20620</v>
      </c>
      <c r="J344" s="11">
        <f t="shared" si="31"/>
        <v>17060</v>
      </c>
      <c r="K344" s="11" t="str">
        <f t="shared" si="32"/>
        <v>GŁÓWNA</v>
      </c>
      <c r="L344">
        <f t="shared" si="35"/>
        <v>0</v>
      </c>
    </row>
    <row r="345" spans="1:12" x14ac:dyDescent="0.25">
      <c r="A345" s="6">
        <v>44538</v>
      </c>
      <c r="B345" s="4"/>
      <c r="C345" s="4"/>
      <c r="D345" s="4"/>
      <c r="E345" s="4">
        <v>520</v>
      </c>
      <c r="F345" s="4">
        <v>520</v>
      </c>
      <c r="G345" t="b">
        <f t="shared" si="33"/>
        <v>1</v>
      </c>
      <c r="H345">
        <f t="shared" si="34"/>
        <v>12000</v>
      </c>
      <c r="I345" s="13">
        <f t="shared" si="36"/>
        <v>29060</v>
      </c>
      <c r="J345" s="11">
        <f t="shared" si="31"/>
        <v>28540</v>
      </c>
      <c r="K345" s="11" t="str">
        <f t="shared" si="32"/>
        <v>GŁÓWNA</v>
      </c>
      <c r="L345">
        <f t="shared" si="35"/>
        <v>0</v>
      </c>
    </row>
    <row r="346" spans="1:12" x14ac:dyDescent="0.25">
      <c r="A346" s="6">
        <v>44539</v>
      </c>
      <c r="B346" s="4"/>
      <c r="C346" s="4">
        <v>6090</v>
      </c>
      <c r="D346" s="4"/>
      <c r="E346" s="4"/>
      <c r="F346" s="4">
        <v>6090</v>
      </c>
      <c r="G346" t="b">
        <f t="shared" si="33"/>
        <v>1</v>
      </c>
      <c r="H346">
        <f t="shared" si="34"/>
        <v>12000</v>
      </c>
      <c r="I346" s="13">
        <f t="shared" si="36"/>
        <v>40540</v>
      </c>
      <c r="J346" s="11">
        <f t="shared" si="31"/>
        <v>34450</v>
      </c>
      <c r="K346" s="11" t="str">
        <f t="shared" si="32"/>
        <v>GŁÓWNA</v>
      </c>
      <c r="L346">
        <f t="shared" si="35"/>
        <v>0</v>
      </c>
    </row>
    <row r="347" spans="1:12" x14ac:dyDescent="0.25">
      <c r="A347" s="6">
        <v>44540</v>
      </c>
      <c r="B347" s="4"/>
      <c r="C347" s="4"/>
      <c r="D347" s="4">
        <v>570</v>
      </c>
      <c r="E347" s="4"/>
      <c r="F347" s="4">
        <v>570</v>
      </c>
      <c r="G347" t="b">
        <f t="shared" si="33"/>
        <v>1</v>
      </c>
      <c r="H347">
        <f t="shared" si="34"/>
        <v>12000</v>
      </c>
      <c r="I347" s="13">
        <f t="shared" si="36"/>
        <v>46450</v>
      </c>
      <c r="J347" s="11">
        <f t="shared" si="31"/>
        <v>45880</v>
      </c>
      <c r="K347" s="11" t="str">
        <f t="shared" si="32"/>
        <v>GŁÓWNA</v>
      </c>
      <c r="L347">
        <f t="shared" si="35"/>
        <v>0</v>
      </c>
    </row>
    <row r="348" spans="1:12" x14ac:dyDescent="0.25">
      <c r="A348" s="6">
        <v>44541</v>
      </c>
      <c r="B348" s="4">
        <v>8000</v>
      </c>
      <c r="C348" s="4">
        <v>2480</v>
      </c>
      <c r="D348" s="4">
        <v>9510</v>
      </c>
      <c r="E348" s="4"/>
      <c r="F348" s="4">
        <v>19990</v>
      </c>
      <c r="G348" t="b">
        <f t="shared" si="33"/>
        <v>0</v>
      </c>
      <c r="H348">
        <f t="shared" si="34"/>
        <v>5000</v>
      </c>
      <c r="I348" s="13">
        <f t="shared" si="36"/>
        <v>50880</v>
      </c>
      <c r="J348" s="11">
        <f t="shared" si="31"/>
        <v>30890</v>
      </c>
      <c r="K348" s="11" t="str">
        <f t="shared" si="32"/>
        <v>GŁÓWNA</v>
      </c>
      <c r="L348">
        <f t="shared" si="35"/>
        <v>0</v>
      </c>
    </row>
    <row r="349" spans="1:12" x14ac:dyDescent="0.25">
      <c r="A349" s="6">
        <v>44542</v>
      </c>
      <c r="B349" s="4"/>
      <c r="C349" s="4">
        <v>4260</v>
      </c>
      <c r="D349" s="4">
        <v>2750</v>
      </c>
      <c r="E349" s="4">
        <v>9990</v>
      </c>
      <c r="F349" s="4">
        <v>17000</v>
      </c>
      <c r="G349" t="b">
        <f t="shared" si="33"/>
        <v>0</v>
      </c>
      <c r="H349">
        <f t="shared" si="34"/>
        <v>5000</v>
      </c>
      <c r="I349" s="13">
        <f t="shared" si="36"/>
        <v>35890</v>
      </c>
      <c r="J349" s="11">
        <f t="shared" si="31"/>
        <v>18890</v>
      </c>
      <c r="K349" s="11" t="str">
        <f t="shared" si="32"/>
        <v>GŁÓWNA</v>
      </c>
      <c r="L349">
        <f t="shared" si="35"/>
        <v>0</v>
      </c>
    </row>
    <row r="350" spans="1:12" x14ac:dyDescent="0.25">
      <c r="A350" s="6">
        <v>44543</v>
      </c>
      <c r="B350" s="4"/>
      <c r="C350" s="4">
        <v>2180</v>
      </c>
      <c r="D350" s="4"/>
      <c r="E350" s="4">
        <v>2700</v>
      </c>
      <c r="F350" s="4">
        <v>4880</v>
      </c>
      <c r="G350" t="b">
        <f t="shared" si="33"/>
        <v>1</v>
      </c>
      <c r="H350">
        <f t="shared" si="34"/>
        <v>12000</v>
      </c>
      <c r="I350" s="13">
        <f t="shared" si="36"/>
        <v>30890</v>
      </c>
      <c r="J350" s="11">
        <f t="shared" si="31"/>
        <v>26010</v>
      </c>
      <c r="K350" s="11" t="str">
        <f t="shared" si="32"/>
        <v>GŁÓWNA</v>
      </c>
      <c r="L350">
        <f t="shared" si="35"/>
        <v>0</v>
      </c>
    </row>
    <row r="351" spans="1:12" x14ac:dyDescent="0.25">
      <c r="A351" s="6">
        <v>44544</v>
      </c>
      <c r="B351" s="4">
        <v>5080</v>
      </c>
      <c r="C351" s="4">
        <v>8700</v>
      </c>
      <c r="D351" s="4">
        <v>7660</v>
      </c>
      <c r="E351" s="4">
        <v>8200</v>
      </c>
      <c r="F351" s="4">
        <v>29640</v>
      </c>
      <c r="G351" t="b">
        <f t="shared" si="33"/>
        <v>1</v>
      </c>
      <c r="H351">
        <f t="shared" si="34"/>
        <v>12000</v>
      </c>
      <c r="I351" s="13">
        <f t="shared" si="36"/>
        <v>38010</v>
      </c>
      <c r="J351" s="11">
        <f t="shared" si="31"/>
        <v>8370</v>
      </c>
      <c r="K351" s="11" t="str">
        <f t="shared" si="32"/>
        <v>GŁÓWNA</v>
      </c>
      <c r="L351">
        <f t="shared" si="35"/>
        <v>0</v>
      </c>
    </row>
    <row r="352" spans="1:12" x14ac:dyDescent="0.25">
      <c r="A352" s="6">
        <v>44545</v>
      </c>
      <c r="B352" s="4">
        <v>7940</v>
      </c>
      <c r="C352" s="4"/>
      <c r="D352" s="4">
        <v>5370</v>
      </c>
      <c r="E352" s="4"/>
      <c r="F352" s="4">
        <v>13310</v>
      </c>
      <c r="G352" t="b">
        <f t="shared" si="33"/>
        <v>1</v>
      </c>
      <c r="H352">
        <f t="shared" si="34"/>
        <v>12000</v>
      </c>
      <c r="I352" s="13">
        <f t="shared" si="36"/>
        <v>20370</v>
      </c>
      <c r="J352" s="11">
        <f t="shared" si="31"/>
        <v>7060</v>
      </c>
      <c r="K352" s="11" t="str">
        <f t="shared" si="32"/>
        <v>GŁÓWNA</v>
      </c>
      <c r="L352">
        <f t="shared" si="35"/>
        <v>0</v>
      </c>
    </row>
    <row r="353" spans="1:12" x14ac:dyDescent="0.25">
      <c r="A353" s="6">
        <v>44546</v>
      </c>
      <c r="B353" s="4"/>
      <c r="C353" s="4"/>
      <c r="D353" s="4"/>
      <c r="E353" s="4">
        <v>3940</v>
      </c>
      <c r="F353" s="4">
        <v>3940</v>
      </c>
      <c r="G353" t="b">
        <f t="shared" si="33"/>
        <v>1</v>
      </c>
      <c r="H353">
        <f t="shared" si="34"/>
        <v>12000</v>
      </c>
      <c r="I353" s="13">
        <f t="shared" si="36"/>
        <v>19060</v>
      </c>
      <c r="J353" s="11">
        <f t="shared" si="31"/>
        <v>15120</v>
      </c>
      <c r="K353" s="11" t="str">
        <f t="shared" si="32"/>
        <v>GŁÓWNA</v>
      </c>
      <c r="L353">
        <f t="shared" si="35"/>
        <v>0</v>
      </c>
    </row>
    <row r="354" spans="1:12" x14ac:dyDescent="0.25">
      <c r="A354" s="6">
        <v>44547</v>
      </c>
      <c r="B354" s="4"/>
      <c r="C354" s="4"/>
      <c r="D354" s="4"/>
      <c r="E354" s="4">
        <v>4400</v>
      </c>
      <c r="F354" s="4">
        <v>4400</v>
      </c>
      <c r="G354" t="b">
        <f t="shared" si="33"/>
        <v>1</v>
      </c>
      <c r="H354">
        <f t="shared" si="34"/>
        <v>12000</v>
      </c>
      <c r="I354" s="13">
        <f t="shared" si="36"/>
        <v>27120</v>
      </c>
      <c r="J354" s="11">
        <f t="shared" si="31"/>
        <v>22720</v>
      </c>
      <c r="K354" s="11" t="str">
        <f t="shared" si="32"/>
        <v>GŁÓWNA</v>
      </c>
      <c r="L354">
        <f t="shared" si="35"/>
        <v>0</v>
      </c>
    </row>
    <row r="355" spans="1:12" x14ac:dyDescent="0.25">
      <c r="A355" s="6">
        <v>44548</v>
      </c>
      <c r="B355" s="4">
        <v>6800</v>
      </c>
      <c r="C355" s="4">
        <v>7530</v>
      </c>
      <c r="D355" s="4">
        <v>4640</v>
      </c>
      <c r="E355" s="4"/>
      <c r="F355" s="4">
        <v>18970</v>
      </c>
      <c r="G355" t="b">
        <f t="shared" si="33"/>
        <v>0</v>
      </c>
      <c r="H355">
        <f t="shared" si="34"/>
        <v>5000</v>
      </c>
      <c r="I355" s="13">
        <f t="shared" si="36"/>
        <v>27720</v>
      </c>
      <c r="J355" s="11">
        <f t="shared" si="31"/>
        <v>8750</v>
      </c>
      <c r="K355" s="11" t="str">
        <f t="shared" si="32"/>
        <v>GŁÓWNA</v>
      </c>
      <c r="L355">
        <f t="shared" si="35"/>
        <v>0</v>
      </c>
    </row>
    <row r="356" spans="1:12" x14ac:dyDescent="0.25">
      <c r="A356" s="6">
        <v>44549</v>
      </c>
      <c r="B356" s="4"/>
      <c r="C356" s="4">
        <v>6950</v>
      </c>
      <c r="D356" s="4">
        <v>2520</v>
      </c>
      <c r="E356" s="4">
        <v>4570</v>
      </c>
      <c r="F356" s="4">
        <v>14040</v>
      </c>
      <c r="G356" t="b">
        <f t="shared" si="33"/>
        <v>0</v>
      </c>
      <c r="H356">
        <f t="shared" si="34"/>
        <v>5000</v>
      </c>
      <c r="I356" s="13">
        <f t="shared" si="36"/>
        <v>13750</v>
      </c>
      <c r="J356" s="11">
        <f t="shared" si="31"/>
        <v>4280</v>
      </c>
      <c r="K356" s="11" t="str">
        <f t="shared" si="32"/>
        <v>F4</v>
      </c>
      <c r="L356">
        <f t="shared" si="35"/>
        <v>4570</v>
      </c>
    </row>
    <row r="357" spans="1:12" x14ac:dyDescent="0.25">
      <c r="A357" s="6">
        <v>44550</v>
      </c>
      <c r="B357" s="4">
        <v>7250</v>
      </c>
      <c r="C357" s="4"/>
      <c r="D357" s="4">
        <v>1340</v>
      </c>
      <c r="E357" s="4"/>
      <c r="F357" s="4">
        <v>8590</v>
      </c>
      <c r="G357" t="b">
        <f t="shared" si="33"/>
        <v>1</v>
      </c>
      <c r="H357">
        <f t="shared" si="34"/>
        <v>12000</v>
      </c>
      <c r="I357" s="13">
        <f t="shared" si="36"/>
        <v>16280</v>
      </c>
      <c r="J357" s="11">
        <f t="shared" si="31"/>
        <v>7690</v>
      </c>
      <c r="K357" s="11" t="str">
        <f t="shared" si="32"/>
        <v>GŁÓWNA</v>
      </c>
      <c r="L357">
        <f t="shared" si="35"/>
        <v>0</v>
      </c>
    </row>
    <row r="358" spans="1:12" x14ac:dyDescent="0.25">
      <c r="A358" s="6">
        <v>44551</v>
      </c>
      <c r="B358" s="4">
        <v>1880</v>
      </c>
      <c r="C358" s="4"/>
      <c r="D358" s="4"/>
      <c r="E358" s="4"/>
      <c r="F358" s="4">
        <v>1880</v>
      </c>
      <c r="G358" t="b">
        <f t="shared" si="33"/>
        <v>1</v>
      </c>
      <c r="H358">
        <f t="shared" si="34"/>
        <v>12000</v>
      </c>
      <c r="I358" s="13">
        <f t="shared" si="36"/>
        <v>19690</v>
      </c>
      <c r="J358" s="11">
        <f t="shared" si="31"/>
        <v>17810</v>
      </c>
      <c r="K358" s="11" t="str">
        <f t="shared" si="32"/>
        <v>GŁÓWNA</v>
      </c>
      <c r="L358">
        <f t="shared" si="35"/>
        <v>0</v>
      </c>
    </row>
    <row r="359" spans="1:12" x14ac:dyDescent="0.25">
      <c r="A359" s="6">
        <v>44552</v>
      </c>
      <c r="B359" s="4"/>
      <c r="C359" s="4"/>
      <c r="D359" s="4">
        <v>5730</v>
      </c>
      <c r="E359" s="4">
        <v>1260</v>
      </c>
      <c r="F359" s="4">
        <v>6990</v>
      </c>
      <c r="G359" t="b">
        <f t="shared" si="33"/>
        <v>1</v>
      </c>
      <c r="H359">
        <f t="shared" si="34"/>
        <v>12000</v>
      </c>
      <c r="I359" s="13">
        <f t="shared" si="36"/>
        <v>29810</v>
      </c>
      <c r="J359" s="11">
        <f t="shared" si="31"/>
        <v>22820</v>
      </c>
      <c r="K359" s="11" t="str">
        <f t="shared" si="32"/>
        <v>GŁÓWNA</v>
      </c>
      <c r="L359">
        <f t="shared" si="35"/>
        <v>0</v>
      </c>
    </row>
    <row r="360" spans="1:12" x14ac:dyDescent="0.25">
      <c r="A360" s="6">
        <v>44553</v>
      </c>
      <c r="B360" s="4">
        <v>1280</v>
      </c>
      <c r="C360" s="4"/>
      <c r="D360" s="4">
        <v>9620</v>
      </c>
      <c r="E360" s="4">
        <v>4040</v>
      </c>
      <c r="F360" s="4">
        <v>14940</v>
      </c>
      <c r="G360" t="b">
        <f t="shared" si="33"/>
        <v>1</v>
      </c>
      <c r="H360">
        <f t="shared" si="34"/>
        <v>12000</v>
      </c>
      <c r="I360" s="13">
        <f t="shared" si="36"/>
        <v>34820</v>
      </c>
      <c r="J360" s="11">
        <f t="shared" si="31"/>
        <v>19880</v>
      </c>
      <c r="K360" s="11" t="str">
        <f t="shared" si="32"/>
        <v>GŁÓWNA</v>
      </c>
      <c r="L360">
        <f t="shared" si="35"/>
        <v>0</v>
      </c>
    </row>
    <row r="361" spans="1:12" x14ac:dyDescent="0.25">
      <c r="A361" s="6">
        <v>44554</v>
      </c>
      <c r="B361" s="4"/>
      <c r="C361" s="4"/>
      <c r="D361" s="4">
        <v>4270</v>
      </c>
      <c r="E361" s="4"/>
      <c r="F361" s="4">
        <v>4270</v>
      </c>
      <c r="G361" t="b">
        <f t="shared" si="33"/>
        <v>1</v>
      </c>
      <c r="H361">
        <f t="shared" si="34"/>
        <v>12000</v>
      </c>
      <c r="I361" s="13">
        <f t="shared" si="36"/>
        <v>31880</v>
      </c>
      <c r="J361" s="11">
        <f t="shared" si="31"/>
        <v>27610</v>
      </c>
      <c r="K361" s="11" t="str">
        <f t="shared" si="32"/>
        <v>GŁÓWNA</v>
      </c>
      <c r="L361">
        <f t="shared" si="35"/>
        <v>0</v>
      </c>
    </row>
    <row r="362" spans="1:12" x14ac:dyDescent="0.25">
      <c r="A362" s="6">
        <v>44555</v>
      </c>
      <c r="B362" s="4"/>
      <c r="C362" s="4"/>
      <c r="D362" s="4">
        <v>1590</v>
      </c>
      <c r="E362" s="4"/>
      <c r="F362" s="4">
        <v>1590</v>
      </c>
      <c r="G362" t="b">
        <f t="shared" si="33"/>
        <v>0</v>
      </c>
      <c r="H362">
        <f t="shared" si="34"/>
        <v>5000</v>
      </c>
      <c r="I362" s="13">
        <f t="shared" si="36"/>
        <v>32610</v>
      </c>
      <c r="J362" s="11">
        <f t="shared" si="31"/>
        <v>31020</v>
      </c>
      <c r="K362" s="11" t="str">
        <f t="shared" si="32"/>
        <v>GŁÓWNA</v>
      </c>
      <c r="L362">
        <f t="shared" si="35"/>
        <v>0</v>
      </c>
    </row>
    <row r="363" spans="1:12" x14ac:dyDescent="0.25">
      <c r="A363" s="6">
        <v>44556</v>
      </c>
      <c r="B363" s="4"/>
      <c r="C363" s="4">
        <v>7320</v>
      </c>
      <c r="D363" s="4"/>
      <c r="E363" s="4">
        <v>7700</v>
      </c>
      <c r="F363" s="4">
        <v>15020</v>
      </c>
      <c r="G363" t="b">
        <f t="shared" si="33"/>
        <v>0</v>
      </c>
      <c r="H363">
        <f t="shared" si="34"/>
        <v>5000</v>
      </c>
      <c r="I363" s="13">
        <f t="shared" si="36"/>
        <v>36020</v>
      </c>
      <c r="J363" s="11">
        <f t="shared" si="31"/>
        <v>21000</v>
      </c>
      <c r="K363" s="11" t="str">
        <f t="shared" si="32"/>
        <v>GŁÓWNA</v>
      </c>
      <c r="L363">
        <f t="shared" si="35"/>
        <v>0</v>
      </c>
    </row>
    <row r="364" spans="1:12" x14ac:dyDescent="0.25">
      <c r="A364" s="6">
        <v>44557</v>
      </c>
      <c r="B364" s="4">
        <v>5870</v>
      </c>
      <c r="C364" s="4">
        <v>3930</v>
      </c>
      <c r="D364" s="4">
        <v>8030</v>
      </c>
      <c r="E364" s="4">
        <v>8040</v>
      </c>
      <c r="F364" s="4">
        <v>25870</v>
      </c>
      <c r="G364" t="b">
        <f t="shared" si="33"/>
        <v>1</v>
      </c>
      <c r="H364">
        <f t="shared" si="34"/>
        <v>12000</v>
      </c>
      <c r="I364" s="13">
        <f t="shared" si="36"/>
        <v>33000</v>
      </c>
      <c r="J364" s="11">
        <f t="shared" si="31"/>
        <v>7130</v>
      </c>
      <c r="K364" s="11" t="str">
        <f t="shared" si="32"/>
        <v>GŁÓWNA</v>
      </c>
      <c r="L364">
        <f t="shared" si="35"/>
        <v>0</v>
      </c>
    </row>
    <row r="365" spans="1:12" x14ac:dyDescent="0.25">
      <c r="A365" s="6">
        <v>44558</v>
      </c>
      <c r="B365" s="4">
        <v>4500</v>
      </c>
      <c r="C365" s="4"/>
      <c r="D365" s="4">
        <v>1410</v>
      </c>
      <c r="E365" s="4">
        <v>4140</v>
      </c>
      <c r="F365" s="4">
        <v>10050</v>
      </c>
      <c r="G365" t="b">
        <f t="shared" si="33"/>
        <v>1</v>
      </c>
      <c r="H365">
        <f t="shared" si="34"/>
        <v>12000</v>
      </c>
      <c r="I365" s="13">
        <f t="shared" si="36"/>
        <v>19130</v>
      </c>
      <c r="J365" s="11">
        <f t="shared" si="31"/>
        <v>9080</v>
      </c>
      <c r="K365" s="11" t="str">
        <f t="shared" si="32"/>
        <v>GŁÓWNA</v>
      </c>
      <c r="L365">
        <f t="shared" si="35"/>
        <v>0</v>
      </c>
    </row>
    <row r="366" spans="1:12" x14ac:dyDescent="0.25">
      <c r="A366" s="6">
        <v>44559</v>
      </c>
      <c r="B366" s="4"/>
      <c r="C366" s="4"/>
      <c r="D366" s="4">
        <v>7390</v>
      </c>
      <c r="E366" s="4">
        <v>4050</v>
      </c>
      <c r="F366" s="4">
        <v>11440</v>
      </c>
      <c r="G366" t="b">
        <f t="shared" si="33"/>
        <v>1</v>
      </c>
      <c r="H366">
        <f t="shared" si="34"/>
        <v>12000</v>
      </c>
      <c r="I366" s="13">
        <f t="shared" si="36"/>
        <v>21080</v>
      </c>
      <c r="J366" s="11">
        <f t="shared" si="31"/>
        <v>9640</v>
      </c>
      <c r="K366" s="11" t="str">
        <f t="shared" si="32"/>
        <v>GŁÓWNA</v>
      </c>
      <c r="L366">
        <f t="shared" si="35"/>
        <v>0</v>
      </c>
    </row>
    <row r="367" spans="1:12" x14ac:dyDescent="0.25">
      <c r="A367" s="6">
        <v>44560</v>
      </c>
      <c r="B367" s="4">
        <v>4600</v>
      </c>
      <c r="C367" s="4">
        <v>2410</v>
      </c>
      <c r="D367" s="4"/>
      <c r="E367" s="4">
        <v>7040</v>
      </c>
      <c r="F367" s="4">
        <v>14050</v>
      </c>
      <c r="G367" t="b">
        <f t="shared" si="33"/>
        <v>1</v>
      </c>
      <c r="H367">
        <f t="shared" si="34"/>
        <v>12000</v>
      </c>
      <c r="I367" s="13">
        <f t="shared" si="36"/>
        <v>21640</v>
      </c>
      <c r="J367" s="11">
        <f t="shared" si="31"/>
        <v>7590</v>
      </c>
      <c r="K367" s="11" t="str">
        <f t="shared" si="32"/>
        <v>GŁÓWNA</v>
      </c>
      <c r="L367">
        <f t="shared" si="35"/>
        <v>0</v>
      </c>
    </row>
    <row r="368" spans="1:12" x14ac:dyDescent="0.25">
      <c r="A368" s="6">
        <v>44561</v>
      </c>
      <c r="B368" s="4">
        <v>6290</v>
      </c>
      <c r="C368" s="4"/>
      <c r="D368" s="4"/>
      <c r="E368" s="4"/>
      <c r="F368" s="4">
        <v>6290</v>
      </c>
      <c r="G368" t="b">
        <f t="shared" si="33"/>
        <v>1</v>
      </c>
      <c r="H368">
        <f t="shared" si="34"/>
        <v>12000</v>
      </c>
      <c r="I368" s="13">
        <f t="shared" si="36"/>
        <v>19590</v>
      </c>
      <c r="J368" s="11">
        <f t="shared" si="31"/>
        <v>13300</v>
      </c>
      <c r="K368" s="11" t="str">
        <f t="shared" si="32"/>
        <v>GŁÓWNA</v>
      </c>
      <c r="L368">
        <f t="shared" si="35"/>
        <v>0</v>
      </c>
    </row>
    <row r="369" spans="1:13" x14ac:dyDescent="0.25">
      <c r="A369" s="6" t="s">
        <v>9</v>
      </c>
      <c r="B369" s="4">
        <v>819000</v>
      </c>
      <c r="C369" s="4">
        <v>944240</v>
      </c>
      <c r="D369" s="4">
        <v>1115560</v>
      </c>
      <c r="E369" s="4">
        <v>1062920</v>
      </c>
      <c r="F369" s="4">
        <v>3941720</v>
      </c>
      <c r="G369" s="14"/>
      <c r="H369" s="14"/>
      <c r="I369" s="14"/>
      <c r="J369" s="14"/>
      <c r="K369" s="14" t="s">
        <v>34</v>
      </c>
      <c r="L369" s="16">
        <f>SUM(L1:L368)</f>
        <v>285020</v>
      </c>
      <c r="M369" s="14"/>
    </row>
    <row r="370" spans="1:13" x14ac:dyDescent="0.25">
      <c r="K370" s="12" t="s">
        <v>35</v>
      </c>
      <c r="L370">
        <f>COUNTIF(L1:L368,"&lt;&gt;0")</f>
        <v>34</v>
      </c>
    </row>
  </sheetData>
  <mergeCells count="1">
    <mergeCell ref="M4:N4"/>
  </mergeCells>
  <conditionalFormatting sqref="J370:J1048576 J1:J368">
    <cfRule type="cellIs" dxfId="4" priority="5" operator="lessThan">
      <formula>1</formula>
    </cfRule>
  </conditionalFormatting>
  <conditionalFormatting sqref="K5:K368">
    <cfRule type="cellIs" dxfId="0" priority="1" operator="lessThan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A16C-4A64-48F1-A34B-1014FDE1360F}">
  <dimension ref="B2:P757"/>
  <sheetViews>
    <sheetView topLeftCell="A139" workbookViewId="0">
      <selection activeCell="C155" sqref="C155"/>
    </sheetView>
  </sheetViews>
  <sheetFormatPr defaultRowHeight="15" x14ac:dyDescent="0.25"/>
  <cols>
    <col min="1" max="1" width="9.140625" customWidth="1"/>
    <col min="2" max="2" width="15" customWidth="1"/>
    <col min="3" max="3" width="12.28515625" customWidth="1"/>
    <col min="4" max="4" width="13.28515625" customWidth="1"/>
    <col min="5" max="5" width="20.5703125" bestFit="1" customWidth="1"/>
    <col min="6" max="6" width="12.28515625" bestFit="1" customWidth="1"/>
    <col min="7" max="7" width="29.28515625" bestFit="1" customWidth="1"/>
    <col min="8" max="8" width="14.85546875" customWidth="1"/>
    <col min="9" max="9" width="16.5703125" customWidth="1"/>
    <col min="10" max="10" width="13.5703125" customWidth="1"/>
    <col min="11" max="11" width="13.7109375" bestFit="1" customWidth="1"/>
    <col min="14" max="14" width="10.28515625" customWidth="1"/>
  </cols>
  <sheetData>
    <row r="2" spans="2:16" x14ac:dyDescent="0.25">
      <c r="B2" t="s">
        <v>0</v>
      </c>
      <c r="C2" t="s">
        <v>1</v>
      </c>
      <c r="D2" t="s">
        <v>2</v>
      </c>
      <c r="E2" t="s">
        <v>3</v>
      </c>
    </row>
    <row r="3" spans="2:16" x14ac:dyDescent="0.25">
      <c r="B3">
        <v>1</v>
      </c>
      <c r="C3" s="1">
        <v>44198</v>
      </c>
      <c r="D3" t="s">
        <v>4</v>
      </c>
      <c r="E3">
        <v>1290</v>
      </c>
      <c r="F3" s="9"/>
      <c r="H3" s="10"/>
      <c r="I3" s="11"/>
      <c r="K3">
        <f>SUM(E3:E5)</f>
        <v>10900</v>
      </c>
    </row>
    <row r="4" spans="2:16" x14ac:dyDescent="0.25">
      <c r="B4">
        <v>2</v>
      </c>
      <c r="C4" s="1">
        <v>44198</v>
      </c>
      <c r="D4" t="s">
        <v>5</v>
      </c>
      <c r="E4">
        <v>4420</v>
      </c>
      <c r="F4" s="9"/>
      <c r="H4" s="10"/>
      <c r="I4" s="11"/>
    </row>
    <row r="5" spans="2:16" x14ac:dyDescent="0.25">
      <c r="B5">
        <v>3</v>
      </c>
      <c r="C5" s="1">
        <v>44198</v>
      </c>
      <c r="D5" t="s">
        <v>6</v>
      </c>
      <c r="E5">
        <v>5190</v>
      </c>
      <c r="F5" s="9"/>
      <c r="H5" s="10"/>
      <c r="I5" s="11"/>
    </row>
    <row r="6" spans="2:16" x14ac:dyDescent="0.25">
      <c r="B6">
        <v>4</v>
      </c>
      <c r="C6" s="1">
        <v>44199</v>
      </c>
      <c r="D6" t="s">
        <v>7</v>
      </c>
      <c r="E6">
        <v>950</v>
      </c>
      <c r="F6" s="9"/>
      <c r="H6" s="10"/>
      <c r="I6" s="11"/>
      <c r="K6" s="8" t="s">
        <v>15</v>
      </c>
      <c r="L6" s="8"/>
      <c r="N6" s="8" t="s">
        <v>20</v>
      </c>
      <c r="O6" s="8"/>
    </row>
    <row r="7" spans="2:16" x14ac:dyDescent="0.25">
      <c r="B7">
        <v>5</v>
      </c>
      <c r="C7" s="1">
        <v>44199</v>
      </c>
      <c r="D7" t="s">
        <v>6</v>
      </c>
      <c r="E7">
        <v>6000</v>
      </c>
      <c r="F7" s="9"/>
      <c r="H7" s="10"/>
      <c r="I7" s="11"/>
      <c r="K7" t="s">
        <v>16</v>
      </c>
      <c r="L7" t="s">
        <v>19</v>
      </c>
      <c r="N7" t="s">
        <v>21</v>
      </c>
      <c r="O7" s="7">
        <v>30000</v>
      </c>
      <c r="P7" t="s">
        <v>19</v>
      </c>
    </row>
    <row r="8" spans="2:16" x14ac:dyDescent="0.25">
      <c r="B8">
        <v>6</v>
      </c>
      <c r="C8" s="1">
        <v>44199</v>
      </c>
      <c r="D8" t="s">
        <v>5</v>
      </c>
      <c r="E8">
        <v>8530</v>
      </c>
      <c r="F8" s="9"/>
      <c r="H8" s="10"/>
      <c r="I8" s="11"/>
      <c r="K8" s="7" t="s">
        <v>17</v>
      </c>
      <c r="L8" s="7">
        <v>12000</v>
      </c>
    </row>
    <row r="9" spans="2:16" x14ac:dyDescent="0.25">
      <c r="B9">
        <v>7</v>
      </c>
      <c r="C9" s="1">
        <v>44200</v>
      </c>
      <c r="D9" t="s">
        <v>7</v>
      </c>
      <c r="E9">
        <v>1140</v>
      </c>
      <c r="F9" s="9"/>
      <c r="H9" s="10"/>
      <c r="I9" s="11"/>
      <c r="K9" t="s">
        <v>18</v>
      </c>
      <c r="L9">
        <v>5000</v>
      </c>
    </row>
    <row r="10" spans="2:16" x14ac:dyDescent="0.25">
      <c r="B10">
        <v>8</v>
      </c>
      <c r="C10" s="1">
        <v>44200</v>
      </c>
      <c r="D10" t="s">
        <v>5</v>
      </c>
      <c r="E10">
        <v>2460</v>
      </c>
      <c r="F10" s="9"/>
      <c r="H10" s="10"/>
      <c r="I10" s="11"/>
    </row>
    <row r="11" spans="2:16" x14ac:dyDescent="0.25">
      <c r="B11">
        <v>9</v>
      </c>
      <c r="C11" s="1">
        <v>44201</v>
      </c>
      <c r="D11" t="s">
        <v>6</v>
      </c>
      <c r="E11">
        <v>7520</v>
      </c>
      <c r="F11" s="9"/>
      <c r="H11" s="10"/>
      <c r="I11" s="11"/>
    </row>
    <row r="12" spans="2:16" x14ac:dyDescent="0.25">
      <c r="B12">
        <v>10</v>
      </c>
      <c r="C12" s="1">
        <v>44201</v>
      </c>
      <c r="D12" t="s">
        <v>5</v>
      </c>
      <c r="E12">
        <v>7920</v>
      </c>
      <c r="F12" s="9"/>
      <c r="H12" s="10"/>
      <c r="I12" s="11"/>
      <c r="K12" s="11"/>
    </row>
    <row r="13" spans="2:16" x14ac:dyDescent="0.25">
      <c r="B13">
        <v>11</v>
      </c>
      <c r="C13" s="1">
        <v>44201</v>
      </c>
      <c r="D13" t="s">
        <v>4</v>
      </c>
      <c r="E13">
        <v>1430</v>
      </c>
      <c r="F13" s="9"/>
      <c r="H13" s="10"/>
      <c r="I13" s="11"/>
    </row>
    <row r="14" spans="2:16" x14ac:dyDescent="0.25">
      <c r="B14">
        <v>12</v>
      </c>
      <c r="C14" s="1">
        <v>44202</v>
      </c>
      <c r="D14" t="s">
        <v>7</v>
      </c>
      <c r="E14">
        <v>1500</v>
      </c>
      <c r="F14" s="9"/>
      <c r="I14" s="11"/>
    </row>
    <row r="15" spans="2:16" x14ac:dyDescent="0.25">
      <c r="B15">
        <v>13</v>
      </c>
      <c r="C15" s="1">
        <v>44202</v>
      </c>
      <c r="D15" t="s">
        <v>4</v>
      </c>
      <c r="E15">
        <v>5540</v>
      </c>
      <c r="F15" s="9"/>
    </row>
    <row r="16" spans="2:16" x14ac:dyDescent="0.25">
      <c r="B16">
        <v>14</v>
      </c>
      <c r="C16" s="1">
        <v>44202</v>
      </c>
      <c r="D16" t="s">
        <v>6</v>
      </c>
      <c r="E16">
        <v>7340</v>
      </c>
      <c r="F16" s="9"/>
    </row>
    <row r="17" spans="2:6" x14ac:dyDescent="0.25">
      <c r="B17">
        <v>15</v>
      </c>
      <c r="C17" s="1">
        <v>44203</v>
      </c>
      <c r="D17" t="s">
        <v>5</v>
      </c>
      <c r="E17">
        <v>8170</v>
      </c>
      <c r="F17" s="9"/>
    </row>
    <row r="18" spans="2:6" x14ac:dyDescent="0.25">
      <c r="B18">
        <v>16</v>
      </c>
      <c r="C18" s="1">
        <v>44204</v>
      </c>
      <c r="D18" t="s">
        <v>4</v>
      </c>
      <c r="E18">
        <v>9410</v>
      </c>
      <c r="F18" s="9"/>
    </row>
    <row r="19" spans="2:6" x14ac:dyDescent="0.25">
      <c r="B19">
        <v>17</v>
      </c>
      <c r="C19" s="1">
        <v>44204</v>
      </c>
      <c r="D19" t="s">
        <v>7</v>
      </c>
      <c r="E19">
        <v>4660</v>
      </c>
      <c r="F19" s="9"/>
    </row>
    <row r="20" spans="2:6" x14ac:dyDescent="0.25">
      <c r="B20">
        <v>18</v>
      </c>
      <c r="C20" s="1">
        <v>44205</v>
      </c>
      <c r="D20" t="s">
        <v>4</v>
      </c>
      <c r="E20">
        <v>2240</v>
      </c>
      <c r="F20" s="9"/>
    </row>
    <row r="21" spans="2:6" x14ac:dyDescent="0.25">
      <c r="B21">
        <v>19</v>
      </c>
      <c r="C21" s="1">
        <v>44205</v>
      </c>
      <c r="D21" t="s">
        <v>5</v>
      </c>
      <c r="E21">
        <v>6760</v>
      </c>
      <c r="F21" s="9"/>
    </row>
    <row r="22" spans="2:6" x14ac:dyDescent="0.25">
      <c r="B22">
        <v>20</v>
      </c>
      <c r="C22" s="1">
        <v>44206</v>
      </c>
      <c r="D22" t="s">
        <v>6</v>
      </c>
      <c r="E22">
        <v>7850</v>
      </c>
      <c r="F22" s="9"/>
    </row>
    <row r="23" spans="2:6" x14ac:dyDescent="0.25">
      <c r="B23">
        <v>21</v>
      </c>
      <c r="C23" s="1">
        <v>44207</v>
      </c>
      <c r="D23" t="s">
        <v>5</v>
      </c>
      <c r="E23">
        <v>5440</v>
      </c>
      <c r="F23" s="9"/>
    </row>
    <row r="24" spans="2:6" x14ac:dyDescent="0.25">
      <c r="B24">
        <v>22</v>
      </c>
      <c r="C24" s="1">
        <v>44207</v>
      </c>
      <c r="D24" t="s">
        <v>7</v>
      </c>
      <c r="E24">
        <v>5230</v>
      </c>
      <c r="F24" s="9"/>
    </row>
    <row r="25" spans="2:6" x14ac:dyDescent="0.25">
      <c r="B25">
        <v>23</v>
      </c>
      <c r="C25" s="1">
        <v>44207</v>
      </c>
      <c r="D25" t="s">
        <v>4</v>
      </c>
      <c r="E25">
        <v>9750</v>
      </c>
      <c r="F25" s="9"/>
    </row>
    <row r="26" spans="2:6" x14ac:dyDescent="0.25">
      <c r="B26">
        <v>24</v>
      </c>
      <c r="C26" s="1">
        <v>44208</v>
      </c>
      <c r="D26" t="s">
        <v>6</v>
      </c>
      <c r="E26">
        <v>4800</v>
      </c>
      <c r="F26" s="9"/>
    </row>
    <row r="27" spans="2:6" x14ac:dyDescent="0.25">
      <c r="B27">
        <v>25</v>
      </c>
      <c r="C27" s="1">
        <v>44209</v>
      </c>
      <c r="D27" t="s">
        <v>7</v>
      </c>
      <c r="E27">
        <v>8650</v>
      </c>
      <c r="F27" s="9"/>
    </row>
    <row r="28" spans="2:6" x14ac:dyDescent="0.25">
      <c r="B28">
        <v>26</v>
      </c>
      <c r="C28" s="1">
        <v>44210</v>
      </c>
      <c r="D28" t="s">
        <v>4</v>
      </c>
      <c r="E28">
        <v>2260</v>
      </c>
      <c r="F28" s="9"/>
    </row>
    <row r="29" spans="2:6" x14ac:dyDescent="0.25">
      <c r="B29">
        <v>27</v>
      </c>
      <c r="C29" s="1">
        <v>44210</v>
      </c>
      <c r="D29" t="s">
        <v>5</v>
      </c>
      <c r="E29">
        <v>5000</v>
      </c>
      <c r="F29" s="9"/>
    </row>
    <row r="30" spans="2:6" x14ac:dyDescent="0.25">
      <c r="B30">
        <v>28</v>
      </c>
      <c r="C30" s="1">
        <v>44210</v>
      </c>
      <c r="D30" t="s">
        <v>7</v>
      </c>
      <c r="E30">
        <v>1650</v>
      </c>
      <c r="F30" s="9"/>
    </row>
    <row r="31" spans="2:6" x14ac:dyDescent="0.25">
      <c r="B31">
        <v>29</v>
      </c>
      <c r="C31" s="1">
        <v>44211</v>
      </c>
      <c r="D31" t="s">
        <v>7</v>
      </c>
      <c r="E31">
        <v>7060</v>
      </c>
      <c r="F31" s="9"/>
    </row>
    <row r="32" spans="2:6" x14ac:dyDescent="0.25">
      <c r="B32">
        <v>30</v>
      </c>
      <c r="C32" s="1">
        <v>44211</v>
      </c>
      <c r="D32" t="s">
        <v>4</v>
      </c>
      <c r="E32">
        <v>3260</v>
      </c>
      <c r="F32" s="9"/>
    </row>
    <row r="33" spans="2:6" x14ac:dyDescent="0.25">
      <c r="B33">
        <v>31</v>
      </c>
      <c r="C33" s="1">
        <v>44211</v>
      </c>
      <c r="D33" t="s">
        <v>6</v>
      </c>
      <c r="E33">
        <v>5760</v>
      </c>
      <c r="F33" s="9"/>
    </row>
    <row r="34" spans="2:6" x14ac:dyDescent="0.25">
      <c r="B34">
        <v>32</v>
      </c>
      <c r="C34" s="1">
        <v>44212</v>
      </c>
      <c r="D34" t="s">
        <v>5</v>
      </c>
      <c r="E34">
        <v>1990</v>
      </c>
      <c r="F34" s="9"/>
    </row>
    <row r="35" spans="2:6" x14ac:dyDescent="0.25">
      <c r="B35">
        <v>33</v>
      </c>
      <c r="C35" s="1">
        <v>44213</v>
      </c>
      <c r="D35" t="s">
        <v>7</v>
      </c>
      <c r="E35">
        <v>5240</v>
      </c>
      <c r="F35" s="9"/>
    </row>
    <row r="36" spans="2:6" x14ac:dyDescent="0.25">
      <c r="B36">
        <v>34</v>
      </c>
      <c r="C36" s="1">
        <v>44213</v>
      </c>
      <c r="D36" t="s">
        <v>5</v>
      </c>
      <c r="E36">
        <v>2720</v>
      </c>
      <c r="F36" s="9"/>
    </row>
    <row r="37" spans="2:6" x14ac:dyDescent="0.25">
      <c r="B37">
        <v>35</v>
      </c>
      <c r="C37" s="1">
        <v>44213</v>
      </c>
      <c r="D37" t="s">
        <v>6</v>
      </c>
      <c r="E37">
        <v>3220</v>
      </c>
      <c r="F37" s="9"/>
    </row>
    <row r="38" spans="2:6" x14ac:dyDescent="0.25">
      <c r="B38">
        <v>36</v>
      </c>
      <c r="C38" s="1">
        <v>44213</v>
      </c>
      <c r="D38" t="s">
        <v>4</v>
      </c>
      <c r="E38">
        <v>3140</v>
      </c>
      <c r="F38" s="9"/>
    </row>
    <row r="39" spans="2:6" x14ac:dyDescent="0.25">
      <c r="B39">
        <v>37</v>
      </c>
      <c r="C39" s="1">
        <v>44214</v>
      </c>
      <c r="D39" t="s">
        <v>7</v>
      </c>
      <c r="E39">
        <v>4150</v>
      </c>
      <c r="F39" s="9"/>
    </row>
    <row r="40" spans="2:6" x14ac:dyDescent="0.25">
      <c r="B40">
        <v>38</v>
      </c>
      <c r="C40" s="1">
        <v>44215</v>
      </c>
      <c r="D40" t="s">
        <v>7</v>
      </c>
      <c r="E40">
        <v>3870</v>
      </c>
      <c r="F40" s="9"/>
    </row>
    <row r="41" spans="2:6" x14ac:dyDescent="0.25">
      <c r="B41">
        <v>39</v>
      </c>
      <c r="C41" s="1">
        <v>44215</v>
      </c>
      <c r="D41" t="s">
        <v>4</v>
      </c>
      <c r="E41">
        <v>1170</v>
      </c>
      <c r="F41" s="9"/>
    </row>
    <row r="42" spans="2:6" x14ac:dyDescent="0.25">
      <c r="B42">
        <v>40</v>
      </c>
      <c r="C42" s="1">
        <v>44216</v>
      </c>
      <c r="D42" t="s">
        <v>4</v>
      </c>
      <c r="E42">
        <v>2350</v>
      </c>
      <c r="F42" s="9"/>
    </row>
    <row r="43" spans="2:6" x14ac:dyDescent="0.25">
      <c r="B43">
        <v>41</v>
      </c>
      <c r="C43" s="1">
        <v>44216</v>
      </c>
      <c r="D43" t="s">
        <v>7</v>
      </c>
      <c r="E43">
        <v>7700</v>
      </c>
      <c r="F43" s="9"/>
    </row>
    <row r="44" spans="2:6" x14ac:dyDescent="0.25">
      <c r="B44">
        <v>42</v>
      </c>
      <c r="C44" s="1">
        <v>44217</v>
      </c>
      <c r="D44" t="s">
        <v>6</v>
      </c>
      <c r="E44">
        <v>3210</v>
      </c>
      <c r="F44" s="9"/>
    </row>
    <row r="45" spans="2:6" x14ac:dyDescent="0.25">
      <c r="B45">
        <v>43</v>
      </c>
      <c r="C45" s="1">
        <v>44217</v>
      </c>
      <c r="D45" t="s">
        <v>7</v>
      </c>
      <c r="E45">
        <v>1060</v>
      </c>
      <c r="F45" s="9"/>
    </row>
    <row r="46" spans="2:6" x14ac:dyDescent="0.25">
      <c r="B46">
        <v>44</v>
      </c>
      <c r="C46" s="1">
        <v>44218</v>
      </c>
      <c r="D46" t="s">
        <v>6</v>
      </c>
      <c r="E46">
        <v>2300</v>
      </c>
      <c r="F46" s="9"/>
    </row>
    <row r="47" spans="2:6" x14ac:dyDescent="0.25">
      <c r="B47">
        <v>45</v>
      </c>
      <c r="C47" s="1">
        <v>44218</v>
      </c>
      <c r="D47" t="s">
        <v>7</v>
      </c>
      <c r="E47">
        <v>7840</v>
      </c>
      <c r="F47" s="9"/>
    </row>
    <row r="48" spans="2:6" x14ac:dyDescent="0.25">
      <c r="B48">
        <v>46</v>
      </c>
      <c r="C48" s="1">
        <v>44219</v>
      </c>
      <c r="D48" t="s">
        <v>4</v>
      </c>
      <c r="E48">
        <v>2870</v>
      </c>
      <c r="F48" s="9"/>
    </row>
    <row r="49" spans="2:6" x14ac:dyDescent="0.25">
      <c r="B49">
        <v>47</v>
      </c>
      <c r="C49" s="1">
        <v>44220</v>
      </c>
      <c r="D49" t="s">
        <v>4</v>
      </c>
      <c r="E49">
        <v>8690</v>
      </c>
      <c r="F49" s="9"/>
    </row>
    <row r="50" spans="2:6" x14ac:dyDescent="0.25">
      <c r="B50">
        <v>48</v>
      </c>
      <c r="C50" s="1">
        <v>44221</v>
      </c>
      <c r="D50" t="s">
        <v>6</v>
      </c>
      <c r="E50">
        <v>6450</v>
      </c>
      <c r="F50" s="9"/>
    </row>
    <row r="51" spans="2:6" x14ac:dyDescent="0.25">
      <c r="B51">
        <v>49</v>
      </c>
      <c r="C51" s="1">
        <v>44222</v>
      </c>
      <c r="D51" t="s">
        <v>7</v>
      </c>
      <c r="E51">
        <v>3050</v>
      </c>
      <c r="F51" s="9"/>
    </row>
    <row r="52" spans="2:6" x14ac:dyDescent="0.25">
      <c r="B52">
        <v>50</v>
      </c>
      <c r="C52" s="1">
        <v>44222</v>
      </c>
      <c r="D52" t="s">
        <v>5</v>
      </c>
      <c r="E52">
        <v>7170</v>
      </c>
      <c r="F52" s="9"/>
    </row>
    <row r="53" spans="2:6" x14ac:dyDescent="0.25">
      <c r="B53">
        <v>51</v>
      </c>
      <c r="C53" s="1">
        <v>44222</v>
      </c>
      <c r="D53" t="s">
        <v>6</v>
      </c>
      <c r="E53">
        <v>1970</v>
      </c>
      <c r="F53" s="9"/>
    </row>
    <row r="54" spans="2:6" x14ac:dyDescent="0.25">
      <c r="B54">
        <v>52</v>
      </c>
      <c r="C54" s="1">
        <v>44223</v>
      </c>
      <c r="D54" t="s">
        <v>6</v>
      </c>
      <c r="E54">
        <v>3670</v>
      </c>
      <c r="F54" s="9"/>
    </row>
    <row r="55" spans="2:6" x14ac:dyDescent="0.25">
      <c r="B55">
        <v>53</v>
      </c>
      <c r="C55" s="1">
        <v>44223</v>
      </c>
      <c r="D55" t="s">
        <v>4</v>
      </c>
      <c r="E55">
        <v>7870</v>
      </c>
      <c r="F55" s="9"/>
    </row>
    <row r="56" spans="2:6" x14ac:dyDescent="0.25">
      <c r="B56">
        <v>54</v>
      </c>
      <c r="C56" s="1">
        <v>44224</v>
      </c>
      <c r="D56" t="s">
        <v>5</v>
      </c>
      <c r="E56">
        <v>7930</v>
      </c>
      <c r="F56" s="9"/>
    </row>
    <row r="57" spans="2:6" x14ac:dyDescent="0.25">
      <c r="B57">
        <v>55</v>
      </c>
      <c r="C57" s="1">
        <v>44224</v>
      </c>
      <c r="D57" t="s">
        <v>4</v>
      </c>
      <c r="E57">
        <v>1940</v>
      </c>
      <c r="F57" s="9"/>
    </row>
    <row r="58" spans="2:6" x14ac:dyDescent="0.25">
      <c r="B58">
        <v>56</v>
      </c>
      <c r="C58" s="1">
        <v>44224</v>
      </c>
      <c r="D58" t="s">
        <v>7</v>
      </c>
      <c r="E58">
        <v>2340</v>
      </c>
      <c r="F58" s="9"/>
    </row>
    <row r="59" spans="2:6" x14ac:dyDescent="0.25">
      <c r="B59">
        <v>57</v>
      </c>
      <c r="C59" s="1">
        <v>44225</v>
      </c>
      <c r="D59" t="s">
        <v>7</v>
      </c>
      <c r="E59">
        <v>8710</v>
      </c>
      <c r="F59" s="9"/>
    </row>
    <row r="60" spans="2:6" x14ac:dyDescent="0.25">
      <c r="B60">
        <v>58</v>
      </c>
      <c r="C60" s="1">
        <v>44225</v>
      </c>
      <c r="D60" t="s">
        <v>6</v>
      </c>
      <c r="E60">
        <v>1360</v>
      </c>
      <c r="F60" s="9"/>
    </row>
    <row r="61" spans="2:6" x14ac:dyDescent="0.25">
      <c r="B61">
        <v>59</v>
      </c>
      <c r="C61" s="1">
        <v>44226</v>
      </c>
      <c r="D61" t="s">
        <v>5</v>
      </c>
      <c r="E61">
        <v>6820</v>
      </c>
      <c r="F61" s="9"/>
    </row>
    <row r="62" spans="2:6" x14ac:dyDescent="0.25">
      <c r="B62">
        <v>60</v>
      </c>
      <c r="C62" s="1">
        <v>44226</v>
      </c>
      <c r="D62" t="s">
        <v>7</v>
      </c>
      <c r="E62">
        <v>9020</v>
      </c>
      <c r="F62" s="9"/>
    </row>
    <row r="63" spans="2:6" x14ac:dyDescent="0.25">
      <c r="B63">
        <v>61</v>
      </c>
      <c r="C63" s="1">
        <v>44227</v>
      </c>
      <c r="D63" t="s">
        <v>4</v>
      </c>
      <c r="E63">
        <v>6900</v>
      </c>
      <c r="F63" s="9"/>
    </row>
    <row r="64" spans="2:6" x14ac:dyDescent="0.25">
      <c r="B64">
        <v>62</v>
      </c>
      <c r="C64" s="1">
        <v>44227</v>
      </c>
      <c r="D64" t="s">
        <v>5</v>
      </c>
      <c r="E64">
        <v>9230</v>
      </c>
      <c r="F64" s="9"/>
    </row>
    <row r="65" spans="2:6" x14ac:dyDescent="0.25">
      <c r="B65">
        <v>63</v>
      </c>
      <c r="C65" s="1">
        <v>44227</v>
      </c>
      <c r="D65" t="s">
        <v>7</v>
      </c>
      <c r="E65">
        <v>790</v>
      </c>
      <c r="F65" s="9"/>
    </row>
    <row r="66" spans="2:6" x14ac:dyDescent="0.25">
      <c r="B66">
        <v>64</v>
      </c>
      <c r="C66" s="1">
        <v>44228</v>
      </c>
      <c r="D66" t="s">
        <v>7</v>
      </c>
      <c r="E66">
        <v>7820</v>
      </c>
      <c r="F66" s="9"/>
    </row>
    <row r="67" spans="2:6" x14ac:dyDescent="0.25">
      <c r="B67">
        <v>65</v>
      </c>
      <c r="C67" s="1">
        <v>44228</v>
      </c>
      <c r="D67" t="s">
        <v>6</v>
      </c>
      <c r="E67">
        <v>2100</v>
      </c>
      <c r="F67" s="9"/>
    </row>
    <row r="68" spans="2:6" x14ac:dyDescent="0.25">
      <c r="B68">
        <v>66</v>
      </c>
      <c r="C68" s="1">
        <v>44228</v>
      </c>
      <c r="D68" t="s">
        <v>4</v>
      </c>
      <c r="E68">
        <v>6960</v>
      </c>
      <c r="F68" s="9"/>
    </row>
    <row r="69" spans="2:6" x14ac:dyDescent="0.25">
      <c r="B69">
        <v>67</v>
      </c>
      <c r="C69" s="1">
        <v>44229</v>
      </c>
      <c r="D69" t="s">
        <v>5</v>
      </c>
      <c r="E69">
        <v>2630</v>
      </c>
      <c r="F69" s="9"/>
    </row>
    <row r="70" spans="2:6" x14ac:dyDescent="0.25">
      <c r="B70">
        <v>68</v>
      </c>
      <c r="C70" s="1">
        <v>44230</v>
      </c>
      <c r="D70" t="s">
        <v>6</v>
      </c>
      <c r="E70">
        <v>9250</v>
      </c>
      <c r="F70" s="9"/>
    </row>
    <row r="71" spans="2:6" x14ac:dyDescent="0.25">
      <c r="B71">
        <v>69</v>
      </c>
      <c r="C71" s="1">
        <v>44230</v>
      </c>
      <c r="D71" t="s">
        <v>5</v>
      </c>
      <c r="E71">
        <v>6540</v>
      </c>
      <c r="F71" s="9"/>
    </row>
    <row r="72" spans="2:6" x14ac:dyDescent="0.25">
      <c r="B72">
        <v>70</v>
      </c>
      <c r="C72" s="1">
        <v>44231</v>
      </c>
      <c r="D72" t="s">
        <v>7</v>
      </c>
      <c r="E72">
        <v>8470</v>
      </c>
      <c r="F72" s="9"/>
    </row>
    <row r="73" spans="2:6" x14ac:dyDescent="0.25">
      <c r="B73">
        <v>71</v>
      </c>
      <c r="C73" s="1">
        <v>44231</v>
      </c>
      <c r="D73" t="s">
        <v>4</v>
      </c>
      <c r="E73">
        <v>7770</v>
      </c>
      <c r="F73" s="9"/>
    </row>
    <row r="74" spans="2:6" x14ac:dyDescent="0.25">
      <c r="B74">
        <v>72</v>
      </c>
      <c r="C74" s="1">
        <v>44231</v>
      </c>
      <c r="D74" t="s">
        <v>5</v>
      </c>
      <c r="E74">
        <v>6270</v>
      </c>
      <c r="F74" s="9"/>
    </row>
    <row r="75" spans="2:6" x14ac:dyDescent="0.25">
      <c r="B75">
        <v>73</v>
      </c>
      <c r="C75" s="1">
        <v>44232</v>
      </c>
      <c r="D75" t="s">
        <v>6</v>
      </c>
      <c r="E75">
        <v>1480</v>
      </c>
      <c r="F75" s="9"/>
    </row>
    <row r="76" spans="2:6" x14ac:dyDescent="0.25">
      <c r="B76">
        <v>74</v>
      </c>
      <c r="C76" s="1">
        <v>44233</v>
      </c>
      <c r="D76" t="s">
        <v>4</v>
      </c>
      <c r="E76">
        <v>1820</v>
      </c>
      <c r="F76" s="9"/>
    </row>
    <row r="77" spans="2:6" x14ac:dyDescent="0.25">
      <c r="B77">
        <v>75</v>
      </c>
      <c r="C77" s="1">
        <v>44233</v>
      </c>
      <c r="D77" t="s">
        <v>5</v>
      </c>
      <c r="E77">
        <v>6460</v>
      </c>
      <c r="F77" s="9"/>
    </row>
    <row r="78" spans="2:6" x14ac:dyDescent="0.25">
      <c r="B78">
        <v>76</v>
      </c>
      <c r="C78" s="1">
        <v>44234</v>
      </c>
      <c r="D78" t="s">
        <v>4</v>
      </c>
      <c r="E78">
        <v>5920</v>
      </c>
      <c r="F78" s="9"/>
    </row>
    <row r="79" spans="2:6" x14ac:dyDescent="0.25">
      <c r="B79">
        <v>77</v>
      </c>
      <c r="C79" s="1">
        <v>44234</v>
      </c>
      <c r="D79" t="s">
        <v>7</v>
      </c>
      <c r="E79">
        <v>8900</v>
      </c>
      <c r="F79" s="9"/>
    </row>
    <row r="80" spans="2:6" x14ac:dyDescent="0.25">
      <c r="B80">
        <v>78</v>
      </c>
      <c r="C80" s="1">
        <v>44235</v>
      </c>
      <c r="D80" t="s">
        <v>7</v>
      </c>
      <c r="E80">
        <v>7370</v>
      </c>
      <c r="F80" s="9"/>
    </row>
    <row r="81" spans="2:6" x14ac:dyDescent="0.25">
      <c r="B81">
        <v>79</v>
      </c>
      <c r="C81" s="1">
        <v>44235</v>
      </c>
      <c r="D81" t="s">
        <v>4</v>
      </c>
      <c r="E81">
        <v>1970</v>
      </c>
      <c r="F81" s="9"/>
    </row>
    <row r="82" spans="2:6" x14ac:dyDescent="0.25">
      <c r="B82">
        <v>80</v>
      </c>
      <c r="C82" s="1">
        <v>44236</v>
      </c>
      <c r="D82" t="s">
        <v>7</v>
      </c>
      <c r="E82">
        <v>7030</v>
      </c>
      <c r="F82" s="9"/>
    </row>
    <row r="83" spans="2:6" x14ac:dyDescent="0.25">
      <c r="B83">
        <v>81</v>
      </c>
      <c r="C83" s="1">
        <v>44237</v>
      </c>
      <c r="D83" t="s">
        <v>7</v>
      </c>
      <c r="E83">
        <v>1000</v>
      </c>
      <c r="F83" s="9"/>
    </row>
    <row r="84" spans="2:6" x14ac:dyDescent="0.25">
      <c r="B84">
        <v>82</v>
      </c>
      <c r="C84" s="1">
        <v>44237</v>
      </c>
      <c r="D84" t="s">
        <v>4</v>
      </c>
      <c r="E84">
        <v>2620</v>
      </c>
      <c r="F84" s="9"/>
    </row>
    <row r="85" spans="2:6" x14ac:dyDescent="0.25">
      <c r="B85">
        <v>83</v>
      </c>
      <c r="C85" s="1">
        <v>44238</v>
      </c>
      <c r="D85" t="s">
        <v>7</v>
      </c>
      <c r="E85">
        <v>9440</v>
      </c>
      <c r="F85" s="9"/>
    </row>
    <row r="86" spans="2:6" x14ac:dyDescent="0.25">
      <c r="B86">
        <v>84</v>
      </c>
      <c r="C86" s="1">
        <v>44238</v>
      </c>
      <c r="D86" t="s">
        <v>5</v>
      </c>
      <c r="E86">
        <v>8020</v>
      </c>
      <c r="F86" s="9"/>
    </row>
    <row r="87" spans="2:6" x14ac:dyDescent="0.25">
      <c r="B87">
        <v>85</v>
      </c>
      <c r="C87" s="1">
        <v>44238</v>
      </c>
      <c r="D87" t="s">
        <v>6</v>
      </c>
      <c r="E87">
        <v>5820</v>
      </c>
      <c r="F87" s="9"/>
    </row>
    <row r="88" spans="2:6" x14ac:dyDescent="0.25">
      <c r="B88">
        <v>86</v>
      </c>
      <c r="C88" s="1">
        <v>44239</v>
      </c>
      <c r="D88" t="s">
        <v>7</v>
      </c>
      <c r="E88">
        <v>4850</v>
      </c>
      <c r="F88" s="9"/>
    </row>
    <row r="89" spans="2:6" x14ac:dyDescent="0.25">
      <c r="B89">
        <v>87</v>
      </c>
      <c r="C89" s="1">
        <v>44239</v>
      </c>
      <c r="D89" t="s">
        <v>5</v>
      </c>
      <c r="E89">
        <v>4910</v>
      </c>
      <c r="F89" s="9"/>
    </row>
    <row r="90" spans="2:6" x14ac:dyDescent="0.25">
      <c r="B90">
        <v>88</v>
      </c>
      <c r="C90" s="1">
        <v>44240</v>
      </c>
      <c r="D90" t="s">
        <v>5</v>
      </c>
      <c r="E90">
        <v>5690</v>
      </c>
      <c r="F90" s="9"/>
    </row>
    <row r="91" spans="2:6" x14ac:dyDescent="0.25">
      <c r="B91">
        <v>89</v>
      </c>
      <c r="C91" s="1">
        <v>44240</v>
      </c>
      <c r="D91" t="s">
        <v>4</v>
      </c>
      <c r="E91">
        <v>1870</v>
      </c>
      <c r="F91" s="9"/>
    </row>
    <row r="92" spans="2:6" x14ac:dyDescent="0.25">
      <c r="B92">
        <v>90</v>
      </c>
      <c r="C92" s="1">
        <v>44241</v>
      </c>
      <c r="D92" t="s">
        <v>5</v>
      </c>
      <c r="E92">
        <v>1800</v>
      </c>
      <c r="F92" s="9"/>
    </row>
    <row r="93" spans="2:6" x14ac:dyDescent="0.25">
      <c r="B93">
        <v>91</v>
      </c>
      <c r="C93" s="1">
        <v>44241</v>
      </c>
      <c r="D93" t="s">
        <v>6</v>
      </c>
      <c r="E93">
        <v>4150</v>
      </c>
      <c r="F93" s="9"/>
    </row>
    <row r="94" spans="2:6" x14ac:dyDescent="0.25">
      <c r="B94">
        <v>92</v>
      </c>
      <c r="C94" s="1">
        <v>44242</v>
      </c>
      <c r="D94" t="s">
        <v>4</v>
      </c>
      <c r="E94">
        <v>3780</v>
      </c>
      <c r="F94" s="9"/>
    </row>
    <row r="95" spans="2:6" x14ac:dyDescent="0.25">
      <c r="B95">
        <v>93</v>
      </c>
      <c r="C95" s="1">
        <v>44243</v>
      </c>
      <c r="D95" t="s">
        <v>7</v>
      </c>
      <c r="E95">
        <v>3330</v>
      </c>
      <c r="F95" s="9"/>
    </row>
    <row r="96" spans="2:6" x14ac:dyDescent="0.25">
      <c r="B96">
        <v>94</v>
      </c>
      <c r="C96" s="1">
        <v>44243</v>
      </c>
      <c r="D96" t="s">
        <v>4</v>
      </c>
      <c r="E96">
        <v>1570</v>
      </c>
      <c r="F96" s="9"/>
    </row>
    <row r="97" spans="2:6" x14ac:dyDescent="0.25">
      <c r="B97">
        <v>95</v>
      </c>
      <c r="C97" s="1">
        <v>44243</v>
      </c>
      <c r="D97" t="s">
        <v>6</v>
      </c>
      <c r="E97">
        <v>1590</v>
      </c>
      <c r="F97" s="9"/>
    </row>
    <row r="98" spans="2:6" x14ac:dyDescent="0.25">
      <c r="B98">
        <v>96</v>
      </c>
      <c r="C98" s="1">
        <v>44244</v>
      </c>
      <c r="D98" t="s">
        <v>5</v>
      </c>
      <c r="E98">
        <v>7240</v>
      </c>
      <c r="F98" s="9"/>
    </row>
    <row r="99" spans="2:6" x14ac:dyDescent="0.25">
      <c r="B99">
        <v>97</v>
      </c>
      <c r="C99" s="1">
        <v>44244</v>
      </c>
      <c r="D99" t="s">
        <v>4</v>
      </c>
      <c r="E99">
        <v>9690</v>
      </c>
      <c r="F99" s="9"/>
    </row>
    <row r="100" spans="2:6" x14ac:dyDescent="0.25">
      <c r="B100">
        <v>98</v>
      </c>
      <c r="C100" s="1">
        <v>44244</v>
      </c>
      <c r="D100" t="s">
        <v>7</v>
      </c>
      <c r="E100">
        <v>5600</v>
      </c>
      <c r="F100" s="9"/>
    </row>
    <row r="101" spans="2:6" x14ac:dyDescent="0.25">
      <c r="B101">
        <v>99</v>
      </c>
      <c r="C101" s="1">
        <v>44245</v>
      </c>
      <c r="D101" t="s">
        <v>5</v>
      </c>
      <c r="E101">
        <v>1740</v>
      </c>
      <c r="F101" s="9"/>
    </row>
    <row r="102" spans="2:6" x14ac:dyDescent="0.25">
      <c r="B102">
        <v>100</v>
      </c>
      <c r="C102" s="1">
        <v>44246</v>
      </c>
      <c r="D102" t="s">
        <v>5</v>
      </c>
      <c r="E102">
        <v>5430</v>
      </c>
      <c r="F102" s="9"/>
    </row>
    <row r="103" spans="2:6" x14ac:dyDescent="0.25">
      <c r="B103">
        <v>101</v>
      </c>
      <c r="C103" s="1">
        <v>44247</v>
      </c>
      <c r="D103" t="s">
        <v>7</v>
      </c>
      <c r="E103">
        <v>8190</v>
      </c>
      <c r="F103" s="9"/>
    </row>
    <row r="104" spans="2:6" x14ac:dyDescent="0.25">
      <c r="B104">
        <v>102</v>
      </c>
      <c r="C104" s="1">
        <v>44247</v>
      </c>
      <c r="D104" t="s">
        <v>5</v>
      </c>
      <c r="E104">
        <v>1470</v>
      </c>
      <c r="F104" s="9"/>
    </row>
    <row r="105" spans="2:6" x14ac:dyDescent="0.25">
      <c r="B105">
        <v>103</v>
      </c>
      <c r="C105" s="1">
        <v>44248</v>
      </c>
      <c r="D105" t="s">
        <v>6</v>
      </c>
      <c r="E105">
        <v>1620</v>
      </c>
      <c r="F105" s="9"/>
    </row>
    <row r="106" spans="2:6" x14ac:dyDescent="0.25">
      <c r="B106">
        <v>104</v>
      </c>
      <c r="C106" s="1">
        <v>44248</v>
      </c>
      <c r="D106" t="s">
        <v>4</v>
      </c>
      <c r="E106">
        <v>6700</v>
      </c>
      <c r="F106" s="9"/>
    </row>
    <row r="107" spans="2:6" x14ac:dyDescent="0.25">
      <c r="B107">
        <v>105</v>
      </c>
      <c r="C107" s="1">
        <v>44249</v>
      </c>
      <c r="D107" t="s">
        <v>4</v>
      </c>
      <c r="E107">
        <v>5570</v>
      </c>
      <c r="F107" s="9"/>
    </row>
    <row r="108" spans="2:6" x14ac:dyDescent="0.25">
      <c r="B108">
        <v>106</v>
      </c>
      <c r="C108" s="1">
        <v>44249</v>
      </c>
      <c r="D108" t="s">
        <v>7</v>
      </c>
      <c r="E108">
        <v>4070</v>
      </c>
      <c r="F108" s="9"/>
    </row>
    <row r="109" spans="2:6" x14ac:dyDescent="0.25">
      <c r="B109">
        <v>107</v>
      </c>
      <c r="C109" s="1">
        <v>44249</v>
      </c>
      <c r="D109" t="s">
        <v>6</v>
      </c>
      <c r="E109">
        <v>6500</v>
      </c>
      <c r="F109" s="9"/>
    </row>
    <row r="110" spans="2:6" x14ac:dyDescent="0.25">
      <c r="B110">
        <v>108</v>
      </c>
      <c r="C110" s="1">
        <v>44250</v>
      </c>
      <c r="D110" t="s">
        <v>6</v>
      </c>
      <c r="E110">
        <v>6050</v>
      </c>
      <c r="F110" s="9"/>
    </row>
    <row r="111" spans="2:6" x14ac:dyDescent="0.25">
      <c r="B111">
        <v>109</v>
      </c>
      <c r="C111" s="1">
        <v>44250</v>
      </c>
      <c r="D111" t="s">
        <v>5</v>
      </c>
      <c r="E111">
        <v>6880</v>
      </c>
      <c r="F111" s="9"/>
    </row>
    <row r="112" spans="2:6" x14ac:dyDescent="0.25">
      <c r="B112">
        <v>110</v>
      </c>
      <c r="C112" s="1">
        <v>44251</v>
      </c>
      <c r="D112" t="s">
        <v>5</v>
      </c>
      <c r="E112">
        <v>3790</v>
      </c>
      <c r="F112" s="9"/>
    </row>
    <row r="113" spans="2:6" x14ac:dyDescent="0.25">
      <c r="B113">
        <v>111</v>
      </c>
      <c r="C113" s="1">
        <v>44252</v>
      </c>
      <c r="D113" t="s">
        <v>5</v>
      </c>
      <c r="E113">
        <v>4560</v>
      </c>
      <c r="F113" s="9"/>
    </row>
    <row r="114" spans="2:6" x14ac:dyDescent="0.25">
      <c r="B114">
        <v>112</v>
      </c>
      <c r="C114" s="1">
        <v>44252</v>
      </c>
      <c r="D114" t="s">
        <v>6</v>
      </c>
      <c r="E114">
        <v>3910</v>
      </c>
      <c r="F114" s="9"/>
    </row>
    <row r="115" spans="2:6" x14ac:dyDescent="0.25">
      <c r="B115">
        <v>113</v>
      </c>
      <c r="C115" s="1">
        <v>44252</v>
      </c>
      <c r="D115" t="s">
        <v>4</v>
      </c>
      <c r="E115">
        <v>5060</v>
      </c>
      <c r="F115" s="9"/>
    </row>
    <row r="116" spans="2:6" x14ac:dyDescent="0.25">
      <c r="B116">
        <v>114</v>
      </c>
      <c r="C116" s="1">
        <v>44253</v>
      </c>
      <c r="D116" t="s">
        <v>7</v>
      </c>
      <c r="E116">
        <v>9440</v>
      </c>
      <c r="F116" s="9"/>
    </row>
    <row r="117" spans="2:6" x14ac:dyDescent="0.25">
      <c r="B117">
        <v>115</v>
      </c>
      <c r="C117" s="1">
        <v>44253</v>
      </c>
      <c r="D117" t="s">
        <v>4</v>
      </c>
      <c r="E117">
        <v>5100</v>
      </c>
      <c r="F117" s="9"/>
    </row>
    <row r="118" spans="2:6" x14ac:dyDescent="0.25">
      <c r="B118">
        <v>116</v>
      </c>
      <c r="C118" s="1">
        <v>44254</v>
      </c>
      <c r="D118" t="s">
        <v>5</v>
      </c>
      <c r="E118">
        <v>4360</v>
      </c>
      <c r="F118" s="9"/>
    </row>
    <row r="119" spans="2:6" x14ac:dyDescent="0.25">
      <c r="B119">
        <v>117</v>
      </c>
      <c r="C119" s="1">
        <v>44254</v>
      </c>
      <c r="D119" t="s">
        <v>6</v>
      </c>
      <c r="E119">
        <v>6220</v>
      </c>
      <c r="F119" s="9"/>
    </row>
    <row r="120" spans="2:6" x14ac:dyDescent="0.25">
      <c r="B120">
        <v>118</v>
      </c>
      <c r="C120" s="1">
        <v>44255</v>
      </c>
      <c r="D120" t="s">
        <v>4</v>
      </c>
      <c r="E120">
        <v>4290</v>
      </c>
      <c r="F120" s="9"/>
    </row>
    <row r="121" spans="2:6" x14ac:dyDescent="0.25">
      <c r="B121">
        <v>119</v>
      </c>
      <c r="C121" s="1">
        <v>44255</v>
      </c>
      <c r="D121" t="s">
        <v>6</v>
      </c>
      <c r="E121">
        <v>1260</v>
      </c>
      <c r="F121" s="9"/>
    </row>
    <row r="122" spans="2:6" x14ac:dyDescent="0.25">
      <c r="B122">
        <v>120</v>
      </c>
      <c r="C122" s="1">
        <v>44256</v>
      </c>
      <c r="D122" t="s">
        <v>5</v>
      </c>
      <c r="E122">
        <v>9520</v>
      </c>
      <c r="F122" s="9"/>
    </row>
    <row r="123" spans="2:6" x14ac:dyDescent="0.25">
      <c r="B123">
        <v>121</v>
      </c>
      <c r="C123" s="1">
        <v>44256</v>
      </c>
      <c r="D123" t="s">
        <v>4</v>
      </c>
      <c r="E123">
        <v>8650</v>
      </c>
      <c r="F123" s="9"/>
    </row>
    <row r="124" spans="2:6" x14ac:dyDescent="0.25">
      <c r="B124">
        <v>122</v>
      </c>
      <c r="C124" s="1">
        <v>44257</v>
      </c>
      <c r="D124" t="s">
        <v>6</v>
      </c>
      <c r="E124">
        <v>9080</v>
      </c>
      <c r="F124" s="9"/>
    </row>
    <row r="125" spans="2:6" x14ac:dyDescent="0.25">
      <c r="B125">
        <v>123</v>
      </c>
      <c r="C125" s="1">
        <v>44257</v>
      </c>
      <c r="D125" t="s">
        <v>5</v>
      </c>
      <c r="E125">
        <v>1510</v>
      </c>
      <c r="F125" s="9"/>
    </row>
    <row r="126" spans="2:6" x14ac:dyDescent="0.25">
      <c r="B126">
        <v>124</v>
      </c>
      <c r="C126" s="1">
        <v>44258</v>
      </c>
      <c r="D126" t="s">
        <v>4</v>
      </c>
      <c r="E126">
        <v>6850</v>
      </c>
      <c r="F126" s="9"/>
    </row>
    <row r="127" spans="2:6" x14ac:dyDescent="0.25">
      <c r="B127">
        <v>125</v>
      </c>
      <c r="C127" s="1">
        <v>44259</v>
      </c>
      <c r="D127" t="s">
        <v>4</v>
      </c>
      <c r="E127">
        <v>6210</v>
      </c>
      <c r="F127" s="9"/>
    </row>
    <row r="128" spans="2:6" x14ac:dyDescent="0.25">
      <c r="B128">
        <v>126</v>
      </c>
      <c r="C128" s="1">
        <v>44260</v>
      </c>
      <c r="D128" t="s">
        <v>4</v>
      </c>
      <c r="E128">
        <v>3340</v>
      </c>
      <c r="F128" s="9"/>
    </row>
    <row r="129" spans="2:6" x14ac:dyDescent="0.25">
      <c r="B129">
        <v>127</v>
      </c>
      <c r="C129" s="1">
        <v>44260</v>
      </c>
      <c r="D129" t="s">
        <v>5</v>
      </c>
      <c r="E129">
        <v>3450</v>
      </c>
      <c r="F129" s="9"/>
    </row>
    <row r="130" spans="2:6" x14ac:dyDescent="0.25">
      <c r="B130">
        <v>128</v>
      </c>
      <c r="C130" s="1">
        <v>44261</v>
      </c>
      <c r="D130" t="s">
        <v>7</v>
      </c>
      <c r="E130">
        <v>3270</v>
      </c>
      <c r="F130" s="9"/>
    </row>
    <row r="131" spans="2:6" x14ac:dyDescent="0.25">
      <c r="B131">
        <v>129</v>
      </c>
      <c r="C131" s="1">
        <v>44261</v>
      </c>
      <c r="D131" t="s">
        <v>6</v>
      </c>
      <c r="E131">
        <v>3580</v>
      </c>
      <c r="F131" s="9"/>
    </row>
    <row r="132" spans="2:6" x14ac:dyDescent="0.25">
      <c r="B132">
        <v>130</v>
      </c>
      <c r="C132" s="1">
        <v>44261</v>
      </c>
      <c r="D132" t="s">
        <v>5</v>
      </c>
      <c r="E132">
        <v>9560</v>
      </c>
      <c r="F132" s="9"/>
    </row>
    <row r="133" spans="2:6" x14ac:dyDescent="0.25">
      <c r="B133">
        <v>131</v>
      </c>
      <c r="C133" s="1">
        <v>44262</v>
      </c>
      <c r="D133" t="s">
        <v>4</v>
      </c>
      <c r="E133">
        <v>5310</v>
      </c>
      <c r="F133" s="9"/>
    </row>
    <row r="134" spans="2:6" x14ac:dyDescent="0.25">
      <c r="B134">
        <v>132</v>
      </c>
      <c r="C134" s="1">
        <v>44263</v>
      </c>
      <c r="D134" t="s">
        <v>4</v>
      </c>
      <c r="E134">
        <v>9130</v>
      </c>
      <c r="F134" s="9"/>
    </row>
    <row r="135" spans="2:6" x14ac:dyDescent="0.25">
      <c r="B135">
        <v>133</v>
      </c>
      <c r="C135" s="1">
        <v>44263</v>
      </c>
      <c r="D135" t="s">
        <v>5</v>
      </c>
      <c r="E135">
        <v>8710</v>
      </c>
      <c r="F135" s="9"/>
    </row>
    <row r="136" spans="2:6" x14ac:dyDescent="0.25">
      <c r="B136">
        <v>134</v>
      </c>
      <c r="C136" s="1">
        <v>44264</v>
      </c>
      <c r="D136" t="s">
        <v>4</v>
      </c>
      <c r="E136">
        <v>1920</v>
      </c>
      <c r="F136" s="9"/>
    </row>
    <row r="137" spans="2:6" x14ac:dyDescent="0.25">
      <c r="B137">
        <v>135</v>
      </c>
      <c r="C137" s="1">
        <v>44264</v>
      </c>
      <c r="D137" t="s">
        <v>5</v>
      </c>
      <c r="E137">
        <v>4330</v>
      </c>
      <c r="F137" s="9"/>
    </row>
    <row r="138" spans="2:6" x14ac:dyDescent="0.25">
      <c r="B138">
        <v>136</v>
      </c>
      <c r="C138" s="1">
        <v>44265</v>
      </c>
      <c r="D138" t="s">
        <v>6</v>
      </c>
      <c r="E138">
        <v>6010</v>
      </c>
      <c r="F138" s="9"/>
    </row>
    <row r="139" spans="2:6" x14ac:dyDescent="0.25">
      <c r="B139">
        <v>137</v>
      </c>
      <c r="C139" s="1">
        <v>44265</v>
      </c>
      <c r="D139" t="s">
        <v>5</v>
      </c>
      <c r="E139">
        <v>8680</v>
      </c>
      <c r="F139" s="9"/>
    </row>
    <row r="140" spans="2:6" x14ac:dyDescent="0.25">
      <c r="B140">
        <v>138</v>
      </c>
      <c r="C140" s="1">
        <v>44265</v>
      </c>
      <c r="D140" t="s">
        <v>7</v>
      </c>
      <c r="E140">
        <v>6950</v>
      </c>
      <c r="F140" s="9"/>
    </row>
    <row r="141" spans="2:6" x14ac:dyDescent="0.25">
      <c r="B141">
        <v>139</v>
      </c>
      <c r="C141" s="1">
        <v>44266</v>
      </c>
      <c r="D141" t="s">
        <v>5</v>
      </c>
      <c r="E141">
        <v>3280</v>
      </c>
      <c r="F141" s="9"/>
    </row>
    <row r="142" spans="2:6" x14ac:dyDescent="0.25">
      <c r="B142">
        <v>140</v>
      </c>
      <c r="C142" s="1">
        <v>44267</v>
      </c>
      <c r="D142" t="s">
        <v>6</v>
      </c>
      <c r="E142">
        <v>9590</v>
      </c>
      <c r="F142" s="9"/>
    </row>
    <row r="143" spans="2:6" x14ac:dyDescent="0.25">
      <c r="B143">
        <v>141</v>
      </c>
      <c r="C143" s="1">
        <v>44267</v>
      </c>
      <c r="D143" t="s">
        <v>4</v>
      </c>
      <c r="E143">
        <v>820</v>
      </c>
      <c r="F143" s="9"/>
    </row>
    <row r="144" spans="2:6" x14ac:dyDescent="0.25">
      <c r="B144">
        <v>142</v>
      </c>
      <c r="C144" s="1">
        <v>44268</v>
      </c>
      <c r="D144" t="s">
        <v>4</v>
      </c>
      <c r="E144">
        <v>5220</v>
      </c>
      <c r="F144" s="9"/>
    </row>
    <row r="145" spans="2:6" x14ac:dyDescent="0.25">
      <c r="B145">
        <v>143</v>
      </c>
      <c r="C145" s="1">
        <v>44269</v>
      </c>
      <c r="D145" t="s">
        <v>6</v>
      </c>
      <c r="E145">
        <v>6210</v>
      </c>
      <c r="F145" s="9"/>
    </row>
    <row r="146" spans="2:6" x14ac:dyDescent="0.25">
      <c r="B146">
        <v>144</v>
      </c>
      <c r="C146" s="1">
        <v>44269</v>
      </c>
      <c r="D146" t="s">
        <v>5</v>
      </c>
      <c r="E146">
        <v>3180</v>
      </c>
      <c r="F146" s="9"/>
    </row>
    <row r="147" spans="2:6" x14ac:dyDescent="0.25">
      <c r="B147">
        <v>145</v>
      </c>
      <c r="C147" s="1">
        <v>44270</v>
      </c>
      <c r="D147" t="s">
        <v>4</v>
      </c>
      <c r="E147">
        <v>6860</v>
      </c>
      <c r="F147" s="9"/>
    </row>
    <row r="148" spans="2:6" x14ac:dyDescent="0.25">
      <c r="B148">
        <v>146</v>
      </c>
      <c r="C148" s="1">
        <v>44271</v>
      </c>
      <c r="D148" t="s">
        <v>4</v>
      </c>
      <c r="E148">
        <v>2020</v>
      </c>
      <c r="F148" s="9"/>
    </row>
    <row r="149" spans="2:6" x14ac:dyDescent="0.25">
      <c r="B149">
        <v>147</v>
      </c>
      <c r="C149" s="1">
        <v>44271</v>
      </c>
      <c r="D149" t="s">
        <v>5</v>
      </c>
      <c r="E149">
        <v>3650</v>
      </c>
      <c r="F149" s="9"/>
    </row>
    <row r="150" spans="2:6" x14ac:dyDescent="0.25">
      <c r="B150">
        <v>148</v>
      </c>
      <c r="C150" s="1">
        <v>44272</v>
      </c>
      <c r="D150" t="s">
        <v>4</v>
      </c>
      <c r="E150">
        <v>9720</v>
      </c>
      <c r="F150" s="9"/>
    </row>
    <row r="151" spans="2:6" x14ac:dyDescent="0.25">
      <c r="B151">
        <v>149</v>
      </c>
      <c r="C151" s="1">
        <v>44273</v>
      </c>
      <c r="D151" t="s">
        <v>5</v>
      </c>
      <c r="E151">
        <v>7840</v>
      </c>
      <c r="F151" s="9"/>
    </row>
    <row r="152" spans="2:6" x14ac:dyDescent="0.25">
      <c r="B152">
        <v>150</v>
      </c>
      <c r="C152" s="1">
        <v>44273</v>
      </c>
      <c r="D152" t="s">
        <v>4</v>
      </c>
      <c r="E152">
        <v>6780</v>
      </c>
      <c r="F152" s="9"/>
    </row>
    <row r="153" spans="2:6" x14ac:dyDescent="0.25">
      <c r="B153">
        <v>151</v>
      </c>
      <c r="C153" s="1">
        <v>44273</v>
      </c>
      <c r="D153" t="s">
        <v>6</v>
      </c>
      <c r="E153">
        <v>3490</v>
      </c>
      <c r="F153" s="9"/>
    </row>
    <row r="154" spans="2:6" x14ac:dyDescent="0.25">
      <c r="B154">
        <v>152</v>
      </c>
      <c r="C154" s="1">
        <v>44273</v>
      </c>
      <c r="D154" t="s">
        <v>7</v>
      </c>
      <c r="E154">
        <v>9980</v>
      </c>
      <c r="F154" s="9"/>
    </row>
    <row r="155" spans="2:6" x14ac:dyDescent="0.25">
      <c r="B155">
        <v>153</v>
      </c>
      <c r="C155" s="1">
        <v>44274</v>
      </c>
      <c r="D155" t="s">
        <v>7</v>
      </c>
      <c r="E155">
        <v>7850</v>
      </c>
      <c r="F155" s="9"/>
    </row>
    <row r="156" spans="2:6" x14ac:dyDescent="0.25">
      <c r="B156">
        <v>154</v>
      </c>
      <c r="C156" s="1">
        <v>44274</v>
      </c>
      <c r="D156" t="s">
        <v>6</v>
      </c>
      <c r="E156">
        <v>9770</v>
      </c>
      <c r="F156" s="9"/>
    </row>
    <row r="157" spans="2:6" x14ac:dyDescent="0.25">
      <c r="B157">
        <v>155</v>
      </c>
      <c r="C157" s="1">
        <v>44275</v>
      </c>
      <c r="D157" t="s">
        <v>6</v>
      </c>
      <c r="E157">
        <v>750</v>
      </c>
      <c r="F157" s="9"/>
    </row>
    <row r="158" spans="2:6" x14ac:dyDescent="0.25">
      <c r="B158">
        <v>156</v>
      </c>
      <c r="C158" s="1">
        <v>44275</v>
      </c>
      <c r="D158" t="s">
        <v>7</v>
      </c>
      <c r="E158">
        <v>8900</v>
      </c>
      <c r="F158" s="9"/>
    </row>
    <row r="159" spans="2:6" x14ac:dyDescent="0.25">
      <c r="B159">
        <v>157</v>
      </c>
      <c r="C159" s="1">
        <v>44275</v>
      </c>
      <c r="D159" t="s">
        <v>4</v>
      </c>
      <c r="E159">
        <v>9410</v>
      </c>
      <c r="F159" s="9"/>
    </row>
    <row r="160" spans="2:6" x14ac:dyDescent="0.25">
      <c r="B160">
        <v>158</v>
      </c>
      <c r="C160" s="1">
        <v>44276</v>
      </c>
      <c r="D160" t="s">
        <v>6</v>
      </c>
      <c r="E160">
        <v>9310</v>
      </c>
      <c r="F160" s="9"/>
    </row>
    <row r="161" spans="2:6" x14ac:dyDescent="0.25">
      <c r="B161">
        <v>159</v>
      </c>
      <c r="C161" s="1">
        <v>44276</v>
      </c>
      <c r="D161" t="s">
        <v>4</v>
      </c>
      <c r="E161">
        <v>2480</v>
      </c>
      <c r="F161" s="9"/>
    </row>
    <row r="162" spans="2:6" x14ac:dyDescent="0.25">
      <c r="B162">
        <v>160</v>
      </c>
      <c r="C162" s="1">
        <v>44276</v>
      </c>
      <c r="D162" t="s">
        <v>5</v>
      </c>
      <c r="E162">
        <v>1740</v>
      </c>
      <c r="F162" s="9"/>
    </row>
    <row r="163" spans="2:6" x14ac:dyDescent="0.25">
      <c r="B163">
        <v>161</v>
      </c>
      <c r="C163" s="1">
        <v>44277</v>
      </c>
      <c r="D163" t="s">
        <v>4</v>
      </c>
      <c r="E163">
        <v>860</v>
      </c>
      <c r="F163" s="9"/>
    </row>
    <row r="164" spans="2:6" x14ac:dyDescent="0.25">
      <c r="B164">
        <v>162</v>
      </c>
      <c r="C164" s="1">
        <v>44278</v>
      </c>
      <c r="D164" t="s">
        <v>5</v>
      </c>
      <c r="E164">
        <v>1830</v>
      </c>
      <c r="F164" s="9"/>
    </row>
    <row r="165" spans="2:6" x14ac:dyDescent="0.25">
      <c r="B165">
        <v>163</v>
      </c>
      <c r="C165" s="1">
        <v>44279</v>
      </c>
      <c r="D165" t="s">
        <v>6</v>
      </c>
      <c r="E165">
        <v>1770</v>
      </c>
      <c r="F165" s="9"/>
    </row>
    <row r="166" spans="2:6" x14ac:dyDescent="0.25">
      <c r="B166">
        <v>164</v>
      </c>
      <c r="C166" s="1">
        <v>44279</v>
      </c>
      <c r="D166" t="s">
        <v>7</v>
      </c>
      <c r="E166">
        <v>7830</v>
      </c>
      <c r="F166" s="9"/>
    </row>
    <row r="167" spans="2:6" x14ac:dyDescent="0.25">
      <c r="B167">
        <v>165</v>
      </c>
      <c r="C167" s="1">
        <v>44279</v>
      </c>
      <c r="D167" t="s">
        <v>4</v>
      </c>
      <c r="E167">
        <v>8300</v>
      </c>
      <c r="F167" s="9"/>
    </row>
    <row r="168" spans="2:6" x14ac:dyDescent="0.25">
      <c r="B168">
        <v>166</v>
      </c>
      <c r="C168" s="1">
        <v>44280</v>
      </c>
      <c r="D168" t="s">
        <v>5</v>
      </c>
      <c r="E168">
        <v>1050</v>
      </c>
      <c r="F168" s="9"/>
    </row>
    <row r="169" spans="2:6" x14ac:dyDescent="0.25">
      <c r="B169">
        <v>167</v>
      </c>
      <c r="C169" s="1">
        <v>44280</v>
      </c>
      <c r="D169" t="s">
        <v>7</v>
      </c>
      <c r="E169">
        <v>5150</v>
      </c>
      <c r="F169" s="9"/>
    </row>
    <row r="170" spans="2:6" x14ac:dyDescent="0.25">
      <c r="B170">
        <v>168</v>
      </c>
      <c r="C170" s="1">
        <v>44280</v>
      </c>
      <c r="D170" t="s">
        <v>6</v>
      </c>
      <c r="E170">
        <v>6860</v>
      </c>
      <c r="F170" s="9"/>
    </row>
    <row r="171" spans="2:6" x14ac:dyDescent="0.25">
      <c r="B171">
        <v>169</v>
      </c>
      <c r="C171" s="1">
        <v>44281</v>
      </c>
      <c r="D171" t="s">
        <v>4</v>
      </c>
      <c r="E171">
        <v>1300</v>
      </c>
      <c r="F171" s="9"/>
    </row>
    <row r="172" spans="2:6" x14ac:dyDescent="0.25">
      <c r="B172">
        <v>170</v>
      </c>
      <c r="C172" s="1">
        <v>44281</v>
      </c>
      <c r="D172" t="s">
        <v>5</v>
      </c>
      <c r="E172">
        <v>8800</v>
      </c>
      <c r="F172" s="9"/>
    </row>
    <row r="173" spans="2:6" x14ac:dyDescent="0.25">
      <c r="B173">
        <v>171</v>
      </c>
      <c r="C173" s="1">
        <v>44282</v>
      </c>
      <c r="D173" t="s">
        <v>6</v>
      </c>
      <c r="E173">
        <v>1250</v>
      </c>
      <c r="F173" s="9"/>
    </row>
    <row r="174" spans="2:6" x14ac:dyDescent="0.25">
      <c r="B174">
        <v>172</v>
      </c>
      <c r="C174" s="1">
        <v>44283</v>
      </c>
      <c r="D174" t="s">
        <v>5</v>
      </c>
      <c r="E174">
        <v>3910</v>
      </c>
      <c r="F174" s="9"/>
    </row>
    <row r="175" spans="2:6" x14ac:dyDescent="0.25">
      <c r="B175">
        <v>173</v>
      </c>
      <c r="C175" s="1">
        <v>44283</v>
      </c>
      <c r="D175" t="s">
        <v>4</v>
      </c>
      <c r="E175">
        <v>1460</v>
      </c>
      <c r="F175" s="9"/>
    </row>
    <row r="176" spans="2:6" x14ac:dyDescent="0.25">
      <c r="B176">
        <v>174</v>
      </c>
      <c r="C176" s="1">
        <v>44283</v>
      </c>
      <c r="D176" t="s">
        <v>7</v>
      </c>
      <c r="E176">
        <v>6470</v>
      </c>
      <c r="F176" s="9"/>
    </row>
    <row r="177" spans="2:6" x14ac:dyDescent="0.25">
      <c r="B177">
        <v>175</v>
      </c>
      <c r="C177" s="1">
        <v>44283</v>
      </c>
      <c r="D177" t="s">
        <v>6</v>
      </c>
      <c r="E177">
        <v>6580</v>
      </c>
      <c r="F177" s="9"/>
    </row>
    <row r="178" spans="2:6" x14ac:dyDescent="0.25">
      <c r="B178">
        <v>176</v>
      </c>
      <c r="C178" s="1">
        <v>44284</v>
      </c>
      <c r="D178" t="s">
        <v>4</v>
      </c>
      <c r="E178">
        <v>8090</v>
      </c>
      <c r="F178" s="9"/>
    </row>
    <row r="179" spans="2:6" x14ac:dyDescent="0.25">
      <c r="B179">
        <v>177</v>
      </c>
      <c r="C179" s="1">
        <v>44285</v>
      </c>
      <c r="D179" t="s">
        <v>4</v>
      </c>
      <c r="E179">
        <v>4230</v>
      </c>
      <c r="F179" s="9"/>
    </row>
    <row r="180" spans="2:6" x14ac:dyDescent="0.25">
      <c r="B180">
        <v>178</v>
      </c>
      <c r="C180" s="1">
        <v>44286</v>
      </c>
      <c r="D180" t="s">
        <v>7</v>
      </c>
      <c r="E180">
        <v>2750</v>
      </c>
      <c r="F180" s="9"/>
    </row>
    <row r="181" spans="2:6" x14ac:dyDescent="0.25">
      <c r="B181">
        <v>179</v>
      </c>
      <c r="C181" s="1">
        <v>44286</v>
      </c>
      <c r="D181" t="s">
        <v>5</v>
      </c>
      <c r="E181">
        <v>5660</v>
      </c>
      <c r="F181" s="9"/>
    </row>
    <row r="182" spans="2:6" x14ac:dyDescent="0.25">
      <c r="B182">
        <v>180</v>
      </c>
      <c r="C182" s="1">
        <v>44287</v>
      </c>
      <c r="D182" t="s">
        <v>4</v>
      </c>
      <c r="E182">
        <v>3540</v>
      </c>
      <c r="F182" s="9"/>
    </row>
    <row r="183" spans="2:6" x14ac:dyDescent="0.25">
      <c r="B183">
        <v>181</v>
      </c>
      <c r="C183" s="1">
        <v>44287</v>
      </c>
      <c r="D183" t="s">
        <v>7</v>
      </c>
      <c r="E183">
        <v>2630</v>
      </c>
      <c r="F183" s="9"/>
    </row>
    <row r="184" spans="2:6" x14ac:dyDescent="0.25">
      <c r="B184">
        <v>182</v>
      </c>
      <c r="C184" s="1">
        <v>44288</v>
      </c>
      <c r="D184" t="s">
        <v>6</v>
      </c>
      <c r="E184">
        <v>1030</v>
      </c>
      <c r="F184" s="9"/>
    </row>
    <row r="185" spans="2:6" x14ac:dyDescent="0.25">
      <c r="B185">
        <v>183</v>
      </c>
      <c r="C185" s="1">
        <v>44288</v>
      </c>
      <c r="D185" t="s">
        <v>4</v>
      </c>
      <c r="E185">
        <v>4560</v>
      </c>
      <c r="F185" s="9"/>
    </row>
    <row r="186" spans="2:6" x14ac:dyDescent="0.25">
      <c r="B186">
        <v>184</v>
      </c>
      <c r="C186" s="1">
        <v>44289</v>
      </c>
      <c r="D186" t="s">
        <v>5</v>
      </c>
      <c r="E186">
        <v>6400</v>
      </c>
      <c r="F186" s="9"/>
    </row>
    <row r="187" spans="2:6" x14ac:dyDescent="0.25">
      <c r="B187">
        <v>185</v>
      </c>
      <c r="C187" s="1">
        <v>44290</v>
      </c>
      <c r="D187" t="s">
        <v>5</v>
      </c>
      <c r="E187">
        <v>3040</v>
      </c>
      <c r="F187" s="9"/>
    </row>
    <row r="188" spans="2:6" x14ac:dyDescent="0.25">
      <c r="B188">
        <v>186</v>
      </c>
      <c r="C188" s="1">
        <v>44290</v>
      </c>
      <c r="D188" t="s">
        <v>6</v>
      </c>
      <c r="E188">
        <v>6450</v>
      </c>
      <c r="F188" s="9"/>
    </row>
    <row r="189" spans="2:6" x14ac:dyDescent="0.25">
      <c r="B189">
        <v>187</v>
      </c>
      <c r="C189" s="1">
        <v>44291</v>
      </c>
      <c r="D189" t="s">
        <v>6</v>
      </c>
      <c r="E189">
        <v>7650</v>
      </c>
      <c r="F189" s="9"/>
    </row>
    <row r="190" spans="2:6" x14ac:dyDescent="0.25">
      <c r="B190">
        <v>188</v>
      </c>
      <c r="C190" s="1">
        <v>44292</v>
      </c>
      <c r="D190" t="s">
        <v>5</v>
      </c>
      <c r="E190">
        <v>7190</v>
      </c>
      <c r="F190" s="9"/>
    </row>
    <row r="191" spans="2:6" x14ac:dyDescent="0.25">
      <c r="B191">
        <v>189</v>
      </c>
      <c r="C191" s="1">
        <v>44292</v>
      </c>
      <c r="D191" t="s">
        <v>4</v>
      </c>
      <c r="E191">
        <v>7100</v>
      </c>
      <c r="F191" s="9"/>
    </row>
    <row r="192" spans="2:6" x14ac:dyDescent="0.25">
      <c r="B192">
        <v>190</v>
      </c>
      <c r="C192" s="1">
        <v>44292</v>
      </c>
      <c r="D192" t="s">
        <v>7</v>
      </c>
      <c r="E192">
        <v>8950</v>
      </c>
      <c r="F192" s="9"/>
    </row>
    <row r="193" spans="2:6" x14ac:dyDescent="0.25">
      <c r="B193">
        <v>191</v>
      </c>
      <c r="C193" s="1">
        <v>44293</v>
      </c>
      <c r="D193" t="s">
        <v>4</v>
      </c>
      <c r="E193">
        <v>7650</v>
      </c>
      <c r="F193" s="9"/>
    </row>
    <row r="194" spans="2:6" x14ac:dyDescent="0.25">
      <c r="B194">
        <v>192</v>
      </c>
      <c r="C194" s="1">
        <v>44293</v>
      </c>
      <c r="D194" t="s">
        <v>6</v>
      </c>
      <c r="E194">
        <v>3350</v>
      </c>
      <c r="F194" s="9"/>
    </row>
    <row r="195" spans="2:6" x14ac:dyDescent="0.25">
      <c r="B195">
        <v>193</v>
      </c>
      <c r="C195" s="1">
        <v>44294</v>
      </c>
      <c r="D195" t="s">
        <v>4</v>
      </c>
      <c r="E195">
        <v>8230</v>
      </c>
      <c r="F195" s="9"/>
    </row>
    <row r="196" spans="2:6" x14ac:dyDescent="0.25">
      <c r="B196">
        <v>194</v>
      </c>
      <c r="C196" s="1">
        <v>44294</v>
      </c>
      <c r="D196" t="s">
        <v>7</v>
      </c>
      <c r="E196">
        <v>4860</v>
      </c>
      <c r="F196" s="9"/>
    </row>
    <row r="197" spans="2:6" x14ac:dyDescent="0.25">
      <c r="B197">
        <v>195</v>
      </c>
      <c r="C197" s="1">
        <v>44294</v>
      </c>
      <c r="D197" t="s">
        <v>6</v>
      </c>
      <c r="E197">
        <v>2250</v>
      </c>
      <c r="F197" s="9"/>
    </row>
    <row r="198" spans="2:6" x14ac:dyDescent="0.25">
      <c r="B198">
        <v>196</v>
      </c>
      <c r="C198" s="1">
        <v>44295</v>
      </c>
      <c r="D198" t="s">
        <v>4</v>
      </c>
      <c r="E198">
        <v>9980</v>
      </c>
      <c r="F198" s="9"/>
    </row>
    <row r="199" spans="2:6" x14ac:dyDescent="0.25">
      <c r="B199">
        <v>197</v>
      </c>
      <c r="C199" s="1">
        <v>44295</v>
      </c>
      <c r="D199" t="s">
        <v>6</v>
      </c>
      <c r="E199">
        <v>6320</v>
      </c>
      <c r="F199" s="9"/>
    </row>
    <row r="200" spans="2:6" x14ac:dyDescent="0.25">
      <c r="B200">
        <v>198</v>
      </c>
      <c r="C200" s="1">
        <v>44295</v>
      </c>
      <c r="D200" t="s">
        <v>7</v>
      </c>
      <c r="E200">
        <v>4600</v>
      </c>
      <c r="F200" s="9"/>
    </row>
    <row r="201" spans="2:6" x14ac:dyDescent="0.25">
      <c r="B201">
        <v>199</v>
      </c>
      <c r="C201" s="1">
        <v>44296</v>
      </c>
      <c r="D201" t="s">
        <v>5</v>
      </c>
      <c r="E201">
        <v>9150</v>
      </c>
      <c r="F201" s="9"/>
    </row>
    <row r="202" spans="2:6" x14ac:dyDescent="0.25">
      <c r="B202">
        <v>200</v>
      </c>
      <c r="C202" s="1">
        <v>44297</v>
      </c>
      <c r="D202" t="s">
        <v>7</v>
      </c>
      <c r="E202">
        <v>4940</v>
      </c>
      <c r="F202" s="9"/>
    </row>
    <row r="203" spans="2:6" x14ac:dyDescent="0.25">
      <c r="B203">
        <v>201</v>
      </c>
      <c r="C203" s="1">
        <v>44298</v>
      </c>
      <c r="D203" t="s">
        <v>5</v>
      </c>
      <c r="E203">
        <v>7550</v>
      </c>
      <c r="F203" s="9"/>
    </row>
    <row r="204" spans="2:6" x14ac:dyDescent="0.25">
      <c r="B204">
        <v>202</v>
      </c>
      <c r="C204" s="1">
        <v>44298</v>
      </c>
      <c r="D204" t="s">
        <v>4</v>
      </c>
      <c r="E204">
        <v>4460</v>
      </c>
      <c r="F204" s="9"/>
    </row>
    <row r="205" spans="2:6" x14ac:dyDescent="0.25">
      <c r="B205">
        <v>203</v>
      </c>
      <c r="C205" s="1">
        <v>44299</v>
      </c>
      <c r="D205" t="s">
        <v>5</v>
      </c>
      <c r="E205">
        <v>1680</v>
      </c>
      <c r="F205" s="9"/>
    </row>
    <row r="206" spans="2:6" x14ac:dyDescent="0.25">
      <c r="B206">
        <v>204</v>
      </c>
      <c r="C206" s="1">
        <v>44299</v>
      </c>
      <c r="D206" t="s">
        <v>7</v>
      </c>
      <c r="E206">
        <v>5220</v>
      </c>
      <c r="F206" s="9"/>
    </row>
    <row r="207" spans="2:6" x14ac:dyDescent="0.25">
      <c r="B207">
        <v>205</v>
      </c>
      <c r="C207" s="1">
        <v>44299</v>
      </c>
      <c r="D207" t="s">
        <v>6</v>
      </c>
      <c r="E207">
        <v>6180</v>
      </c>
      <c r="F207" s="9"/>
    </row>
    <row r="208" spans="2:6" x14ac:dyDescent="0.25">
      <c r="B208">
        <v>206</v>
      </c>
      <c r="C208" s="1">
        <v>44300</v>
      </c>
      <c r="D208" t="s">
        <v>4</v>
      </c>
      <c r="E208">
        <v>6780</v>
      </c>
      <c r="F208" s="9"/>
    </row>
    <row r="209" spans="2:6" x14ac:dyDescent="0.25">
      <c r="B209">
        <v>207</v>
      </c>
      <c r="C209" s="1">
        <v>44300</v>
      </c>
      <c r="D209" t="s">
        <v>6</v>
      </c>
      <c r="E209">
        <v>6770</v>
      </c>
      <c r="F209" s="9"/>
    </row>
    <row r="210" spans="2:6" x14ac:dyDescent="0.25">
      <c r="B210">
        <v>208</v>
      </c>
      <c r="C210" s="1">
        <v>44300</v>
      </c>
      <c r="D210" t="s">
        <v>7</v>
      </c>
      <c r="E210">
        <v>2070</v>
      </c>
      <c r="F210" s="9"/>
    </row>
    <row r="211" spans="2:6" x14ac:dyDescent="0.25">
      <c r="B211">
        <v>209</v>
      </c>
      <c r="C211" s="1">
        <v>44301</v>
      </c>
      <c r="D211" t="s">
        <v>4</v>
      </c>
      <c r="E211">
        <v>6720</v>
      </c>
      <c r="F211" s="9"/>
    </row>
    <row r="212" spans="2:6" x14ac:dyDescent="0.25">
      <c r="B212">
        <v>210</v>
      </c>
      <c r="C212" s="1">
        <v>44301</v>
      </c>
      <c r="D212" t="s">
        <v>6</v>
      </c>
      <c r="E212">
        <v>5160</v>
      </c>
      <c r="F212" s="9"/>
    </row>
    <row r="213" spans="2:6" x14ac:dyDescent="0.25">
      <c r="B213">
        <v>211</v>
      </c>
      <c r="C213" s="1">
        <v>44301</v>
      </c>
      <c r="D213" t="s">
        <v>7</v>
      </c>
      <c r="E213">
        <v>3130</v>
      </c>
      <c r="F213" s="9"/>
    </row>
    <row r="214" spans="2:6" x14ac:dyDescent="0.25">
      <c r="B214">
        <v>212</v>
      </c>
      <c r="C214" s="1">
        <v>44302</v>
      </c>
      <c r="D214" t="s">
        <v>5</v>
      </c>
      <c r="E214">
        <v>6560</v>
      </c>
      <c r="F214" s="9"/>
    </row>
    <row r="215" spans="2:6" x14ac:dyDescent="0.25">
      <c r="B215">
        <v>213</v>
      </c>
      <c r="C215" s="1">
        <v>44302</v>
      </c>
      <c r="D215" t="s">
        <v>4</v>
      </c>
      <c r="E215">
        <v>1000</v>
      </c>
      <c r="F215" s="9"/>
    </row>
    <row r="216" spans="2:6" x14ac:dyDescent="0.25">
      <c r="B216">
        <v>214</v>
      </c>
      <c r="C216" s="1">
        <v>44303</v>
      </c>
      <c r="D216" t="s">
        <v>7</v>
      </c>
      <c r="E216">
        <v>2660</v>
      </c>
      <c r="F216" s="9"/>
    </row>
    <row r="217" spans="2:6" x14ac:dyDescent="0.25">
      <c r="B217">
        <v>215</v>
      </c>
      <c r="C217" s="1">
        <v>44303</v>
      </c>
      <c r="D217" t="s">
        <v>6</v>
      </c>
      <c r="E217">
        <v>8880</v>
      </c>
      <c r="F217" s="9"/>
    </row>
    <row r="218" spans="2:6" x14ac:dyDescent="0.25">
      <c r="B218">
        <v>216</v>
      </c>
      <c r="C218" s="1">
        <v>44303</v>
      </c>
      <c r="D218" t="s">
        <v>4</v>
      </c>
      <c r="E218">
        <v>1800</v>
      </c>
      <c r="F218" s="9"/>
    </row>
    <row r="219" spans="2:6" x14ac:dyDescent="0.25">
      <c r="B219">
        <v>217</v>
      </c>
      <c r="C219" s="1">
        <v>44304</v>
      </c>
      <c r="D219" t="s">
        <v>6</v>
      </c>
      <c r="E219">
        <v>6820</v>
      </c>
      <c r="F219" s="9"/>
    </row>
    <row r="220" spans="2:6" x14ac:dyDescent="0.25">
      <c r="B220">
        <v>218</v>
      </c>
      <c r="C220" s="1">
        <v>44304</v>
      </c>
      <c r="D220" t="s">
        <v>7</v>
      </c>
      <c r="E220">
        <v>3860</v>
      </c>
      <c r="F220" s="9"/>
    </row>
    <row r="221" spans="2:6" x14ac:dyDescent="0.25">
      <c r="B221">
        <v>219</v>
      </c>
      <c r="C221" s="1">
        <v>44304</v>
      </c>
      <c r="D221" t="s">
        <v>4</v>
      </c>
      <c r="E221">
        <v>6470</v>
      </c>
      <c r="F221" s="9"/>
    </row>
    <row r="222" spans="2:6" x14ac:dyDescent="0.25">
      <c r="B222">
        <v>220</v>
      </c>
      <c r="C222" s="1">
        <v>44305</v>
      </c>
      <c r="D222" t="s">
        <v>6</v>
      </c>
      <c r="E222">
        <v>1560</v>
      </c>
      <c r="F222" s="9"/>
    </row>
    <row r="223" spans="2:6" x14ac:dyDescent="0.25">
      <c r="B223">
        <v>221</v>
      </c>
      <c r="C223" s="1">
        <v>44305</v>
      </c>
      <c r="D223" t="s">
        <v>7</v>
      </c>
      <c r="E223">
        <v>3420</v>
      </c>
      <c r="F223" s="9"/>
    </row>
    <row r="224" spans="2:6" x14ac:dyDescent="0.25">
      <c r="B224">
        <v>222</v>
      </c>
      <c r="C224" s="1">
        <v>44305</v>
      </c>
      <c r="D224" t="s">
        <v>4</v>
      </c>
      <c r="E224">
        <v>5220</v>
      </c>
      <c r="F224" s="9"/>
    </row>
    <row r="225" spans="2:6" x14ac:dyDescent="0.25">
      <c r="B225">
        <v>223</v>
      </c>
      <c r="C225" s="1">
        <v>44306</v>
      </c>
      <c r="D225" t="s">
        <v>7</v>
      </c>
      <c r="E225">
        <v>6100</v>
      </c>
      <c r="F225" s="9"/>
    </row>
    <row r="226" spans="2:6" x14ac:dyDescent="0.25">
      <c r="B226">
        <v>224</v>
      </c>
      <c r="C226" s="1">
        <v>44306</v>
      </c>
      <c r="D226" t="s">
        <v>5</v>
      </c>
      <c r="E226">
        <v>3800</v>
      </c>
      <c r="F226" s="9"/>
    </row>
    <row r="227" spans="2:6" x14ac:dyDescent="0.25">
      <c r="B227">
        <v>225</v>
      </c>
      <c r="C227" s="1">
        <v>44307</v>
      </c>
      <c r="D227" t="s">
        <v>7</v>
      </c>
      <c r="E227">
        <v>3170</v>
      </c>
      <c r="F227" s="9"/>
    </row>
    <row r="228" spans="2:6" x14ac:dyDescent="0.25">
      <c r="B228">
        <v>226</v>
      </c>
      <c r="C228" s="1">
        <v>44307</v>
      </c>
      <c r="D228" t="s">
        <v>4</v>
      </c>
      <c r="E228">
        <v>4140</v>
      </c>
      <c r="F228" s="9"/>
    </row>
    <row r="229" spans="2:6" x14ac:dyDescent="0.25">
      <c r="B229">
        <v>227</v>
      </c>
      <c r="C229" s="1">
        <v>44307</v>
      </c>
      <c r="D229" t="s">
        <v>5</v>
      </c>
      <c r="E229">
        <v>2060</v>
      </c>
      <c r="F229" s="9"/>
    </row>
    <row r="230" spans="2:6" x14ac:dyDescent="0.25">
      <c r="B230">
        <v>228</v>
      </c>
      <c r="C230" s="1">
        <v>44308</v>
      </c>
      <c r="D230" t="s">
        <v>5</v>
      </c>
      <c r="E230">
        <v>8220</v>
      </c>
      <c r="F230" s="9"/>
    </row>
    <row r="231" spans="2:6" x14ac:dyDescent="0.25">
      <c r="B231">
        <v>229</v>
      </c>
      <c r="C231" s="1">
        <v>44309</v>
      </c>
      <c r="D231" t="s">
        <v>7</v>
      </c>
      <c r="E231">
        <v>9490</v>
      </c>
      <c r="F231" s="9"/>
    </row>
    <row r="232" spans="2:6" x14ac:dyDescent="0.25">
      <c r="B232">
        <v>230</v>
      </c>
      <c r="C232" s="1">
        <v>44309</v>
      </c>
      <c r="D232" t="s">
        <v>4</v>
      </c>
      <c r="E232">
        <v>950</v>
      </c>
      <c r="F232" s="9"/>
    </row>
    <row r="233" spans="2:6" x14ac:dyDescent="0.25">
      <c r="B233">
        <v>231</v>
      </c>
      <c r="C233" s="1">
        <v>44310</v>
      </c>
      <c r="D233" t="s">
        <v>5</v>
      </c>
      <c r="E233">
        <v>3110</v>
      </c>
      <c r="F233" s="9"/>
    </row>
    <row r="234" spans="2:6" x14ac:dyDescent="0.25">
      <c r="B234">
        <v>232</v>
      </c>
      <c r="C234" s="1">
        <v>44311</v>
      </c>
      <c r="D234" t="s">
        <v>6</v>
      </c>
      <c r="E234">
        <v>6010</v>
      </c>
      <c r="F234" s="9"/>
    </row>
    <row r="235" spans="2:6" x14ac:dyDescent="0.25">
      <c r="B235">
        <v>233</v>
      </c>
      <c r="C235" s="1">
        <v>44311</v>
      </c>
      <c r="D235" t="s">
        <v>7</v>
      </c>
      <c r="E235">
        <v>1220</v>
      </c>
      <c r="F235" s="9"/>
    </row>
    <row r="236" spans="2:6" x14ac:dyDescent="0.25">
      <c r="B236">
        <v>234</v>
      </c>
      <c r="C236" s="1">
        <v>44311</v>
      </c>
      <c r="D236" t="s">
        <v>4</v>
      </c>
      <c r="E236">
        <v>8060</v>
      </c>
      <c r="F236" s="9"/>
    </row>
    <row r="237" spans="2:6" x14ac:dyDescent="0.25">
      <c r="B237">
        <v>235</v>
      </c>
      <c r="C237" s="1">
        <v>44312</v>
      </c>
      <c r="D237" t="s">
        <v>7</v>
      </c>
      <c r="E237">
        <v>4040</v>
      </c>
      <c r="F237" s="9"/>
    </row>
    <row r="238" spans="2:6" x14ac:dyDescent="0.25">
      <c r="B238">
        <v>236</v>
      </c>
      <c r="C238" s="1">
        <v>44313</v>
      </c>
      <c r="D238" t="s">
        <v>6</v>
      </c>
      <c r="E238">
        <v>950</v>
      </c>
      <c r="F238" s="9"/>
    </row>
    <row r="239" spans="2:6" x14ac:dyDescent="0.25">
      <c r="B239">
        <v>237</v>
      </c>
      <c r="C239" s="1">
        <v>44313</v>
      </c>
      <c r="D239" t="s">
        <v>5</v>
      </c>
      <c r="E239">
        <v>9470</v>
      </c>
      <c r="F239" s="9"/>
    </row>
    <row r="240" spans="2:6" x14ac:dyDescent="0.25">
      <c r="B240">
        <v>238</v>
      </c>
      <c r="C240" s="1">
        <v>44313</v>
      </c>
      <c r="D240" t="s">
        <v>7</v>
      </c>
      <c r="E240">
        <v>4760</v>
      </c>
      <c r="F240" s="9"/>
    </row>
    <row r="241" spans="2:6" x14ac:dyDescent="0.25">
      <c r="B241">
        <v>239</v>
      </c>
      <c r="C241" s="1">
        <v>44314</v>
      </c>
      <c r="D241" t="s">
        <v>4</v>
      </c>
      <c r="E241">
        <v>9390</v>
      </c>
      <c r="F241" s="9"/>
    </row>
    <row r="242" spans="2:6" x14ac:dyDescent="0.25">
      <c r="B242">
        <v>240</v>
      </c>
      <c r="C242" s="1">
        <v>44314</v>
      </c>
      <c r="D242" t="s">
        <v>5</v>
      </c>
      <c r="E242">
        <v>4520</v>
      </c>
      <c r="F242" s="9"/>
    </row>
    <row r="243" spans="2:6" x14ac:dyDescent="0.25">
      <c r="B243">
        <v>241</v>
      </c>
      <c r="C243" s="1">
        <v>44315</v>
      </c>
      <c r="D243" t="s">
        <v>5</v>
      </c>
      <c r="E243">
        <v>8460</v>
      </c>
      <c r="F243" s="9"/>
    </row>
    <row r="244" spans="2:6" x14ac:dyDescent="0.25">
      <c r="B244">
        <v>242</v>
      </c>
      <c r="C244" s="1">
        <v>44316</v>
      </c>
      <c r="D244" t="s">
        <v>4</v>
      </c>
      <c r="E244">
        <v>4880</v>
      </c>
      <c r="F244" s="9"/>
    </row>
    <row r="245" spans="2:6" x14ac:dyDescent="0.25">
      <c r="B245">
        <v>243</v>
      </c>
      <c r="C245" s="1">
        <v>44317</v>
      </c>
      <c r="D245" t="s">
        <v>4</v>
      </c>
      <c r="E245">
        <v>3980</v>
      </c>
      <c r="F245" s="9"/>
    </row>
    <row r="246" spans="2:6" x14ac:dyDescent="0.25">
      <c r="B246">
        <v>244</v>
      </c>
      <c r="C246" s="1">
        <v>44318</v>
      </c>
      <c r="D246" t="s">
        <v>4</v>
      </c>
      <c r="E246">
        <v>3980</v>
      </c>
      <c r="F246" s="9"/>
    </row>
    <row r="247" spans="2:6" x14ac:dyDescent="0.25">
      <c r="B247">
        <v>245</v>
      </c>
      <c r="C247" s="1">
        <v>44319</v>
      </c>
      <c r="D247" t="s">
        <v>6</v>
      </c>
      <c r="E247">
        <v>2130</v>
      </c>
      <c r="F247" s="9"/>
    </row>
    <row r="248" spans="2:6" x14ac:dyDescent="0.25">
      <c r="B248">
        <v>246</v>
      </c>
      <c r="C248" s="1">
        <v>44319</v>
      </c>
      <c r="D248" t="s">
        <v>5</v>
      </c>
      <c r="E248">
        <v>7520</v>
      </c>
      <c r="F248" s="9"/>
    </row>
    <row r="249" spans="2:6" x14ac:dyDescent="0.25">
      <c r="B249">
        <v>247</v>
      </c>
      <c r="C249" s="1">
        <v>44320</v>
      </c>
      <c r="D249" t="s">
        <v>5</v>
      </c>
      <c r="E249">
        <v>3900</v>
      </c>
      <c r="F249" s="9"/>
    </row>
    <row r="250" spans="2:6" x14ac:dyDescent="0.25">
      <c r="B250">
        <v>248</v>
      </c>
      <c r="C250" s="1">
        <v>44321</v>
      </c>
      <c r="D250" t="s">
        <v>5</v>
      </c>
      <c r="E250">
        <v>8960</v>
      </c>
      <c r="F250" s="9"/>
    </row>
    <row r="251" spans="2:6" x14ac:dyDescent="0.25">
      <c r="B251">
        <v>249</v>
      </c>
      <c r="C251" s="1">
        <v>44321</v>
      </c>
      <c r="D251" t="s">
        <v>4</v>
      </c>
      <c r="E251">
        <v>3070</v>
      </c>
      <c r="F251" s="9"/>
    </row>
    <row r="252" spans="2:6" x14ac:dyDescent="0.25">
      <c r="B252">
        <v>250</v>
      </c>
      <c r="C252" s="1">
        <v>44322</v>
      </c>
      <c r="D252" t="s">
        <v>4</v>
      </c>
      <c r="E252">
        <v>1950</v>
      </c>
      <c r="F252" s="9"/>
    </row>
    <row r="253" spans="2:6" x14ac:dyDescent="0.25">
      <c r="B253">
        <v>251</v>
      </c>
      <c r="C253" s="1">
        <v>44322</v>
      </c>
      <c r="D253" t="s">
        <v>7</v>
      </c>
      <c r="E253">
        <v>4340</v>
      </c>
      <c r="F253" s="9"/>
    </row>
    <row r="254" spans="2:6" x14ac:dyDescent="0.25">
      <c r="B254">
        <v>252</v>
      </c>
      <c r="C254" s="1">
        <v>44323</v>
      </c>
      <c r="D254" t="s">
        <v>7</v>
      </c>
      <c r="E254">
        <v>8510</v>
      </c>
      <c r="F254" s="9"/>
    </row>
    <row r="255" spans="2:6" x14ac:dyDescent="0.25">
      <c r="B255">
        <v>253</v>
      </c>
      <c r="C255" s="1">
        <v>44323</v>
      </c>
      <c r="D255" t="s">
        <v>4</v>
      </c>
      <c r="E255">
        <v>9810</v>
      </c>
      <c r="F255" s="9"/>
    </row>
    <row r="256" spans="2:6" x14ac:dyDescent="0.25">
      <c r="B256">
        <v>254</v>
      </c>
      <c r="C256" s="1">
        <v>44323</v>
      </c>
      <c r="D256" t="s">
        <v>6</v>
      </c>
      <c r="E256">
        <v>5560</v>
      </c>
      <c r="F256" s="9"/>
    </row>
    <row r="257" spans="2:6" x14ac:dyDescent="0.25">
      <c r="B257">
        <v>255</v>
      </c>
      <c r="C257" s="1">
        <v>44323</v>
      </c>
      <c r="D257" t="s">
        <v>5</v>
      </c>
      <c r="E257">
        <v>8340</v>
      </c>
      <c r="F257" s="9"/>
    </row>
    <row r="258" spans="2:6" x14ac:dyDescent="0.25">
      <c r="B258">
        <v>256</v>
      </c>
      <c r="C258" s="1">
        <v>44324</v>
      </c>
      <c r="D258" t="s">
        <v>5</v>
      </c>
      <c r="E258">
        <v>4510</v>
      </c>
      <c r="F258" s="9"/>
    </row>
    <row r="259" spans="2:6" x14ac:dyDescent="0.25">
      <c r="B259">
        <v>257</v>
      </c>
      <c r="C259" s="1">
        <v>44324</v>
      </c>
      <c r="D259" t="s">
        <v>4</v>
      </c>
      <c r="E259">
        <v>7270</v>
      </c>
      <c r="F259" s="9"/>
    </row>
    <row r="260" spans="2:6" x14ac:dyDescent="0.25">
      <c r="B260">
        <v>258</v>
      </c>
      <c r="C260" s="1">
        <v>44325</v>
      </c>
      <c r="D260" t="s">
        <v>5</v>
      </c>
      <c r="E260">
        <v>7710</v>
      </c>
      <c r="F260" s="9"/>
    </row>
    <row r="261" spans="2:6" x14ac:dyDescent="0.25">
      <c r="B261">
        <v>259</v>
      </c>
      <c r="C261" s="1">
        <v>44325</v>
      </c>
      <c r="D261" t="s">
        <v>6</v>
      </c>
      <c r="E261">
        <v>8090</v>
      </c>
      <c r="F261" s="9"/>
    </row>
    <row r="262" spans="2:6" x14ac:dyDescent="0.25">
      <c r="B262">
        <v>260</v>
      </c>
      <c r="C262" s="1">
        <v>44325</v>
      </c>
      <c r="D262" t="s">
        <v>4</v>
      </c>
      <c r="E262">
        <v>5440</v>
      </c>
      <c r="F262" s="9"/>
    </row>
    <row r="263" spans="2:6" x14ac:dyDescent="0.25">
      <c r="B263">
        <v>261</v>
      </c>
      <c r="C263" s="1">
        <v>44325</v>
      </c>
      <c r="D263" t="s">
        <v>7</v>
      </c>
      <c r="E263">
        <v>4060</v>
      </c>
      <c r="F263" s="9"/>
    </row>
    <row r="264" spans="2:6" x14ac:dyDescent="0.25">
      <c r="B264">
        <v>262</v>
      </c>
      <c r="C264" s="1">
        <v>44326</v>
      </c>
      <c r="D264" t="s">
        <v>5</v>
      </c>
      <c r="E264">
        <v>9620</v>
      </c>
      <c r="F264" s="9"/>
    </row>
    <row r="265" spans="2:6" x14ac:dyDescent="0.25">
      <c r="B265">
        <v>263</v>
      </c>
      <c r="C265" s="1">
        <v>44327</v>
      </c>
      <c r="D265" t="s">
        <v>6</v>
      </c>
      <c r="E265">
        <v>9630</v>
      </c>
      <c r="F265" s="9"/>
    </row>
    <row r="266" spans="2:6" x14ac:dyDescent="0.25">
      <c r="B266">
        <v>264</v>
      </c>
      <c r="C266" s="1">
        <v>44328</v>
      </c>
      <c r="D266" t="s">
        <v>6</v>
      </c>
      <c r="E266">
        <v>390</v>
      </c>
      <c r="F266" s="9"/>
    </row>
    <row r="267" spans="2:6" x14ac:dyDescent="0.25">
      <c r="B267">
        <v>265</v>
      </c>
      <c r="C267" s="1">
        <v>44329</v>
      </c>
      <c r="D267" t="s">
        <v>7</v>
      </c>
      <c r="E267">
        <v>7870</v>
      </c>
      <c r="F267" s="9"/>
    </row>
    <row r="268" spans="2:6" x14ac:dyDescent="0.25">
      <c r="B268">
        <v>266</v>
      </c>
      <c r="C268" s="1">
        <v>44329</v>
      </c>
      <c r="D268" t="s">
        <v>5</v>
      </c>
      <c r="E268">
        <v>4100</v>
      </c>
      <c r="F268" s="9"/>
    </row>
    <row r="269" spans="2:6" x14ac:dyDescent="0.25">
      <c r="B269">
        <v>267</v>
      </c>
      <c r="C269" s="1">
        <v>44329</v>
      </c>
      <c r="D269" t="s">
        <v>4</v>
      </c>
      <c r="E269">
        <v>600</v>
      </c>
      <c r="F269" s="9"/>
    </row>
    <row r="270" spans="2:6" x14ac:dyDescent="0.25">
      <c r="B270">
        <v>268</v>
      </c>
      <c r="C270" s="1">
        <v>44330</v>
      </c>
      <c r="D270" t="s">
        <v>4</v>
      </c>
      <c r="E270">
        <v>1170</v>
      </c>
      <c r="F270" s="9"/>
    </row>
    <row r="271" spans="2:6" x14ac:dyDescent="0.25">
      <c r="B271">
        <v>269</v>
      </c>
      <c r="C271" s="1">
        <v>44330</v>
      </c>
      <c r="D271" t="s">
        <v>7</v>
      </c>
      <c r="E271">
        <v>860</v>
      </c>
      <c r="F271" s="9"/>
    </row>
    <row r="272" spans="2:6" x14ac:dyDescent="0.25">
      <c r="B272">
        <v>270</v>
      </c>
      <c r="C272" s="1">
        <v>44331</v>
      </c>
      <c r="D272" t="s">
        <v>6</v>
      </c>
      <c r="E272">
        <v>2350</v>
      </c>
      <c r="F272" s="9"/>
    </row>
    <row r="273" spans="2:6" x14ac:dyDescent="0.25">
      <c r="B273">
        <v>271</v>
      </c>
      <c r="C273" s="1">
        <v>44331</v>
      </c>
      <c r="D273" t="s">
        <v>7</v>
      </c>
      <c r="E273">
        <v>9230</v>
      </c>
      <c r="F273" s="9"/>
    </row>
    <row r="274" spans="2:6" x14ac:dyDescent="0.25">
      <c r="B274">
        <v>272</v>
      </c>
      <c r="C274" s="1">
        <v>44332</v>
      </c>
      <c r="D274" t="s">
        <v>4</v>
      </c>
      <c r="E274">
        <v>1200</v>
      </c>
      <c r="F274" s="9"/>
    </row>
    <row r="275" spans="2:6" x14ac:dyDescent="0.25">
      <c r="B275">
        <v>273</v>
      </c>
      <c r="C275" s="1">
        <v>44332</v>
      </c>
      <c r="D275" t="s">
        <v>5</v>
      </c>
      <c r="E275">
        <v>7370</v>
      </c>
      <c r="F275" s="9"/>
    </row>
    <row r="276" spans="2:6" x14ac:dyDescent="0.25">
      <c r="B276">
        <v>274</v>
      </c>
      <c r="C276" s="1">
        <v>44333</v>
      </c>
      <c r="D276" t="s">
        <v>4</v>
      </c>
      <c r="E276">
        <v>2210</v>
      </c>
      <c r="F276" s="9"/>
    </row>
    <row r="277" spans="2:6" x14ac:dyDescent="0.25">
      <c r="B277">
        <v>275</v>
      </c>
      <c r="C277" s="1">
        <v>44334</v>
      </c>
      <c r="D277" t="s">
        <v>4</v>
      </c>
      <c r="E277">
        <v>1170</v>
      </c>
      <c r="F277" s="9"/>
    </row>
    <row r="278" spans="2:6" x14ac:dyDescent="0.25">
      <c r="B278">
        <v>276</v>
      </c>
      <c r="C278" s="1">
        <v>44334</v>
      </c>
      <c r="D278" t="s">
        <v>6</v>
      </c>
      <c r="E278">
        <v>4170</v>
      </c>
      <c r="F278" s="9"/>
    </row>
    <row r="279" spans="2:6" x14ac:dyDescent="0.25">
      <c r="B279">
        <v>277</v>
      </c>
      <c r="C279" s="1">
        <v>44334</v>
      </c>
      <c r="D279" t="s">
        <v>5</v>
      </c>
      <c r="E279">
        <v>7330</v>
      </c>
      <c r="F279" s="9"/>
    </row>
    <row r="280" spans="2:6" x14ac:dyDescent="0.25">
      <c r="B280">
        <v>278</v>
      </c>
      <c r="C280" s="1">
        <v>44335</v>
      </c>
      <c r="D280" t="s">
        <v>6</v>
      </c>
      <c r="E280">
        <v>6170</v>
      </c>
      <c r="F280" s="9"/>
    </row>
    <row r="281" spans="2:6" x14ac:dyDescent="0.25">
      <c r="B281">
        <v>279</v>
      </c>
      <c r="C281" s="1">
        <v>44335</v>
      </c>
      <c r="D281" t="s">
        <v>7</v>
      </c>
      <c r="E281">
        <v>5020</v>
      </c>
      <c r="F281" s="9"/>
    </row>
    <row r="282" spans="2:6" x14ac:dyDescent="0.25">
      <c r="B282">
        <v>280</v>
      </c>
      <c r="C282" s="1">
        <v>44335</v>
      </c>
      <c r="D282" t="s">
        <v>4</v>
      </c>
      <c r="E282">
        <v>4470</v>
      </c>
      <c r="F282" s="9"/>
    </row>
    <row r="283" spans="2:6" x14ac:dyDescent="0.25">
      <c r="B283">
        <v>281</v>
      </c>
      <c r="C283" s="1">
        <v>44335</v>
      </c>
      <c r="D283" t="s">
        <v>5</v>
      </c>
      <c r="E283">
        <v>8450</v>
      </c>
      <c r="F283" s="9"/>
    </row>
    <row r="284" spans="2:6" x14ac:dyDescent="0.25">
      <c r="B284">
        <v>282</v>
      </c>
      <c r="C284" s="1">
        <v>44336</v>
      </c>
      <c r="D284" t="s">
        <v>4</v>
      </c>
      <c r="E284">
        <v>2250</v>
      </c>
      <c r="F284" s="9"/>
    </row>
    <row r="285" spans="2:6" x14ac:dyDescent="0.25">
      <c r="B285">
        <v>283</v>
      </c>
      <c r="C285" s="1">
        <v>44336</v>
      </c>
      <c r="D285" t="s">
        <v>5</v>
      </c>
      <c r="E285">
        <v>6050</v>
      </c>
      <c r="F285" s="9"/>
    </row>
    <row r="286" spans="2:6" x14ac:dyDescent="0.25">
      <c r="B286">
        <v>284</v>
      </c>
      <c r="C286" s="1">
        <v>44337</v>
      </c>
      <c r="D286" t="s">
        <v>5</v>
      </c>
      <c r="E286">
        <v>5490</v>
      </c>
      <c r="F286" s="9"/>
    </row>
    <row r="287" spans="2:6" x14ac:dyDescent="0.25">
      <c r="B287">
        <v>285</v>
      </c>
      <c r="C287" s="1">
        <v>44338</v>
      </c>
      <c r="D287" t="s">
        <v>7</v>
      </c>
      <c r="E287">
        <v>3000</v>
      </c>
      <c r="F287" s="9"/>
    </row>
    <row r="288" spans="2:6" x14ac:dyDescent="0.25">
      <c r="B288">
        <v>286</v>
      </c>
      <c r="C288" s="1">
        <v>44338</v>
      </c>
      <c r="D288" t="s">
        <v>6</v>
      </c>
      <c r="E288">
        <v>9670</v>
      </c>
      <c r="F288" s="9"/>
    </row>
    <row r="289" spans="2:6" x14ac:dyDescent="0.25">
      <c r="B289">
        <v>287</v>
      </c>
      <c r="C289" s="1">
        <v>44339</v>
      </c>
      <c r="D289" t="s">
        <v>7</v>
      </c>
      <c r="E289">
        <v>3710</v>
      </c>
      <c r="F289" s="9"/>
    </row>
    <row r="290" spans="2:6" x14ac:dyDescent="0.25">
      <c r="B290">
        <v>288</v>
      </c>
      <c r="C290" s="1">
        <v>44339</v>
      </c>
      <c r="D290" t="s">
        <v>5</v>
      </c>
      <c r="E290">
        <v>2680</v>
      </c>
      <c r="F290" s="9"/>
    </row>
    <row r="291" spans="2:6" x14ac:dyDescent="0.25">
      <c r="B291">
        <v>289</v>
      </c>
      <c r="C291" s="1">
        <v>44339</v>
      </c>
      <c r="D291" t="s">
        <v>4</v>
      </c>
      <c r="E291">
        <v>4700</v>
      </c>
      <c r="F291" s="9"/>
    </row>
    <row r="292" spans="2:6" x14ac:dyDescent="0.25">
      <c r="B292">
        <v>290</v>
      </c>
      <c r="C292" s="1">
        <v>44340</v>
      </c>
      <c r="D292" t="s">
        <v>4</v>
      </c>
      <c r="E292">
        <v>1830</v>
      </c>
      <c r="F292" s="9"/>
    </row>
    <row r="293" spans="2:6" x14ac:dyDescent="0.25">
      <c r="B293">
        <v>291</v>
      </c>
      <c r="C293" s="1">
        <v>44340</v>
      </c>
      <c r="D293" t="s">
        <v>5</v>
      </c>
      <c r="E293">
        <v>4100</v>
      </c>
      <c r="F293" s="9"/>
    </row>
    <row r="294" spans="2:6" x14ac:dyDescent="0.25">
      <c r="B294">
        <v>292</v>
      </c>
      <c r="C294" s="1">
        <v>44341</v>
      </c>
      <c r="D294" t="s">
        <v>7</v>
      </c>
      <c r="E294">
        <v>7870</v>
      </c>
      <c r="F294" s="9"/>
    </row>
    <row r="295" spans="2:6" x14ac:dyDescent="0.25">
      <c r="B295">
        <v>293</v>
      </c>
      <c r="C295" s="1">
        <v>44341</v>
      </c>
      <c r="D295" t="s">
        <v>5</v>
      </c>
      <c r="E295">
        <v>7160</v>
      </c>
      <c r="F295" s="9"/>
    </row>
    <row r="296" spans="2:6" x14ac:dyDescent="0.25">
      <c r="B296">
        <v>294</v>
      </c>
      <c r="C296" s="1">
        <v>44341</v>
      </c>
      <c r="D296" t="s">
        <v>6</v>
      </c>
      <c r="E296">
        <v>9200</v>
      </c>
      <c r="F296" s="9"/>
    </row>
    <row r="297" spans="2:6" x14ac:dyDescent="0.25">
      <c r="B297">
        <v>295</v>
      </c>
      <c r="C297" s="1">
        <v>44342</v>
      </c>
      <c r="D297" t="s">
        <v>5</v>
      </c>
      <c r="E297">
        <v>7390</v>
      </c>
      <c r="F297" s="9"/>
    </row>
    <row r="298" spans="2:6" x14ac:dyDescent="0.25">
      <c r="B298">
        <v>296</v>
      </c>
      <c r="C298" s="1">
        <v>44342</v>
      </c>
      <c r="D298" t="s">
        <v>4</v>
      </c>
      <c r="E298">
        <v>4560</v>
      </c>
      <c r="F298" s="9"/>
    </row>
    <row r="299" spans="2:6" x14ac:dyDescent="0.25">
      <c r="B299">
        <v>297</v>
      </c>
      <c r="C299" s="1">
        <v>44343</v>
      </c>
      <c r="D299" t="s">
        <v>5</v>
      </c>
      <c r="E299">
        <v>8680</v>
      </c>
      <c r="F299" s="9"/>
    </row>
    <row r="300" spans="2:6" x14ac:dyDescent="0.25">
      <c r="B300">
        <v>298</v>
      </c>
      <c r="C300" s="1">
        <v>44343</v>
      </c>
      <c r="D300" t="s">
        <v>4</v>
      </c>
      <c r="E300">
        <v>3110</v>
      </c>
      <c r="F300" s="9"/>
    </row>
    <row r="301" spans="2:6" x14ac:dyDescent="0.25">
      <c r="B301">
        <v>299</v>
      </c>
      <c r="C301" s="1">
        <v>44343</v>
      </c>
      <c r="D301" t="s">
        <v>7</v>
      </c>
      <c r="E301">
        <v>8770</v>
      </c>
      <c r="F301" s="9"/>
    </row>
    <row r="302" spans="2:6" x14ac:dyDescent="0.25">
      <c r="B302">
        <v>300</v>
      </c>
      <c r="C302" s="1">
        <v>44344</v>
      </c>
      <c r="D302" t="s">
        <v>7</v>
      </c>
      <c r="E302">
        <v>6900</v>
      </c>
      <c r="F302" s="9"/>
    </row>
    <row r="303" spans="2:6" x14ac:dyDescent="0.25">
      <c r="B303">
        <v>301</v>
      </c>
      <c r="C303" s="1">
        <v>44344</v>
      </c>
      <c r="D303" t="s">
        <v>4</v>
      </c>
      <c r="E303">
        <v>9220</v>
      </c>
      <c r="F303" s="9"/>
    </row>
    <row r="304" spans="2:6" x14ac:dyDescent="0.25">
      <c r="B304">
        <v>302</v>
      </c>
      <c r="C304" s="1">
        <v>44345</v>
      </c>
      <c r="D304" t="s">
        <v>4</v>
      </c>
      <c r="E304">
        <v>9740</v>
      </c>
      <c r="F304" s="9"/>
    </row>
    <row r="305" spans="2:6" x14ac:dyDescent="0.25">
      <c r="B305">
        <v>303</v>
      </c>
      <c r="C305" s="1">
        <v>44346</v>
      </c>
      <c r="D305" t="s">
        <v>4</v>
      </c>
      <c r="E305">
        <v>4500</v>
      </c>
      <c r="F305" s="9"/>
    </row>
    <row r="306" spans="2:6" x14ac:dyDescent="0.25">
      <c r="B306">
        <v>304</v>
      </c>
      <c r="C306" s="1">
        <v>44346</v>
      </c>
      <c r="D306" t="s">
        <v>6</v>
      </c>
      <c r="E306">
        <v>9950</v>
      </c>
      <c r="F306" s="9"/>
    </row>
    <row r="307" spans="2:6" x14ac:dyDescent="0.25">
      <c r="B307">
        <v>305</v>
      </c>
      <c r="C307" s="1">
        <v>44347</v>
      </c>
      <c r="D307" t="s">
        <v>4</v>
      </c>
      <c r="E307">
        <v>9960</v>
      </c>
      <c r="F307" s="9"/>
    </row>
    <row r="308" spans="2:6" x14ac:dyDescent="0.25">
      <c r="B308">
        <v>306</v>
      </c>
      <c r="C308" s="1">
        <v>44347</v>
      </c>
      <c r="D308" t="s">
        <v>6</v>
      </c>
      <c r="E308">
        <v>8880</v>
      </c>
      <c r="F308" s="9"/>
    </row>
    <row r="309" spans="2:6" x14ac:dyDescent="0.25">
      <c r="B309">
        <v>307</v>
      </c>
      <c r="C309" s="1">
        <v>44347</v>
      </c>
      <c r="D309" t="s">
        <v>5</v>
      </c>
      <c r="E309">
        <v>4160</v>
      </c>
      <c r="F309" s="9"/>
    </row>
    <row r="310" spans="2:6" x14ac:dyDescent="0.25">
      <c r="B310">
        <v>308</v>
      </c>
      <c r="C310" s="1">
        <v>44348</v>
      </c>
      <c r="D310" t="s">
        <v>5</v>
      </c>
      <c r="E310">
        <v>6300</v>
      </c>
      <c r="F310" s="9"/>
    </row>
    <row r="311" spans="2:6" x14ac:dyDescent="0.25">
      <c r="B311">
        <v>309</v>
      </c>
      <c r="C311" s="1">
        <v>44348</v>
      </c>
      <c r="D311" t="s">
        <v>7</v>
      </c>
      <c r="E311">
        <v>9040</v>
      </c>
      <c r="F311" s="9"/>
    </row>
    <row r="312" spans="2:6" x14ac:dyDescent="0.25">
      <c r="B312">
        <v>310</v>
      </c>
      <c r="C312" s="1">
        <v>44349</v>
      </c>
      <c r="D312" t="s">
        <v>7</v>
      </c>
      <c r="E312">
        <v>8880</v>
      </c>
      <c r="F312" s="9"/>
    </row>
    <row r="313" spans="2:6" x14ac:dyDescent="0.25">
      <c r="B313">
        <v>311</v>
      </c>
      <c r="C313" s="1">
        <v>44350</v>
      </c>
      <c r="D313" t="s">
        <v>4</v>
      </c>
      <c r="E313">
        <v>5030</v>
      </c>
      <c r="F313" s="9"/>
    </row>
    <row r="314" spans="2:6" x14ac:dyDescent="0.25">
      <c r="B314">
        <v>312</v>
      </c>
      <c r="C314" s="1">
        <v>44350</v>
      </c>
      <c r="D314" t="s">
        <v>6</v>
      </c>
      <c r="E314">
        <v>6010</v>
      </c>
      <c r="F314" s="9"/>
    </row>
    <row r="315" spans="2:6" x14ac:dyDescent="0.25">
      <c r="B315">
        <v>313</v>
      </c>
      <c r="C315" s="1">
        <v>44351</v>
      </c>
      <c r="D315" t="s">
        <v>5</v>
      </c>
      <c r="E315">
        <v>8880</v>
      </c>
      <c r="F315" s="9"/>
    </row>
    <row r="316" spans="2:6" x14ac:dyDescent="0.25">
      <c r="B316">
        <v>314</v>
      </c>
      <c r="C316" s="1">
        <v>44352</v>
      </c>
      <c r="D316" t="s">
        <v>4</v>
      </c>
      <c r="E316">
        <v>5490</v>
      </c>
      <c r="F316" s="9"/>
    </row>
    <row r="317" spans="2:6" x14ac:dyDescent="0.25">
      <c r="B317">
        <v>315</v>
      </c>
      <c r="C317" s="1">
        <v>44353</v>
      </c>
      <c r="D317" t="s">
        <v>7</v>
      </c>
      <c r="E317">
        <v>9370</v>
      </c>
      <c r="F317" s="9"/>
    </row>
    <row r="318" spans="2:6" x14ac:dyDescent="0.25">
      <c r="B318">
        <v>316</v>
      </c>
      <c r="C318" s="1">
        <v>44353</v>
      </c>
      <c r="D318" t="s">
        <v>4</v>
      </c>
      <c r="E318">
        <v>6790</v>
      </c>
      <c r="F318" s="9"/>
    </row>
    <row r="319" spans="2:6" x14ac:dyDescent="0.25">
      <c r="B319">
        <v>317</v>
      </c>
      <c r="C319" s="1">
        <v>44354</v>
      </c>
      <c r="D319" t="s">
        <v>5</v>
      </c>
      <c r="E319">
        <v>2540</v>
      </c>
      <c r="F319" s="9"/>
    </row>
    <row r="320" spans="2:6" x14ac:dyDescent="0.25">
      <c r="B320">
        <v>318</v>
      </c>
      <c r="C320" s="1">
        <v>44354</v>
      </c>
      <c r="D320" t="s">
        <v>4</v>
      </c>
      <c r="E320">
        <v>5530</v>
      </c>
      <c r="F320" s="9"/>
    </row>
    <row r="321" spans="2:6" x14ac:dyDescent="0.25">
      <c r="B321">
        <v>319</v>
      </c>
      <c r="C321" s="1">
        <v>44354</v>
      </c>
      <c r="D321" t="s">
        <v>7</v>
      </c>
      <c r="E321">
        <v>7020</v>
      </c>
      <c r="F321" s="9"/>
    </row>
    <row r="322" spans="2:6" x14ac:dyDescent="0.25">
      <c r="B322">
        <v>320</v>
      </c>
      <c r="C322" s="1">
        <v>44355</v>
      </c>
      <c r="D322" t="s">
        <v>5</v>
      </c>
      <c r="E322">
        <v>2330</v>
      </c>
      <c r="F322" s="9"/>
    </row>
    <row r="323" spans="2:6" x14ac:dyDescent="0.25">
      <c r="B323">
        <v>321</v>
      </c>
      <c r="C323" s="1">
        <v>44356</v>
      </c>
      <c r="D323" t="s">
        <v>4</v>
      </c>
      <c r="E323">
        <v>5550</v>
      </c>
      <c r="F323" s="9"/>
    </row>
    <row r="324" spans="2:6" x14ac:dyDescent="0.25">
      <c r="B324">
        <v>322</v>
      </c>
      <c r="C324" s="1">
        <v>44356</v>
      </c>
      <c r="D324" t="s">
        <v>6</v>
      </c>
      <c r="E324">
        <v>6150</v>
      </c>
      <c r="F324" s="9"/>
    </row>
    <row r="325" spans="2:6" x14ac:dyDescent="0.25">
      <c r="B325">
        <v>323</v>
      </c>
      <c r="C325" s="1">
        <v>44357</v>
      </c>
      <c r="D325" t="s">
        <v>7</v>
      </c>
      <c r="E325">
        <v>3220</v>
      </c>
      <c r="F325" s="9"/>
    </row>
    <row r="326" spans="2:6" x14ac:dyDescent="0.25">
      <c r="B326">
        <v>324</v>
      </c>
      <c r="C326" s="1">
        <v>44357</v>
      </c>
      <c r="D326" t="s">
        <v>4</v>
      </c>
      <c r="E326">
        <v>4330</v>
      </c>
      <c r="F326" s="9"/>
    </row>
    <row r="327" spans="2:6" x14ac:dyDescent="0.25">
      <c r="B327">
        <v>325</v>
      </c>
      <c r="C327" s="1">
        <v>44357</v>
      </c>
      <c r="D327" t="s">
        <v>5</v>
      </c>
      <c r="E327">
        <v>4000</v>
      </c>
      <c r="F327" s="9"/>
    </row>
    <row r="328" spans="2:6" x14ac:dyDescent="0.25">
      <c r="B328">
        <v>326</v>
      </c>
      <c r="C328" s="1">
        <v>44358</v>
      </c>
      <c r="D328" t="s">
        <v>7</v>
      </c>
      <c r="E328">
        <v>4970</v>
      </c>
      <c r="F328" s="9"/>
    </row>
    <row r="329" spans="2:6" x14ac:dyDescent="0.25">
      <c r="B329">
        <v>327</v>
      </c>
      <c r="C329" s="1">
        <v>44358</v>
      </c>
      <c r="D329" t="s">
        <v>6</v>
      </c>
      <c r="E329">
        <v>8900</v>
      </c>
      <c r="F329" s="9"/>
    </row>
    <row r="330" spans="2:6" x14ac:dyDescent="0.25">
      <c r="B330">
        <v>328</v>
      </c>
      <c r="C330" s="1">
        <v>44359</v>
      </c>
      <c r="D330" t="s">
        <v>5</v>
      </c>
      <c r="E330">
        <v>5340</v>
      </c>
      <c r="F330" s="9"/>
    </row>
    <row r="331" spans="2:6" x14ac:dyDescent="0.25">
      <c r="B331">
        <v>329</v>
      </c>
      <c r="C331" s="1">
        <v>44359</v>
      </c>
      <c r="D331" t="s">
        <v>4</v>
      </c>
      <c r="E331">
        <v>2240</v>
      </c>
      <c r="F331" s="9"/>
    </row>
    <row r="332" spans="2:6" x14ac:dyDescent="0.25">
      <c r="B332">
        <v>330</v>
      </c>
      <c r="C332" s="1">
        <v>44360</v>
      </c>
      <c r="D332" t="s">
        <v>4</v>
      </c>
      <c r="E332">
        <v>1810</v>
      </c>
      <c r="F332" s="9"/>
    </row>
    <row r="333" spans="2:6" x14ac:dyDescent="0.25">
      <c r="B333">
        <v>331</v>
      </c>
      <c r="C333" s="1">
        <v>44360</v>
      </c>
      <c r="D333" t="s">
        <v>6</v>
      </c>
      <c r="E333">
        <v>7960</v>
      </c>
      <c r="F333" s="9"/>
    </row>
    <row r="334" spans="2:6" x14ac:dyDescent="0.25">
      <c r="B334">
        <v>332</v>
      </c>
      <c r="C334" s="1">
        <v>44360</v>
      </c>
      <c r="D334" t="s">
        <v>5</v>
      </c>
      <c r="E334">
        <v>9400</v>
      </c>
      <c r="F334" s="9"/>
    </row>
    <row r="335" spans="2:6" x14ac:dyDescent="0.25">
      <c r="B335">
        <v>333</v>
      </c>
      <c r="C335" s="1">
        <v>44361</v>
      </c>
      <c r="D335" t="s">
        <v>7</v>
      </c>
      <c r="E335">
        <v>5380</v>
      </c>
      <c r="F335" s="9"/>
    </row>
    <row r="336" spans="2:6" x14ac:dyDescent="0.25">
      <c r="B336">
        <v>334</v>
      </c>
      <c r="C336" s="1">
        <v>44361</v>
      </c>
      <c r="D336" t="s">
        <v>5</v>
      </c>
      <c r="E336">
        <v>4220</v>
      </c>
      <c r="F336" s="9"/>
    </row>
    <row r="337" spans="2:6" x14ac:dyDescent="0.25">
      <c r="B337">
        <v>335</v>
      </c>
      <c r="C337" s="1">
        <v>44361</v>
      </c>
      <c r="D337" t="s">
        <v>4</v>
      </c>
      <c r="E337">
        <v>1230</v>
      </c>
      <c r="F337" s="9"/>
    </row>
    <row r="338" spans="2:6" x14ac:dyDescent="0.25">
      <c r="B338">
        <v>336</v>
      </c>
      <c r="C338" s="1">
        <v>44362</v>
      </c>
      <c r="D338" t="s">
        <v>7</v>
      </c>
      <c r="E338">
        <v>1920</v>
      </c>
      <c r="F338" s="9"/>
    </row>
    <row r="339" spans="2:6" x14ac:dyDescent="0.25">
      <c r="B339">
        <v>337</v>
      </c>
      <c r="C339" s="1">
        <v>44362</v>
      </c>
      <c r="D339" t="s">
        <v>5</v>
      </c>
      <c r="E339">
        <v>6790</v>
      </c>
      <c r="F339" s="9"/>
    </row>
    <row r="340" spans="2:6" x14ac:dyDescent="0.25">
      <c r="B340">
        <v>338</v>
      </c>
      <c r="C340" s="1">
        <v>44362</v>
      </c>
      <c r="D340" t="s">
        <v>6</v>
      </c>
      <c r="E340">
        <v>7950</v>
      </c>
      <c r="F340" s="9"/>
    </row>
    <row r="341" spans="2:6" x14ac:dyDescent="0.25">
      <c r="B341">
        <v>339</v>
      </c>
      <c r="C341" s="1">
        <v>44363</v>
      </c>
      <c r="D341" t="s">
        <v>4</v>
      </c>
      <c r="E341">
        <v>3020</v>
      </c>
      <c r="F341" s="9"/>
    </row>
    <row r="342" spans="2:6" x14ac:dyDescent="0.25">
      <c r="B342">
        <v>340</v>
      </c>
      <c r="C342" s="1">
        <v>44364</v>
      </c>
      <c r="D342" t="s">
        <v>5</v>
      </c>
      <c r="E342">
        <v>7990</v>
      </c>
      <c r="F342" s="9"/>
    </row>
    <row r="343" spans="2:6" x14ac:dyDescent="0.25">
      <c r="B343">
        <v>341</v>
      </c>
      <c r="C343" s="1">
        <v>44364</v>
      </c>
      <c r="D343" t="s">
        <v>6</v>
      </c>
      <c r="E343">
        <v>6390</v>
      </c>
      <c r="F343" s="9"/>
    </row>
    <row r="344" spans="2:6" x14ac:dyDescent="0.25">
      <c r="B344">
        <v>342</v>
      </c>
      <c r="C344" s="1">
        <v>44364</v>
      </c>
      <c r="D344" t="s">
        <v>4</v>
      </c>
      <c r="E344">
        <v>4180</v>
      </c>
      <c r="F344" s="9"/>
    </row>
    <row r="345" spans="2:6" x14ac:dyDescent="0.25">
      <c r="B345">
        <v>343</v>
      </c>
      <c r="C345" s="1">
        <v>44365</v>
      </c>
      <c r="D345" t="s">
        <v>7</v>
      </c>
      <c r="E345">
        <v>7940</v>
      </c>
      <c r="F345" s="9"/>
    </row>
    <row r="346" spans="2:6" x14ac:dyDescent="0.25">
      <c r="B346">
        <v>344</v>
      </c>
      <c r="C346" s="1">
        <v>44365</v>
      </c>
      <c r="D346" t="s">
        <v>6</v>
      </c>
      <c r="E346">
        <v>8070</v>
      </c>
      <c r="F346" s="9"/>
    </row>
    <row r="347" spans="2:6" x14ac:dyDescent="0.25">
      <c r="B347">
        <v>345</v>
      </c>
      <c r="C347" s="1">
        <v>44365</v>
      </c>
      <c r="D347" t="s">
        <v>5</v>
      </c>
      <c r="E347">
        <v>6060</v>
      </c>
      <c r="F347" s="9"/>
    </row>
    <row r="348" spans="2:6" x14ac:dyDescent="0.25">
      <c r="B348">
        <v>346</v>
      </c>
      <c r="C348" s="1">
        <v>44365</v>
      </c>
      <c r="D348" t="s">
        <v>4</v>
      </c>
      <c r="E348">
        <v>9420</v>
      </c>
      <c r="F348" s="9"/>
    </row>
    <row r="349" spans="2:6" x14ac:dyDescent="0.25">
      <c r="B349">
        <v>347</v>
      </c>
      <c r="C349" s="1">
        <v>44366</v>
      </c>
      <c r="D349" t="s">
        <v>7</v>
      </c>
      <c r="E349">
        <v>4440</v>
      </c>
      <c r="F349" s="9"/>
    </row>
    <row r="350" spans="2:6" x14ac:dyDescent="0.25">
      <c r="B350">
        <v>348</v>
      </c>
      <c r="C350" s="1">
        <v>44367</v>
      </c>
      <c r="D350" t="s">
        <v>7</v>
      </c>
      <c r="E350">
        <v>3010</v>
      </c>
      <c r="F350" s="9"/>
    </row>
    <row r="351" spans="2:6" x14ac:dyDescent="0.25">
      <c r="B351">
        <v>349</v>
      </c>
      <c r="C351" s="1">
        <v>44367</v>
      </c>
      <c r="D351" t="s">
        <v>4</v>
      </c>
      <c r="E351">
        <v>1060</v>
      </c>
      <c r="F351" s="9"/>
    </row>
    <row r="352" spans="2:6" x14ac:dyDescent="0.25">
      <c r="B352">
        <v>350</v>
      </c>
      <c r="C352" s="1">
        <v>44368</v>
      </c>
      <c r="D352" t="s">
        <v>7</v>
      </c>
      <c r="E352">
        <v>5970</v>
      </c>
      <c r="F352" s="9"/>
    </row>
    <row r="353" spans="2:6" x14ac:dyDescent="0.25">
      <c r="B353">
        <v>351</v>
      </c>
      <c r="C353" s="1">
        <v>44368</v>
      </c>
      <c r="D353" t="s">
        <v>5</v>
      </c>
      <c r="E353">
        <v>1180</v>
      </c>
      <c r="F353" s="9"/>
    </row>
    <row r="354" spans="2:6" x14ac:dyDescent="0.25">
      <c r="B354">
        <v>352</v>
      </c>
      <c r="C354" s="1">
        <v>44369</v>
      </c>
      <c r="D354" t="s">
        <v>5</v>
      </c>
      <c r="E354">
        <v>1510</v>
      </c>
      <c r="F354" s="9"/>
    </row>
    <row r="355" spans="2:6" x14ac:dyDescent="0.25">
      <c r="B355">
        <v>353</v>
      </c>
      <c r="C355" s="1">
        <v>44370</v>
      </c>
      <c r="D355" t="s">
        <v>6</v>
      </c>
      <c r="E355">
        <v>5610</v>
      </c>
      <c r="F355" s="9"/>
    </row>
    <row r="356" spans="2:6" x14ac:dyDescent="0.25">
      <c r="B356">
        <v>354</v>
      </c>
      <c r="C356" s="1">
        <v>44370</v>
      </c>
      <c r="D356" t="s">
        <v>7</v>
      </c>
      <c r="E356">
        <v>4850</v>
      </c>
      <c r="F356" s="9"/>
    </row>
    <row r="357" spans="2:6" x14ac:dyDescent="0.25">
      <c r="B357">
        <v>355</v>
      </c>
      <c r="C357" s="1">
        <v>44371</v>
      </c>
      <c r="D357" t="s">
        <v>6</v>
      </c>
      <c r="E357">
        <v>3640</v>
      </c>
      <c r="F357" s="9"/>
    </row>
    <row r="358" spans="2:6" x14ac:dyDescent="0.25">
      <c r="B358">
        <v>356</v>
      </c>
      <c r="C358" s="1">
        <v>44372</v>
      </c>
      <c r="D358" t="s">
        <v>6</v>
      </c>
      <c r="E358">
        <v>6950</v>
      </c>
      <c r="F358" s="9"/>
    </row>
    <row r="359" spans="2:6" x14ac:dyDescent="0.25">
      <c r="B359">
        <v>357</v>
      </c>
      <c r="C359" s="1">
        <v>44372</v>
      </c>
      <c r="D359" t="s">
        <v>7</v>
      </c>
      <c r="E359">
        <v>3790</v>
      </c>
      <c r="F359" s="9"/>
    </row>
    <row r="360" spans="2:6" x14ac:dyDescent="0.25">
      <c r="B360">
        <v>358</v>
      </c>
      <c r="C360" s="1">
        <v>44373</v>
      </c>
      <c r="D360" t="s">
        <v>5</v>
      </c>
      <c r="E360">
        <v>6570</v>
      </c>
      <c r="F360" s="9"/>
    </row>
    <row r="361" spans="2:6" x14ac:dyDescent="0.25">
      <c r="B361">
        <v>359</v>
      </c>
      <c r="C361" s="1">
        <v>44374</v>
      </c>
      <c r="D361" t="s">
        <v>6</v>
      </c>
      <c r="E361">
        <v>6200</v>
      </c>
      <c r="F361" s="9"/>
    </row>
    <row r="362" spans="2:6" x14ac:dyDescent="0.25">
      <c r="B362">
        <v>360</v>
      </c>
      <c r="C362" s="1">
        <v>44374</v>
      </c>
      <c r="D362" t="s">
        <v>4</v>
      </c>
      <c r="E362">
        <v>9010</v>
      </c>
      <c r="F362" s="9"/>
    </row>
    <row r="363" spans="2:6" x14ac:dyDescent="0.25">
      <c r="B363">
        <v>361</v>
      </c>
      <c r="C363" s="1">
        <v>44375</v>
      </c>
      <c r="D363" t="s">
        <v>7</v>
      </c>
      <c r="E363">
        <v>1510</v>
      </c>
      <c r="F363" s="9"/>
    </row>
    <row r="364" spans="2:6" x14ac:dyDescent="0.25">
      <c r="B364">
        <v>362</v>
      </c>
      <c r="C364" s="1">
        <v>44376</v>
      </c>
      <c r="D364" t="s">
        <v>4</v>
      </c>
      <c r="E364">
        <v>2910</v>
      </c>
      <c r="F364" s="9"/>
    </row>
    <row r="365" spans="2:6" x14ac:dyDescent="0.25">
      <c r="B365">
        <v>363</v>
      </c>
      <c r="C365" s="1">
        <v>44376</v>
      </c>
      <c r="D365" t="s">
        <v>6</v>
      </c>
      <c r="E365">
        <v>6310</v>
      </c>
      <c r="F365" s="9"/>
    </row>
    <row r="366" spans="2:6" x14ac:dyDescent="0.25">
      <c r="B366">
        <v>364</v>
      </c>
      <c r="C366" s="1">
        <v>44377</v>
      </c>
      <c r="D366" t="s">
        <v>6</v>
      </c>
      <c r="E366">
        <v>7110</v>
      </c>
      <c r="F366" s="9"/>
    </row>
    <row r="367" spans="2:6" x14ac:dyDescent="0.25">
      <c r="B367">
        <v>365</v>
      </c>
      <c r="C367" s="1">
        <v>44377</v>
      </c>
      <c r="D367" t="s">
        <v>5</v>
      </c>
      <c r="E367">
        <v>2540</v>
      </c>
      <c r="F367" s="9"/>
    </row>
    <row r="368" spans="2:6" x14ac:dyDescent="0.25">
      <c r="B368">
        <v>366</v>
      </c>
      <c r="C368" s="1">
        <v>44377</v>
      </c>
      <c r="D368" t="s">
        <v>7</v>
      </c>
      <c r="E368">
        <v>8140</v>
      </c>
      <c r="F368" s="9"/>
    </row>
    <row r="369" spans="2:6" x14ac:dyDescent="0.25">
      <c r="B369">
        <v>367</v>
      </c>
      <c r="C369" s="1">
        <v>44378</v>
      </c>
      <c r="D369" t="s">
        <v>4</v>
      </c>
      <c r="E369">
        <v>1740</v>
      </c>
      <c r="F369" s="9"/>
    </row>
    <row r="370" spans="2:6" x14ac:dyDescent="0.25">
      <c r="B370">
        <v>368</v>
      </c>
      <c r="C370" s="1">
        <v>44378</v>
      </c>
      <c r="D370" t="s">
        <v>7</v>
      </c>
      <c r="E370">
        <v>5840</v>
      </c>
      <c r="F370" s="9"/>
    </row>
    <row r="371" spans="2:6" x14ac:dyDescent="0.25">
      <c r="B371">
        <v>369</v>
      </c>
      <c r="C371" s="1">
        <v>44379</v>
      </c>
      <c r="D371" t="s">
        <v>5</v>
      </c>
      <c r="E371">
        <v>3170</v>
      </c>
      <c r="F371" s="9"/>
    </row>
    <row r="372" spans="2:6" x14ac:dyDescent="0.25">
      <c r="B372">
        <v>370</v>
      </c>
      <c r="C372" s="1">
        <v>44379</v>
      </c>
      <c r="D372" t="s">
        <v>7</v>
      </c>
      <c r="E372">
        <v>4000</v>
      </c>
      <c r="F372" s="9"/>
    </row>
    <row r="373" spans="2:6" x14ac:dyDescent="0.25">
      <c r="B373">
        <v>371</v>
      </c>
      <c r="C373" s="1">
        <v>44380</v>
      </c>
      <c r="D373" t="s">
        <v>4</v>
      </c>
      <c r="E373">
        <v>4600</v>
      </c>
      <c r="F373" s="9"/>
    </row>
    <row r="374" spans="2:6" x14ac:dyDescent="0.25">
      <c r="B374">
        <v>372</v>
      </c>
      <c r="C374" s="1">
        <v>44380</v>
      </c>
      <c r="D374" t="s">
        <v>5</v>
      </c>
      <c r="E374">
        <v>9870</v>
      </c>
      <c r="F374" s="9"/>
    </row>
    <row r="375" spans="2:6" x14ac:dyDescent="0.25">
      <c r="B375">
        <v>373</v>
      </c>
      <c r="C375" s="1">
        <v>44381</v>
      </c>
      <c r="D375" t="s">
        <v>5</v>
      </c>
      <c r="E375">
        <v>9390</v>
      </c>
      <c r="F375" s="9"/>
    </row>
    <row r="376" spans="2:6" x14ac:dyDescent="0.25">
      <c r="B376">
        <v>374</v>
      </c>
      <c r="C376" s="1">
        <v>44382</v>
      </c>
      <c r="D376" t="s">
        <v>7</v>
      </c>
      <c r="E376">
        <v>1300</v>
      </c>
      <c r="F376" s="9"/>
    </row>
    <row r="377" spans="2:6" x14ac:dyDescent="0.25">
      <c r="B377">
        <v>375</v>
      </c>
      <c r="C377" s="1">
        <v>44382</v>
      </c>
      <c r="D377" t="s">
        <v>4</v>
      </c>
      <c r="E377">
        <v>2650</v>
      </c>
      <c r="F377" s="9"/>
    </row>
    <row r="378" spans="2:6" x14ac:dyDescent="0.25">
      <c r="B378">
        <v>376</v>
      </c>
      <c r="C378" s="1">
        <v>44383</v>
      </c>
      <c r="D378" t="s">
        <v>5</v>
      </c>
      <c r="E378">
        <v>4060</v>
      </c>
      <c r="F378" s="9"/>
    </row>
    <row r="379" spans="2:6" x14ac:dyDescent="0.25">
      <c r="B379">
        <v>377</v>
      </c>
      <c r="C379" s="1">
        <v>44383</v>
      </c>
      <c r="D379" t="s">
        <v>4</v>
      </c>
      <c r="E379">
        <v>4460</v>
      </c>
      <c r="F379" s="9"/>
    </row>
    <row r="380" spans="2:6" x14ac:dyDescent="0.25">
      <c r="B380">
        <v>378</v>
      </c>
      <c r="C380" s="1">
        <v>44384</v>
      </c>
      <c r="D380" t="s">
        <v>6</v>
      </c>
      <c r="E380">
        <v>9390</v>
      </c>
      <c r="F380" s="9"/>
    </row>
    <row r="381" spans="2:6" x14ac:dyDescent="0.25">
      <c r="B381">
        <v>379</v>
      </c>
      <c r="C381" s="1">
        <v>44384</v>
      </c>
      <c r="D381" t="s">
        <v>4</v>
      </c>
      <c r="E381">
        <v>9670</v>
      </c>
      <c r="F381" s="9"/>
    </row>
    <row r="382" spans="2:6" x14ac:dyDescent="0.25">
      <c r="B382">
        <v>380</v>
      </c>
      <c r="C382" s="1">
        <v>44384</v>
      </c>
      <c r="D382" t="s">
        <v>5</v>
      </c>
      <c r="E382">
        <v>3460</v>
      </c>
      <c r="F382" s="9"/>
    </row>
    <row r="383" spans="2:6" x14ac:dyDescent="0.25">
      <c r="B383">
        <v>381</v>
      </c>
      <c r="C383" s="1">
        <v>44385</v>
      </c>
      <c r="D383" t="s">
        <v>4</v>
      </c>
      <c r="E383">
        <v>2030</v>
      </c>
      <c r="F383" s="9"/>
    </row>
    <row r="384" spans="2:6" x14ac:dyDescent="0.25">
      <c r="B384">
        <v>382</v>
      </c>
      <c r="C384" s="1">
        <v>44385</v>
      </c>
      <c r="D384" t="s">
        <v>6</v>
      </c>
      <c r="E384">
        <v>3860</v>
      </c>
      <c r="F384" s="9"/>
    </row>
    <row r="385" spans="2:6" x14ac:dyDescent="0.25">
      <c r="B385">
        <v>383</v>
      </c>
      <c r="C385" s="1">
        <v>44385</v>
      </c>
      <c r="D385" t="s">
        <v>5</v>
      </c>
      <c r="E385">
        <v>3770</v>
      </c>
      <c r="F385" s="9"/>
    </row>
    <row r="386" spans="2:6" x14ac:dyDescent="0.25">
      <c r="B386">
        <v>384</v>
      </c>
      <c r="C386" s="1">
        <v>44386</v>
      </c>
      <c r="D386" t="s">
        <v>6</v>
      </c>
      <c r="E386">
        <v>3970</v>
      </c>
      <c r="F386" s="9"/>
    </row>
    <row r="387" spans="2:6" x14ac:dyDescent="0.25">
      <c r="B387">
        <v>385</v>
      </c>
      <c r="C387" s="1">
        <v>44386</v>
      </c>
      <c r="D387" t="s">
        <v>4</v>
      </c>
      <c r="E387">
        <v>9280</v>
      </c>
      <c r="F387" s="9"/>
    </row>
    <row r="388" spans="2:6" x14ac:dyDescent="0.25">
      <c r="B388">
        <v>386</v>
      </c>
      <c r="C388" s="1">
        <v>44387</v>
      </c>
      <c r="D388" t="s">
        <v>7</v>
      </c>
      <c r="E388">
        <v>6930</v>
      </c>
      <c r="F388" s="9"/>
    </row>
    <row r="389" spans="2:6" x14ac:dyDescent="0.25">
      <c r="B389">
        <v>387</v>
      </c>
      <c r="C389" s="1">
        <v>44388</v>
      </c>
      <c r="D389" t="s">
        <v>7</v>
      </c>
      <c r="E389">
        <v>2850</v>
      </c>
      <c r="F389" s="9"/>
    </row>
    <row r="390" spans="2:6" x14ac:dyDescent="0.25">
      <c r="B390">
        <v>388</v>
      </c>
      <c r="C390" s="1">
        <v>44388</v>
      </c>
      <c r="D390" t="s">
        <v>5</v>
      </c>
      <c r="E390">
        <v>7480</v>
      </c>
      <c r="F390" s="9"/>
    </row>
    <row r="391" spans="2:6" x14ac:dyDescent="0.25">
      <c r="B391">
        <v>389</v>
      </c>
      <c r="C391" s="1">
        <v>44388</v>
      </c>
      <c r="D391" t="s">
        <v>4</v>
      </c>
      <c r="E391">
        <v>4170</v>
      </c>
      <c r="F391" s="9"/>
    </row>
    <row r="392" spans="2:6" x14ac:dyDescent="0.25">
      <c r="B392">
        <v>390</v>
      </c>
      <c r="C392" s="1">
        <v>44389</v>
      </c>
      <c r="D392" t="s">
        <v>4</v>
      </c>
      <c r="E392">
        <v>6110</v>
      </c>
      <c r="F392" s="9"/>
    </row>
    <row r="393" spans="2:6" x14ac:dyDescent="0.25">
      <c r="B393">
        <v>391</v>
      </c>
      <c r="C393" s="1">
        <v>44389</v>
      </c>
      <c r="D393" t="s">
        <v>7</v>
      </c>
      <c r="E393">
        <v>3250</v>
      </c>
      <c r="F393" s="9"/>
    </row>
    <row r="394" spans="2:6" x14ac:dyDescent="0.25">
      <c r="B394">
        <v>392</v>
      </c>
      <c r="C394" s="1">
        <v>44390</v>
      </c>
      <c r="D394" t="s">
        <v>4</v>
      </c>
      <c r="E394">
        <v>6930</v>
      </c>
      <c r="F394" s="9"/>
    </row>
    <row r="395" spans="2:6" x14ac:dyDescent="0.25">
      <c r="B395">
        <v>393</v>
      </c>
      <c r="C395" s="1">
        <v>44390</v>
      </c>
      <c r="D395" t="s">
        <v>5</v>
      </c>
      <c r="E395">
        <v>4790</v>
      </c>
      <c r="F395" s="9"/>
    </row>
    <row r="396" spans="2:6" x14ac:dyDescent="0.25">
      <c r="B396">
        <v>394</v>
      </c>
      <c r="C396" s="1">
        <v>44390</v>
      </c>
      <c r="D396" t="s">
        <v>7</v>
      </c>
      <c r="E396">
        <v>3110</v>
      </c>
      <c r="F396" s="9"/>
    </row>
    <row r="397" spans="2:6" x14ac:dyDescent="0.25">
      <c r="B397">
        <v>395</v>
      </c>
      <c r="C397" s="1">
        <v>44391</v>
      </c>
      <c r="D397" t="s">
        <v>7</v>
      </c>
      <c r="E397">
        <v>6930</v>
      </c>
      <c r="F397" s="9"/>
    </row>
    <row r="398" spans="2:6" x14ac:dyDescent="0.25">
      <c r="B398">
        <v>396</v>
      </c>
      <c r="C398" s="1">
        <v>44392</v>
      </c>
      <c r="D398" t="s">
        <v>5</v>
      </c>
      <c r="E398">
        <v>8100</v>
      </c>
      <c r="F398" s="9"/>
    </row>
    <row r="399" spans="2:6" x14ac:dyDescent="0.25">
      <c r="B399">
        <v>397</v>
      </c>
      <c r="C399" s="1">
        <v>44392</v>
      </c>
      <c r="D399" t="s">
        <v>7</v>
      </c>
      <c r="E399">
        <v>6600</v>
      </c>
      <c r="F399" s="9"/>
    </row>
    <row r="400" spans="2:6" x14ac:dyDescent="0.25">
      <c r="B400">
        <v>398</v>
      </c>
      <c r="C400" s="1">
        <v>44392</v>
      </c>
      <c r="D400" t="s">
        <v>4</v>
      </c>
      <c r="E400">
        <v>9850</v>
      </c>
      <c r="F400" s="9"/>
    </row>
    <row r="401" spans="2:6" x14ac:dyDescent="0.25">
      <c r="B401">
        <v>399</v>
      </c>
      <c r="C401" s="1">
        <v>44393</v>
      </c>
      <c r="D401" t="s">
        <v>4</v>
      </c>
      <c r="E401">
        <v>8950</v>
      </c>
      <c r="F401" s="9"/>
    </row>
    <row r="402" spans="2:6" x14ac:dyDescent="0.25">
      <c r="B402">
        <v>400</v>
      </c>
      <c r="C402" s="1">
        <v>44394</v>
      </c>
      <c r="D402" t="s">
        <v>7</v>
      </c>
      <c r="E402">
        <v>3280</v>
      </c>
      <c r="F402" s="9"/>
    </row>
    <row r="403" spans="2:6" x14ac:dyDescent="0.25">
      <c r="B403">
        <v>401</v>
      </c>
      <c r="C403" s="1">
        <v>44394</v>
      </c>
      <c r="D403" t="s">
        <v>4</v>
      </c>
      <c r="E403">
        <v>4680</v>
      </c>
      <c r="F403" s="9"/>
    </row>
    <row r="404" spans="2:6" x14ac:dyDescent="0.25">
      <c r="B404">
        <v>402</v>
      </c>
      <c r="C404" s="1">
        <v>44395</v>
      </c>
      <c r="D404" t="s">
        <v>6</v>
      </c>
      <c r="E404">
        <v>5750</v>
      </c>
      <c r="F404" s="9"/>
    </row>
    <row r="405" spans="2:6" x14ac:dyDescent="0.25">
      <c r="B405">
        <v>403</v>
      </c>
      <c r="C405" s="1">
        <v>44395</v>
      </c>
      <c r="D405" t="s">
        <v>5</v>
      </c>
      <c r="E405">
        <v>7000</v>
      </c>
      <c r="F405" s="9"/>
    </row>
    <row r="406" spans="2:6" x14ac:dyDescent="0.25">
      <c r="B406">
        <v>404</v>
      </c>
      <c r="C406" s="1">
        <v>44396</v>
      </c>
      <c r="D406" t="s">
        <v>4</v>
      </c>
      <c r="E406">
        <v>5870</v>
      </c>
      <c r="F406" s="9"/>
    </row>
    <row r="407" spans="2:6" x14ac:dyDescent="0.25">
      <c r="B407">
        <v>405</v>
      </c>
      <c r="C407" s="1">
        <v>44396</v>
      </c>
      <c r="D407" t="s">
        <v>7</v>
      </c>
      <c r="E407">
        <v>6070</v>
      </c>
      <c r="F407" s="9"/>
    </row>
    <row r="408" spans="2:6" x14ac:dyDescent="0.25">
      <c r="B408">
        <v>406</v>
      </c>
      <c r="C408" s="1">
        <v>44397</v>
      </c>
      <c r="D408" t="s">
        <v>4</v>
      </c>
      <c r="E408">
        <v>1500</v>
      </c>
      <c r="F408" s="9"/>
    </row>
    <row r="409" spans="2:6" x14ac:dyDescent="0.25">
      <c r="B409">
        <v>407</v>
      </c>
      <c r="C409" s="1">
        <v>44397</v>
      </c>
      <c r="D409" t="s">
        <v>5</v>
      </c>
      <c r="E409">
        <v>6820</v>
      </c>
      <c r="F409" s="9"/>
    </row>
    <row r="410" spans="2:6" x14ac:dyDescent="0.25">
      <c r="B410">
        <v>408</v>
      </c>
      <c r="C410" s="1">
        <v>44398</v>
      </c>
      <c r="D410" t="s">
        <v>4</v>
      </c>
      <c r="E410">
        <v>2150</v>
      </c>
      <c r="F410" s="9"/>
    </row>
    <row r="411" spans="2:6" x14ac:dyDescent="0.25">
      <c r="B411">
        <v>409</v>
      </c>
      <c r="C411" s="1">
        <v>44399</v>
      </c>
      <c r="D411" t="s">
        <v>7</v>
      </c>
      <c r="E411">
        <v>6600</v>
      </c>
      <c r="F411" s="9"/>
    </row>
    <row r="412" spans="2:6" x14ac:dyDescent="0.25">
      <c r="B412">
        <v>410</v>
      </c>
      <c r="C412" s="1">
        <v>44399</v>
      </c>
      <c r="D412" t="s">
        <v>5</v>
      </c>
      <c r="E412">
        <v>7270</v>
      </c>
      <c r="F412" s="9"/>
    </row>
    <row r="413" spans="2:6" x14ac:dyDescent="0.25">
      <c r="B413">
        <v>411</v>
      </c>
      <c r="C413" s="1">
        <v>44399</v>
      </c>
      <c r="D413" t="s">
        <v>4</v>
      </c>
      <c r="E413">
        <v>1560</v>
      </c>
      <c r="F413" s="9"/>
    </row>
    <row r="414" spans="2:6" x14ac:dyDescent="0.25">
      <c r="B414">
        <v>412</v>
      </c>
      <c r="C414" s="1">
        <v>44399</v>
      </c>
      <c r="D414" t="s">
        <v>6</v>
      </c>
      <c r="E414">
        <v>7040</v>
      </c>
      <c r="F414" s="9"/>
    </row>
    <row r="415" spans="2:6" x14ac:dyDescent="0.25">
      <c r="B415">
        <v>413</v>
      </c>
      <c r="C415" s="1">
        <v>44400</v>
      </c>
      <c r="D415" t="s">
        <v>7</v>
      </c>
      <c r="E415">
        <v>2470</v>
      </c>
      <c r="F415" s="9"/>
    </row>
    <row r="416" spans="2:6" x14ac:dyDescent="0.25">
      <c r="B416">
        <v>414</v>
      </c>
      <c r="C416" s="1">
        <v>44400</v>
      </c>
      <c r="D416" t="s">
        <v>4</v>
      </c>
      <c r="E416">
        <v>8550</v>
      </c>
      <c r="F416" s="9"/>
    </row>
    <row r="417" spans="2:6" x14ac:dyDescent="0.25">
      <c r="B417">
        <v>415</v>
      </c>
      <c r="C417" s="1">
        <v>44400</v>
      </c>
      <c r="D417" t="s">
        <v>5</v>
      </c>
      <c r="E417">
        <v>6160</v>
      </c>
      <c r="F417" s="9"/>
    </row>
    <row r="418" spans="2:6" x14ac:dyDescent="0.25">
      <c r="B418">
        <v>416</v>
      </c>
      <c r="C418" s="1">
        <v>44401</v>
      </c>
      <c r="D418" t="s">
        <v>7</v>
      </c>
      <c r="E418">
        <v>9010</v>
      </c>
      <c r="F418" s="9"/>
    </row>
    <row r="419" spans="2:6" x14ac:dyDescent="0.25">
      <c r="B419">
        <v>417</v>
      </c>
      <c r="C419" s="1">
        <v>44401</v>
      </c>
      <c r="D419" t="s">
        <v>6</v>
      </c>
      <c r="E419">
        <v>1400</v>
      </c>
      <c r="F419" s="9"/>
    </row>
    <row r="420" spans="2:6" x14ac:dyDescent="0.25">
      <c r="B420">
        <v>418</v>
      </c>
      <c r="C420" s="1">
        <v>44401</v>
      </c>
      <c r="D420" t="s">
        <v>5</v>
      </c>
      <c r="E420">
        <v>7730</v>
      </c>
      <c r="F420" s="9"/>
    </row>
    <row r="421" spans="2:6" x14ac:dyDescent="0.25">
      <c r="B421">
        <v>419</v>
      </c>
      <c r="C421" s="1">
        <v>44401</v>
      </c>
      <c r="D421" t="s">
        <v>4</v>
      </c>
      <c r="E421">
        <v>8020</v>
      </c>
      <c r="F421" s="9"/>
    </row>
    <row r="422" spans="2:6" x14ac:dyDescent="0.25">
      <c r="B422">
        <v>420</v>
      </c>
      <c r="C422" s="1">
        <v>44402</v>
      </c>
      <c r="D422" t="s">
        <v>4</v>
      </c>
      <c r="E422">
        <v>2730</v>
      </c>
      <c r="F422" s="9"/>
    </row>
    <row r="423" spans="2:6" x14ac:dyDescent="0.25">
      <c r="B423">
        <v>421</v>
      </c>
      <c r="C423" s="1">
        <v>44403</v>
      </c>
      <c r="D423" t="s">
        <v>6</v>
      </c>
      <c r="E423">
        <v>8340</v>
      </c>
      <c r="F423" s="9"/>
    </row>
    <row r="424" spans="2:6" x14ac:dyDescent="0.25">
      <c r="B424">
        <v>422</v>
      </c>
      <c r="C424" s="1">
        <v>44404</v>
      </c>
      <c r="D424" t="s">
        <v>5</v>
      </c>
      <c r="E424">
        <v>850</v>
      </c>
      <c r="F424" s="9"/>
    </row>
    <row r="425" spans="2:6" x14ac:dyDescent="0.25">
      <c r="B425">
        <v>423</v>
      </c>
      <c r="C425" s="1">
        <v>44404</v>
      </c>
      <c r="D425" t="s">
        <v>7</v>
      </c>
      <c r="E425">
        <v>8740</v>
      </c>
      <c r="F425" s="9"/>
    </row>
    <row r="426" spans="2:6" x14ac:dyDescent="0.25">
      <c r="B426">
        <v>424</v>
      </c>
      <c r="C426" s="1">
        <v>44405</v>
      </c>
      <c r="D426" t="s">
        <v>5</v>
      </c>
      <c r="E426">
        <v>6720</v>
      </c>
      <c r="F426" s="9"/>
    </row>
    <row r="427" spans="2:6" x14ac:dyDescent="0.25">
      <c r="B427">
        <v>425</v>
      </c>
      <c r="C427" s="1">
        <v>44405</v>
      </c>
      <c r="D427" t="s">
        <v>4</v>
      </c>
      <c r="E427">
        <v>780</v>
      </c>
      <c r="F427" s="9"/>
    </row>
    <row r="428" spans="2:6" x14ac:dyDescent="0.25">
      <c r="B428">
        <v>426</v>
      </c>
      <c r="C428" s="1">
        <v>44405</v>
      </c>
      <c r="D428" t="s">
        <v>7</v>
      </c>
      <c r="E428">
        <v>1020</v>
      </c>
      <c r="F428" s="9"/>
    </row>
    <row r="429" spans="2:6" x14ac:dyDescent="0.25">
      <c r="B429">
        <v>427</v>
      </c>
      <c r="C429" s="1">
        <v>44406</v>
      </c>
      <c r="D429" t="s">
        <v>5</v>
      </c>
      <c r="E429">
        <v>4870</v>
      </c>
      <c r="F429" s="9"/>
    </row>
    <row r="430" spans="2:6" x14ac:dyDescent="0.25">
      <c r="B430">
        <v>428</v>
      </c>
      <c r="C430" s="1">
        <v>44406</v>
      </c>
      <c r="D430" t="s">
        <v>6</v>
      </c>
      <c r="E430">
        <v>7250</v>
      </c>
      <c r="F430" s="9"/>
    </row>
    <row r="431" spans="2:6" x14ac:dyDescent="0.25">
      <c r="B431">
        <v>429</v>
      </c>
      <c r="C431" s="1">
        <v>44406</v>
      </c>
      <c r="D431" t="s">
        <v>4</v>
      </c>
      <c r="E431">
        <v>330</v>
      </c>
      <c r="F431" s="9"/>
    </row>
    <row r="432" spans="2:6" x14ac:dyDescent="0.25">
      <c r="B432">
        <v>430</v>
      </c>
      <c r="C432" s="1">
        <v>44407</v>
      </c>
      <c r="D432" t="s">
        <v>5</v>
      </c>
      <c r="E432">
        <v>3290</v>
      </c>
      <c r="F432" s="9"/>
    </row>
    <row r="433" spans="2:6" x14ac:dyDescent="0.25">
      <c r="B433">
        <v>431</v>
      </c>
      <c r="C433" s="1">
        <v>44407</v>
      </c>
      <c r="D433" t="s">
        <v>6</v>
      </c>
      <c r="E433">
        <v>3820</v>
      </c>
      <c r="F433" s="9"/>
    </row>
    <row r="434" spans="2:6" x14ac:dyDescent="0.25">
      <c r="B434">
        <v>432</v>
      </c>
      <c r="C434" s="1">
        <v>44407</v>
      </c>
      <c r="D434" t="s">
        <v>4</v>
      </c>
      <c r="E434">
        <v>5660</v>
      </c>
      <c r="F434" s="9"/>
    </row>
    <row r="435" spans="2:6" x14ac:dyDescent="0.25">
      <c r="B435">
        <v>433</v>
      </c>
      <c r="C435" s="1">
        <v>44408</v>
      </c>
      <c r="D435" t="s">
        <v>4</v>
      </c>
      <c r="E435">
        <v>4200</v>
      </c>
      <c r="F435" s="9"/>
    </row>
    <row r="436" spans="2:6" x14ac:dyDescent="0.25">
      <c r="B436">
        <v>434</v>
      </c>
      <c r="C436" s="1">
        <v>44408</v>
      </c>
      <c r="D436" t="s">
        <v>7</v>
      </c>
      <c r="E436">
        <v>5870</v>
      </c>
      <c r="F436" s="9"/>
    </row>
    <row r="437" spans="2:6" x14ac:dyDescent="0.25">
      <c r="B437">
        <v>435</v>
      </c>
      <c r="C437" s="1">
        <v>44408</v>
      </c>
      <c r="D437" t="s">
        <v>6</v>
      </c>
      <c r="E437">
        <v>1670</v>
      </c>
      <c r="F437" s="9"/>
    </row>
    <row r="438" spans="2:6" x14ac:dyDescent="0.25">
      <c r="B438">
        <v>436</v>
      </c>
      <c r="C438" s="1">
        <v>44408</v>
      </c>
      <c r="D438" t="s">
        <v>5</v>
      </c>
      <c r="E438">
        <v>3960</v>
      </c>
      <c r="F438" s="9"/>
    </row>
    <row r="439" spans="2:6" x14ac:dyDescent="0.25">
      <c r="B439">
        <v>437</v>
      </c>
      <c r="C439" s="1">
        <v>44409</v>
      </c>
      <c r="D439" t="s">
        <v>4</v>
      </c>
      <c r="E439">
        <v>4200</v>
      </c>
      <c r="F439" s="9"/>
    </row>
    <row r="440" spans="2:6" x14ac:dyDescent="0.25">
      <c r="B440">
        <v>438</v>
      </c>
      <c r="C440" s="1">
        <v>44410</v>
      </c>
      <c r="D440" t="s">
        <v>7</v>
      </c>
      <c r="E440">
        <v>7980</v>
      </c>
      <c r="F440" s="9"/>
    </row>
    <row r="441" spans="2:6" x14ac:dyDescent="0.25">
      <c r="B441">
        <v>439</v>
      </c>
      <c r="C441" s="1">
        <v>44410</v>
      </c>
      <c r="D441" t="s">
        <v>4</v>
      </c>
      <c r="E441">
        <v>6110</v>
      </c>
      <c r="F441" s="9"/>
    </row>
    <row r="442" spans="2:6" x14ac:dyDescent="0.25">
      <c r="B442">
        <v>440</v>
      </c>
      <c r="C442" s="1">
        <v>44411</v>
      </c>
      <c r="D442" t="s">
        <v>7</v>
      </c>
      <c r="E442">
        <v>7750</v>
      </c>
      <c r="F442" s="9"/>
    </row>
    <row r="443" spans="2:6" x14ac:dyDescent="0.25">
      <c r="B443">
        <v>441</v>
      </c>
      <c r="C443" s="1">
        <v>44411</v>
      </c>
      <c r="D443" t="s">
        <v>5</v>
      </c>
      <c r="E443">
        <v>7450</v>
      </c>
      <c r="F443" s="9"/>
    </row>
    <row r="444" spans="2:6" x14ac:dyDescent="0.25">
      <c r="B444">
        <v>442</v>
      </c>
      <c r="C444" s="1">
        <v>44412</v>
      </c>
      <c r="D444" t="s">
        <v>6</v>
      </c>
      <c r="E444">
        <v>3400</v>
      </c>
      <c r="F444" s="9"/>
    </row>
    <row r="445" spans="2:6" x14ac:dyDescent="0.25">
      <c r="B445">
        <v>443</v>
      </c>
      <c r="C445" s="1">
        <v>44412</v>
      </c>
      <c r="D445" t="s">
        <v>7</v>
      </c>
      <c r="E445">
        <v>8560</v>
      </c>
      <c r="F445" s="9"/>
    </row>
    <row r="446" spans="2:6" x14ac:dyDescent="0.25">
      <c r="B446">
        <v>444</v>
      </c>
      <c r="C446" s="1">
        <v>44413</v>
      </c>
      <c r="D446" t="s">
        <v>6</v>
      </c>
      <c r="E446">
        <v>7190</v>
      </c>
      <c r="F446" s="9"/>
    </row>
    <row r="447" spans="2:6" x14ac:dyDescent="0.25">
      <c r="B447">
        <v>445</v>
      </c>
      <c r="C447" s="1">
        <v>44414</v>
      </c>
      <c r="D447" t="s">
        <v>6</v>
      </c>
      <c r="E447">
        <v>4590</v>
      </c>
      <c r="F447" s="9"/>
    </row>
    <row r="448" spans="2:6" x14ac:dyDescent="0.25">
      <c r="B448">
        <v>446</v>
      </c>
      <c r="C448" s="1">
        <v>44415</v>
      </c>
      <c r="D448" t="s">
        <v>7</v>
      </c>
      <c r="E448">
        <v>4050</v>
      </c>
      <c r="F448" s="9"/>
    </row>
    <row r="449" spans="2:6" x14ac:dyDescent="0.25">
      <c r="B449">
        <v>447</v>
      </c>
      <c r="C449" s="1">
        <v>44415</v>
      </c>
      <c r="D449" t="s">
        <v>5</v>
      </c>
      <c r="E449">
        <v>4310</v>
      </c>
      <c r="F449" s="9"/>
    </row>
    <row r="450" spans="2:6" x14ac:dyDescent="0.25">
      <c r="B450">
        <v>448</v>
      </c>
      <c r="C450" s="1">
        <v>44416</v>
      </c>
      <c r="D450" t="s">
        <v>6</v>
      </c>
      <c r="E450">
        <v>7100</v>
      </c>
      <c r="F450" s="9"/>
    </row>
    <row r="451" spans="2:6" x14ac:dyDescent="0.25">
      <c r="B451">
        <v>449</v>
      </c>
      <c r="C451" s="1">
        <v>44416</v>
      </c>
      <c r="D451" t="s">
        <v>4</v>
      </c>
      <c r="E451">
        <v>5280</v>
      </c>
      <c r="F451" s="9"/>
    </row>
    <row r="452" spans="2:6" x14ac:dyDescent="0.25">
      <c r="B452">
        <v>450</v>
      </c>
      <c r="C452" s="1">
        <v>44416</v>
      </c>
      <c r="D452" t="s">
        <v>7</v>
      </c>
      <c r="E452">
        <v>3350</v>
      </c>
      <c r="F452" s="9"/>
    </row>
    <row r="453" spans="2:6" x14ac:dyDescent="0.25">
      <c r="B453">
        <v>451</v>
      </c>
      <c r="C453" s="1">
        <v>44417</v>
      </c>
      <c r="D453" t="s">
        <v>6</v>
      </c>
      <c r="E453">
        <v>7820</v>
      </c>
      <c r="F453" s="9"/>
    </row>
    <row r="454" spans="2:6" x14ac:dyDescent="0.25">
      <c r="B454">
        <v>452</v>
      </c>
      <c r="C454" s="1">
        <v>44418</v>
      </c>
      <c r="D454" t="s">
        <v>6</v>
      </c>
      <c r="E454">
        <v>7910</v>
      </c>
      <c r="F454" s="9"/>
    </row>
    <row r="455" spans="2:6" x14ac:dyDescent="0.25">
      <c r="B455">
        <v>453</v>
      </c>
      <c r="C455" s="1">
        <v>44418</v>
      </c>
      <c r="D455" t="s">
        <v>5</v>
      </c>
      <c r="E455">
        <v>9000</v>
      </c>
      <c r="F455" s="9"/>
    </row>
    <row r="456" spans="2:6" x14ac:dyDescent="0.25">
      <c r="B456">
        <v>454</v>
      </c>
      <c r="C456" s="1">
        <v>44419</v>
      </c>
      <c r="D456" t="s">
        <v>5</v>
      </c>
      <c r="E456">
        <v>3240</v>
      </c>
      <c r="F456" s="9"/>
    </row>
    <row r="457" spans="2:6" x14ac:dyDescent="0.25">
      <c r="B457">
        <v>455</v>
      </c>
      <c r="C457" s="1">
        <v>44419</v>
      </c>
      <c r="D457" t="s">
        <v>7</v>
      </c>
      <c r="E457">
        <v>8700</v>
      </c>
      <c r="F457" s="9"/>
    </row>
    <row r="458" spans="2:6" x14ac:dyDescent="0.25">
      <c r="B458">
        <v>456</v>
      </c>
      <c r="C458" s="1">
        <v>44419</v>
      </c>
      <c r="D458" t="s">
        <v>4</v>
      </c>
      <c r="E458">
        <v>8110</v>
      </c>
      <c r="F458" s="9"/>
    </row>
    <row r="459" spans="2:6" x14ac:dyDescent="0.25">
      <c r="B459">
        <v>457</v>
      </c>
      <c r="C459" s="1">
        <v>44420</v>
      </c>
      <c r="D459" t="s">
        <v>7</v>
      </c>
      <c r="E459">
        <v>6510</v>
      </c>
      <c r="F459" s="9"/>
    </row>
    <row r="460" spans="2:6" x14ac:dyDescent="0.25">
      <c r="B460">
        <v>458</v>
      </c>
      <c r="C460" s="1">
        <v>44421</v>
      </c>
      <c r="D460" t="s">
        <v>5</v>
      </c>
      <c r="E460">
        <v>1150</v>
      </c>
      <c r="F460" s="9"/>
    </row>
    <row r="461" spans="2:6" x14ac:dyDescent="0.25">
      <c r="B461">
        <v>459</v>
      </c>
      <c r="C461" s="1">
        <v>44422</v>
      </c>
      <c r="D461" t="s">
        <v>7</v>
      </c>
      <c r="E461">
        <v>9430</v>
      </c>
      <c r="F461" s="9"/>
    </row>
    <row r="462" spans="2:6" x14ac:dyDescent="0.25">
      <c r="B462">
        <v>460</v>
      </c>
      <c r="C462" s="1">
        <v>44422</v>
      </c>
      <c r="D462" t="s">
        <v>4</v>
      </c>
      <c r="E462">
        <v>6500</v>
      </c>
      <c r="F462" s="9"/>
    </row>
    <row r="463" spans="2:6" x14ac:dyDescent="0.25">
      <c r="B463">
        <v>461</v>
      </c>
      <c r="C463" s="1">
        <v>44422</v>
      </c>
      <c r="D463" t="s">
        <v>5</v>
      </c>
      <c r="E463">
        <v>6410</v>
      </c>
      <c r="F463" s="9"/>
    </row>
    <row r="464" spans="2:6" x14ac:dyDescent="0.25">
      <c r="B464">
        <v>462</v>
      </c>
      <c r="C464" s="1">
        <v>44423</v>
      </c>
      <c r="D464" t="s">
        <v>7</v>
      </c>
      <c r="E464">
        <v>5300</v>
      </c>
      <c r="F464" s="9"/>
    </row>
    <row r="465" spans="2:6" x14ac:dyDescent="0.25">
      <c r="B465">
        <v>463</v>
      </c>
      <c r="C465" s="1">
        <v>44423</v>
      </c>
      <c r="D465" t="s">
        <v>4</v>
      </c>
      <c r="E465">
        <v>5430</v>
      </c>
      <c r="F465" s="9"/>
    </row>
    <row r="466" spans="2:6" x14ac:dyDescent="0.25">
      <c r="B466">
        <v>464</v>
      </c>
      <c r="C466" s="1">
        <v>44423</v>
      </c>
      <c r="D466" t="s">
        <v>5</v>
      </c>
      <c r="E466">
        <v>3660</v>
      </c>
      <c r="F466" s="9"/>
    </row>
    <row r="467" spans="2:6" x14ac:dyDescent="0.25">
      <c r="B467">
        <v>465</v>
      </c>
      <c r="C467" s="1">
        <v>44424</v>
      </c>
      <c r="D467" t="s">
        <v>4</v>
      </c>
      <c r="E467">
        <v>3000</v>
      </c>
      <c r="F467" s="9"/>
    </row>
    <row r="468" spans="2:6" x14ac:dyDescent="0.25">
      <c r="B468">
        <v>466</v>
      </c>
      <c r="C468" s="1">
        <v>44424</v>
      </c>
      <c r="D468" t="s">
        <v>5</v>
      </c>
      <c r="E468">
        <v>6120</v>
      </c>
      <c r="F468" s="9"/>
    </row>
    <row r="469" spans="2:6" x14ac:dyDescent="0.25">
      <c r="B469">
        <v>467</v>
      </c>
      <c r="C469" s="1">
        <v>44424</v>
      </c>
      <c r="D469" t="s">
        <v>6</v>
      </c>
      <c r="E469">
        <v>5850</v>
      </c>
      <c r="F469" s="9"/>
    </row>
    <row r="470" spans="2:6" x14ac:dyDescent="0.25">
      <c r="B470">
        <v>468</v>
      </c>
      <c r="C470" s="1">
        <v>44425</v>
      </c>
      <c r="D470" t="s">
        <v>5</v>
      </c>
      <c r="E470">
        <v>6690</v>
      </c>
      <c r="F470" s="9"/>
    </row>
    <row r="471" spans="2:6" x14ac:dyDescent="0.25">
      <c r="B471">
        <v>469</v>
      </c>
      <c r="C471" s="1">
        <v>44425</v>
      </c>
      <c r="D471" t="s">
        <v>4</v>
      </c>
      <c r="E471">
        <v>2510</v>
      </c>
      <c r="F471" s="9"/>
    </row>
    <row r="472" spans="2:6" x14ac:dyDescent="0.25">
      <c r="B472">
        <v>470</v>
      </c>
      <c r="C472" s="1">
        <v>44426</v>
      </c>
      <c r="D472" t="s">
        <v>6</v>
      </c>
      <c r="E472">
        <v>4090</v>
      </c>
      <c r="F472" s="9"/>
    </row>
    <row r="473" spans="2:6" x14ac:dyDescent="0.25">
      <c r="B473">
        <v>471</v>
      </c>
      <c r="C473" s="1">
        <v>44427</v>
      </c>
      <c r="D473" t="s">
        <v>5</v>
      </c>
      <c r="E473">
        <v>4580</v>
      </c>
      <c r="F473" s="9"/>
    </row>
    <row r="474" spans="2:6" x14ac:dyDescent="0.25">
      <c r="B474">
        <v>472</v>
      </c>
      <c r="C474" s="1">
        <v>44428</v>
      </c>
      <c r="D474" t="s">
        <v>6</v>
      </c>
      <c r="E474">
        <v>6590</v>
      </c>
      <c r="F474" s="9"/>
    </row>
    <row r="475" spans="2:6" x14ac:dyDescent="0.25">
      <c r="B475">
        <v>473</v>
      </c>
      <c r="C475" s="1">
        <v>44428</v>
      </c>
      <c r="D475" t="s">
        <v>4</v>
      </c>
      <c r="E475">
        <v>3060</v>
      </c>
      <c r="F475" s="9"/>
    </row>
    <row r="476" spans="2:6" x14ac:dyDescent="0.25">
      <c r="B476">
        <v>474</v>
      </c>
      <c r="C476" s="1">
        <v>44428</v>
      </c>
      <c r="D476" t="s">
        <v>7</v>
      </c>
      <c r="E476">
        <v>1220</v>
      </c>
      <c r="F476" s="9"/>
    </row>
    <row r="477" spans="2:6" x14ac:dyDescent="0.25">
      <c r="B477">
        <v>475</v>
      </c>
      <c r="C477" s="1">
        <v>44429</v>
      </c>
      <c r="D477" t="s">
        <v>7</v>
      </c>
      <c r="E477">
        <v>6590</v>
      </c>
      <c r="F477" s="9"/>
    </row>
    <row r="478" spans="2:6" x14ac:dyDescent="0.25">
      <c r="B478">
        <v>476</v>
      </c>
      <c r="C478" s="1">
        <v>44430</v>
      </c>
      <c r="D478" t="s">
        <v>5</v>
      </c>
      <c r="E478">
        <v>7000</v>
      </c>
      <c r="F478" s="9"/>
    </row>
    <row r="479" spans="2:6" x14ac:dyDescent="0.25">
      <c r="B479">
        <v>477</v>
      </c>
      <c r="C479" s="1">
        <v>44430</v>
      </c>
      <c r="D479" t="s">
        <v>4</v>
      </c>
      <c r="E479">
        <v>4530</v>
      </c>
      <c r="F479" s="9"/>
    </row>
    <row r="480" spans="2:6" x14ac:dyDescent="0.25">
      <c r="B480">
        <v>478</v>
      </c>
      <c r="C480" s="1">
        <v>44430</v>
      </c>
      <c r="D480" t="s">
        <v>7</v>
      </c>
      <c r="E480">
        <v>5480</v>
      </c>
      <c r="F480" s="9"/>
    </row>
    <row r="481" spans="2:6" x14ac:dyDescent="0.25">
      <c r="B481">
        <v>479</v>
      </c>
      <c r="C481" s="1">
        <v>44431</v>
      </c>
      <c r="D481" t="s">
        <v>4</v>
      </c>
      <c r="E481">
        <v>6400</v>
      </c>
      <c r="F481" s="9"/>
    </row>
    <row r="482" spans="2:6" x14ac:dyDescent="0.25">
      <c r="B482">
        <v>480</v>
      </c>
      <c r="C482" s="1">
        <v>44431</v>
      </c>
      <c r="D482" t="s">
        <v>5</v>
      </c>
      <c r="E482">
        <v>7870</v>
      </c>
      <c r="F482" s="9"/>
    </row>
    <row r="483" spans="2:6" x14ac:dyDescent="0.25">
      <c r="B483">
        <v>481</v>
      </c>
      <c r="C483" s="1">
        <v>44431</v>
      </c>
      <c r="D483" t="s">
        <v>7</v>
      </c>
      <c r="E483">
        <v>7490</v>
      </c>
      <c r="F483" s="9"/>
    </row>
    <row r="484" spans="2:6" x14ac:dyDescent="0.25">
      <c r="B484">
        <v>482</v>
      </c>
      <c r="C484" s="1">
        <v>44432</v>
      </c>
      <c r="D484" t="s">
        <v>5</v>
      </c>
      <c r="E484">
        <v>6900</v>
      </c>
      <c r="F484" s="9"/>
    </row>
    <row r="485" spans="2:6" x14ac:dyDescent="0.25">
      <c r="B485">
        <v>483</v>
      </c>
      <c r="C485" s="1">
        <v>44432</v>
      </c>
      <c r="D485" t="s">
        <v>6</v>
      </c>
      <c r="E485">
        <v>5180</v>
      </c>
      <c r="F485" s="9"/>
    </row>
    <row r="486" spans="2:6" x14ac:dyDescent="0.25">
      <c r="B486">
        <v>484</v>
      </c>
      <c r="C486" s="1">
        <v>44432</v>
      </c>
      <c r="D486" t="s">
        <v>4</v>
      </c>
      <c r="E486">
        <v>1870</v>
      </c>
      <c r="F486" s="9"/>
    </row>
    <row r="487" spans="2:6" x14ac:dyDescent="0.25">
      <c r="B487">
        <v>485</v>
      </c>
      <c r="C487" s="1">
        <v>44433</v>
      </c>
      <c r="D487" t="s">
        <v>7</v>
      </c>
      <c r="E487">
        <v>2520</v>
      </c>
      <c r="F487" s="9"/>
    </row>
    <row r="488" spans="2:6" x14ac:dyDescent="0.25">
      <c r="B488">
        <v>486</v>
      </c>
      <c r="C488" s="1">
        <v>44433</v>
      </c>
      <c r="D488" t="s">
        <v>5</v>
      </c>
      <c r="E488">
        <v>6360</v>
      </c>
      <c r="F488" s="9"/>
    </row>
    <row r="489" spans="2:6" x14ac:dyDescent="0.25">
      <c r="B489">
        <v>487</v>
      </c>
      <c r="C489" s="1">
        <v>44434</v>
      </c>
      <c r="D489" t="s">
        <v>4</v>
      </c>
      <c r="E489">
        <v>8890</v>
      </c>
      <c r="F489" s="9"/>
    </row>
    <row r="490" spans="2:6" x14ac:dyDescent="0.25">
      <c r="B490">
        <v>488</v>
      </c>
      <c r="C490" s="1">
        <v>44435</v>
      </c>
      <c r="D490" t="s">
        <v>7</v>
      </c>
      <c r="E490">
        <v>1470</v>
      </c>
      <c r="F490" s="9"/>
    </row>
    <row r="491" spans="2:6" x14ac:dyDescent="0.25">
      <c r="B491">
        <v>489</v>
      </c>
      <c r="C491" s="1">
        <v>44436</v>
      </c>
      <c r="D491" t="s">
        <v>7</v>
      </c>
      <c r="E491">
        <v>2950</v>
      </c>
      <c r="F491" s="9"/>
    </row>
    <row r="492" spans="2:6" x14ac:dyDescent="0.25">
      <c r="B492">
        <v>490</v>
      </c>
      <c r="C492" s="1">
        <v>44436</v>
      </c>
      <c r="D492" t="s">
        <v>4</v>
      </c>
      <c r="E492">
        <v>6730</v>
      </c>
      <c r="F492" s="9"/>
    </row>
    <row r="493" spans="2:6" x14ac:dyDescent="0.25">
      <c r="B493">
        <v>491</v>
      </c>
      <c r="C493" s="1">
        <v>44437</v>
      </c>
      <c r="D493" t="s">
        <v>5</v>
      </c>
      <c r="E493">
        <v>5530</v>
      </c>
      <c r="F493" s="9"/>
    </row>
    <row r="494" spans="2:6" x14ac:dyDescent="0.25">
      <c r="B494">
        <v>492</v>
      </c>
      <c r="C494" s="1">
        <v>44437</v>
      </c>
      <c r="D494" t="s">
        <v>7</v>
      </c>
      <c r="E494">
        <v>6600</v>
      </c>
      <c r="F494" s="9"/>
    </row>
    <row r="495" spans="2:6" x14ac:dyDescent="0.25">
      <c r="B495">
        <v>493</v>
      </c>
      <c r="C495" s="1">
        <v>44438</v>
      </c>
      <c r="D495" t="s">
        <v>5</v>
      </c>
      <c r="E495">
        <v>7740</v>
      </c>
      <c r="F495" s="9"/>
    </row>
    <row r="496" spans="2:6" x14ac:dyDescent="0.25">
      <c r="B496">
        <v>494</v>
      </c>
      <c r="C496" s="1">
        <v>44438</v>
      </c>
      <c r="D496" t="s">
        <v>7</v>
      </c>
      <c r="E496">
        <v>3800</v>
      </c>
      <c r="F496" s="9"/>
    </row>
    <row r="497" spans="2:6" x14ac:dyDescent="0.25">
      <c r="B497">
        <v>495</v>
      </c>
      <c r="C497" s="1">
        <v>44438</v>
      </c>
      <c r="D497" t="s">
        <v>4</v>
      </c>
      <c r="E497">
        <v>7060</v>
      </c>
      <c r="F497" s="9"/>
    </row>
    <row r="498" spans="2:6" x14ac:dyDescent="0.25">
      <c r="B498">
        <v>496</v>
      </c>
      <c r="C498" s="1">
        <v>44439</v>
      </c>
      <c r="D498" t="s">
        <v>4</v>
      </c>
      <c r="E498">
        <v>4560</v>
      </c>
      <c r="F498" s="9"/>
    </row>
    <row r="499" spans="2:6" x14ac:dyDescent="0.25">
      <c r="B499">
        <v>497</v>
      </c>
      <c r="C499" s="1">
        <v>44440</v>
      </c>
      <c r="D499" t="s">
        <v>4</v>
      </c>
      <c r="E499">
        <v>4620</v>
      </c>
      <c r="F499" s="9"/>
    </row>
    <row r="500" spans="2:6" x14ac:dyDescent="0.25">
      <c r="B500">
        <v>498</v>
      </c>
      <c r="C500" s="1">
        <v>44440</v>
      </c>
      <c r="D500" t="s">
        <v>7</v>
      </c>
      <c r="E500">
        <v>1530</v>
      </c>
      <c r="F500" s="9"/>
    </row>
    <row r="501" spans="2:6" x14ac:dyDescent="0.25">
      <c r="B501">
        <v>499</v>
      </c>
      <c r="C501" s="1">
        <v>44441</v>
      </c>
      <c r="D501" t="s">
        <v>4</v>
      </c>
      <c r="E501">
        <v>6920</v>
      </c>
      <c r="F501" s="9"/>
    </row>
    <row r="502" spans="2:6" x14ac:dyDescent="0.25">
      <c r="B502">
        <v>500</v>
      </c>
      <c r="C502" s="1">
        <v>44441</v>
      </c>
      <c r="D502" t="s">
        <v>6</v>
      </c>
      <c r="E502">
        <v>4100</v>
      </c>
      <c r="F502" s="9"/>
    </row>
    <row r="503" spans="2:6" x14ac:dyDescent="0.25">
      <c r="B503">
        <v>501</v>
      </c>
      <c r="C503" s="1">
        <v>44442</v>
      </c>
      <c r="D503" t="s">
        <v>5</v>
      </c>
      <c r="E503">
        <v>2870</v>
      </c>
      <c r="F503" s="9"/>
    </row>
    <row r="504" spans="2:6" x14ac:dyDescent="0.25">
      <c r="B504">
        <v>502</v>
      </c>
      <c r="C504" s="1">
        <v>44442</v>
      </c>
      <c r="D504" t="s">
        <v>4</v>
      </c>
      <c r="E504">
        <v>1160</v>
      </c>
      <c r="F504" s="9"/>
    </row>
    <row r="505" spans="2:6" x14ac:dyDescent="0.25">
      <c r="B505">
        <v>503</v>
      </c>
      <c r="C505" s="1">
        <v>44442</v>
      </c>
      <c r="D505" t="s">
        <v>6</v>
      </c>
      <c r="E505">
        <v>8460</v>
      </c>
      <c r="F505" s="9"/>
    </row>
    <row r="506" spans="2:6" x14ac:dyDescent="0.25">
      <c r="B506">
        <v>504</v>
      </c>
      <c r="C506" s="1">
        <v>44443</v>
      </c>
      <c r="D506" t="s">
        <v>5</v>
      </c>
      <c r="E506">
        <v>6880</v>
      </c>
      <c r="F506" s="9"/>
    </row>
    <row r="507" spans="2:6" x14ac:dyDescent="0.25">
      <c r="B507">
        <v>505</v>
      </c>
      <c r="C507" s="1">
        <v>44444</v>
      </c>
      <c r="D507" t="s">
        <v>7</v>
      </c>
      <c r="E507">
        <v>3610</v>
      </c>
      <c r="F507" s="9"/>
    </row>
    <row r="508" spans="2:6" x14ac:dyDescent="0.25">
      <c r="B508">
        <v>506</v>
      </c>
      <c r="C508" s="1">
        <v>44445</v>
      </c>
      <c r="D508" t="s">
        <v>6</v>
      </c>
      <c r="E508">
        <v>2400</v>
      </c>
      <c r="F508" s="9"/>
    </row>
    <row r="509" spans="2:6" x14ac:dyDescent="0.25">
      <c r="B509">
        <v>507</v>
      </c>
      <c r="C509" s="1">
        <v>44446</v>
      </c>
      <c r="D509" t="s">
        <v>5</v>
      </c>
      <c r="E509">
        <v>2660</v>
      </c>
      <c r="F509" s="9"/>
    </row>
    <row r="510" spans="2:6" x14ac:dyDescent="0.25">
      <c r="B510">
        <v>508</v>
      </c>
      <c r="C510" s="1">
        <v>44447</v>
      </c>
      <c r="D510" t="s">
        <v>7</v>
      </c>
      <c r="E510">
        <v>9310</v>
      </c>
      <c r="F510" s="9"/>
    </row>
    <row r="511" spans="2:6" x14ac:dyDescent="0.25">
      <c r="B511">
        <v>509</v>
      </c>
      <c r="C511" s="1">
        <v>44447</v>
      </c>
      <c r="D511" t="s">
        <v>5</v>
      </c>
      <c r="E511">
        <v>3980</v>
      </c>
      <c r="F511" s="9"/>
    </row>
    <row r="512" spans="2:6" x14ac:dyDescent="0.25">
      <c r="B512">
        <v>510</v>
      </c>
      <c r="C512" s="1">
        <v>44448</v>
      </c>
      <c r="D512" t="s">
        <v>6</v>
      </c>
      <c r="E512">
        <v>7000</v>
      </c>
      <c r="F512" s="9"/>
    </row>
    <row r="513" spans="2:6" x14ac:dyDescent="0.25">
      <c r="B513">
        <v>511</v>
      </c>
      <c r="C513" s="1">
        <v>44448</v>
      </c>
      <c r="D513" t="s">
        <v>5</v>
      </c>
      <c r="E513">
        <v>4660</v>
      </c>
      <c r="F513" s="9"/>
    </row>
    <row r="514" spans="2:6" x14ac:dyDescent="0.25">
      <c r="B514">
        <v>512</v>
      </c>
      <c r="C514" s="1">
        <v>44448</v>
      </c>
      <c r="D514" t="s">
        <v>4</v>
      </c>
      <c r="E514">
        <v>6620</v>
      </c>
      <c r="F514" s="9"/>
    </row>
    <row r="515" spans="2:6" x14ac:dyDescent="0.25">
      <c r="B515">
        <v>513</v>
      </c>
      <c r="C515" s="1">
        <v>44449</v>
      </c>
      <c r="D515" t="s">
        <v>6</v>
      </c>
      <c r="E515">
        <v>1690</v>
      </c>
      <c r="F515" s="9"/>
    </row>
    <row r="516" spans="2:6" x14ac:dyDescent="0.25">
      <c r="B516">
        <v>514</v>
      </c>
      <c r="C516" s="1">
        <v>44449</v>
      </c>
      <c r="D516" t="s">
        <v>7</v>
      </c>
      <c r="E516">
        <v>6080</v>
      </c>
      <c r="F516" s="9"/>
    </row>
    <row r="517" spans="2:6" x14ac:dyDescent="0.25">
      <c r="B517">
        <v>515</v>
      </c>
      <c r="C517" s="1">
        <v>44450</v>
      </c>
      <c r="D517" t="s">
        <v>4</v>
      </c>
      <c r="E517">
        <v>1970</v>
      </c>
      <c r="F517" s="9"/>
    </row>
    <row r="518" spans="2:6" x14ac:dyDescent="0.25">
      <c r="B518">
        <v>516</v>
      </c>
      <c r="C518" s="1">
        <v>44450</v>
      </c>
      <c r="D518" t="s">
        <v>6</v>
      </c>
      <c r="E518">
        <v>4320</v>
      </c>
      <c r="F518" s="9"/>
    </row>
    <row r="519" spans="2:6" x14ac:dyDescent="0.25">
      <c r="B519">
        <v>517</v>
      </c>
      <c r="C519" s="1">
        <v>44450</v>
      </c>
      <c r="D519" t="s">
        <v>5</v>
      </c>
      <c r="E519">
        <v>3310</v>
      </c>
      <c r="F519" s="9"/>
    </row>
    <row r="520" spans="2:6" x14ac:dyDescent="0.25">
      <c r="B520">
        <v>518</v>
      </c>
      <c r="C520" s="1">
        <v>44451</v>
      </c>
      <c r="D520" t="s">
        <v>7</v>
      </c>
      <c r="E520">
        <v>3550</v>
      </c>
      <c r="F520" s="9"/>
    </row>
    <row r="521" spans="2:6" x14ac:dyDescent="0.25">
      <c r="B521">
        <v>519</v>
      </c>
      <c r="C521" s="1">
        <v>44451</v>
      </c>
      <c r="D521" t="s">
        <v>4</v>
      </c>
      <c r="E521">
        <v>5210</v>
      </c>
      <c r="F521" s="9"/>
    </row>
    <row r="522" spans="2:6" x14ac:dyDescent="0.25">
      <c r="B522">
        <v>520</v>
      </c>
      <c r="C522" s="1">
        <v>44451</v>
      </c>
      <c r="D522" t="s">
        <v>5</v>
      </c>
      <c r="E522">
        <v>2990</v>
      </c>
      <c r="F522" s="9"/>
    </row>
    <row r="523" spans="2:6" x14ac:dyDescent="0.25">
      <c r="B523">
        <v>521</v>
      </c>
      <c r="C523" s="1">
        <v>44452</v>
      </c>
      <c r="D523" t="s">
        <v>6</v>
      </c>
      <c r="E523">
        <v>7890</v>
      </c>
      <c r="F523" s="9"/>
    </row>
    <row r="524" spans="2:6" x14ac:dyDescent="0.25">
      <c r="B524">
        <v>522</v>
      </c>
      <c r="C524" s="1">
        <v>44452</v>
      </c>
      <c r="D524" t="s">
        <v>5</v>
      </c>
      <c r="E524">
        <v>3440</v>
      </c>
      <c r="F524" s="9"/>
    </row>
    <row r="525" spans="2:6" x14ac:dyDescent="0.25">
      <c r="B525">
        <v>523</v>
      </c>
      <c r="C525" s="1">
        <v>44452</v>
      </c>
      <c r="D525" t="s">
        <v>7</v>
      </c>
      <c r="E525">
        <v>6170</v>
      </c>
      <c r="F525" s="9"/>
    </row>
    <row r="526" spans="2:6" x14ac:dyDescent="0.25">
      <c r="B526">
        <v>524</v>
      </c>
      <c r="C526" s="1">
        <v>44453</v>
      </c>
      <c r="D526" t="s">
        <v>4</v>
      </c>
      <c r="E526">
        <v>8230</v>
      </c>
      <c r="F526" s="9"/>
    </row>
    <row r="527" spans="2:6" x14ac:dyDescent="0.25">
      <c r="B527">
        <v>525</v>
      </c>
      <c r="C527" s="1">
        <v>44454</v>
      </c>
      <c r="D527" t="s">
        <v>5</v>
      </c>
      <c r="E527">
        <v>4710</v>
      </c>
      <c r="F527" s="9"/>
    </row>
    <row r="528" spans="2:6" x14ac:dyDescent="0.25">
      <c r="B528">
        <v>526</v>
      </c>
      <c r="C528" s="1">
        <v>44454</v>
      </c>
      <c r="D528" t="s">
        <v>6</v>
      </c>
      <c r="E528">
        <v>5870</v>
      </c>
      <c r="F528" s="9"/>
    </row>
    <row r="529" spans="2:6" x14ac:dyDescent="0.25">
      <c r="B529">
        <v>527</v>
      </c>
      <c r="C529" s="1">
        <v>44454</v>
      </c>
      <c r="D529" t="s">
        <v>7</v>
      </c>
      <c r="E529">
        <v>4400</v>
      </c>
      <c r="F529" s="9"/>
    </row>
    <row r="530" spans="2:6" x14ac:dyDescent="0.25">
      <c r="B530">
        <v>528</v>
      </c>
      <c r="C530" s="1">
        <v>44455</v>
      </c>
      <c r="D530" t="s">
        <v>4</v>
      </c>
      <c r="E530">
        <v>9580</v>
      </c>
      <c r="F530" s="9"/>
    </row>
    <row r="531" spans="2:6" x14ac:dyDescent="0.25">
      <c r="B531">
        <v>529</v>
      </c>
      <c r="C531" s="1">
        <v>44456</v>
      </c>
      <c r="D531" t="s">
        <v>5</v>
      </c>
      <c r="E531">
        <v>6730</v>
      </c>
      <c r="F531" s="9"/>
    </row>
    <row r="532" spans="2:6" x14ac:dyDescent="0.25">
      <c r="B532">
        <v>530</v>
      </c>
      <c r="C532" s="1">
        <v>44456</v>
      </c>
      <c r="D532" t="s">
        <v>7</v>
      </c>
      <c r="E532">
        <v>3320</v>
      </c>
      <c r="F532" s="9"/>
    </row>
    <row r="533" spans="2:6" x14ac:dyDescent="0.25">
      <c r="B533">
        <v>531</v>
      </c>
      <c r="C533" s="1">
        <v>44456</v>
      </c>
      <c r="D533" t="s">
        <v>4</v>
      </c>
      <c r="E533">
        <v>7580</v>
      </c>
      <c r="F533" s="9"/>
    </row>
    <row r="534" spans="2:6" x14ac:dyDescent="0.25">
      <c r="B534">
        <v>532</v>
      </c>
      <c r="C534" s="1">
        <v>44457</v>
      </c>
      <c r="D534" t="s">
        <v>6</v>
      </c>
      <c r="E534">
        <v>7650</v>
      </c>
      <c r="F534" s="9"/>
    </row>
    <row r="535" spans="2:6" x14ac:dyDescent="0.25">
      <c r="B535">
        <v>533</v>
      </c>
      <c r="C535" s="1">
        <v>44457</v>
      </c>
      <c r="D535" t="s">
        <v>5</v>
      </c>
      <c r="E535">
        <v>2640</v>
      </c>
      <c r="F535" s="9"/>
    </row>
    <row r="536" spans="2:6" x14ac:dyDescent="0.25">
      <c r="B536">
        <v>534</v>
      </c>
      <c r="C536" s="1">
        <v>44458</v>
      </c>
      <c r="D536" t="s">
        <v>7</v>
      </c>
      <c r="E536">
        <v>9750</v>
      </c>
      <c r="F536" s="9"/>
    </row>
    <row r="537" spans="2:6" x14ac:dyDescent="0.25">
      <c r="B537">
        <v>535</v>
      </c>
      <c r="C537" s="1">
        <v>44458</v>
      </c>
      <c r="D537" t="s">
        <v>5</v>
      </c>
      <c r="E537">
        <v>9860</v>
      </c>
      <c r="F537" s="9"/>
    </row>
    <row r="538" spans="2:6" x14ac:dyDescent="0.25">
      <c r="B538">
        <v>536</v>
      </c>
      <c r="C538" s="1">
        <v>44458</v>
      </c>
      <c r="D538" t="s">
        <v>6</v>
      </c>
      <c r="E538">
        <v>8160</v>
      </c>
      <c r="F538" s="9"/>
    </row>
    <row r="539" spans="2:6" x14ac:dyDescent="0.25">
      <c r="B539">
        <v>537</v>
      </c>
      <c r="C539" s="1">
        <v>44459</v>
      </c>
      <c r="D539" t="s">
        <v>4</v>
      </c>
      <c r="E539">
        <v>6280</v>
      </c>
      <c r="F539" s="9"/>
    </row>
    <row r="540" spans="2:6" x14ac:dyDescent="0.25">
      <c r="B540">
        <v>538</v>
      </c>
      <c r="C540" s="1">
        <v>44459</v>
      </c>
      <c r="D540" t="s">
        <v>7</v>
      </c>
      <c r="E540">
        <v>6490</v>
      </c>
      <c r="F540" s="9"/>
    </row>
    <row r="541" spans="2:6" x14ac:dyDescent="0.25">
      <c r="B541">
        <v>539</v>
      </c>
      <c r="C541" s="1">
        <v>44460</v>
      </c>
      <c r="D541" t="s">
        <v>4</v>
      </c>
      <c r="E541">
        <v>4110</v>
      </c>
      <c r="F541" s="9"/>
    </row>
    <row r="542" spans="2:6" x14ac:dyDescent="0.25">
      <c r="B542">
        <v>540</v>
      </c>
      <c r="C542" s="1">
        <v>44460</v>
      </c>
      <c r="D542" t="s">
        <v>7</v>
      </c>
      <c r="E542">
        <v>3140</v>
      </c>
      <c r="F542" s="9"/>
    </row>
    <row r="543" spans="2:6" x14ac:dyDescent="0.25">
      <c r="B543">
        <v>541</v>
      </c>
      <c r="C543" s="1">
        <v>44461</v>
      </c>
      <c r="D543" t="s">
        <v>7</v>
      </c>
      <c r="E543">
        <v>3550</v>
      </c>
      <c r="F543" s="9"/>
    </row>
    <row r="544" spans="2:6" x14ac:dyDescent="0.25">
      <c r="B544">
        <v>542</v>
      </c>
      <c r="C544" s="1">
        <v>44461</v>
      </c>
      <c r="D544" t="s">
        <v>6</v>
      </c>
      <c r="E544">
        <v>1280</v>
      </c>
      <c r="F544" s="9"/>
    </row>
    <row r="545" spans="2:6" x14ac:dyDescent="0.25">
      <c r="B545">
        <v>543</v>
      </c>
      <c r="C545" s="1">
        <v>44462</v>
      </c>
      <c r="D545" t="s">
        <v>6</v>
      </c>
      <c r="E545">
        <v>8360</v>
      </c>
      <c r="F545" s="9"/>
    </row>
    <row r="546" spans="2:6" x14ac:dyDescent="0.25">
      <c r="B546">
        <v>544</v>
      </c>
      <c r="C546" s="1">
        <v>44463</v>
      </c>
      <c r="D546" t="s">
        <v>7</v>
      </c>
      <c r="E546">
        <v>2930</v>
      </c>
      <c r="F546" s="9"/>
    </row>
    <row r="547" spans="2:6" x14ac:dyDescent="0.25">
      <c r="B547">
        <v>545</v>
      </c>
      <c r="C547" s="1">
        <v>44463</v>
      </c>
      <c r="D547" t="s">
        <v>6</v>
      </c>
      <c r="E547">
        <v>9920</v>
      </c>
      <c r="F547" s="9"/>
    </row>
    <row r="548" spans="2:6" x14ac:dyDescent="0.25">
      <c r="B548">
        <v>546</v>
      </c>
      <c r="C548" s="1">
        <v>44464</v>
      </c>
      <c r="D548" t="s">
        <v>6</v>
      </c>
      <c r="E548">
        <v>3140</v>
      </c>
      <c r="F548" s="9"/>
    </row>
    <row r="549" spans="2:6" x14ac:dyDescent="0.25">
      <c r="B549">
        <v>547</v>
      </c>
      <c r="C549" s="1">
        <v>44465</v>
      </c>
      <c r="D549" t="s">
        <v>4</v>
      </c>
      <c r="E549">
        <v>1010</v>
      </c>
      <c r="F549" s="9"/>
    </row>
    <row r="550" spans="2:6" x14ac:dyDescent="0.25">
      <c r="B550">
        <v>548</v>
      </c>
      <c r="C550" s="1">
        <v>44466</v>
      </c>
      <c r="D550" t="s">
        <v>6</v>
      </c>
      <c r="E550">
        <v>9210</v>
      </c>
      <c r="F550" s="9"/>
    </row>
    <row r="551" spans="2:6" x14ac:dyDescent="0.25">
      <c r="B551">
        <v>549</v>
      </c>
      <c r="C551" s="1">
        <v>44466</v>
      </c>
      <c r="D551" t="s">
        <v>7</v>
      </c>
      <c r="E551">
        <v>1880</v>
      </c>
      <c r="F551" s="9"/>
    </row>
    <row r="552" spans="2:6" x14ac:dyDescent="0.25">
      <c r="B552">
        <v>550</v>
      </c>
      <c r="C552" s="1">
        <v>44467</v>
      </c>
      <c r="D552" t="s">
        <v>5</v>
      </c>
      <c r="E552">
        <v>5080</v>
      </c>
      <c r="F552" s="9"/>
    </row>
    <row r="553" spans="2:6" x14ac:dyDescent="0.25">
      <c r="B553">
        <v>551</v>
      </c>
      <c r="C553" s="1">
        <v>44467</v>
      </c>
      <c r="D553" t="s">
        <v>7</v>
      </c>
      <c r="E553">
        <v>6540</v>
      </c>
      <c r="F553" s="9"/>
    </row>
    <row r="554" spans="2:6" x14ac:dyDescent="0.25">
      <c r="B554">
        <v>552</v>
      </c>
      <c r="C554" s="1">
        <v>44468</v>
      </c>
      <c r="D554" t="s">
        <v>6</v>
      </c>
      <c r="E554">
        <v>3250</v>
      </c>
      <c r="F554" s="9"/>
    </row>
    <row r="555" spans="2:6" x14ac:dyDescent="0.25">
      <c r="B555">
        <v>553</v>
      </c>
      <c r="C555" s="1">
        <v>44469</v>
      </c>
      <c r="D555" t="s">
        <v>4</v>
      </c>
      <c r="E555">
        <v>5080</v>
      </c>
      <c r="F555" s="9"/>
    </row>
    <row r="556" spans="2:6" x14ac:dyDescent="0.25">
      <c r="B556">
        <v>554</v>
      </c>
      <c r="C556" s="1">
        <v>44469</v>
      </c>
      <c r="D556" t="s">
        <v>5</v>
      </c>
      <c r="E556">
        <v>7660</v>
      </c>
      <c r="F556" s="9"/>
    </row>
    <row r="557" spans="2:6" x14ac:dyDescent="0.25">
      <c r="B557">
        <v>555</v>
      </c>
      <c r="C557" s="1">
        <v>44470</v>
      </c>
      <c r="D557" t="s">
        <v>7</v>
      </c>
      <c r="E557">
        <v>7840</v>
      </c>
      <c r="F557" s="9"/>
    </row>
    <row r="558" spans="2:6" x14ac:dyDescent="0.25">
      <c r="B558">
        <v>556</v>
      </c>
      <c r="C558" s="1">
        <v>44470</v>
      </c>
      <c r="D558" t="s">
        <v>6</v>
      </c>
      <c r="E558">
        <v>2060</v>
      </c>
      <c r="F558" s="9"/>
    </row>
    <row r="559" spans="2:6" x14ac:dyDescent="0.25">
      <c r="B559">
        <v>557</v>
      </c>
      <c r="C559" s="1">
        <v>44471</v>
      </c>
      <c r="D559" t="s">
        <v>5</v>
      </c>
      <c r="E559">
        <v>1010</v>
      </c>
      <c r="F559" s="9"/>
    </row>
    <row r="560" spans="2:6" x14ac:dyDescent="0.25">
      <c r="B560">
        <v>558</v>
      </c>
      <c r="C560" s="1">
        <v>44472</v>
      </c>
      <c r="D560" t="s">
        <v>5</v>
      </c>
      <c r="E560">
        <v>7540</v>
      </c>
      <c r="F560" s="9"/>
    </row>
    <row r="561" spans="2:6" x14ac:dyDescent="0.25">
      <c r="B561">
        <v>559</v>
      </c>
      <c r="C561" s="1">
        <v>44472</v>
      </c>
      <c r="D561" t="s">
        <v>7</v>
      </c>
      <c r="E561">
        <v>6350</v>
      </c>
      <c r="F561" s="9"/>
    </row>
    <row r="562" spans="2:6" x14ac:dyDescent="0.25">
      <c r="B562">
        <v>560</v>
      </c>
      <c r="C562" s="1">
        <v>44472</v>
      </c>
      <c r="D562" t="s">
        <v>4</v>
      </c>
      <c r="E562">
        <v>9160</v>
      </c>
      <c r="F562" s="9"/>
    </row>
    <row r="563" spans="2:6" x14ac:dyDescent="0.25">
      <c r="B563">
        <v>561</v>
      </c>
      <c r="C563" s="1">
        <v>44473</v>
      </c>
      <c r="D563" t="s">
        <v>5</v>
      </c>
      <c r="E563">
        <v>9800</v>
      </c>
      <c r="F563" s="9"/>
    </row>
    <row r="564" spans="2:6" x14ac:dyDescent="0.25">
      <c r="B564">
        <v>562</v>
      </c>
      <c r="C564" s="1">
        <v>44473</v>
      </c>
      <c r="D564" t="s">
        <v>7</v>
      </c>
      <c r="E564">
        <v>4990</v>
      </c>
      <c r="F564" s="9"/>
    </row>
    <row r="565" spans="2:6" x14ac:dyDescent="0.25">
      <c r="B565">
        <v>563</v>
      </c>
      <c r="C565" s="1">
        <v>44474</v>
      </c>
      <c r="D565" t="s">
        <v>6</v>
      </c>
      <c r="E565">
        <v>5220</v>
      </c>
      <c r="F565" s="9"/>
    </row>
    <row r="566" spans="2:6" x14ac:dyDescent="0.25">
      <c r="B566">
        <v>564</v>
      </c>
      <c r="C566" s="1">
        <v>44474</v>
      </c>
      <c r="D566" t="s">
        <v>4</v>
      </c>
      <c r="E566">
        <v>3610</v>
      </c>
      <c r="F566" s="9"/>
    </row>
    <row r="567" spans="2:6" x14ac:dyDescent="0.25">
      <c r="B567">
        <v>565</v>
      </c>
      <c r="C567" s="1">
        <v>44474</v>
      </c>
      <c r="D567" t="s">
        <v>5</v>
      </c>
      <c r="E567">
        <v>5150</v>
      </c>
      <c r="F567" s="9"/>
    </row>
    <row r="568" spans="2:6" x14ac:dyDescent="0.25">
      <c r="B568">
        <v>566</v>
      </c>
      <c r="C568" s="1">
        <v>44475</v>
      </c>
      <c r="D568" t="s">
        <v>6</v>
      </c>
      <c r="E568">
        <v>2500</v>
      </c>
      <c r="F568" s="9"/>
    </row>
    <row r="569" spans="2:6" x14ac:dyDescent="0.25">
      <c r="B569">
        <v>567</v>
      </c>
      <c r="C569" s="1">
        <v>44475</v>
      </c>
      <c r="D569" t="s">
        <v>5</v>
      </c>
      <c r="E569">
        <v>8900</v>
      </c>
      <c r="F569" s="9"/>
    </row>
    <row r="570" spans="2:6" x14ac:dyDescent="0.25">
      <c r="B570">
        <v>568</v>
      </c>
      <c r="C570" s="1">
        <v>44475</v>
      </c>
      <c r="D570" t="s">
        <v>7</v>
      </c>
      <c r="E570">
        <v>2040</v>
      </c>
      <c r="F570" s="9"/>
    </row>
    <row r="571" spans="2:6" x14ac:dyDescent="0.25">
      <c r="B571">
        <v>569</v>
      </c>
      <c r="C571" s="1">
        <v>44476</v>
      </c>
      <c r="D571" t="s">
        <v>4</v>
      </c>
      <c r="E571">
        <v>8930</v>
      </c>
      <c r="F571" s="9"/>
    </row>
    <row r="572" spans="2:6" x14ac:dyDescent="0.25">
      <c r="B572">
        <v>570</v>
      </c>
      <c r="C572" s="1">
        <v>44477</v>
      </c>
      <c r="D572" t="s">
        <v>5</v>
      </c>
      <c r="E572">
        <v>4980</v>
      </c>
      <c r="F572" s="9"/>
    </row>
    <row r="573" spans="2:6" x14ac:dyDescent="0.25">
      <c r="B573">
        <v>571</v>
      </c>
      <c r="C573" s="1">
        <v>44477</v>
      </c>
      <c r="D573" t="s">
        <v>6</v>
      </c>
      <c r="E573">
        <v>7120</v>
      </c>
      <c r="F573" s="9"/>
    </row>
    <row r="574" spans="2:6" x14ac:dyDescent="0.25">
      <c r="B574">
        <v>572</v>
      </c>
      <c r="C574" s="1">
        <v>44477</v>
      </c>
      <c r="D574" t="s">
        <v>4</v>
      </c>
      <c r="E574">
        <v>1780</v>
      </c>
      <c r="F574" s="9"/>
    </row>
    <row r="575" spans="2:6" x14ac:dyDescent="0.25">
      <c r="B575">
        <v>573</v>
      </c>
      <c r="C575" s="1">
        <v>44478</v>
      </c>
      <c r="D575" t="s">
        <v>5</v>
      </c>
      <c r="E575">
        <v>8360</v>
      </c>
      <c r="F575" s="9"/>
    </row>
    <row r="576" spans="2:6" x14ac:dyDescent="0.25">
      <c r="B576">
        <v>574</v>
      </c>
      <c r="C576" s="1">
        <v>44478</v>
      </c>
      <c r="D576" t="s">
        <v>4</v>
      </c>
      <c r="E576">
        <v>5240</v>
      </c>
      <c r="F576" s="9"/>
    </row>
    <row r="577" spans="2:6" x14ac:dyDescent="0.25">
      <c r="B577">
        <v>575</v>
      </c>
      <c r="C577" s="1">
        <v>44478</v>
      </c>
      <c r="D577" t="s">
        <v>7</v>
      </c>
      <c r="E577">
        <v>5420</v>
      </c>
      <c r="F577" s="9"/>
    </row>
    <row r="578" spans="2:6" x14ac:dyDescent="0.25">
      <c r="B578">
        <v>576</v>
      </c>
      <c r="C578" s="1">
        <v>44479</v>
      </c>
      <c r="D578" t="s">
        <v>7</v>
      </c>
      <c r="E578">
        <v>9390</v>
      </c>
      <c r="F578" s="9"/>
    </row>
    <row r="579" spans="2:6" x14ac:dyDescent="0.25">
      <c r="B579">
        <v>577</v>
      </c>
      <c r="C579" s="1">
        <v>44479</v>
      </c>
      <c r="D579" t="s">
        <v>4</v>
      </c>
      <c r="E579">
        <v>2510</v>
      </c>
      <c r="F579" s="9"/>
    </row>
    <row r="580" spans="2:6" x14ac:dyDescent="0.25">
      <c r="B580">
        <v>578</v>
      </c>
      <c r="C580" s="1">
        <v>44480</v>
      </c>
      <c r="D580" t="s">
        <v>7</v>
      </c>
      <c r="E580">
        <v>7980</v>
      </c>
      <c r="F580" s="9"/>
    </row>
    <row r="581" spans="2:6" x14ac:dyDescent="0.25">
      <c r="B581">
        <v>579</v>
      </c>
      <c r="C581" s="1">
        <v>44480</v>
      </c>
      <c r="D581" t="s">
        <v>4</v>
      </c>
      <c r="E581">
        <v>3720</v>
      </c>
      <c r="F581" s="9"/>
    </row>
    <row r="582" spans="2:6" x14ac:dyDescent="0.25">
      <c r="B582">
        <v>580</v>
      </c>
      <c r="C582" s="1">
        <v>44481</v>
      </c>
      <c r="D582" t="s">
        <v>4</v>
      </c>
      <c r="E582">
        <v>3210</v>
      </c>
      <c r="F582" s="9"/>
    </row>
    <row r="583" spans="2:6" x14ac:dyDescent="0.25">
      <c r="B583">
        <v>581</v>
      </c>
      <c r="C583" s="1">
        <v>44482</v>
      </c>
      <c r="D583" t="s">
        <v>7</v>
      </c>
      <c r="E583">
        <v>7640</v>
      </c>
      <c r="F583" s="9"/>
    </row>
    <row r="584" spans="2:6" x14ac:dyDescent="0.25">
      <c r="B584">
        <v>582</v>
      </c>
      <c r="C584" s="1">
        <v>44482</v>
      </c>
      <c r="D584" t="s">
        <v>4</v>
      </c>
      <c r="E584">
        <v>6100</v>
      </c>
      <c r="F584" s="9"/>
    </row>
    <row r="585" spans="2:6" x14ac:dyDescent="0.25">
      <c r="B585">
        <v>583</v>
      </c>
      <c r="C585" s="1">
        <v>44483</v>
      </c>
      <c r="D585" t="s">
        <v>4</v>
      </c>
      <c r="E585">
        <v>6850</v>
      </c>
      <c r="F585" s="9"/>
    </row>
    <row r="586" spans="2:6" x14ac:dyDescent="0.25">
      <c r="B586">
        <v>584</v>
      </c>
      <c r="C586" s="1">
        <v>44483</v>
      </c>
      <c r="D586" t="s">
        <v>7</v>
      </c>
      <c r="E586">
        <v>2170</v>
      </c>
      <c r="F586" s="9"/>
    </row>
    <row r="587" spans="2:6" x14ac:dyDescent="0.25">
      <c r="B587">
        <v>585</v>
      </c>
      <c r="C587" s="1">
        <v>44484</v>
      </c>
      <c r="D587" t="s">
        <v>5</v>
      </c>
      <c r="E587">
        <v>6230</v>
      </c>
      <c r="F587" s="9"/>
    </row>
    <row r="588" spans="2:6" x14ac:dyDescent="0.25">
      <c r="B588">
        <v>586</v>
      </c>
      <c r="C588" s="1">
        <v>44484</v>
      </c>
      <c r="D588" t="s">
        <v>7</v>
      </c>
      <c r="E588">
        <v>2310</v>
      </c>
      <c r="F588" s="9"/>
    </row>
    <row r="589" spans="2:6" x14ac:dyDescent="0.25">
      <c r="B589">
        <v>587</v>
      </c>
      <c r="C589" s="1">
        <v>44485</v>
      </c>
      <c r="D589" t="s">
        <v>6</v>
      </c>
      <c r="E589">
        <v>5650</v>
      </c>
      <c r="F589" s="9"/>
    </row>
    <row r="590" spans="2:6" x14ac:dyDescent="0.25">
      <c r="B590">
        <v>588</v>
      </c>
      <c r="C590" s="1">
        <v>44485</v>
      </c>
      <c r="D590" t="s">
        <v>7</v>
      </c>
      <c r="E590">
        <v>7250</v>
      </c>
      <c r="F590" s="9"/>
    </row>
    <row r="591" spans="2:6" x14ac:dyDescent="0.25">
      <c r="B591">
        <v>589</v>
      </c>
      <c r="C591" s="1">
        <v>44486</v>
      </c>
      <c r="D591" t="s">
        <v>7</v>
      </c>
      <c r="E591">
        <v>3650</v>
      </c>
      <c r="F591" s="9"/>
    </row>
    <row r="592" spans="2:6" x14ac:dyDescent="0.25">
      <c r="B592">
        <v>590</v>
      </c>
      <c r="C592" s="1">
        <v>44486</v>
      </c>
      <c r="D592" t="s">
        <v>5</v>
      </c>
      <c r="E592">
        <v>4190</v>
      </c>
      <c r="F592" s="9"/>
    </row>
    <row r="593" spans="2:6" x14ac:dyDescent="0.25">
      <c r="B593">
        <v>591</v>
      </c>
      <c r="C593" s="1">
        <v>44486</v>
      </c>
      <c r="D593" t="s">
        <v>4</v>
      </c>
      <c r="E593">
        <v>7920</v>
      </c>
      <c r="F593" s="9"/>
    </row>
    <row r="594" spans="2:6" x14ac:dyDescent="0.25">
      <c r="B594">
        <v>592</v>
      </c>
      <c r="C594" s="1">
        <v>44487</v>
      </c>
      <c r="D594" t="s">
        <v>5</v>
      </c>
      <c r="E594">
        <v>5920</v>
      </c>
      <c r="F594" s="9"/>
    </row>
    <row r="595" spans="2:6" x14ac:dyDescent="0.25">
      <c r="B595">
        <v>593</v>
      </c>
      <c r="C595" s="1">
        <v>44487</v>
      </c>
      <c r="D595" t="s">
        <v>4</v>
      </c>
      <c r="E595">
        <v>5270</v>
      </c>
      <c r="F595" s="9"/>
    </row>
    <row r="596" spans="2:6" x14ac:dyDescent="0.25">
      <c r="B596">
        <v>594</v>
      </c>
      <c r="C596" s="1">
        <v>44488</v>
      </c>
      <c r="D596" t="s">
        <v>6</v>
      </c>
      <c r="E596">
        <v>7990</v>
      </c>
      <c r="F596" s="9"/>
    </row>
    <row r="597" spans="2:6" x14ac:dyDescent="0.25">
      <c r="B597">
        <v>595</v>
      </c>
      <c r="C597" s="1">
        <v>44488</v>
      </c>
      <c r="D597" t="s">
        <v>5</v>
      </c>
      <c r="E597">
        <v>5450</v>
      </c>
      <c r="F597" s="9"/>
    </row>
    <row r="598" spans="2:6" x14ac:dyDescent="0.25">
      <c r="B598">
        <v>596</v>
      </c>
      <c r="C598" s="1">
        <v>44489</v>
      </c>
      <c r="D598" t="s">
        <v>4</v>
      </c>
      <c r="E598">
        <v>2580</v>
      </c>
      <c r="F598" s="9"/>
    </row>
    <row r="599" spans="2:6" x14ac:dyDescent="0.25">
      <c r="B599">
        <v>597</v>
      </c>
      <c r="C599" s="1">
        <v>44490</v>
      </c>
      <c r="D599" t="s">
        <v>4</v>
      </c>
      <c r="E599">
        <v>8040</v>
      </c>
      <c r="F599" s="9"/>
    </row>
    <row r="600" spans="2:6" x14ac:dyDescent="0.25">
      <c r="B600">
        <v>598</v>
      </c>
      <c r="C600" s="1">
        <v>44490</v>
      </c>
      <c r="D600" t="s">
        <v>7</v>
      </c>
      <c r="E600">
        <v>1920</v>
      </c>
      <c r="F600" s="9"/>
    </row>
    <row r="601" spans="2:6" x14ac:dyDescent="0.25">
      <c r="B601">
        <v>599</v>
      </c>
      <c r="C601" s="1">
        <v>44491</v>
      </c>
      <c r="D601" t="s">
        <v>4</v>
      </c>
      <c r="E601">
        <v>6930</v>
      </c>
      <c r="F601" s="9"/>
    </row>
    <row r="602" spans="2:6" x14ac:dyDescent="0.25">
      <c r="B602">
        <v>600</v>
      </c>
      <c r="C602" s="1">
        <v>44491</v>
      </c>
      <c r="D602" t="s">
        <v>6</v>
      </c>
      <c r="E602">
        <v>9480</v>
      </c>
      <c r="F602" s="9"/>
    </row>
    <row r="603" spans="2:6" x14ac:dyDescent="0.25">
      <c r="B603">
        <v>601</v>
      </c>
      <c r="C603" s="1">
        <v>44491</v>
      </c>
      <c r="D603" t="s">
        <v>5</v>
      </c>
      <c r="E603">
        <v>4810</v>
      </c>
      <c r="F603" s="9"/>
    </row>
    <row r="604" spans="2:6" x14ac:dyDescent="0.25">
      <c r="B604">
        <v>602</v>
      </c>
      <c r="C604" s="1">
        <v>44492</v>
      </c>
      <c r="D604" t="s">
        <v>4</v>
      </c>
      <c r="E604">
        <v>5770</v>
      </c>
      <c r="F604" s="9"/>
    </row>
    <row r="605" spans="2:6" x14ac:dyDescent="0.25">
      <c r="B605">
        <v>603</v>
      </c>
      <c r="C605" s="1">
        <v>44492</v>
      </c>
      <c r="D605" t="s">
        <v>7</v>
      </c>
      <c r="E605">
        <v>2610</v>
      </c>
      <c r="F605" s="9"/>
    </row>
    <row r="606" spans="2:6" x14ac:dyDescent="0.25">
      <c r="B606">
        <v>604</v>
      </c>
      <c r="C606" s="1">
        <v>44493</v>
      </c>
      <c r="D606" t="s">
        <v>5</v>
      </c>
      <c r="E606">
        <v>2670</v>
      </c>
      <c r="F606" s="9"/>
    </row>
    <row r="607" spans="2:6" x14ac:dyDescent="0.25">
      <c r="B607">
        <v>605</v>
      </c>
      <c r="C607" s="1">
        <v>44493</v>
      </c>
      <c r="D607" t="s">
        <v>7</v>
      </c>
      <c r="E607">
        <v>1330</v>
      </c>
      <c r="F607" s="9"/>
    </row>
    <row r="608" spans="2:6" x14ac:dyDescent="0.25">
      <c r="B608">
        <v>606</v>
      </c>
      <c r="C608" s="1">
        <v>44494</v>
      </c>
      <c r="D608" t="s">
        <v>5</v>
      </c>
      <c r="E608">
        <v>1700</v>
      </c>
      <c r="F608" s="9"/>
    </row>
    <row r="609" spans="2:6" x14ac:dyDescent="0.25">
      <c r="B609">
        <v>607</v>
      </c>
      <c r="C609" s="1">
        <v>44494</v>
      </c>
      <c r="D609" t="s">
        <v>6</v>
      </c>
      <c r="E609">
        <v>1050</v>
      </c>
      <c r="F609" s="9"/>
    </row>
    <row r="610" spans="2:6" x14ac:dyDescent="0.25">
      <c r="B610">
        <v>608</v>
      </c>
      <c r="C610" s="1">
        <v>44494</v>
      </c>
      <c r="D610" t="s">
        <v>4</v>
      </c>
      <c r="E610">
        <v>1750</v>
      </c>
      <c r="F610" s="9"/>
    </row>
    <row r="611" spans="2:6" x14ac:dyDescent="0.25">
      <c r="B611">
        <v>609</v>
      </c>
      <c r="C611" s="1">
        <v>44494</v>
      </c>
      <c r="D611" t="s">
        <v>7</v>
      </c>
      <c r="E611">
        <v>6530</v>
      </c>
      <c r="F611" s="9"/>
    </row>
    <row r="612" spans="2:6" x14ac:dyDescent="0.25">
      <c r="B612">
        <v>610</v>
      </c>
      <c r="C612" s="1">
        <v>44495</v>
      </c>
      <c r="D612" t="s">
        <v>4</v>
      </c>
      <c r="E612">
        <v>6980</v>
      </c>
      <c r="F612" s="9"/>
    </row>
    <row r="613" spans="2:6" x14ac:dyDescent="0.25">
      <c r="B613">
        <v>611</v>
      </c>
      <c r="C613" s="1">
        <v>44495</v>
      </c>
      <c r="D613" t="s">
        <v>6</v>
      </c>
      <c r="E613">
        <v>6590</v>
      </c>
      <c r="F613" s="9"/>
    </row>
    <row r="614" spans="2:6" x14ac:dyDescent="0.25">
      <c r="B614">
        <v>612</v>
      </c>
      <c r="C614" s="1">
        <v>44495</v>
      </c>
      <c r="D614" t="s">
        <v>5</v>
      </c>
      <c r="E614">
        <v>2090</v>
      </c>
      <c r="F614" s="9"/>
    </row>
    <row r="615" spans="2:6" x14ac:dyDescent="0.25">
      <c r="B615">
        <v>613</v>
      </c>
      <c r="C615" s="1">
        <v>44496</v>
      </c>
      <c r="D615" t="s">
        <v>5</v>
      </c>
      <c r="E615">
        <v>3960</v>
      </c>
      <c r="F615" s="9"/>
    </row>
    <row r="616" spans="2:6" x14ac:dyDescent="0.25">
      <c r="B616">
        <v>614</v>
      </c>
      <c r="C616" s="1">
        <v>44496</v>
      </c>
      <c r="D616" t="s">
        <v>6</v>
      </c>
      <c r="E616">
        <v>6430</v>
      </c>
      <c r="F616" s="9"/>
    </row>
    <row r="617" spans="2:6" x14ac:dyDescent="0.25">
      <c r="B617">
        <v>615</v>
      </c>
      <c r="C617" s="1">
        <v>44496</v>
      </c>
      <c r="D617" t="s">
        <v>4</v>
      </c>
      <c r="E617">
        <v>9940</v>
      </c>
      <c r="F617" s="9"/>
    </row>
    <row r="618" spans="2:6" x14ac:dyDescent="0.25">
      <c r="B618">
        <v>616</v>
      </c>
      <c r="C618" s="1">
        <v>44496</v>
      </c>
      <c r="D618" t="s">
        <v>7</v>
      </c>
      <c r="E618">
        <v>4220</v>
      </c>
      <c r="F618" s="9"/>
    </row>
    <row r="619" spans="2:6" x14ac:dyDescent="0.25">
      <c r="B619">
        <v>617</v>
      </c>
      <c r="C619" s="1">
        <v>44497</v>
      </c>
      <c r="D619" t="s">
        <v>7</v>
      </c>
      <c r="E619">
        <v>2630</v>
      </c>
      <c r="F619" s="9"/>
    </row>
    <row r="620" spans="2:6" x14ac:dyDescent="0.25">
      <c r="B620">
        <v>618</v>
      </c>
      <c r="C620" s="1">
        <v>44497</v>
      </c>
      <c r="D620" t="s">
        <v>4</v>
      </c>
      <c r="E620">
        <v>3540</v>
      </c>
      <c r="F620" s="9"/>
    </row>
    <row r="621" spans="2:6" x14ac:dyDescent="0.25">
      <c r="B621">
        <v>619</v>
      </c>
      <c r="C621" s="1">
        <v>44498</v>
      </c>
      <c r="D621" t="s">
        <v>5</v>
      </c>
      <c r="E621">
        <v>2630</v>
      </c>
      <c r="F621" s="9"/>
    </row>
    <row r="622" spans="2:6" x14ac:dyDescent="0.25">
      <c r="B622">
        <v>620</v>
      </c>
      <c r="C622" s="1">
        <v>44499</v>
      </c>
      <c r="D622" t="s">
        <v>6</v>
      </c>
      <c r="E622">
        <v>4230</v>
      </c>
      <c r="F622" s="9"/>
    </row>
    <row r="623" spans="2:6" x14ac:dyDescent="0.25">
      <c r="B623">
        <v>621</v>
      </c>
      <c r="C623" s="1">
        <v>44499</v>
      </c>
      <c r="D623" t="s">
        <v>4</v>
      </c>
      <c r="E623">
        <v>4630</v>
      </c>
      <c r="F623" s="9"/>
    </row>
    <row r="624" spans="2:6" x14ac:dyDescent="0.25">
      <c r="B624">
        <v>622</v>
      </c>
      <c r="C624" s="1">
        <v>44500</v>
      </c>
      <c r="D624" t="s">
        <v>5</v>
      </c>
      <c r="E624">
        <v>2100</v>
      </c>
      <c r="F624" s="9"/>
    </row>
    <row r="625" spans="2:6" x14ac:dyDescent="0.25">
      <c r="B625">
        <v>623</v>
      </c>
      <c r="C625" s="1">
        <v>44501</v>
      </c>
      <c r="D625" t="s">
        <v>4</v>
      </c>
      <c r="E625">
        <v>4290</v>
      </c>
      <c r="F625" s="9"/>
    </row>
    <row r="626" spans="2:6" x14ac:dyDescent="0.25">
      <c r="B626">
        <v>624</v>
      </c>
      <c r="C626" s="1">
        <v>44501</v>
      </c>
      <c r="D626" t="s">
        <v>6</v>
      </c>
      <c r="E626">
        <v>2870</v>
      </c>
      <c r="F626" s="9"/>
    </row>
    <row r="627" spans="2:6" x14ac:dyDescent="0.25">
      <c r="B627">
        <v>625</v>
      </c>
      <c r="C627" s="1">
        <v>44501</v>
      </c>
      <c r="D627" t="s">
        <v>5</v>
      </c>
      <c r="E627">
        <v>3550</v>
      </c>
      <c r="F627" s="9"/>
    </row>
    <row r="628" spans="2:6" x14ac:dyDescent="0.25">
      <c r="B628">
        <v>626</v>
      </c>
      <c r="C628" s="1">
        <v>44502</v>
      </c>
      <c r="D628" t="s">
        <v>4</v>
      </c>
      <c r="E628">
        <v>8480</v>
      </c>
      <c r="F628" s="9"/>
    </row>
    <row r="629" spans="2:6" x14ac:dyDescent="0.25">
      <c r="B629">
        <v>627</v>
      </c>
      <c r="C629" s="1">
        <v>44503</v>
      </c>
      <c r="D629" t="s">
        <v>4</v>
      </c>
      <c r="E629">
        <v>4860</v>
      </c>
      <c r="F629" s="9"/>
    </row>
    <row r="630" spans="2:6" x14ac:dyDescent="0.25">
      <c r="B630">
        <v>628</v>
      </c>
      <c r="C630" s="1">
        <v>44503</v>
      </c>
      <c r="D630" t="s">
        <v>5</v>
      </c>
      <c r="E630">
        <v>8270</v>
      </c>
      <c r="F630" s="9"/>
    </row>
    <row r="631" spans="2:6" x14ac:dyDescent="0.25">
      <c r="B631">
        <v>629</v>
      </c>
      <c r="C631" s="1">
        <v>44504</v>
      </c>
      <c r="D631" t="s">
        <v>7</v>
      </c>
      <c r="E631">
        <v>8790</v>
      </c>
      <c r="F631" s="9"/>
    </row>
    <row r="632" spans="2:6" x14ac:dyDescent="0.25">
      <c r="B632">
        <v>630</v>
      </c>
      <c r="C632" s="1">
        <v>44504</v>
      </c>
      <c r="D632" t="s">
        <v>6</v>
      </c>
      <c r="E632">
        <v>3110</v>
      </c>
      <c r="F632" s="9"/>
    </row>
    <row r="633" spans="2:6" x14ac:dyDescent="0.25">
      <c r="B633">
        <v>631</v>
      </c>
      <c r="C633" s="1">
        <v>44504</v>
      </c>
      <c r="D633" t="s">
        <v>5</v>
      </c>
      <c r="E633">
        <v>1440</v>
      </c>
      <c r="F633" s="9"/>
    </row>
    <row r="634" spans="2:6" x14ac:dyDescent="0.25">
      <c r="B634">
        <v>632</v>
      </c>
      <c r="C634" s="1">
        <v>44505</v>
      </c>
      <c r="D634" t="s">
        <v>7</v>
      </c>
      <c r="E634">
        <v>4550</v>
      </c>
      <c r="F634" s="9"/>
    </row>
    <row r="635" spans="2:6" x14ac:dyDescent="0.25">
      <c r="B635">
        <v>633</v>
      </c>
      <c r="C635" s="1">
        <v>44505</v>
      </c>
      <c r="D635" t="s">
        <v>4</v>
      </c>
      <c r="E635">
        <v>6980</v>
      </c>
      <c r="F635" s="9"/>
    </row>
    <row r="636" spans="2:6" x14ac:dyDescent="0.25">
      <c r="B636">
        <v>634</v>
      </c>
      <c r="C636" s="1">
        <v>44506</v>
      </c>
      <c r="D636" t="s">
        <v>5</v>
      </c>
      <c r="E636">
        <v>3920</v>
      </c>
      <c r="F636" s="9"/>
    </row>
    <row r="637" spans="2:6" x14ac:dyDescent="0.25">
      <c r="B637">
        <v>635</v>
      </c>
      <c r="C637" s="1">
        <v>44507</v>
      </c>
      <c r="D637" t="s">
        <v>5</v>
      </c>
      <c r="E637">
        <v>7040</v>
      </c>
      <c r="F637" s="9"/>
    </row>
    <row r="638" spans="2:6" x14ac:dyDescent="0.25">
      <c r="B638">
        <v>636</v>
      </c>
      <c r="C638" s="1">
        <v>44507</v>
      </c>
      <c r="D638" t="s">
        <v>4</v>
      </c>
      <c r="E638">
        <v>7000</v>
      </c>
      <c r="F638" s="9"/>
    </row>
    <row r="639" spans="2:6" x14ac:dyDescent="0.25">
      <c r="B639">
        <v>637</v>
      </c>
      <c r="C639" s="1">
        <v>44508</v>
      </c>
      <c r="D639" t="s">
        <v>5</v>
      </c>
      <c r="E639">
        <v>1980</v>
      </c>
      <c r="F639" s="9"/>
    </row>
    <row r="640" spans="2:6" x14ac:dyDescent="0.25">
      <c r="B640">
        <v>638</v>
      </c>
      <c r="C640" s="1">
        <v>44508</v>
      </c>
      <c r="D640" t="s">
        <v>4</v>
      </c>
      <c r="E640">
        <v>7550</v>
      </c>
      <c r="F640" s="9"/>
    </row>
    <row r="641" spans="2:6" x14ac:dyDescent="0.25">
      <c r="B641">
        <v>639</v>
      </c>
      <c r="C641" s="1">
        <v>44509</v>
      </c>
      <c r="D641" t="s">
        <v>6</v>
      </c>
      <c r="E641">
        <v>2300</v>
      </c>
      <c r="F641" s="9"/>
    </row>
    <row r="642" spans="2:6" x14ac:dyDescent="0.25">
      <c r="B642">
        <v>640</v>
      </c>
      <c r="C642" s="1">
        <v>44509</v>
      </c>
      <c r="D642" t="s">
        <v>5</v>
      </c>
      <c r="E642">
        <v>5950</v>
      </c>
      <c r="F642" s="9"/>
    </row>
    <row r="643" spans="2:6" x14ac:dyDescent="0.25">
      <c r="B643">
        <v>641</v>
      </c>
      <c r="C643" s="1">
        <v>44509</v>
      </c>
      <c r="D643" t="s">
        <v>7</v>
      </c>
      <c r="E643">
        <v>4860</v>
      </c>
      <c r="F643" s="9"/>
    </row>
    <row r="644" spans="2:6" x14ac:dyDescent="0.25">
      <c r="B644">
        <v>642</v>
      </c>
      <c r="C644" s="1">
        <v>44510</v>
      </c>
      <c r="D644" t="s">
        <v>5</v>
      </c>
      <c r="E644">
        <v>7210</v>
      </c>
      <c r="F644" s="9"/>
    </row>
    <row r="645" spans="2:6" x14ac:dyDescent="0.25">
      <c r="B645">
        <v>643</v>
      </c>
      <c r="C645" s="1">
        <v>44510</v>
      </c>
      <c r="D645" t="s">
        <v>6</v>
      </c>
      <c r="E645">
        <v>6320</v>
      </c>
      <c r="F645" s="9"/>
    </row>
    <row r="646" spans="2:6" x14ac:dyDescent="0.25">
      <c r="B646">
        <v>644</v>
      </c>
      <c r="C646" s="1">
        <v>44510</v>
      </c>
      <c r="D646" t="s">
        <v>4</v>
      </c>
      <c r="E646">
        <v>6800</v>
      </c>
      <c r="F646" s="9"/>
    </row>
    <row r="647" spans="2:6" x14ac:dyDescent="0.25">
      <c r="B647">
        <v>645</v>
      </c>
      <c r="C647" s="1">
        <v>44511</v>
      </c>
      <c r="D647" t="s">
        <v>4</v>
      </c>
      <c r="E647">
        <v>8040</v>
      </c>
      <c r="F647" s="9"/>
    </row>
    <row r="648" spans="2:6" x14ac:dyDescent="0.25">
      <c r="B648">
        <v>646</v>
      </c>
      <c r="C648" s="1">
        <v>44511</v>
      </c>
      <c r="D648" t="s">
        <v>6</v>
      </c>
      <c r="E648">
        <v>2960</v>
      </c>
      <c r="F648" s="9"/>
    </row>
    <row r="649" spans="2:6" x14ac:dyDescent="0.25">
      <c r="B649">
        <v>647</v>
      </c>
      <c r="C649" s="1">
        <v>44512</v>
      </c>
      <c r="D649" t="s">
        <v>5</v>
      </c>
      <c r="E649">
        <v>1960</v>
      </c>
      <c r="F649" s="9"/>
    </row>
    <row r="650" spans="2:6" x14ac:dyDescent="0.25">
      <c r="B650">
        <v>648</v>
      </c>
      <c r="C650" s="1">
        <v>44513</v>
      </c>
      <c r="D650" t="s">
        <v>4</v>
      </c>
      <c r="E650">
        <v>5740</v>
      </c>
      <c r="F650" s="9"/>
    </row>
    <row r="651" spans="2:6" x14ac:dyDescent="0.25">
      <c r="B651">
        <v>649</v>
      </c>
      <c r="C651" s="1">
        <v>44514</v>
      </c>
      <c r="D651" t="s">
        <v>5</v>
      </c>
      <c r="E651">
        <v>2610</v>
      </c>
      <c r="F651" s="9"/>
    </row>
    <row r="652" spans="2:6" x14ac:dyDescent="0.25">
      <c r="B652">
        <v>650</v>
      </c>
      <c r="C652" s="1">
        <v>44514</v>
      </c>
      <c r="D652" t="s">
        <v>4</v>
      </c>
      <c r="E652">
        <v>5910</v>
      </c>
      <c r="F652" s="9"/>
    </row>
    <row r="653" spans="2:6" x14ac:dyDescent="0.25">
      <c r="B653">
        <v>651</v>
      </c>
      <c r="C653" s="1">
        <v>44515</v>
      </c>
      <c r="D653" t="s">
        <v>5</v>
      </c>
      <c r="E653">
        <v>4410</v>
      </c>
      <c r="F653" s="9"/>
    </row>
    <row r="654" spans="2:6" x14ac:dyDescent="0.25">
      <c r="B654">
        <v>652</v>
      </c>
      <c r="C654" s="1">
        <v>44515</v>
      </c>
      <c r="D654" t="s">
        <v>4</v>
      </c>
      <c r="E654">
        <v>2820</v>
      </c>
      <c r="F654" s="9"/>
    </row>
    <row r="655" spans="2:6" x14ac:dyDescent="0.25">
      <c r="B655">
        <v>653</v>
      </c>
      <c r="C655" s="1">
        <v>44515</v>
      </c>
      <c r="D655" t="s">
        <v>6</v>
      </c>
      <c r="E655">
        <v>8320</v>
      </c>
      <c r="F655" s="9"/>
    </row>
    <row r="656" spans="2:6" x14ac:dyDescent="0.25">
      <c r="B656">
        <v>654</v>
      </c>
      <c r="C656" s="1">
        <v>44515</v>
      </c>
      <c r="D656" t="s">
        <v>7</v>
      </c>
      <c r="E656">
        <v>1580</v>
      </c>
      <c r="F656" s="9"/>
    </row>
    <row r="657" spans="2:6" x14ac:dyDescent="0.25">
      <c r="B657">
        <v>655</v>
      </c>
      <c r="C657" s="1">
        <v>44516</v>
      </c>
      <c r="D657" t="s">
        <v>7</v>
      </c>
      <c r="E657">
        <v>3470</v>
      </c>
      <c r="F657" s="9"/>
    </row>
    <row r="658" spans="2:6" x14ac:dyDescent="0.25">
      <c r="B658">
        <v>656</v>
      </c>
      <c r="C658" s="1">
        <v>44516</v>
      </c>
      <c r="D658" t="s">
        <v>6</v>
      </c>
      <c r="E658">
        <v>4420</v>
      </c>
      <c r="F658" s="9"/>
    </row>
    <row r="659" spans="2:6" x14ac:dyDescent="0.25">
      <c r="B659">
        <v>657</v>
      </c>
      <c r="C659" s="1">
        <v>44517</v>
      </c>
      <c r="D659" t="s">
        <v>6</v>
      </c>
      <c r="E659">
        <v>3130</v>
      </c>
      <c r="F659" s="9"/>
    </row>
    <row r="660" spans="2:6" x14ac:dyDescent="0.25">
      <c r="B660">
        <v>658</v>
      </c>
      <c r="C660" s="1">
        <v>44517</v>
      </c>
      <c r="D660" t="s">
        <v>7</v>
      </c>
      <c r="E660">
        <v>1320</v>
      </c>
      <c r="F660" s="9"/>
    </row>
    <row r="661" spans="2:6" x14ac:dyDescent="0.25">
      <c r="B661">
        <v>659</v>
      </c>
      <c r="C661" s="1">
        <v>44517</v>
      </c>
      <c r="D661" t="s">
        <v>4</v>
      </c>
      <c r="E661">
        <v>8470</v>
      </c>
      <c r="F661" s="9"/>
    </row>
    <row r="662" spans="2:6" x14ac:dyDescent="0.25">
      <c r="B662">
        <v>660</v>
      </c>
      <c r="C662" s="1">
        <v>44518</v>
      </c>
      <c r="D662" t="s">
        <v>6</v>
      </c>
      <c r="E662">
        <v>1030</v>
      </c>
      <c r="F662" s="9"/>
    </row>
    <row r="663" spans="2:6" x14ac:dyDescent="0.25">
      <c r="B663">
        <v>661</v>
      </c>
      <c r="C663" s="1">
        <v>44519</v>
      </c>
      <c r="D663" t="s">
        <v>4</v>
      </c>
      <c r="E663">
        <v>6050</v>
      </c>
      <c r="F663" s="9"/>
    </row>
    <row r="664" spans="2:6" x14ac:dyDescent="0.25">
      <c r="B664">
        <v>662</v>
      </c>
      <c r="C664" s="1">
        <v>44519</v>
      </c>
      <c r="D664" t="s">
        <v>5</v>
      </c>
      <c r="E664">
        <v>4740</v>
      </c>
      <c r="F664" s="9"/>
    </row>
    <row r="665" spans="2:6" x14ac:dyDescent="0.25">
      <c r="B665">
        <v>663</v>
      </c>
      <c r="C665" s="1">
        <v>44520</v>
      </c>
      <c r="D665" t="s">
        <v>4</v>
      </c>
      <c r="E665">
        <v>5270</v>
      </c>
      <c r="F665" s="9"/>
    </row>
    <row r="666" spans="2:6" x14ac:dyDescent="0.25">
      <c r="B666">
        <v>664</v>
      </c>
      <c r="C666" s="1">
        <v>44520</v>
      </c>
      <c r="D666" t="s">
        <v>5</v>
      </c>
      <c r="E666">
        <v>9150</v>
      </c>
      <c r="F666" s="9"/>
    </row>
    <row r="667" spans="2:6" x14ac:dyDescent="0.25">
      <c r="B667">
        <v>665</v>
      </c>
      <c r="C667" s="1">
        <v>44520</v>
      </c>
      <c r="D667" t="s">
        <v>6</v>
      </c>
      <c r="E667">
        <v>8790</v>
      </c>
      <c r="F667" s="9"/>
    </row>
    <row r="668" spans="2:6" x14ac:dyDescent="0.25">
      <c r="B668">
        <v>666</v>
      </c>
      <c r="C668" s="1">
        <v>44520</v>
      </c>
      <c r="D668" t="s">
        <v>7</v>
      </c>
      <c r="E668">
        <v>2830</v>
      </c>
      <c r="F668" s="9"/>
    </row>
    <row r="669" spans="2:6" x14ac:dyDescent="0.25">
      <c r="B669">
        <v>667</v>
      </c>
      <c r="C669" s="1">
        <v>44521</v>
      </c>
      <c r="D669" t="s">
        <v>4</v>
      </c>
      <c r="E669">
        <v>1380</v>
      </c>
      <c r="F669" s="9"/>
    </row>
    <row r="670" spans="2:6" x14ac:dyDescent="0.25">
      <c r="B670">
        <v>668</v>
      </c>
      <c r="C670" s="1">
        <v>44522</v>
      </c>
      <c r="D670" t="s">
        <v>5</v>
      </c>
      <c r="E670">
        <v>9060</v>
      </c>
      <c r="F670" s="9"/>
    </row>
    <row r="671" spans="2:6" x14ac:dyDescent="0.25">
      <c r="B671">
        <v>669</v>
      </c>
      <c r="C671" s="1">
        <v>44522</v>
      </c>
      <c r="D671" t="s">
        <v>7</v>
      </c>
      <c r="E671">
        <v>3190</v>
      </c>
      <c r="F671" s="9"/>
    </row>
    <row r="672" spans="2:6" x14ac:dyDescent="0.25">
      <c r="B672">
        <v>670</v>
      </c>
      <c r="C672" s="1">
        <v>44522</v>
      </c>
      <c r="D672" t="s">
        <v>6</v>
      </c>
      <c r="E672">
        <v>4380</v>
      </c>
      <c r="F672" s="9"/>
    </row>
    <row r="673" spans="2:6" x14ac:dyDescent="0.25">
      <c r="B673">
        <v>671</v>
      </c>
      <c r="C673" s="1">
        <v>44522</v>
      </c>
      <c r="D673" t="s">
        <v>4</v>
      </c>
      <c r="E673">
        <v>5930</v>
      </c>
      <c r="F673" s="9"/>
    </row>
    <row r="674" spans="2:6" x14ac:dyDescent="0.25">
      <c r="B674">
        <v>672</v>
      </c>
      <c r="C674" s="1">
        <v>44523</v>
      </c>
      <c r="D674" t="s">
        <v>5</v>
      </c>
      <c r="E674">
        <v>3980</v>
      </c>
      <c r="F674" s="9"/>
    </row>
    <row r="675" spans="2:6" x14ac:dyDescent="0.25">
      <c r="B675">
        <v>673</v>
      </c>
      <c r="C675" s="1">
        <v>44523</v>
      </c>
      <c r="D675" t="s">
        <v>4</v>
      </c>
      <c r="E675">
        <v>9750</v>
      </c>
      <c r="F675" s="9"/>
    </row>
    <row r="676" spans="2:6" x14ac:dyDescent="0.25">
      <c r="B676">
        <v>674</v>
      </c>
      <c r="C676" s="1">
        <v>44523</v>
      </c>
      <c r="D676" t="s">
        <v>7</v>
      </c>
      <c r="E676">
        <v>7340</v>
      </c>
      <c r="F676" s="9"/>
    </row>
    <row r="677" spans="2:6" x14ac:dyDescent="0.25">
      <c r="B677">
        <v>675</v>
      </c>
      <c r="C677" s="1">
        <v>44523</v>
      </c>
      <c r="D677" t="s">
        <v>6</v>
      </c>
      <c r="E677">
        <v>5350</v>
      </c>
      <c r="F677" s="9"/>
    </row>
    <row r="678" spans="2:6" x14ac:dyDescent="0.25">
      <c r="B678">
        <v>676</v>
      </c>
      <c r="C678" s="1">
        <v>44524</v>
      </c>
      <c r="D678" t="s">
        <v>4</v>
      </c>
      <c r="E678">
        <v>5490</v>
      </c>
      <c r="F678" s="9"/>
    </row>
    <row r="679" spans="2:6" x14ac:dyDescent="0.25">
      <c r="B679">
        <v>677</v>
      </c>
      <c r="C679" s="1">
        <v>44524</v>
      </c>
      <c r="D679" t="s">
        <v>7</v>
      </c>
      <c r="E679">
        <v>1180</v>
      </c>
      <c r="F679" s="9"/>
    </row>
    <row r="680" spans="2:6" x14ac:dyDescent="0.25">
      <c r="B680">
        <v>678</v>
      </c>
      <c r="C680" s="1">
        <v>44525</v>
      </c>
      <c r="D680" t="s">
        <v>7</v>
      </c>
      <c r="E680">
        <v>7560</v>
      </c>
      <c r="F680" s="9"/>
    </row>
    <row r="681" spans="2:6" x14ac:dyDescent="0.25">
      <c r="B681">
        <v>679</v>
      </c>
      <c r="C681" s="1">
        <v>44526</v>
      </c>
      <c r="D681" t="s">
        <v>5</v>
      </c>
      <c r="E681">
        <v>7970</v>
      </c>
      <c r="F681" s="9"/>
    </row>
    <row r="682" spans="2:6" x14ac:dyDescent="0.25">
      <c r="B682">
        <v>680</v>
      </c>
      <c r="C682" s="1">
        <v>44526</v>
      </c>
      <c r="D682" t="s">
        <v>7</v>
      </c>
      <c r="E682">
        <v>2400</v>
      </c>
      <c r="F682" s="9"/>
    </row>
    <row r="683" spans="2:6" x14ac:dyDescent="0.25">
      <c r="B683">
        <v>681</v>
      </c>
      <c r="C683" s="1">
        <v>44526</v>
      </c>
      <c r="D683" t="s">
        <v>4</v>
      </c>
      <c r="E683">
        <v>7120</v>
      </c>
      <c r="F683" s="9"/>
    </row>
    <row r="684" spans="2:6" x14ac:dyDescent="0.25">
      <c r="B684">
        <v>682</v>
      </c>
      <c r="C684" s="1">
        <v>44527</v>
      </c>
      <c r="D684" t="s">
        <v>7</v>
      </c>
      <c r="E684">
        <v>3500</v>
      </c>
      <c r="F684" s="9"/>
    </row>
    <row r="685" spans="2:6" x14ac:dyDescent="0.25">
      <c r="B685">
        <v>683</v>
      </c>
      <c r="C685" s="1">
        <v>44527</v>
      </c>
      <c r="D685" t="s">
        <v>4</v>
      </c>
      <c r="E685">
        <v>8590</v>
      </c>
      <c r="F685" s="9"/>
    </row>
    <row r="686" spans="2:6" x14ac:dyDescent="0.25">
      <c r="B686">
        <v>684</v>
      </c>
      <c r="C686" s="1">
        <v>44528</v>
      </c>
      <c r="D686" t="s">
        <v>4</v>
      </c>
      <c r="E686">
        <v>2510</v>
      </c>
      <c r="F686" s="9"/>
    </row>
    <row r="687" spans="2:6" x14ac:dyDescent="0.25">
      <c r="B687">
        <v>685</v>
      </c>
      <c r="C687" s="1">
        <v>44528</v>
      </c>
      <c r="D687" t="s">
        <v>5</v>
      </c>
      <c r="E687">
        <v>2180</v>
      </c>
      <c r="F687" s="9"/>
    </row>
    <row r="688" spans="2:6" x14ac:dyDescent="0.25">
      <c r="B688">
        <v>686</v>
      </c>
      <c r="C688" s="1">
        <v>44528</v>
      </c>
      <c r="D688" t="s">
        <v>6</v>
      </c>
      <c r="E688">
        <v>4710</v>
      </c>
      <c r="F688" s="9"/>
    </row>
    <row r="689" spans="2:6" x14ac:dyDescent="0.25">
      <c r="B689">
        <v>687</v>
      </c>
      <c r="C689" s="1">
        <v>44529</v>
      </c>
      <c r="D689" t="s">
        <v>5</v>
      </c>
      <c r="E689">
        <v>3830</v>
      </c>
      <c r="F689" s="9"/>
    </row>
    <row r="690" spans="2:6" x14ac:dyDescent="0.25">
      <c r="B690">
        <v>688</v>
      </c>
      <c r="C690" s="1">
        <v>44529</v>
      </c>
      <c r="D690" t="s">
        <v>4</v>
      </c>
      <c r="E690">
        <v>3110</v>
      </c>
      <c r="F690" s="9"/>
    </row>
    <row r="691" spans="2:6" x14ac:dyDescent="0.25">
      <c r="B691">
        <v>689</v>
      </c>
      <c r="C691" s="1">
        <v>44529</v>
      </c>
      <c r="D691" t="s">
        <v>7</v>
      </c>
      <c r="E691">
        <v>9840</v>
      </c>
      <c r="F691" s="9"/>
    </row>
    <row r="692" spans="2:6" x14ac:dyDescent="0.25">
      <c r="B692">
        <v>690</v>
      </c>
      <c r="C692" s="1">
        <v>44530</v>
      </c>
      <c r="D692" t="s">
        <v>4</v>
      </c>
      <c r="E692">
        <v>3880</v>
      </c>
      <c r="F692" s="9"/>
    </row>
    <row r="693" spans="2:6" x14ac:dyDescent="0.25">
      <c r="B693">
        <v>691</v>
      </c>
      <c r="C693" s="1">
        <v>44530</v>
      </c>
      <c r="D693" t="s">
        <v>7</v>
      </c>
      <c r="E693">
        <v>9670</v>
      </c>
      <c r="F693" s="9"/>
    </row>
    <row r="694" spans="2:6" x14ac:dyDescent="0.25">
      <c r="B694">
        <v>692</v>
      </c>
      <c r="C694" s="1">
        <v>44531</v>
      </c>
      <c r="D694" t="s">
        <v>7</v>
      </c>
      <c r="E694">
        <v>3510</v>
      </c>
      <c r="F694" s="9"/>
    </row>
    <row r="695" spans="2:6" x14ac:dyDescent="0.25">
      <c r="B695">
        <v>693</v>
      </c>
      <c r="C695" s="1">
        <v>44532</v>
      </c>
      <c r="D695" t="s">
        <v>7</v>
      </c>
      <c r="E695">
        <v>5820</v>
      </c>
      <c r="F695" s="9"/>
    </row>
    <row r="696" spans="2:6" x14ac:dyDescent="0.25">
      <c r="B696">
        <v>694</v>
      </c>
      <c r="C696" s="1">
        <v>44532</v>
      </c>
      <c r="D696" t="s">
        <v>4</v>
      </c>
      <c r="E696">
        <v>1950</v>
      </c>
      <c r="F696" s="9"/>
    </row>
    <row r="697" spans="2:6" x14ac:dyDescent="0.25">
      <c r="B697">
        <v>695</v>
      </c>
      <c r="C697" s="1">
        <v>44533</v>
      </c>
      <c r="D697" t="s">
        <v>7</v>
      </c>
      <c r="E697">
        <v>1310</v>
      </c>
      <c r="F697" s="9"/>
    </row>
    <row r="698" spans="2:6" x14ac:dyDescent="0.25">
      <c r="B698">
        <v>696</v>
      </c>
      <c r="C698" s="1">
        <v>44533</v>
      </c>
      <c r="D698" t="s">
        <v>5</v>
      </c>
      <c r="E698">
        <v>3850</v>
      </c>
      <c r="F698" s="9"/>
    </row>
    <row r="699" spans="2:6" x14ac:dyDescent="0.25">
      <c r="B699">
        <v>697</v>
      </c>
      <c r="C699" s="1">
        <v>44533</v>
      </c>
      <c r="D699" t="s">
        <v>6</v>
      </c>
      <c r="E699">
        <v>4160</v>
      </c>
      <c r="F699" s="9"/>
    </row>
    <row r="700" spans="2:6" x14ac:dyDescent="0.25">
      <c r="B700">
        <v>698</v>
      </c>
      <c r="C700" s="1">
        <v>44534</v>
      </c>
      <c r="D700" t="s">
        <v>7</v>
      </c>
      <c r="E700">
        <v>3550</v>
      </c>
      <c r="F700" s="9"/>
    </row>
    <row r="701" spans="2:6" x14ac:dyDescent="0.25">
      <c r="B701">
        <v>699</v>
      </c>
      <c r="C701" s="1">
        <v>44534</v>
      </c>
      <c r="D701" t="s">
        <v>5</v>
      </c>
      <c r="E701">
        <v>2700</v>
      </c>
      <c r="F701" s="9"/>
    </row>
    <row r="702" spans="2:6" x14ac:dyDescent="0.25">
      <c r="B702">
        <v>700</v>
      </c>
      <c r="C702" s="1">
        <v>44535</v>
      </c>
      <c r="D702" t="s">
        <v>4</v>
      </c>
      <c r="E702">
        <v>4620</v>
      </c>
      <c r="F702" s="9"/>
    </row>
    <row r="703" spans="2:6" x14ac:dyDescent="0.25">
      <c r="B703">
        <v>701</v>
      </c>
      <c r="C703" s="1">
        <v>44535</v>
      </c>
      <c r="D703" t="s">
        <v>5</v>
      </c>
      <c r="E703">
        <v>5060</v>
      </c>
      <c r="F703" s="9"/>
    </row>
    <row r="704" spans="2:6" x14ac:dyDescent="0.25">
      <c r="B704">
        <v>702</v>
      </c>
      <c r="C704" s="1">
        <v>44536</v>
      </c>
      <c r="D704" t="s">
        <v>4</v>
      </c>
      <c r="E704">
        <v>2550</v>
      </c>
      <c r="F704" s="9"/>
    </row>
    <row r="705" spans="2:6" x14ac:dyDescent="0.25">
      <c r="B705">
        <v>703</v>
      </c>
      <c r="C705" s="1">
        <v>44536</v>
      </c>
      <c r="D705" t="s">
        <v>5</v>
      </c>
      <c r="E705">
        <v>4310</v>
      </c>
      <c r="F705" s="9"/>
    </row>
    <row r="706" spans="2:6" x14ac:dyDescent="0.25">
      <c r="B706">
        <v>704</v>
      </c>
      <c r="C706" s="1">
        <v>44536</v>
      </c>
      <c r="D706" t="s">
        <v>6</v>
      </c>
      <c r="E706">
        <v>7210</v>
      </c>
      <c r="F706" s="9"/>
    </row>
    <row r="707" spans="2:6" x14ac:dyDescent="0.25">
      <c r="B707">
        <v>705</v>
      </c>
      <c r="C707" s="1">
        <v>44537</v>
      </c>
      <c r="D707" t="s">
        <v>6</v>
      </c>
      <c r="E707">
        <v>3560</v>
      </c>
      <c r="F707" s="9"/>
    </row>
    <row r="708" spans="2:6" x14ac:dyDescent="0.25">
      <c r="B708">
        <v>706</v>
      </c>
      <c r="C708" s="1">
        <v>44538</v>
      </c>
      <c r="D708" t="s">
        <v>5</v>
      </c>
      <c r="E708">
        <v>520</v>
      </c>
      <c r="F708" s="9"/>
    </row>
    <row r="709" spans="2:6" x14ac:dyDescent="0.25">
      <c r="B709">
        <v>707</v>
      </c>
      <c r="C709" s="1">
        <v>44539</v>
      </c>
      <c r="D709" t="s">
        <v>7</v>
      </c>
      <c r="E709">
        <v>6090</v>
      </c>
      <c r="F709" s="9"/>
    </row>
    <row r="710" spans="2:6" x14ac:dyDescent="0.25">
      <c r="B710">
        <v>708</v>
      </c>
      <c r="C710" s="1">
        <v>44540</v>
      </c>
      <c r="D710" t="s">
        <v>4</v>
      </c>
      <c r="E710">
        <v>570</v>
      </c>
      <c r="F710" s="9"/>
    </row>
    <row r="711" spans="2:6" x14ac:dyDescent="0.25">
      <c r="B711">
        <v>709</v>
      </c>
      <c r="C711" s="1">
        <v>44541</v>
      </c>
      <c r="D711" t="s">
        <v>4</v>
      </c>
      <c r="E711">
        <v>9510</v>
      </c>
      <c r="F711" s="9"/>
    </row>
    <row r="712" spans="2:6" x14ac:dyDescent="0.25">
      <c r="B712">
        <v>710</v>
      </c>
      <c r="C712" s="1">
        <v>44541</v>
      </c>
      <c r="D712" t="s">
        <v>7</v>
      </c>
      <c r="E712">
        <v>2480</v>
      </c>
      <c r="F712" s="9"/>
    </row>
    <row r="713" spans="2:6" x14ac:dyDescent="0.25">
      <c r="B713">
        <v>711</v>
      </c>
      <c r="C713" s="1">
        <v>44541</v>
      </c>
      <c r="D713" t="s">
        <v>6</v>
      </c>
      <c r="E713">
        <v>8000</v>
      </c>
      <c r="F713" s="9"/>
    </row>
    <row r="714" spans="2:6" x14ac:dyDescent="0.25">
      <c r="B714">
        <v>712</v>
      </c>
      <c r="C714" s="1">
        <v>44542</v>
      </c>
      <c r="D714" t="s">
        <v>5</v>
      </c>
      <c r="E714">
        <v>9990</v>
      </c>
      <c r="F714" s="9"/>
    </row>
    <row r="715" spans="2:6" x14ac:dyDescent="0.25">
      <c r="B715">
        <v>713</v>
      </c>
      <c r="C715" s="1">
        <v>44542</v>
      </c>
      <c r="D715" t="s">
        <v>4</v>
      </c>
      <c r="E715">
        <v>2750</v>
      </c>
      <c r="F715" s="9"/>
    </row>
    <row r="716" spans="2:6" x14ac:dyDescent="0.25">
      <c r="B716">
        <v>714</v>
      </c>
      <c r="C716" s="1">
        <v>44542</v>
      </c>
      <c r="D716" t="s">
        <v>7</v>
      </c>
      <c r="E716">
        <v>4260</v>
      </c>
      <c r="F716" s="9"/>
    </row>
    <row r="717" spans="2:6" x14ac:dyDescent="0.25">
      <c r="B717">
        <v>715</v>
      </c>
      <c r="C717" s="1">
        <v>44543</v>
      </c>
      <c r="D717" t="s">
        <v>5</v>
      </c>
      <c r="E717">
        <v>2700</v>
      </c>
      <c r="F717" s="9"/>
    </row>
    <row r="718" spans="2:6" x14ac:dyDescent="0.25">
      <c r="B718">
        <v>716</v>
      </c>
      <c r="C718" s="1">
        <v>44543</v>
      </c>
      <c r="D718" t="s">
        <v>7</v>
      </c>
      <c r="E718">
        <v>2180</v>
      </c>
      <c r="F718" s="9"/>
    </row>
    <row r="719" spans="2:6" x14ac:dyDescent="0.25">
      <c r="B719">
        <v>717</v>
      </c>
      <c r="C719" s="1">
        <v>44544</v>
      </c>
      <c r="D719" t="s">
        <v>5</v>
      </c>
      <c r="E719">
        <v>8200</v>
      </c>
      <c r="F719" s="9"/>
    </row>
    <row r="720" spans="2:6" x14ac:dyDescent="0.25">
      <c r="B720">
        <v>718</v>
      </c>
      <c r="C720" s="1">
        <v>44544</v>
      </c>
      <c r="D720" t="s">
        <v>6</v>
      </c>
      <c r="E720">
        <v>5080</v>
      </c>
      <c r="F720" s="9"/>
    </row>
    <row r="721" spans="2:6" x14ac:dyDescent="0.25">
      <c r="B721">
        <v>719</v>
      </c>
      <c r="C721" s="1">
        <v>44544</v>
      </c>
      <c r="D721" t="s">
        <v>4</v>
      </c>
      <c r="E721">
        <v>7660</v>
      </c>
      <c r="F721" s="9"/>
    </row>
    <row r="722" spans="2:6" x14ac:dyDescent="0.25">
      <c r="B722">
        <v>720</v>
      </c>
      <c r="C722" s="1">
        <v>44544</v>
      </c>
      <c r="D722" t="s">
        <v>7</v>
      </c>
      <c r="E722">
        <v>8700</v>
      </c>
      <c r="F722" s="9"/>
    </row>
    <row r="723" spans="2:6" x14ac:dyDescent="0.25">
      <c r="B723">
        <v>721</v>
      </c>
      <c r="C723" s="1">
        <v>44545</v>
      </c>
      <c r="D723" t="s">
        <v>6</v>
      </c>
      <c r="E723">
        <v>7940</v>
      </c>
      <c r="F723" s="9"/>
    </row>
    <row r="724" spans="2:6" x14ac:dyDescent="0.25">
      <c r="B724">
        <v>722</v>
      </c>
      <c r="C724" s="1">
        <v>44545</v>
      </c>
      <c r="D724" t="s">
        <v>4</v>
      </c>
      <c r="E724">
        <v>5370</v>
      </c>
      <c r="F724" s="9"/>
    </row>
    <row r="725" spans="2:6" x14ac:dyDescent="0.25">
      <c r="B725">
        <v>723</v>
      </c>
      <c r="C725" s="1">
        <v>44546</v>
      </c>
      <c r="D725" t="s">
        <v>5</v>
      </c>
      <c r="E725">
        <v>3940</v>
      </c>
      <c r="F725" s="9"/>
    </row>
    <row r="726" spans="2:6" x14ac:dyDescent="0.25">
      <c r="B726">
        <v>724</v>
      </c>
      <c r="C726" s="1">
        <v>44547</v>
      </c>
      <c r="D726" t="s">
        <v>5</v>
      </c>
      <c r="E726">
        <v>4400</v>
      </c>
      <c r="F726" s="9"/>
    </row>
    <row r="727" spans="2:6" x14ac:dyDescent="0.25">
      <c r="B727">
        <v>725</v>
      </c>
      <c r="C727" s="1">
        <v>44548</v>
      </c>
      <c r="D727" t="s">
        <v>6</v>
      </c>
      <c r="E727">
        <v>6800</v>
      </c>
      <c r="F727" s="9"/>
    </row>
    <row r="728" spans="2:6" x14ac:dyDescent="0.25">
      <c r="B728">
        <v>726</v>
      </c>
      <c r="C728" s="1">
        <v>44548</v>
      </c>
      <c r="D728" t="s">
        <v>4</v>
      </c>
      <c r="E728">
        <v>4640</v>
      </c>
      <c r="F728" s="9"/>
    </row>
    <row r="729" spans="2:6" x14ac:dyDescent="0.25">
      <c r="B729">
        <v>727</v>
      </c>
      <c r="C729" s="1">
        <v>44548</v>
      </c>
      <c r="D729" t="s">
        <v>7</v>
      </c>
      <c r="E729">
        <v>7530</v>
      </c>
      <c r="F729" s="9"/>
    </row>
    <row r="730" spans="2:6" x14ac:dyDescent="0.25">
      <c r="B730">
        <v>728</v>
      </c>
      <c r="C730" s="1">
        <v>44549</v>
      </c>
      <c r="D730" t="s">
        <v>7</v>
      </c>
      <c r="E730">
        <v>6950</v>
      </c>
      <c r="F730" s="9"/>
    </row>
    <row r="731" spans="2:6" x14ac:dyDescent="0.25">
      <c r="B731">
        <v>729</v>
      </c>
      <c r="C731" s="1">
        <v>44549</v>
      </c>
      <c r="D731" t="s">
        <v>4</v>
      </c>
      <c r="E731">
        <v>2520</v>
      </c>
      <c r="F731" s="9"/>
    </row>
    <row r="732" spans="2:6" x14ac:dyDescent="0.25">
      <c r="B732">
        <v>730</v>
      </c>
      <c r="C732" s="1">
        <v>44549</v>
      </c>
      <c r="D732" t="s">
        <v>5</v>
      </c>
      <c r="E732">
        <v>4570</v>
      </c>
      <c r="F732" s="9"/>
    </row>
    <row r="733" spans="2:6" x14ac:dyDescent="0.25">
      <c r="B733">
        <v>731</v>
      </c>
      <c r="C733" s="1">
        <v>44550</v>
      </c>
      <c r="D733" t="s">
        <v>6</v>
      </c>
      <c r="E733">
        <v>7250</v>
      </c>
      <c r="F733" s="9"/>
    </row>
    <row r="734" spans="2:6" x14ac:dyDescent="0.25">
      <c r="B734">
        <v>732</v>
      </c>
      <c r="C734" s="1">
        <v>44550</v>
      </c>
      <c r="D734" t="s">
        <v>4</v>
      </c>
      <c r="E734">
        <v>1340</v>
      </c>
      <c r="F734" s="9"/>
    </row>
    <row r="735" spans="2:6" x14ac:dyDescent="0.25">
      <c r="B735">
        <v>733</v>
      </c>
      <c r="C735" s="1">
        <v>44551</v>
      </c>
      <c r="D735" t="s">
        <v>6</v>
      </c>
      <c r="E735">
        <v>1880</v>
      </c>
      <c r="F735" s="9"/>
    </row>
    <row r="736" spans="2:6" x14ac:dyDescent="0.25">
      <c r="B736">
        <v>734</v>
      </c>
      <c r="C736" s="1">
        <v>44552</v>
      </c>
      <c r="D736" t="s">
        <v>4</v>
      </c>
      <c r="E736">
        <v>5730</v>
      </c>
      <c r="F736" s="9"/>
    </row>
    <row r="737" spans="2:6" x14ac:dyDescent="0.25">
      <c r="B737">
        <v>735</v>
      </c>
      <c r="C737" s="1">
        <v>44552</v>
      </c>
      <c r="D737" t="s">
        <v>5</v>
      </c>
      <c r="E737">
        <v>1260</v>
      </c>
      <c r="F737" s="9"/>
    </row>
    <row r="738" spans="2:6" x14ac:dyDescent="0.25">
      <c r="B738">
        <v>736</v>
      </c>
      <c r="C738" s="1">
        <v>44553</v>
      </c>
      <c r="D738" t="s">
        <v>4</v>
      </c>
      <c r="E738">
        <v>9620</v>
      </c>
      <c r="F738" s="9"/>
    </row>
    <row r="739" spans="2:6" x14ac:dyDescent="0.25">
      <c r="B739">
        <v>737</v>
      </c>
      <c r="C739" s="1">
        <v>44553</v>
      </c>
      <c r="D739" t="s">
        <v>6</v>
      </c>
      <c r="E739">
        <v>1280</v>
      </c>
      <c r="F739" s="9"/>
    </row>
    <row r="740" spans="2:6" x14ac:dyDescent="0.25">
      <c r="B740">
        <v>738</v>
      </c>
      <c r="C740" s="1">
        <v>44553</v>
      </c>
      <c r="D740" t="s">
        <v>5</v>
      </c>
      <c r="E740">
        <v>4040</v>
      </c>
      <c r="F740" s="9"/>
    </row>
    <row r="741" spans="2:6" x14ac:dyDescent="0.25">
      <c r="B741">
        <v>739</v>
      </c>
      <c r="C741" s="1">
        <v>44554</v>
      </c>
      <c r="D741" t="s">
        <v>4</v>
      </c>
      <c r="E741">
        <v>4270</v>
      </c>
      <c r="F741" s="9"/>
    </row>
    <row r="742" spans="2:6" x14ac:dyDescent="0.25">
      <c r="B742">
        <v>740</v>
      </c>
      <c r="C742" s="1">
        <v>44555</v>
      </c>
      <c r="D742" t="s">
        <v>4</v>
      </c>
      <c r="E742">
        <v>1590</v>
      </c>
      <c r="F742" s="9"/>
    </row>
    <row r="743" spans="2:6" x14ac:dyDescent="0.25">
      <c r="B743">
        <v>741</v>
      </c>
      <c r="C743" s="1">
        <v>44556</v>
      </c>
      <c r="D743" t="s">
        <v>5</v>
      </c>
      <c r="E743">
        <v>7700</v>
      </c>
      <c r="F743" s="9"/>
    </row>
    <row r="744" spans="2:6" x14ac:dyDescent="0.25">
      <c r="B744">
        <v>742</v>
      </c>
      <c r="C744" s="1">
        <v>44556</v>
      </c>
      <c r="D744" t="s">
        <v>7</v>
      </c>
      <c r="E744">
        <v>7320</v>
      </c>
      <c r="F744" s="9"/>
    </row>
    <row r="745" spans="2:6" x14ac:dyDescent="0.25">
      <c r="B745">
        <v>743</v>
      </c>
      <c r="C745" s="1">
        <v>44557</v>
      </c>
      <c r="D745" t="s">
        <v>7</v>
      </c>
      <c r="E745">
        <v>3930</v>
      </c>
      <c r="F745" s="9"/>
    </row>
    <row r="746" spans="2:6" x14ac:dyDescent="0.25">
      <c r="B746">
        <v>744</v>
      </c>
      <c r="C746" s="1">
        <v>44557</v>
      </c>
      <c r="D746" t="s">
        <v>6</v>
      </c>
      <c r="E746">
        <v>5870</v>
      </c>
      <c r="F746" s="9"/>
    </row>
    <row r="747" spans="2:6" x14ac:dyDescent="0.25">
      <c r="B747">
        <v>745</v>
      </c>
      <c r="C747" s="1">
        <v>44557</v>
      </c>
      <c r="D747" t="s">
        <v>5</v>
      </c>
      <c r="E747">
        <v>8040</v>
      </c>
      <c r="F747" s="9"/>
    </row>
    <row r="748" spans="2:6" x14ac:dyDescent="0.25">
      <c r="B748">
        <v>746</v>
      </c>
      <c r="C748" s="1">
        <v>44557</v>
      </c>
      <c r="D748" t="s">
        <v>4</v>
      </c>
      <c r="E748">
        <v>8030</v>
      </c>
      <c r="F748" s="9"/>
    </row>
    <row r="749" spans="2:6" x14ac:dyDescent="0.25">
      <c r="B749">
        <v>747</v>
      </c>
      <c r="C749" s="1">
        <v>44558</v>
      </c>
      <c r="D749" t="s">
        <v>5</v>
      </c>
      <c r="E749">
        <v>4140</v>
      </c>
      <c r="F749" s="9"/>
    </row>
    <row r="750" spans="2:6" x14ac:dyDescent="0.25">
      <c r="B750">
        <v>748</v>
      </c>
      <c r="C750" s="1">
        <v>44558</v>
      </c>
      <c r="D750" t="s">
        <v>4</v>
      </c>
      <c r="E750">
        <v>1410</v>
      </c>
      <c r="F750" s="9"/>
    </row>
    <row r="751" spans="2:6" x14ac:dyDescent="0.25">
      <c r="B751">
        <v>749</v>
      </c>
      <c r="C751" s="1">
        <v>44558</v>
      </c>
      <c r="D751" t="s">
        <v>6</v>
      </c>
      <c r="E751">
        <v>4500</v>
      </c>
      <c r="F751" s="9"/>
    </row>
    <row r="752" spans="2:6" x14ac:dyDescent="0.25">
      <c r="B752">
        <v>750</v>
      </c>
      <c r="C752" s="1">
        <v>44559</v>
      </c>
      <c r="D752" t="s">
        <v>5</v>
      </c>
      <c r="E752">
        <v>4050</v>
      </c>
      <c r="F752" s="9"/>
    </row>
    <row r="753" spans="2:6" x14ac:dyDescent="0.25">
      <c r="B753">
        <v>751</v>
      </c>
      <c r="C753" s="1">
        <v>44559</v>
      </c>
      <c r="D753" t="s">
        <v>4</v>
      </c>
      <c r="E753">
        <v>7390</v>
      </c>
      <c r="F753" s="9"/>
    </row>
    <row r="754" spans="2:6" x14ac:dyDescent="0.25">
      <c r="B754">
        <v>752</v>
      </c>
      <c r="C754" s="1">
        <v>44560</v>
      </c>
      <c r="D754" t="s">
        <v>6</v>
      </c>
      <c r="E754">
        <v>4600</v>
      </c>
      <c r="F754" s="9"/>
    </row>
    <row r="755" spans="2:6" x14ac:dyDescent="0.25">
      <c r="B755">
        <v>753</v>
      </c>
      <c r="C755" s="1">
        <v>44560</v>
      </c>
      <c r="D755" t="s">
        <v>5</v>
      </c>
      <c r="E755">
        <v>7040</v>
      </c>
      <c r="F755" s="9"/>
    </row>
    <row r="756" spans="2:6" x14ac:dyDescent="0.25">
      <c r="B756">
        <v>754</v>
      </c>
      <c r="C756" s="1">
        <v>44560</v>
      </c>
      <c r="D756" t="s">
        <v>7</v>
      </c>
      <c r="E756">
        <v>2410</v>
      </c>
      <c r="F756" s="9"/>
    </row>
    <row r="757" spans="2:6" x14ac:dyDescent="0.25">
      <c r="B757">
        <v>755</v>
      </c>
      <c r="C757" s="1">
        <v>44561</v>
      </c>
      <c r="D757" t="s">
        <v>6</v>
      </c>
      <c r="E757">
        <v>6290</v>
      </c>
      <c r="F757" s="9"/>
    </row>
  </sheetData>
  <mergeCells count="2">
    <mergeCell ref="K6:L6"/>
    <mergeCell ref="N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1</vt:i4>
      </vt:variant>
    </vt:vector>
  </HeadingPairs>
  <TitlesOfParts>
    <vt:vector size="6" baseType="lpstr">
      <vt:lpstr>5.1.</vt:lpstr>
      <vt:lpstr>5.2.</vt:lpstr>
      <vt:lpstr>Arkusz4</vt:lpstr>
      <vt:lpstr>5.4.</vt:lpstr>
      <vt:lpstr>Arkusz1</vt:lpstr>
      <vt:lpstr>Arkusz1!soki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Aleksy Dobrodziej</dc:creator>
  <cp:lastModifiedBy>Aleksy Dobrodziej</cp:lastModifiedBy>
  <dcterms:created xsi:type="dcterms:W3CDTF">2026-04-03T12:59:33Z</dcterms:created>
  <dcterms:modified xsi:type="dcterms:W3CDTF">2026-04-03T16:19:50Z</dcterms:modified>
</cp:coreProperties>
</file>