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Maj_2024\zad7\"/>
    </mc:Choice>
  </mc:AlternateContent>
  <xr:revisionPtr revIDLastSave="0" documentId="13_ncr:1_{1494E3F3-BA8D-4E8D-BDB0-772A9B89DD7F}" xr6:coauthVersionLast="47" xr6:coauthVersionMax="47" xr10:uidLastSave="{00000000-0000-0000-0000-000000000000}"/>
  <bookViews>
    <workbookView xWindow="-120" yWindow="-120" windowWidth="29040" windowHeight="15720" activeTab="5" xr2:uid="{D5566E56-030E-479B-82E5-FE9390947E12}"/>
  </bookViews>
  <sheets>
    <sheet name="Arkusz3" sheetId="3" r:id="rId1"/>
    <sheet name="Arkusz4" sheetId="4" r:id="rId2"/>
    <sheet name="Arkusz1" sheetId="5" r:id="rId3"/>
    <sheet name="Arkusz2" sheetId="6" r:id="rId4"/>
    <sheet name="Szczegóły1" sheetId="7" r:id="rId5"/>
    <sheet name="jablka" sheetId="2" r:id="rId6"/>
    <sheet name="cennik" sheetId="1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" l="1"/>
  <c r="K2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4" i="2"/>
  <c r="G5" i="2"/>
  <c r="G6" i="2"/>
  <c r="G7" i="2"/>
  <c r="G8" i="2"/>
  <c r="G9" i="2"/>
  <c r="G10" i="2"/>
  <c r="G3" i="2"/>
  <c r="G2" i="2"/>
  <c r="C2" i="6"/>
  <c r="E5" i="6"/>
  <c r="F5" i="6" s="1"/>
  <c r="E6" i="6"/>
  <c r="F6" i="6" s="1"/>
  <c r="E7" i="6"/>
  <c r="F7" i="6" s="1"/>
  <c r="E8" i="6"/>
  <c r="F8" i="6" s="1"/>
  <c r="E9" i="6"/>
  <c r="F9" i="6" s="1"/>
  <c r="E10" i="6"/>
  <c r="E11" i="6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E19" i="6"/>
  <c r="E20" i="6"/>
  <c r="E21" i="6"/>
  <c r="F21" i="6" s="1"/>
  <c r="E22" i="6"/>
  <c r="E23" i="6"/>
  <c r="F23" i="6" s="1"/>
  <c r="E24" i="6"/>
  <c r="F24" i="6" s="1"/>
  <c r="E25" i="6"/>
  <c r="F25" i="6" s="1"/>
  <c r="E26" i="6"/>
  <c r="E27" i="6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E35" i="6"/>
  <c r="E36" i="6"/>
  <c r="E37" i="6"/>
  <c r="F37" i="6" s="1"/>
  <c r="E38" i="6"/>
  <c r="E39" i="6"/>
  <c r="F39" i="6" s="1"/>
  <c r="E40" i="6"/>
  <c r="F40" i="6" s="1"/>
  <c r="E41" i="6"/>
  <c r="F41" i="6" s="1"/>
  <c r="E42" i="6"/>
  <c r="E43" i="6"/>
  <c r="E44" i="6"/>
  <c r="F44" i="6" s="1"/>
  <c r="E45" i="6"/>
  <c r="F45" i="6" s="1"/>
  <c r="E46" i="6"/>
  <c r="F46" i="6" s="1"/>
  <c r="E47" i="6"/>
  <c r="F47" i="6" s="1"/>
  <c r="F10" i="6"/>
  <c r="F11" i="6"/>
  <c r="F18" i="6"/>
  <c r="F19" i="6"/>
  <c r="F20" i="6"/>
  <c r="F22" i="6"/>
  <c r="F26" i="6"/>
  <c r="F27" i="6"/>
  <c r="F34" i="6"/>
  <c r="F35" i="6"/>
  <c r="F36" i="6"/>
  <c r="F38" i="6"/>
  <c r="F42" i="6"/>
  <c r="F43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C5" i="6"/>
  <c r="C6" i="6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/>
  <c r="C54" i="6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/>
  <c r="C66" i="6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/>
  <c r="C139" i="6"/>
  <c r="C140" i="6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/>
  <c r="C184" i="6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/>
  <c r="C241" i="6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/>
  <c r="C291" i="6" s="1"/>
  <c r="C292" i="6" s="1"/>
  <c r="C293" i="6" s="1"/>
  <c r="C294" i="6" s="1"/>
  <c r="C295" i="6" s="1"/>
  <c r="C296" i="6" s="1"/>
  <c r="C297" i="6" s="1"/>
  <c r="C298" i="6" s="1"/>
  <c r="C299" i="6"/>
  <c r="C300" i="6"/>
  <c r="C301" i="6" s="1"/>
  <c r="C302" i="6" s="1"/>
  <c r="C303" i="6" s="1"/>
  <c r="C304" i="6" s="1"/>
  <c r="C305" i="6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/>
  <c r="C348" i="6"/>
  <c r="C349" i="6" s="1"/>
  <c r="C350" i="6" s="1"/>
  <c r="C351" i="6" s="1"/>
  <c r="C352" i="6" s="1"/>
  <c r="C353" i="6"/>
  <c r="C354" i="6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/>
  <c r="C446" i="6"/>
  <c r="C447" i="6" s="1"/>
  <c r="C448" i="6" s="1"/>
  <c r="C449" i="6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/>
  <c r="C484" i="6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/>
  <c r="C575" i="6" s="1"/>
  <c r="C576" i="6" s="1"/>
  <c r="C577" i="6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/>
  <c r="C690" i="6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/>
  <c r="C774" i="6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/>
  <c r="C786" i="6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/>
  <c r="C864" i="6"/>
  <c r="C865" i="6"/>
  <c r="C866" i="6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/>
  <c r="C908" i="6"/>
  <c r="C909" i="6" s="1"/>
  <c r="C910" i="6"/>
  <c r="C911" i="6" s="1"/>
  <c r="C912" i="6" s="1"/>
  <c r="C913" i="6"/>
  <c r="C914" i="6" s="1"/>
  <c r="C915" i="6" s="1"/>
  <c r="C916" i="6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/>
  <c r="C959" i="6" s="1"/>
  <c r="C960" i="6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C1005" i="6" s="1"/>
  <c r="C1006" i="6" s="1"/>
  <c r="C1007" i="6" s="1"/>
  <c r="C1008" i="6"/>
  <c r="C1009" i="6" s="1"/>
  <c r="C1010" i="6" s="1"/>
  <c r="C1011" i="6" s="1"/>
  <c r="C1012" i="6" s="1"/>
  <c r="C1013" i="6" s="1"/>
  <c r="C1014" i="6" s="1"/>
  <c r="C1015" i="6" s="1"/>
  <c r="C1016" i="6" s="1"/>
  <c r="C1017" i="6" s="1"/>
  <c r="C1018" i="6" s="1"/>
  <c r="C1019" i="6" s="1"/>
  <c r="C1020" i="6" s="1"/>
  <c r="C1021" i="6" s="1"/>
  <c r="C1022" i="6" s="1"/>
  <c r="C1023" i="6" s="1"/>
  <c r="C1024" i="6" s="1"/>
  <c r="C1025" i="6" s="1"/>
  <c r="C1026" i="6" s="1"/>
  <c r="C1027" i="6" s="1"/>
  <c r="C1028" i="6" s="1"/>
  <c r="C1029" i="6" s="1"/>
  <c r="C1030" i="6" s="1"/>
  <c r="C1031" i="6" s="1"/>
  <c r="C1032" i="6" s="1"/>
  <c r="C1033" i="6" s="1"/>
  <c r="C1034" i="6" s="1"/>
  <c r="C1035" i="6" s="1"/>
  <c r="C1036" i="6" s="1"/>
  <c r="C1037" i="6" s="1"/>
  <c r="C1038" i="6" s="1"/>
  <c r="C1039" i="6"/>
  <c r="C1040" i="6" s="1"/>
  <c r="C1041" i="6" s="1"/>
  <c r="C1042" i="6" s="1"/>
  <c r="C1043" i="6" s="1"/>
  <c r="C1044" i="6" s="1"/>
  <c r="C1045" i="6" s="1"/>
  <c r="C1046" i="6" s="1"/>
  <c r="C1047" i="6" s="1"/>
  <c r="C1048" i="6" s="1"/>
  <c r="C1049" i="6" s="1"/>
  <c r="C1050" i="6" s="1"/>
  <c r="C1051" i="6" s="1"/>
  <c r="C1052" i="6" s="1"/>
  <c r="C1053" i="6" s="1"/>
  <c r="C1054" i="6" s="1"/>
  <c r="C1055" i="6" s="1"/>
  <c r="C1056" i="6" s="1"/>
  <c r="C1057" i="6" s="1"/>
  <c r="C1058" i="6" s="1"/>
  <c r="C1059" i="6"/>
  <c r="C1060" i="6"/>
  <c r="C1061" i="6" s="1"/>
  <c r="C1062" i="6" s="1"/>
  <c r="C1063" i="6" s="1"/>
  <c r="C1064" i="6" s="1"/>
  <c r="C1065" i="6" s="1"/>
  <c r="C1066" i="6" s="1"/>
  <c r="C1067" i="6" s="1"/>
  <c r="C1068" i="6" s="1"/>
  <c r="C1069" i="6" s="1"/>
  <c r="C1070" i="6" s="1"/>
  <c r="C1071" i="6" s="1"/>
  <c r="C1072" i="6" s="1"/>
  <c r="C1073" i="6" s="1"/>
  <c r="C1074" i="6" s="1"/>
  <c r="C1075" i="6" s="1"/>
  <c r="C1076" i="6" s="1"/>
  <c r="C1077" i="6" s="1"/>
  <c r="C1078" i="6" s="1"/>
  <c r="C1079" i="6" s="1"/>
  <c r="C1080" i="6" s="1"/>
  <c r="C1081" i="6" s="1"/>
  <c r="C1082" i="6" s="1"/>
  <c r="C1083" i="6" s="1"/>
  <c r="C1084" i="6" s="1"/>
  <c r="C1085" i="6" s="1"/>
  <c r="C1086" i="6" s="1"/>
  <c r="C1087" i="6" s="1"/>
  <c r="C1088" i="6" s="1"/>
  <c r="C1089" i="6" s="1"/>
  <c r="C1090" i="6" s="1"/>
  <c r="C1091" i="6" s="1"/>
  <c r="C1092" i="6" s="1"/>
  <c r="C1093" i="6" s="1"/>
  <c r="C1094" i="6" s="1"/>
  <c r="C1095" i="6" s="1"/>
  <c r="C1096" i="6" s="1"/>
  <c r="C1097" i="6" s="1"/>
  <c r="C1098" i="6" s="1"/>
  <c r="C1099" i="6" s="1"/>
  <c r="C1100" i="6" s="1"/>
  <c r="C1101" i="6" s="1"/>
  <c r="C1102" i="6" s="1"/>
  <c r="C1103" i="6" s="1"/>
  <c r="C1104" i="6" s="1"/>
  <c r="C1105" i="6" s="1"/>
  <c r="C1106" i="6" s="1"/>
  <c r="C1107" i="6" s="1"/>
  <c r="C1108" i="6" s="1"/>
  <c r="C1109" i="6" s="1"/>
  <c r="C1110" i="6" s="1"/>
  <c r="C1111" i="6" s="1"/>
  <c r="C1112" i="6" s="1"/>
  <c r="C1113" i="6" s="1"/>
  <c r="C1114" i="6" s="1"/>
  <c r="C1115" i="6" s="1"/>
  <c r="C1116" i="6" s="1"/>
  <c r="C1117" i="6" s="1"/>
  <c r="C1118" i="6"/>
  <c r="C1119" i="6" s="1"/>
  <c r="C1120" i="6" s="1"/>
  <c r="C1121" i="6" s="1"/>
  <c r="C1122" i="6" s="1"/>
  <c r="C1123" i="6" s="1"/>
  <c r="C1124" i="6" s="1"/>
  <c r="C1125" i="6" s="1"/>
  <c r="C1126" i="6" s="1"/>
  <c r="C1127" i="6" s="1"/>
  <c r="C1128" i="6" s="1"/>
  <c r="C1129" i="6" s="1"/>
  <c r="C1130" i="6" s="1"/>
  <c r="C1131" i="6" s="1"/>
  <c r="C1132" i="6" s="1"/>
  <c r="C1133" i="6" s="1"/>
  <c r="C1134" i="6" s="1"/>
  <c r="C1135" i="6" s="1"/>
  <c r="C1136" i="6" s="1"/>
  <c r="C1137" i="6" s="1"/>
  <c r="C1138" i="6" s="1"/>
  <c r="C1139" i="6" s="1"/>
  <c r="C1140" i="6" s="1"/>
  <c r="C1141" i="6" s="1"/>
  <c r="C1142" i="6" s="1"/>
  <c r="C1143" i="6" s="1"/>
  <c r="C1144" i="6" s="1"/>
  <c r="C1145" i="6" s="1"/>
  <c r="C1146" i="6" s="1"/>
  <c r="C1147" i="6" s="1"/>
  <c r="C1148" i="6" s="1"/>
  <c r="C1149" i="6" s="1"/>
  <c r="C1150" i="6" s="1"/>
  <c r="C1151" i="6" s="1"/>
  <c r="C1152" i="6" s="1"/>
  <c r="C1153" i="6" s="1"/>
  <c r="C1154" i="6" s="1"/>
  <c r="C1155" i="6" s="1"/>
  <c r="C1156" i="6" s="1"/>
  <c r="C1157" i="6" s="1"/>
  <c r="C1158" i="6" s="1"/>
  <c r="C1159" i="6" s="1"/>
  <c r="C1160" i="6" s="1"/>
  <c r="C1161" i="6" s="1"/>
  <c r="C1162" i="6" s="1"/>
  <c r="C1163" i="6" s="1"/>
  <c r="C1164" i="6" s="1"/>
  <c r="C1165" i="6"/>
  <c r="C1166" i="6"/>
  <c r="C1167" i="6"/>
  <c r="C1168" i="6" s="1"/>
  <c r="C1169" i="6" s="1"/>
  <c r="C1170" i="6" s="1"/>
  <c r="C1171" i="6" s="1"/>
  <c r="C1172" i="6" s="1"/>
  <c r="C1173" i="6" s="1"/>
  <c r="C1174" i="6" s="1"/>
  <c r="C1175" i="6" s="1"/>
  <c r="C1176" i="6" s="1"/>
  <c r="C1177" i="6" s="1"/>
  <c r="C1178" i="6" s="1"/>
  <c r="C1179" i="6" s="1"/>
  <c r="C1180" i="6" s="1"/>
  <c r="C1181" i="6" s="1"/>
  <c r="C1182" i="6" s="1"/>
  <c r="C1183" i="6" s="1"/>
  <c r="C1184" i="6" s="1"/>
  <c r="C1185" i="6" s="1"/>
  <c r="C1186" i="6" s="1"/>
  <c r="C1187" i="6" s="1"/>
  <c r="C1188" i="6" s="1"/>
  <c r="C1189" i="6" s="1"/>
  <c r="C1190" i="6" s="1"/>
  <c r="C1191" i="6" s="1"/>
  <c r="C1192" i="6" s="1"/>
  <c r="C1193" i="6" s="1"/>
  <c r="C1194" i="6" s="1"/>
  <c r="C1195" i="6" s="1"/>
  <c r="C1196" i="6" s="1"/>
  <c r="C1197" i="6" s="1"/>
  <c r="C1198" i="6" s="1"/>
  <c r="C1199" i="6" s="1"/>
  <c r="C1200" i="6" s="1"/>
  <c r="C1201" i="6" s="1"/>
  <c r="C1202" i="6" s="1"/>
  <c r="C1203" i="6" s="1"/>
  <c r="C1204" i="6" s="1"/>
  <c r="C1205" i="6" s="1"/>
  <c r="C1206" i="6" s="1"/>
  <c r="C1207" i="6" s="1"/>
  <c r="C1208" i="6" s="1"/>
  <c r="C1209" i="6" s="1"/>
  <c r="C1210" i="6" s="1"/>
  <c r="C1211" i="6" s="1"/>
  <c r="C1212" i="6"/>
  <c r="C1213" i="6" s="1"/>
  <c r="C1214" i="6"/>
  <c r="C1215" i="6"/>
  <c r="C1216" i="6"/>
  <c r="C1217" i="6"/>
  <c r="C1218" i="6" s="1"/>
  <c r="C1219" i="6" s="1"/>
  <c r="C1220" i="6"/>
  <c r="C1221" i="6" s="1"/>
  <c r="C1222" i="6"/>
  <c r="C1223" i="6" s="1"/>
  <c r="C1224" i="6" s="1"/>
  <c r="C1225" i="6" s="1"/>
  <c r="C1226" i="6" s="1"/>
  <c r="C1227" i="6" s="1"/>
  <c r="C1228" i="6" s="1"/>
  <c r="C1229" i="6" s="1"/>
  <c r="C1230" i="6" s="1"/>
  <c r="C1231" i="6" s="1"/>
  <c r="C1232" i="6" s="1"/>
  <c r="C1233" i="6" s="1"/>
  <c r="C1234" i="6" s="1"/>
  <c r="C1235" i="6" s="1"/>
  <c r="C1236" i="6" s="1"/>
  <c r="C1237" i="6" s="1"/>
  <c r="C1238" i="6" s="1"/>
  <c r="C1239" i="6" s="1"/>
  <c r="C1240" i="6" s="1"/>
  <c r="C1241" i="6" s="1"/>
  <c r="C1242" i="6" s="1"/>
  <c r="C1243" i="6" s="1"/>
  <c r="C1244" i="6" s="1"/>
  <c r="C1245" i="6" s="1"/>
  <c r="C1246" i="6" s="1"/>
  <c r="C1247" i="6" s="1"/>
  <c r="C1248" i="6" s="1"/>
  <c r="C1249" i="6" s="1"/>
  <c r="C1250" i="6" s="1"/>
  <c r="C1251" i="6" s="1"/>
  <c r="C1252" i="6" s="1"/>
  <c r="C1253" i="6" s="1"/>
  <c r="C1254" i="6" s="1"/>
  <c r="C1255" i="6" s="1"/>
  <c r="C1256" i="6" s="1"/>
  <c r="C1257" i="6" s="1"/>
  <c r="C1258" i="6" s="1"/>
  <c r="C1259" i="6" s="1"/>
  <c r="C1260" i="6" s="1"/>
  <c r="C1261" i="6" s="1"/>
  <c r="C1262" i="6"/>
  <c r="C1263" i="6" s="1"/>
  <c r="C1264" i="6" s="1"/>
  <c r="C1265" i="6" s="1"/>
  <c r="C1266" i="6" s="1"/>
  <c r="C1267" i="6" s="1"/>
  <c r="C1268" i="6" s="1"/>
  <c r="C1269" i="6" s="1"/>
  <c r="C1270" i="6" s="1"/>
  <c r="C1271" i="6" s="1"/>
  <c r="C1272" i="6" s="1"/>
  <c r="C1273" i="6" s="1"/>
  <c r="C1274" i="6" s="1"/>
  <c r="C1275" i="6" s="1"/>
  <c r="C1276" i="6" s="1"/>
  <c r="C1277" i="6" s="1"/>
  <c r="C1278" i="6" s="1"/>
  <c r="C1279" i="6" s="1"/>
  <c r="C1280" i="6"/>
  <c r="C1281" i="6" s="1"/>
  <c r="C1282" i="6" s="1"/>
  <c r="C1283" i="6" s="1"/>
  <c r="C1284" i="6" s="1"/>
  <c r="C1285" i="6" s="1"/>
  <c r="C1286" i="6" s="1"/>
  <c r="C1287" i="6" s="1"/>
  <c r="C1288" i="6" s="1"/>
  <c r="C1289" i="6" s="1"/>
  <c r="C1290" i="6" s="1"/>
  <c r="C1291" i="6" s="1"/>
  <c r="C1292" i="6" s="1"/>
  <c r="C1293" i="6" s="1"/>
  <c r="C1294" i="6" s="1"/>
  <c r="C1295" i="6" s="1"/>
  <c r="C1296" i="6" s="1"/>
  <c r="C1297" i="6" s="1"/>
  <c r="C1298" i="6" s="1"/>
  <c r="C1299" i="6" s="1"/>
  <c r="C1300" i="6" s="1"/>
  <c r="C1301" i="6" s="1"/>
  <c r="C1302" i="6" s="1"/>
  <c r="C1303" i="6" s="1"/>
  <c r="C1304" i="6" s="1"/>
  <c r="C1305" i="6" s="1"/>
  <c r="C1306" i="6" s="1"/>
  <c r="C1307" i="6" s="1"/>
  <c r="C1308" i="6" s="1"/>
  <c r="C1309" i="6" s="1"/>
  <c r="C1310" i="6" s="1"/>
  <c r="C1311" i="6" s="1"/>
  <c r="C1312" i="6" s="1"/>
  <c r="C1313" i="6" s="1"/>
  <c r="C1314" i="6"/>
  <c r="C1315" i="6" s="1"/>
  <c r="C1316" i="6" s="1"/>
  <c r="C1317" i="6" s="1"/>
  <c r="C1318" i="6" s="1"/>
  <c r="C1319" i="6" s="1"/>
  <c r="C1320" i="6" s="1"/>
  <c r="C1321" i="6" s="1"/>
  <c r="C1322" i="6" s="1"/>
  <c r="C1323" i="6" s="1"/>
  <c r="C1324" i="6" s="1"/>
  <c r="C1325" i="6" s="1"/>
  <c r="C1326" i="6" s="1"/>
  <c r="C1327" i="6" s="1"/>
  <c r="C1328" i="6" s="1"/>
  <c r="C1329" i="6" s="1"/>
  <c r="C1330" i="6" s="1"/>
  <c r="C1331" i="6"/>
  <c r="C1332" i="6"/>
  <c r="C1333" i="6" s="1"/>
  <c r="C1334" i="6" s="1"/>
  <c r="C1335" i="6" s="1"/>
  <c r="C1336" i="6" s="1"/>
  <c r="C1337" i="6" s="1"/>
  <c r="C1338" i="6" s="1"/>
  <c r="C1339" i="6" s="1"/>
  <c r="C1340" i="6" s="1"/>
  <c r="C1341" i="6" s="1"/>
  <c r="C1342" i="6" s="1"/>
  <c r="C1343" i="6" s="1"/>
  <c r="C1344" i="6" s="1"/>
  <c r="C1345" i="6" s="1"/>
  <c r="C1346" i="6" s="1"/>
  <c r="C1347" i="6" s="1"/>
  <c r="C1348" i="6" s="1"/>
  <c r="C1349" i="6" s="1"/>
  <c r="C1350" i="6" s="1"/>
  <c r="C1351" i="6" s="1"/>
  <c r="C1352" i="6" s="1"/>
  <c r="C1353" i="6" s="1"/>
  <c r="C1354" i="6"/>
  <c r="C1355" i="6"/>
  <c r="C1356" i="6"/>
  <c r="C1357" i="6"/>
  <c r="C1358" i="6"/>
  <c r="C1359" i="6" s="1"/>
  <c r="C1360" i="6" s="1"/>
  <c r="C1361" i="6" s="1"/>
  <c r="C1362" i="6" s="1"/>
  <c r="C1363" i="6" s="1"/>
  <c r="C1364" i="6" s="1"/>
  <c r="C1365" i="6" s="1"/>
  <c r="C1366" i="6" s="1"/>
  <c r="C1367" i="6" s="1"/>
  <c r="C1368" i="6" s="1"/>
  <c r="C1369" i="6" s="1"/>
  <c r="C1370" i="6" s="1"/>
  <c r="C1371" i="6" s="1"/>
  <c r="C1372" i="6" s="1"/>
  <c r="C1373" i="6" s="1"/>
  <c r="C1374" i="6" s="1"/>
  <c r="C1375" i="6" s="1"/>
  <c r="C1376" i="6"/>
  <c r="C1377" i="6" s="1"/>
  <c r="C1378" i="6" s="1"/>
  <c r="C1379" i="6" s="1"/>
  <c r="C1380" i="6" s="1"/>
  <c r="C1381" i="6" s="1"/>
  <c r="C1382" i="6" s="1"/>
  <c r="C1383" i="6" s="1"/>
  <c r="C1384" i="6" s="1"/>
  <c r="C1385" i="6" s="1"/>
  <c r="C1386" i="6" s="1"/>
  <c r="C1387" i="6" s="1"/>
  <c r="C1388" i="6" s="1"/>
  <c r="C1389" i="6" s="1"/>
  <c r="C1390" i="6" s="1"/>
  <c r="C1391" i="6" s="1"/>
  <c r="C1392" i="6" s="1"/>
  <c r="C1393" i="6" s="1"/>
  <c r="C1394" i="6" s="1"/>
  <c r="C1395" i="6" s="1"/>
  <c r="C1396" i="6" s="1"/>
  <c r="C1397" i="6" s="1"/>
  <c r="C1398" i="6" s="1"/>
  <c r="C1399" i="6" s="1"/>
  <c r="C1400" i="6" s="1"/>
  <c r="C1401" i="6" s="1"/>
  <c r="C1402" i="6" s="1"/>
  <c r="C1403" i="6" s="1"/>
  <c r="C1404" i="6" s="1"/>
  <c r="C1405" i="6" s="1"/>
  <c r="C1406" i="6" s="1"/>
  <c r="C1407" i="6"/>
  <c r="C1408" i="6"/>
  <c r="C1409" i="6" s="1"/>
  <c r="C1410" i="6" s="1"/>
  <c r="C1411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439" i="6" s="1"/>
  <c r="C1440" i="6" s="1"/>
  <c r="C1441" i="6" s="1"/>
  <c r="C1442" i="6" s="1"/>
  <c r="C1443" i="6" s="1"/>
  <c r="C1444" i="6" s="1"/>
  <c r="C1445" i="6" s="1"/>
  <c r="C1446" i="6" s="1"/>
  <c r="C1447" i="6" s="1"/>
  <c r="C1448" i="6" s="1"/>
  <c r="C1449" i="6" s="1"/>
  <c r="C1450" i="6" s="1"/>
  <c r="C1451" i="6" s="1"/>
  <c r="C1452" i="6" s="1"/>
  <c r="C1453" i="6" s="1"/>
  <c r="C1454" i="6" s="1"/>
  <c r="C1455" i="6"/>
  <c r="C1456" i="6"/>
  <c r="C1457" i="6"/>
  <c r="C1458" i="6" s="1"/>
  <c r="C1459" i="6" s="1"/>
  <c r="C1460" i="6" s="1"/>
  <c r="C1461" i="6" s="1"/>
  <c r="C1462" i="6" s="1"/>
  <c r="C1463" i="6" s="1"/>
  <c r="C1464" i="6" s="1"/>
  <c r="C1465" i="6" s="1"/>
  <c r="C1466" i="6" s="1"/>
  <c r="C1467" i="6" s="1"/>
  <c r="C1468" i="6" s="1"/>
  <c r="C1469" i="6" s="1"/>
  <c r="C1470" i="6" s="1"/>
  <c r="C1471" i="6" s="1"/>
  <c r="C1472" i="6" s="1"/>
  <c r="C1473" i="6" s="1"/>
  <c r="C1474" i="6" s="1"/>
  <c r="C1475" i="6" s="1"/>
  <c r="C1476" i="6" s="1"/>
  <c r="C1477" i="6" s="1"/>
  <c r="C1478" i="6" s="1"/>
  <c r="C1479" i="6" s="1"/>
  <c r="C1480" i="6" s="1"/>
  <c r="C1481" i="6" s="1"/>
  <c r="C1482" i="6" s="1"/>
  <c r="C1483" i="6" s="1"/>
  <c r="C1484" i="6" s="1"/>
  <c r="C1485" i="6" s="1"/>
  <c r="C1486" i="6" s="1"/>
  <c r="C1487" i="6" s="1"/>
  <c r="C1488" i="6" s="1"/>
  <c r="C1489" i="6" s="1"/>
  <c r="C1490" i="6" s="1"/>
  <c r="C1491" i="6" s="1"/>
  <c r="C1492" i="6" s="1"/>
  <c r="C1493" i="6" s="1"/>
  <c r="C1494" i="6" s="1"/>
  <c r="C1495" i="6" s="1"/>
  <c r="C1496" i="6" s="1"/>
  <c r="C1497" i="6" s="1"/>
  <c r="C1498" i="6" s="1"/>
  <c r="C1499" i="6" s="1"/>
  <c r="C1500" i="6" s="1"/>
  <c r="C1501" i="6" s="1"/>
  <c r="C1502" i="6" s="1"/>
  <c r="C1503" i="6" s="1"/>
  <c r="C1504" i="6" s="1"/>
  <c r="C1505" i="6" s="1"/>
  <c r="C1506" i="6" s="1"/>
  <c r="C1507" i="6" s="1"/>
  <c r="C1508" i="6"/>
  <c r="C1509" i="6"/>
  <c r="C1510" i="6" s="1"/>
  <c r="C1511" i="6" s="1"/>
  <c r="C1512" i="6" s="1"/>
  <c r="C1513" i="6" s="1"/>
  <c r="C1514" i="6" s="1"/>
  <c r="C1515" i="6" s="1"/>
  <c r="C1516" i="6" s="1"/>
  <c r="C1517" i="6" s="1"/>
  <c r="C1518" i="6" s="1"/>
  <c r="C1519" i="6" s="1"/>
  <c r="C1520" i="6" s="1"/>
  <c r="C1521" i="6" s="1"/>
  <c r="C1522" i="6" s="1"/>
  <c r="C1523" i="6" s="1"/>
  <c r="C1524" i="6" s="1"/>
  <c r="C1525" i="6" s="1"/>
  <c r="C1526" i="6" s="1"/>
  <c r="C1527" i="6" s="1"/>
  <c r="C1528" i="6" s="1"/>
  <c r="C1529" i="6" s="1"/>
  <c r="C1530" i="6" s="1"/>
  <c r="C1531" i="6" s="1"/>
  <c r="C1532" i="6" s="1"/>
  <c r="C1533" i="6" s="1"/>
  <c r="C1534" i="6" s="1"/>
  <c r="C1535" i="6" s="1"/>
  <c r="C1536" i="6" s="1"/>
  <c r="C1537" i="6" s="1"/>
  <c r="C1538" i="6" s="1"/>
  <c r="C1539" i="6" s="1"/>
  <c r="C1540" i="6" s="1"/>
  <c r="C1541" i="6" s="1"/>
  <c r="C1542" i="6" s="1"/>
  <c r="C1543" i="6" s="1"/>
  <c r="C1544" i="6" s="1"/>
  <c r="C1545" i="6" s="1"/>
  <c r="C1546" i="6" s="1"/>
  <c r="C1547" i="6" s="1"/>
  <c r="C1548" i="6"/>
  <c r="C1549" i="6"/>
  <c r="C1550" i="6" s="1"/>
  <c r="C1551" i="6" s="1"/>
  <c r="C1552" i="6" s="1"/>
  <c r="C1553" i="6" s="1"/>
  <c r="C1554" i="6" s="1"/>
  <c r="C1555" i="6" s="1"/>
  <c r="C1556" i="6" s="1"/>
  <c r="C1557" i="6" s="1"/>
  <c r="C1558" i="6" s="1"/>
  <c r="C1559" i="6" s="1"/>
  <c r="C1560" i="6" s="1"/>
  <c r="C1561" i="6" s="1"/>
  <c r="C1562" i="6" s="1"/>
  <c r="C1563" i="6" s="1"/>
  <c r="C1564" i="6" s="1"/>
  <c r="C1565" i="6" s="1"/>
  <c r="C1566" i="6" s="1"/>
  <c r="C1567" i="6" s="1"/>
  <c r="C1568" i="6" s="1"/>
  <c r="C1569" i="6" s="1"/>
  <c r="C1570" i="6" s="1"/>
  <c r="C1571" i="6" s="1"/>
  <c r="C1572" i="6" s="1"/>
  <c r="C1573" i="6" s="1"/>
  <c r="C1574" i="6" s="1"/>
  <c r="C1575" i="6" s="1"/>
  <c r="C1576" i="6" s="1"/>
  <c r="C1577" i="6" s="1"/>
  <c r="C1578" i="6" s="1"/>
  <c r="C1579" i="6" s="1"/>
  <c r="C1580" i="6" s="1"/>
  <c r="C1581" i="6" s="1"/>
  <c r="C1582" i="6" s="1"/>
  <c r="C1583" i="6" s="1"/>
  <c r="C1584" i="6" s="1"/>
  <c r="C1585" i="6"/>
  <c r="C1586" i="6" s="1"/>
  <c r="C1587" i="6" s="1"/>
  <c r="C1588" i="6" s="1"/>
  <c r="C1589" i="6" s="1"/>
  <c r="C1590" i="6" s="1"/>
  <c r="C1591" i="6" s="1"/>
  <c r="C1592" i="6" s="1"/>
  <c r="C1593" i="6" s="1"/>
  <c r="C1594" i="6" s="1"/>
  <c r="C1595" i="6" s="1"/>
  <c r="C1596" i="6" s="1"/>
  <c r="C1597" i="6" s="1"/>
  <c r="C1598" i="6" s="1"/>
  <c r="C1599" i="6" s="1"/>
  <c r="C1600" i="6"/>
  <c r="C1601" i="6" s="1"/>
  <c r="C1602" i="6" s="1"/>
  <c r="C1603" i="6" s="1"/>
  <c r="C1604" i="6" s="1"/>
  <c r="C1605" i="6" s="1"/>
  <c r="C1606" i="6" s="1"/>
  <c r="C1607" i="6" s="1"/>
  <c r="C1608" i="6" s="1"/>
  <c r="C1609" i="6" s="1"/>
  <c r="C1610" i="6" s="1"/>
  <c r="C1611" i="6" s="1"/>
  <c r="C1612" i="6" s="1"/>
  <c r="C1613" i="6" s="1"/>
  <c r="C1614" i="6" s="1"/>
  <c r="C1615" i="6" s="1"/>
  <c r="C1616" i="6" s="1"/>
  <c r="C1617" i="6" s="1"/>
  <c r="C1618" i="6" s="1"/>
  <c r="C1619" i="6" s="1"/>
  <c r="C1620" i="6" s="1"/>
  <c r="C1621" i="6" s="1"/>
  <c r="C1622" i="6" s="1"/>
  <c r="C1623" i="6" s="1"/>
  <c r="C1624" i="6" s="1"/>
  <c r="C1625" i="6" s="1"/>
  <c r="C1626" i="6" s="1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1644" i="6" s="1"/>
  <c r="C1645" i="6"/>
  <c r="C1646" i="6" s="1"/>
  <c r="C1647" i="6" s="1"/>
  <c r="C1648" i="6"/>
  <c r="C1649" i="6"/>
  <c r="C1650" i="6" s="1"/>
  <c r="C1651" i="6" s="1"/>
  <c r="C1652" i="6" s="1"/>
  <c r="C1653" i="6" s="1"/>
  <c r="C1654" i="6" s="1"/>
  <c r="C1655" i="6" s="1"/>
  <c r="C1656" i="6" s="1"/>
  <c r="C1657" i="6" s="1"/>
  <c r="C1658" i="6" s="1"/>
  <c r="C1659" i="6" s="1"/>
  <c r="C1660" i="6" s="1"/>
  <c r="C1661" i="6" s="1"/>
  <c r="C1662" i="6" s="1"/>
  <c r="C1663" i="6" s="1"/>
  <c r="C1664" i="6" s="1"/>
  <c r="C1665" i="6" s="1"/>
  <c r="C1666" i="6" s="1"/>
  <c r="C1667" i="6" s="1"/>
  <c r="C1668" i="6" s="1"/>
  <c r="C1669" i="6" s="1"/>
  <c r="C1670" i="6" s="1"/>
  <c r="C1671" i="6" s="1"/>
  <c r="C1672" i="6" s="1"/>
  <c r="C1673" i="6" s="1"/>
  <c r="C1674" i="6" s="1"/>
  <c r="C1675" i="6" s="1"/>
  <c r="C1676" i="6" s="1"/>
  <c r="C1677" i="6" s="1"/>
  <c r="C1678" i="6" s="1"/>
  <c r="C1679" i="6" s="1"/>
  <c r="C1680" i="6" s="1"/>
  <c r="C1681" i="6" s="1"/>
  <c r="C1682" i="6" s="1"/>
  <c r="C1683" i="6" s="1"/>
  <c r="C1684" i="6" s="1"/>
  <c r="C1685" i="6" s="1"/>
  <c r="C1686" i="6" s="1"/>
  <c r="C1687" i="6" s="1"/>
  <c r="C1688" i="6" s="1"/>
  <c r="C1689" i="6" s="1"/>
  <c r="C1690" i="6" s="1"/>
  <c r="C1691" i="6" s="1"/>
  <c r="C1692" i="6"/>
  <c r="C1693" i="6"/>
  <c r="C1694" i="6" s="1"/>
  <c r="C1695" i="6" s="1"/>
  <c r="C1696" i="6" s="1"/>
  <c r="C1697" i="6" s="1"/>
  <c r="C1698" i="6" s="1"/>
  <c r="C1699" i="6" s="1"/>
  <c r="C1700" i="6" s="1"/>
  <c r="C1701" i="6" s="1"/>
  <c r="C1702" i="6" s="1"/>
  <c r="C1703" i="6" s="1"/>
  <c r="C1704" i="6" s="1"/>
  <c r="C1705" i="6" s="1"/>
  <c r="C1706" i="6" s="1"/>
  <c r="C1707" i="6" s="1"/>
  <c r="C1708" i="6" s="1"/>
  <c r="C1709" i="6" s="1"/>
  <c r="C1710" i="6" s="1"/>
  <c r="C1711" i="6" s="1"/>
  <c r="C1712" i="6" s="1"/>
  <c r="C1713" i="6" s="1"/>
  <c r="C1714" i="6" s="1"/>
  <c r="C1715" i="6" s="1"/>
  <c r="C1716" i="6" s="1"/>
  <c r="C1717" i="6" s="1"/>
  <c r="C1718" i="6" s="1"/>
  <c r="C1719" i="6" s="1"/>
  <c r="C1720" i="6" s="1"/>
  <c r="C1721" i="6" s="1"/>
  <c r="C1722" i="6" s="1"/>
  <c r="C1723" i="6" s="1"/>
  <c r="C1724" i="6" s="1"/>
  <c r="C1725" i="6" s="1"/>
  <c r="C1726" i="6" s="1"/>
  <c r="C1727" i="6" s="1"/>
  <c r="C1728" i="6" s="1"/>
  <c r="C1729" i="6" s="1"/>
  <c r="C1730" i="6" s="1"/>
  <c r="C1731" i="6" s="1"/>
  <c r="C1732" i="6"/>
  <c r="C1733" i="6"/>
  <c r="C1734" i="6" s="1"/>
  <c r="C1735" i="6" s="1"/>
  <c r="C1736" i="6" s="1"/>
  <c r="C1737" i="6" s="1"/>
  <c r="C1738" i="6" s="1"/>
  <c r="C1739" i="6" s="1"/>
  <c r="C1740" i="6" s="1"/>
  <c r="C1741" i="6" s="1"/>
  <c r="C1742" i="6" s="1"/>
  <c r="C1743" i="6" s="1"/>
  <c r="C1744" i="6"/>
  <c r="C1745" i="6"/>
  <c r="C1746" i="6" s="1"/>
  <c r="C1747" i="6" s="1"/>
  <c r="C1748" i="6" s="1"/>
  <c r="C1749" i="6" s="1"/>
  <c r="C1750" i="6" s="1"/>
  <c r="C1751" i="6" s="1"/>
  <c r="C1752" i="6" s="1"/>
  <c r="C1753" i="6" s="1"/>
  <c r="C1754" i="6" s="1"/>
  <c r="C1755" i="6" s="1"/>
  <c r="C1756" i="6" s="1"/>
  <c r="C1757" i="6" s="1"/>
  <c r="C1758" i="6" s="1"/>
  <c r="C1759" i="6" s="1"/>
  <c r="C1760" i="6" s="1"/>
  <c r="C1761" i="6" s="1"/>
  <c r="C1762" i="6" s="1"/>
  <c r="C1763" i="6" s="1"/>
  <c r="C1764" i="6" s="1"/>
  <c r="C1765" i="6" s="1"/>
  <c r="C1766" i="6" s="1"/>
  <c r="C1767" i="6" s="1"/>
  <c r="C1768" i="6" s="1"/>
  <c r="C1769" i="6" s="1"/>
  <c r="C1770" i="6" s="1"/>
  <c r="C1771" i="6" s="1"/>
  <c r="C1772" i="6" s="1"/>
  <c r="C1773" i="6" s="1"/>
  <c r="C1774" i="6" s="1"/>
  <c r="C1775" i="6" s="1"/>
  <c r="C1776" i="6" s="1"/>
  <c r="C1777" i="6" s="1"/>
  <c r="C1778" i="6" s="1"/>
  <c r="C1779" i="6" s="1"/>
  <c r="C1780" i="6" s="1"/>
  <c r="C1781" i="6"/>
  <c r="C1782" i="6" s="1"/>
  <c r="C1783" i="6" s="1"/>
  <c r="C1784" i="6" s="1"/>
  <c r="C1785" i="6" s="1"/>
  <c r="C1786" i="6" s="1"/>
  <c r="C1787" i="6" s="1"/>
  <c r="C1788" i="6" s="1"/>
  <c r="C1789" i="6" s="1"/>
  <c r="C1790" i="6" s="1"/>
  <c r="C1791" i="6" s="1"/>
  <c r="C1792" i="6"/>
  <c r="C1793" i="6" s="1"/>
  <c r="C1794" i="6" s="1"/>
  <c r="C1795" i="6" s="1"/>
  <c r="C1796" i="6" s="1"/>
  <c r="C1797" i="6" s="1"/>
  <c r="C1798" i="6" s="1"/>
  <c r="C1799" i="6" s="1"/>
  <c r="C1800" i="6" s="1"/>
  <c r="C1801" i="6" s="1"/>
  <c r="C1802" i="6" s="1"/>
  <c r="C1803" i="6" s="1"/>
  <c r="C1804" i="6" s="1"/>
  <c r="C1805" i="6" s="1"/>
  <c r="C1806" i="6" s="1"/>
  <c r="C1807" i="6" s="1"/>
  <c r="C1808" i="6" s="1"/>
  <c r="C1809" i="6" s="1"/>
  <c r="C1810" i="6" s="1"/>
  <c r="C1811" i="6" s="1"/>
  <c r="C1812" i="6" s="1"/>
  <c r="C1813" i="6" s="1"/>
  <c r="C1814" i="6" s="1"/>
  <c r="C1815" i="6" s="1"/>
  <c r="C1816" i="6" s="1"/>
  <c r="C1817" i="6" s="1"/>
  <c r="C1818" i="6" s="1"/>
  <c r="C1819" i="6" s="1"/>
  <c r="C1820" i="6" s="1"/>
  <c r="C1821" i="6" s="1"/>
  <c r="C1822" i="6" s="1"/>
  <c r="C1823" i="6" s="1"/>
  <c r="C1824" i="6" s="1"/>
  <c r="C1825" i="6"/>
  <c r="C1826" i="6" s="1"/>
  <c r="C1827" i="6" s="1"/>
  <c r="C1828" i="6" s="1"/>
  <c r="C1829" i="6" s="1"/>
  <c r="C1830" i="6" s="1"/>
  <c r="C1831" i="6" s="1"/>
  <c r="C1832" i="6" s="1"/>
  <c r="C1833" i="6" s="1"/>
  <c r="C1834" i="6" s="1"/>
  <c r="C1835" i="6" s="1"/>
  <c r="C1836" i="6" s="1"/>
  <c r="C1837" i="6" s="1"/>
  <c r="C1838" i="6" s="1"/>
  <c r="C1839" i="6" s="1"/>
  <c r="C1840" i="6" s="1"/>
  <c r="C1841" i="6" s="1"/>
  <c r="C1842" i="6" s="1"/>
  <c r="C1843" i="6" s="1"/>
  <c r="C1844" i="6" s="1"/>
  <c r="C1845" i="6" s="1"/>
  <c r="C1846" i="6" s="1"/>
  <c r="C1847" i="6" s="1"/>
  <c r="C1848" i="6" s="1"/>
  <c r="C1849" i="6" s="1"/>
  <c r="C1850" i="6" s="1"/>
  <c r="C1851" i="6" s="1"/>
  <c r="C1852" i="6" s="1"/>
  <c r="C1853" i="6" s="1"/>
  <c r="C1854" i="6" s="1"/>
  <c r="C1855" i="6" s="1"/>
  <c r="C1856" i="6" s="1"/>
  <c r="C1857" i="6" s="1"/>
  <c r="C1858" i="6" s="1"/>
  <c r="C1859" i="6" s="1"/>
  <c r="C1860" i="6" s="1"/>
  <c r="C1861" i="6" s="1"/>
  <c r="C1862" i="6" s="1"/>
  <c r="C1863" i="6" s="1"/>
  <c r="C1864" i="6" s="1"/>
  <c r="C1865" i="6" s="1"/>
  <c r="C1866" i="6" s="1"/>
  <c r="C1867" i="6" s="1"/>
  <c r="C1868" i="6" s="1"/>
  <c r="C1869" i="6"/>
  <c r="C1870" i="6" s="1"/>
  <c r="C1871" i="6" s="1"/>
  <c r="C1872" i="6" s="1"/>
  <c r="C1873" i="6" s="1"/>
  <c r="C1874" i="6" s="1"/>
  <c r="C1875" i="6" s="1"/>
  <c r="C1876" i="6" s="1"/>
  <c r="C1877" i="6" s="1"/>
  <c r="C1878" i="6" s="1"/>
  <c r="C1879" i="6" s="1"/>
  <c r="C1880" i="6" s="1"/>
  <c r="C1881" i="6" s="1"/>
  <c r="C1882" i="6" s="1"/>
  <c r="C1883" i="6" s="1"/>
  <c r="C1884" i="6" s="1"/>
  <c r="C1885" i="6" s="1"/>
  <c r="C1886" i="6" s="1"/>
  <c r="C1887" i="6" s="1"/>
  <c r="C1888" i="6" s="1"/>
  <c r="C1889" i="6" s="1"/>
  <c r="C1890" i="6" s="1"/>
  <c r="C1891" i="6" s="1"/>
  <c r="C1892" i="6" s="1"/>
  <c r="C1893" i="6" s="1"/>
  <c r="C1894" i="6" s="1"/>
  <c r="C1895" i="6" s="1"/>
  <c r="C1896" i="6" s="1"/>
  <c r="C1897" i="6" s="1"/>
  <c r="C1898" i="6" s="1"/>
  <c r="C1899" i="6" s="1"/>
  <c r="C1900" i="6" s="1"/>
  <c r="C1901" i="6" s="1"/>
  <c r="C1902" i="6" s="1"/>
  <c r="C1903" i="6" s="1"/>
  <c r="C1904" i="6" s="1"/>
  <c r="C1905" i="6" s="1"/>
  <c r="C1906" i="6" s="1"/>
  <c r="C1907" i="6" s="1"/>
  <c r="C1908" i="6" s="1"/>
  <c r="C1909" i="6" s="1"/>
  <c r="C1910" i="6" s="1"/>
  <c r="C1911" i="6" s="1"/>
  <c r="C1912" i="6" s="1"/>
  <c r="C1913" i="6" s="1"/>
  <c r="C1914" i="6" s="1"/>
  <c r="C1915" i="6" s="1"/>
  <c r="C1916" i="6" s="1"/>
  <c r="C1917" i="6" s="1"/>
  <c r="C1918" i="6" s="1"/>
  <c r="C1919" i="6"/>
  <c r="C1920" i="6"/>
  <c r="C1921" i="6" s="1"/>
  <c r="C1922" i="6" s="1"/>
  <c r="C1923" i="6" s="1"/>
  <c r="C1924" i="6" s="1"/>
  <c r="C1925" i="6" s="1"/>
  <c r="C1926" i="6" s="1"/>
  <c r="C1927" i="6" s="1"/>
  <c r="C1928" i="6" s="1"/>
  <c r="C1929" i="6" s="1"/>
  <c r="C1930" i="6" s="1"/>
  <c r="C1931" i="6" s="1"/>
  <c r="C1932" i="6" s="1"/>
  <c r="C1933" i="6" s="1"/>
  <c r="C1934" i="6" s="1"/>
  <c r="C1935" i="6" s="1"/>
  <c r="C1936" i="6" s="1"/>
  <c r="C1937" i="6" s="1"/>
  <c r="C1938" i="6" s="1"/>
  <c r="C1939" i="6" s="1"/>
  <c r="C1940" i="6" s="1"/>
  <c r="C1941" i="6" s="1"/>
  <c r="C1942" i="6" s="1"/>
  <c r="C1943" i="6" s="1"/>
  <c r="C1944" i="6" s="1"/>
  <c r="C1945" i="6" s="1"/>
  <c r="C1946" i="6" s="1"/>
  <c r="C1947" i="6" s="1"/>
  <c r="C1948" i="6" s="1"/>
  <c r="C1949" i="6" s="1"/>
  <c r="C1950" i="6" s="1"/>
  <c r="C1951" i="6" s="1"/>
  <c r="C1952" i="6" s="1"/>
  <c r="C1953" i="6" s="1"/>
  <c r="C1954" i="6" s="1"/>
  <c r="C1955" i="6" s="1"/>
  <c r="C1956" i="6" s="1"/>
  <c r="C1957" i="6" s="1"/>
  <c r="C1958" i="6" s="1"/>
  <c r="C1959" i="6" s="1"/>
  <c r="C1960" i="6" s="1"/>
  <c r="C1961" i="6" s="1"/>
  <c r="C1962" i="6" s="1"/>
  <c r="C1963" i="6"/>
  <c r="C1964" i="6"/>
  <c r="C1965" i="6"/>
  <c r="C1966" i="6" s="1"/>
  <c r="C1967" i="6" s="1"/>
  <c r="C1968" i="6" s="1"/>
  <c r="C1969" i="6" s="1"/>
  <c r="C1970" i="6" s="1"/>
  <c r="C1971" i="6" s="1"/>
  <c r="C1972" i="6" s="1"/>
  <c r="C1973" i="6" s="1"/>
  <c r="C1974" i="6" s="1"/>
  <c r="C1975" i="6" s="1"/>
  <c r="C1976" i="6" s="1"/>
  <c r="C1977" i="6" s="1"/>
  <c r="C1978" i="6" s="1"/>
  <c r="C1979" i="6" s="1"/>
  <c r="C1980" i="6" s="1"/>
  <c r="C1981" i="6" s="1"/>
  <c r="C1982" i="6" s="1"/>
  <c r="C1983" i="6" s="1"/>
  <c r="C1984" i="6" s="1"/>
  <c r="C1985" i="6" s="1"/>
  <c r="C1986" i="6" s="1"/>
  <c r="C1987" i="6" s="1"/>
  <c r="C1988" i="6" s="1"/>
  <c r="C1989" i="6" s="1"/>
  <c r="C1990" i="6" s="1"/>
  <c r="C1991" i="6" s="1"/>
  <c r="C1992" i="6" s="1"/>
  <c r="C1993" i="6" s="1"/>
  <c r="C1994" i="6" s="1"/>
  <c r="C1995" i="6" s="1"/>
  <c r="C1996" i="6" s="1"/>
  <c r="C1997" i="6" s="1"/>
  <c r="C1998" i="6" s="1"/>
  <c r="C1999" i="6" s="1"/>
  <c r="C2000" i="6" s="1"/>
  <c r="C2001" i="6" s="1"/>
  <c r="C2002" i="6" s="1"/>
  <c r="C2003" i="6" s="1"/>
  <c r="C2004" i="6" s="1"/>
  <c r="C2005" i="6" s="1"/>
  <c r="C2006" i="6" s="1"/>
  <c r="C2007" i="6" s="1"/>
  <c r="C2008" i="6" s="1"/>
  <c r="C2009" i="6" s="1"/>
  <c r="C2010" i="6"/>
  <c r="C2011" i="6"/>
  <c r="C2012" i="6"/>
  <c r="C2013" i="6"/>
  <c r="C2014" i="6" s="1"/>
  <c r="C2015" i="6" s="1"/>
  <c r="C2016" i="6" s="1"/>
  <c r="C2017" i="6" s="1"/>
  <c r="C2018" i="6" s="1"/>
  <c r="C2019" i="6" s="1"/>
  <c r="C2020" i="6" s="1"/>
  <c r="C2021" i="6" s="1"/>
  <c r="C2022" i="6" s="1"/>
  <c r="C2023" i="6" s="1"/>
  <c r="C2024" i="6" s="1"/>
  <c r="C2025" i="6" s="1"/>
  <c r="C2026" i="6" s="1"/>
  <c r="C2027" i="6" s="1"/>
  <c r="C2028" i="6" s="1"/>
  <c r="C2029" i="6" s="1"/>
  <c r="C2030" i="6" s="1"/>
  <c r="C2031" i="6" s="1"/>
  <c r="C2032" i="6" s="1"/>
  <c r="C2033" i="6" s="1"/>
  <c r="C2034" i="6" s="1"/>
  <c r="C2035" i="6" s="1"/>
  <c r="C2036" i="6" s="1"/>
  <c r="C2037" i="6" s="1"/>
  <c r="C2038" i="6" s="1"/>
  <c r="C2039" i="6" s="1"/>
  <c r="C2040" i="6" s="1"/>
  <c r="C2041" i="6" s="1"/>
  <c r="C2042" i="6" s="1"/>
  <c r="C2043" i="6" s="1"/>
  <c r="C2044" i="6" s="1"/>
  <c r="C2045" i="6" s="1"/>
  <c r="C2046" i="6" s="1"/>
  <c r="C2047" i="6" s="1"/>
  <c r="C2048" i="6" s="1"/>
  <c r="C2049" i="6" s="1"/>
  <c r="C2050" i="6" s="1"/>
  <c r="C2051" i="6"/>
  <c r="C2052" i="6"/>
  <c r="C2053" i="6"/>
  <c r="C2054" i="6" s="1"/>
  <c r="C2055" i="6" s="1"/>
  <c r="C2056" i="6" s="1"/>
  <c r="C2057" i="6" s="1"/>
  <c r="C2058" i="6" s="1"/>
  <c r="C2059" i="6" s="1"/>
  <c r="C2060" i="6"/>
  <c r="C2061" i="6" s="1"/>
  <c r="C2062" i="6" s="1"/>
  <c r="C2063" i="6" s="1"/>
  <c r="C2064" i="6" s="1"/>
  <c r="C2065" i="6" s="1"/>
  <c r="C2066" i="6" s="1"/>
  <c r="C2067" i="6" s="1"/>
  <c r="C2068" i="6" s="1"/>
  <c r="C2069" i="6" s="1"/>
  <c r="C2070" i="6" s="1"/>
  <c r="C2071" i="6" s="1"/>
  <c r="C2072" i="6" s="1"/>
  <c r="C2073" i="6" s="1"/>
  <c r="C2074" i="6" s="1"/>
  <c r="C2075" i="6" s="1"/>
  <c r="C2076" i="6" s="1"/>
  <c r="C2077" i="6" s="1"/>
  <c r="C2078" i="6" s="1"/>
  <c r="C2079" i="6" s="1"/>
  <c r="C2080" i="6" s="1"/>
  <c r="C2081" i="6" s="1"/>
  <c r="C2082" i="6" s="1"/>
  <c r="C2083" i="6" s="1"/>
  <c r="C2084" i="6" s="1"/>
  <c r="C2085" i="6" s="1"/>
  <c r="C2086" i="6" s="1"/>
  <c r="C2087" i="6" s="1"/>
  <c r="C2088" i="6" s="1"/>
  <c r="C2089" i="6" s="1"/>
  <c r="C2090" i="6" s="1"/>
  <c r="C2091" i="6" s="1"/>
  <c r="C2092" i="6" s="1"/>
  <c r="C2093" i="6" s="1"/>
  <c r="C2094" i="6" s="1"/>
  <c r="C2095" i="6" s="1"/>
  <c r="C2096" i="6" s="1"/>
  <c r="C2097" i="6" s="1"/>
  <c r="C2098" i="6" s="1"/>
  <c r="C2099" i="6" s="1"/>
  <c r="C2100" i="6" s="1"/>
  <c r="C2101" i="6" s="1"/>
  <c r="C2102" i="6" s="1"/>
  <c r="C2103" i="6" s="1"/>
  <c r="C2104" i="6"/>
  <c r="C2105" i="6"/>
  <c r="C2106" i="6" s="1"/>
  <c r="C2107" i="6" s="1"/>
  <c r="C2108" i="6"/>
  <c r="C2109" i="6" s="1"/>
  <c r="C2110" i="6" s="1"/>
  <c r="C2111" i="6" s="1"/>
  <c r="C2112" i="6" s="1"/>
  <c r="C2113" i="6" s="1"/>
  <c r="C2114" i="6" s="1"/>
  <c r="C2115" i="6" s="1"/>
  <c r="C2116" i="6" s="1"/>
  <c r="C2117" i="6" s="1"/>
  <c r="C2118" i="6" s="1"/>
  <c r="C2119" i="6" s="1"/>
  <c r="C2120" i="6" s="1"/>
  <c r="C2121" i="6" s="1"/>
  <c r="C2122" i="6" s="1"/>
  <c r="C2123" i="6" s="1"/>
  <c r="C2124" i="6" s="1"/>
  <c r="C2125" i="6" s="1"/>
  <c r="C2126" i="6" s="1"/>
  <c r="C2127" i="6" s="1"/>
  <c r="C2128" i="6" s="1"/>
  <c r="C2129" i="6" s="1"/>
  <c r="C2130" i="6" s="1"/>
  <c r="C2131" i="6" s="1"/>
  <c r="C2132" i="6" s="1"/>
  <c r="C2133" i="6" s="1"/>
  <c r="C2134" i="6" s="1"/>
  <c r="C2135" i="6" s="1"/>
  <c r="C2136" i="6" s="1"/>
  <c r="C2137" i="6" s="1"/>
  <c r="C2138" i="6" s="1"/>
  <c r="C2139" i="6" s="1"/>
  <c r="C2140" i="6" s="1"/>
  <c r="C2141" i="6" s="1"/>
  <c r="C2142" i="6" s="1"/>
  <c r="C2143" i="6" s="1"/>
  <c r="C2144" i="6" s="1"/>
  <c r="C2145" i="6"/>
  <c r="C2146" i="6" s="1"/>
  <c r="C2147" i="6" s="1"/>
  <c r="C2148" i="6" s="1"/>
  <c r="C2149" i="6" s="1"/>
  <c r="C2150" i="6" s="1"/>
  <c r="C2151" i="6" s="1"/>
  <c r="C2152" i="6" s="1"/>
  <c r="C2153" i="6" s="1"/>
  <c r="C2154" i="6" s="1"/>
  <c r="C2155" i="6" s="1"/>
  <c r="C2156" i="6"/>
  <c r="C2157" i="6" s="1"/>
  <c r="C2158" i="6" s="1"/>
  <c r="C2159" i="6" s="1"/>
  <c r="C2160" i="6" s="1"/>
  <c r="C2161" i="6" s="1"/>
  <c r="C2162" i="6" s="1"/>
  <c r="C2163" i="6" s="1"/>
  <c r="C2164" i="6" s="1"/>
  <c r="C2165" i="6" s="1"/>
  <c r="C2166" i="6" s="1"/>
  <c r="C2167" i="6" s="1"/>
  <c r="C2168" i="6" s="1"/>
  <c r="C2169" i="6" s="1"/>
  <c r="C2170" i="6" s="1"/>
  <c r="C2171" i="6" s="1"/>
  <c r="C2172" i="6" s="1"/>
  <c r="C2173" i="6" s="1"/>
  <c r="C2174" i="6" s="1"/>
  <c r="C2175" i="6" s="1"/>
  <c r="C2176" i="6" s="1"/>
  <c r="C2177" i="6" s="1"/>
  <c r="C2178" i="6" s="1"/>
  <c r="C2179" i="6" s="1"/>
  <c r="C2180" i="6" s="1"/>
  <c r="C2181" i="6" s="1"/>
  <c r="C2182" i="6" s="1"/>
  <c r="C2183" i="6"/>
  <c r="C2184" i="6" s="1"/>
  <c r="C2185" i="6" s="1"/>
  <c r="C2186" i="6" s="1"/>
  <c r="C2187" i="6" s="1"/>
  <c r="C2188" i="6" s="1"/>
  <c r="C2189" i="6" s="1"/>
  <c r="C2190" i="6" s="1"/>
  <c r="C2191" i="6" s="1"/>
  <c r="C2192" i="6" s="1"/>
  <c r="C2193" i="6" s="1"/>
  <c r="C2194" i="6" s="1"/>
  <c r="C2195" i="6" s="1"/>
  <c r="C2196" i="6" s="1"/>
  <c r="C2197" i="6" s="1"/>
  <c r="C2198" i="6" s="1"/>
  <c r="C2199" i="6" s="1"/>
  <c r="C2200" i="6" s="1"/>
  <c r="C2201" i="6" s="1"/>
  <c r="C2202" i="6" s="1"/>
  <c r="C2203" i="6" s="1"/>
  <c r="C2204" i="6" s="1"/>
  <c r="C2205" i="6" s="1"/>
  <c r="C2206" i="6" s="1"/>
  <c r="C2207" i="6" s="1"/>
  <c r="C2208" i="6" s="1"/>
  <c r="C2209" i="6" s="1"/>
  <c r="C2210" i="6" s="1"/>
  <c r="C2211" i="6" s="1"/>
  <c r="C2212" i="6" s="1"/>
  <c r="C2213" i="6" s="1"/>
  <c r="C2214" i="6" s="1"/>
  <c r="C2215" i="6" s="1"/>
  <c r="C2216" i="6" s="1"/>
  <c r="C2217" i="6" s="1"/>
  <c r="C2218" i="6" s="1"/>
  <c r="C2219" i="6" s="1"/>
  <c r="C2220" i="6" s="1"/>
  <c r="C2221" i="6" s="1"/>
  <c r="C2222" i="6" s="1"/>
  <c r="C2223" i="6" s="1"/>
  <c r="C2224" i="6"/>
  <c r="C2225" i="6"/>
  <c r="C2226" i="6" s="1"/>
  <c r="C2227" i="6" s="1"/>
  <c r="C2228" i="6" s="1"/>
  <c r="C2229" i="6"/>
  <c r="C2230" i="6" s="1"/>
  <c r="C2231" i="6" s="1"/>
  <c r="C2232" i="6" s="1"/>
  <c r="C2233" i="6" s="1"/>
  <c r="C2234" i="6" s="1"/>
  <c r="C2235" i="6" s="1"/>
  <c r="C2236" i="6" s="1"/>
  <c r="C2237" i="6" s="1"/>
  <c r="C2238" i="6" s="1"/>
  <c r="C2239" i="6" s="1"/>
  <c r="C2240" i="6" s="1"/>
  <c r="C2241" i="6" s="1"/>
  <c r="C2242" i="6" s="1"/>
  <c r="C2243" i="6" s="1"/>
  <c r="C2244" i="6" s="1"/>
  <c r="C2245" i="6" s="1"/>
  <c r="C2246" i="6" s="1"/>
  <c r="C2247" i="6" s="1"/>
  <c r="C2248" i="6" s="1"/>
  <c r="C2249" i="6" s="1"/>
  <c r="C2250" i="6" s="1"/>
  <c r="C2251" i="6" s="1"/>
  <c r="C2252" i="6" s="1"/>
  <c r="C2253" i="6" s="1"/>
  <c r="C2254" i="6" s="1"/>
  <c r="C2255" i="6" s="1"/>
  <c r="C2256" i="6" s="1"/>
  <c r="C2257" i="6" s="1"/>
  <c r="C2258" i="6" s="1"/>
  <c r="C2259" i="6" s="1"/>
  <c r="C2260" i="6" s="1"/>
  <c r="C2261" i="6" s="1"/>
  <c r="C2262" i="6" s="1"/>
  <c r="C2263" i="6" s="1"/>
  <c r="C2264" i="6" s="1"/>
  <c r="C2265" i="6" s="1"/>
  <c r="C2266" i="6" s="1"/>
  <c r="C2267" i="6" s="1"/>
  <c r="C2268" i="6"/>
  <c r="C2269" i="6" s="1"/>
  <c r="C2270" i="6" s="1"/>
  <c r="C2271" i="6" s="1"/>
  <c r="C2272" i="6" s="1"/>
  <c r="C2273" i="6" s="1"/>
  <c r="C2274" i="6" s="1"/>
  <c r="C2275" i="6" s="1"/>
  <c r="C2276" i="6" s="1"/>
  <c r="C2277" i="6" s="1"/>
  <c r="C2278" i="6" s="1"/>
  <c r="C2279" i="6" s="1"/>
  <c r="C2280" i="6" s="1"/>
  <c r="C2281" i="6" s="1"/>
  <c r="C2282" i="6" s="1"/>
  <c r="C2283" i="6" s="1"/>
  <c r="C2284" i="6" s="1"/>
  <c r="C2285" i="6" s="1"/>
  <c r="C2286" i="6" s="1"/>
  <c r="C2287" i="6" s="1"/>
  <c r="C2288" i="6" s="1"/>
  <c r="C2289" i="6" s="1"/>
  <c r="C2290" i="6" s="1"/>
  <c r="C2291" i="6" s="1"/>
  <c r="C2292" i="6" s="1"/>
  <c r="C2293" i="6" s="1"/>
  <c r="C2294" i="6" s="1"/>
  <c r="C2295" i="6" s="1"/>
  <c r="C2296" i="6" s="1"/>
  <c r="C2297" i="6" s="1"/>
  <c r="C2298" i="6" s="1"/>
  <c r="C2299" i="6" s="1"/>
  <c r="C2300" i="6" s="1"/>
  <c r="C2301" i="6" s="1"/>
  <c r="C2302" i="6" s="1"/>
  <c r="C2303" i="6" s="1"/>
  <c r="C2304" i="6" s="1"/>
  <c r="C2305" i="6" s="1"/>
  <c r="C2306" i="6" s="1"/>
  <c r="C2307" i="6"/>
  <c r="C2308" i="6"/>
  <c r="C2309" i="6"/>
  <c r="C2310" i="6" s="1"/>
  <c r="C2311" i="6" s="1"/>
  <c r="C2312" i="6" s="1"/>
  <c r="C2313" i="6" s="1"/>
  <c r="C2314" i="6" s="1"/>
  <c r="C2315" i="6" s="1"/>
  <c r="C2316" i="6" s="1"/>
  <c r="C2317" i="6" s="1"/>
  <c r="C2318" i="6" s="1"/>
  <c r="C2319" i="6" s="1"/>
  <c r="C2320" i="6" s="1"/>
  <c r="C2321" i="6" s="1"/>
  <c r="C2322" i="6" s="1"/>
  <c r="C2323" i="6" s="1"/>
  <c r="C2324" i="6" s="1"/>
  <c r="C2325" i="6" s="1"/>
  <c r="C2326" i="6" s="1"/>
  <c r="C2327" i="6" s="1"/>
  <c r="C2328" i="6" s="1"/>
  <c r="C2329" i="6" s="1"/>
  <c r="C2330" i="6" s="1"/>
  <c r="C2331" i="6" s="1"/>
  <c r="C2332" i="6" s="1"/>
  <c r="C2333" i="6" s="1"/>
  <c r="C2334" i="6" s="1"/>
  <c r="C2335" i="6" s="1"/>
  <c r="C2336" i="6" s="1"/>
  <c r="C2337" i="6" s="1"/>
  <c r="C2338" i="6" s="1"/>
  <c r="C2339" i="6" s="1"/>
  <c r="C2340" i="6" s="1"/>
  <c r="C2341" i="6" s="1"/>
  <c r="C2342" i="6" s="1"/>
  <c r="C2343" i="6" s="1"/>
  <c r="C2344" i="6" s="1"/>
  <c r="C2345" i="6" s="1"/>
  <c r="C2346" i="6" s="1"/>
  <c r="C2347" i="6" s="1"/>
  <c r="C2348" i="6" s="1"/>
  <c r="C2349" i="6" s="1"/>
  <c r="C2350" i="6" s="1"/>
  <c r="C2351" i="6" s="1"/>
  <c r="C2352" i="6" s="1"/>
  <c r="C2353" i="6"/>
  <c r="C4" i="6"/>
  <c r="S6" i="5"/>
  <c r="S7" i="5"/>
  <c r="S8" i="5"/>
  <c r="S9" i="5"/>
  <c r="S10" i="5"/>
  <c r="S11" i="5"/>
  <c r="S12" i="5"/>
  <c r="S13" i="5"/>
  <c r="S14" i="5"/>
  <c r="S15" i="5"/>
  <c r="S16" i="5"/>
  <c r="S5" i="5"/>
  <c r="T6" i="5"/>
  <c r="T7" i="5"/>
  <c r="T8" i="5"/>
  <c r="T9" i="5"/>
  <c r="T10" i="5"/>
  <c r="T11" i="5"/>
  <c r="T12" i="5"/>
  <c r="T13" i="5"/>
  <c r="T14" i="5"/>
  <c r="T15" i="5"/>
  <c r="T16" i="5"/>
  <c r="T5" i="5"/>
  <c r="F1923" i="2"/>
  <c r="G12" i="4"/>
  <c r="F4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" i="2"/>
  <c r="I20" i="2" l="1"/>
  <c r="I6" i="6"/>
  <c r="I7" i="6"/>
  <c r="D13" i="6"/>
  <c r="D5" i="6"/>
  <c r="D14" i="6"/>
  <c r="D15" i="6" l="1"/>
  <c r="D6" i="6"/>
  <c r="D16" i="6" l="1"/>
  <c r="D7" i="6"/>
  <c r="D17" i="6" l="1"/>
  <c r="D8" i="6"/>
  <c r="D18" i="6" l="1"/>
  <c r="D9" i="6"/>
  <c r="D19" i="6" l="1"/>
  <c r="D10" i="6"/>
  <c r="D20" i="6" l="1"/>
  <c r="D11" i="6"/>
  <c r="D12" i="6"/>
  <c r="D21" i="6" l="1"/>
  <c r="D22" i="6" l="1"/>
  <c r="D23" i="6" l="1"/>
  <c r="D24" i="6" l="1"/>
  <c r="D25" i="6" l="1"/>
  <c r="D26" i="6" l="1"/>
  <c r="D27" i="6" l="1"/>
  <c r="D28" i="6" l="1"/>
  <c r="D29" i="6" l="1"/>
  <c r="D30" i="6" l="1"/>
  <c r="D31" i="6" l="1"/>
  <c r="D32" i="6" l="1"/>
  <c r="D33" i="6" l="1"/>
  <c r="D34" i="6" l="1"/>
  <c r="D35" i="6" l="1"/>
  <c r="D36" i="6" l="1"/>
  <c r="D37" i="6" l="1"/>
  <c r="D38" i="6" l="1"/>
  <c r="D39" i="6" l="1"/>
  <c r="D40" i="6" l="1"/>
  <c r="D41" i="6" l="1"/>
  <c r="D42" i="6" l="1"/>
  <c r="D43" i="6" l="1"/>
  <c r="D44" i="6" l="1"/>
  <c r="D45" i="6" l="1"/>
  <c r="D46" i="6" l="1"/>
  <c r="D47" i="6" l="1"/>
  <c r="D48" i="6" l="1"/>
  <c r="E48" i="6" s="1"/>
  <c r="D49" i="6" l="1"/>
  <c r="E49" i="6" s="1"/>
  <c r="D50" i="6" l="1"/>
  <c r="E50" i="6" s="1"/>
  <c r="D51" i="6" l="1"/>
  <c r="E51" i="6" s="1"/>
  <c r="D52" i="6" l="1"/>
  <c r="E52" i="6" s="1"/>
  <c r="D53" i="6" l="1"/>
  <c r="E53" i="6" s="1"/>
  <c r="D54" i="6" l="1"/>
  <c r="E54" i="6" s="1"/>
  <c r="D55" i="6" l="1"/>
  <c r="E55" i="6" s="1"/>
  <c r="D56" i="6" l="1"/>
  <c r="E56" i="6" s="1"/>
  <c r="D57" i="6" l="1"/>
  <c r="E57" i="6" s="1"/>
  <c r="D58" i="6" l="1"/>
  <c r="E58" i="6" s="1"/>
  <c r="D59" i="6" l="1"/>
  <c r="E59" i="6" s="1"/>
  <c r="D60" i="6" l="1"/>
  <c r="E60" i="6" s="1"/>
  <c r="D61" i="6" l="1"/>
  <c r="E61" i="6" s="1"/>
  <c r="D62" i="6" l="1"/>
  <c r="E62" i="6" s="1"/>
  <c r="D63" i="6" l="1"/>
  <c r="E63" i="6" s="1"/>
  <c r="D64" i="6" l="1"/>
  <c r="E64" i="6" s="1"/>
  <c r="D65" i="6" l="1"/>
  <c r="E65" i="6" s="1"/>
  <c r="D66" i="6" l="1"/>
  <c r="E66" i="6" s="1"/>
  <c r="D67" i="6" l="1"/>
  <c r="E67" i="6" s="1"/>
  <c r="D68" i="6" l="1"/>
  <c r="E68" i="6" s="1"/>
  <c r="D69" i="6" l="1"/>
  <c r="E69" i="6" s="1"/>
  <c r="D70" i="6" l="1"/>
  <c r="E70" i="6" s="1"/>
  <c r="D71" i="6" l="1"/>
  <c r="E71" i="6" s="1"/>
  <c r="D72" i="6" l="1"/>
  <c r="E72" i="6" s="1"/>
  <c r="D73" i="6" l="1"/>
  <c r="E73" i="6" s="1"/>
  <c r="D74" i="6" l="1"/>
  <c r="E74" i="6" s="1"/>
  <c r="D75" i="6" l="1"/>
  <c r="E75" i="6" s="1"/>
  <c r="D76" i="6" l="1"/>
  <c r="E76" i="6" s="1"/>
  <c r="D77" i="6" l="1"/>
  <c r="E77" i="6" s="1"/>
  <c r="D78" i="6" l="1"/>
  <c r="E78" i="6" s="1"/>
  <c r="D79" i="6" l="1"/>
  <c r="E79" i="6" s="1"/>
  <c r="D80" i="6" l="1"/>
  <c r="E80" i="6" s="1"/>
  <c r="D81" i="6" l="1"/>
  <c r="E81" i="6" s="1"/>
  <c r="D82" i="6" l="1"/>
  <c r="E82" i="6" s="1"/>
  <c r="D83" i="6" l="1"/>
  <c r="E83" i="6" s="1"/>
  <c r="D84" i="6" l="1"/>
  <c r="E84" i="6" s="1"/>
  <c r="D85" i="6" l="1"/>
  <c r="E85" i="6" s="1"/>
  <c r="D86" i="6" l="1"/>
  <c r="E86" i="6" s="1"/>
  <c r="D87" i="6" l="1"/>
  <c r="E87" i="6" s="1"/>
  <c r="D88" i="6" l="1"/>
  <c r="E88" i="6" s="1"/>
  <c r="D89" i="6" l="1"/>
  <c r="E89" i="6" s="1"/>
  <c r="D90" i="6" l="1"/>
  <c r="E90" i="6" s="1"/>
  <c r="D91" i="6" l="1"/>
  <c r="E91" i="6" s="1"/>
  <c r="D92" i="6" l="1"/>
  <c r="E92" i="6" s="1"/>
  <c r="D93" i="6" l="1"/>
  <c r="E93" i="6" s="1"/>
  <c r="D94" i="6" l="1"/>
  <c r="E94" i="6" s="1"/>
  <c r="D95" i="6" l="1"/>
  <c r="E95" i="6" s="1"/>
  <c r="D96" i="6" l="1"/>
  <c r="E96" i="6" s="1"/>
  <c r="D97" i="6" l="1"/>
  <c r="E97" i="6" s="1"/>
  <c r="D139" i="6"/>
  <c r="E139" i="6" s="1"/>
  <c r="D98" i="6" l="1"/>
  <c r="E98" i="6" s="1"/>
  <c r="D140" i="6"/>
  <c r="E140" i="6" s="1"/>
  <c r="D99" i="6" l="1"/>
  <c r="E99" i="6" s="1"/>
  <c r="D141" i="6"/>
  <c r="E141" i="6" s="1"/>
  <c r="D100" i="6" l="1"/>
  <c r="E100" i="6" s="1"/>
  <c r="D142" i="6"/>
  <c r="E142" i="6" s="1"/>
  <c r="D101" i="6" l="1"/>
  <c r="E101" i="6" s="1"/>
  <c r="D143" i="6"/>
  <c r="E143" i="6" s="1"/>
  <c r="D102" i="6" l="1"/>
  <c r="E102" i="6" s="1"/>
  <c r="D144" i="6"/>
  <c r="E144" i="6" s="1"/>
  <c r="D103" i="6" l="1"/>
  <c r="E103" i="6" s="1"/>
  <c r="D145" i="6"/>
  <c r="E145" i="6" s="1"/>
  <c r="D104" i="6" l="1"/>
  <c r="E104" i="6" s="1"/>
  <c r="D146" i="6"/>
  <c r="E146" i="6" s="1"/>
  <c r="D105" i="6" l="1"/>
  <c r="E105" i="6" s="1"/>
  <c r="D147" i="6"/>
  <c r="E147" i="6" s="1"/>
  <c r="D106" i="6" l="1"/>
  <c r="E106" i="6" s="1"/>
  <c r="D148" i="6"/>
  <c r="E148" i="6" s="1"/>
  <c r="D107" i="6" l="1"/>
  <c r="E107" i="6" s="1"/>
  <c r="D149" i="6"/>
  <c r="E149" i="6" s="1"/>
  <c r="D108" i="6" l="1"/>
  <c r="E108" i="6" s="1"/>
  <c r="D150" i="6"/>
  <c r="E150" i="6" s="1"/>
  <c r="D109" i="6" l="1"/>
  <c r="E109" i="6" s="1"/>
  <c r="D151" i="6"/>
  <c r="E151" i="6" s="1"/>
  <c r="D110" i="6" l="1"/>
  <c r="E110" i="6" s="1"/>
  <c r="D152" i="6"/>
  <c r="E152" i="6" s="1"/>
  <c r="D111" i="6" l="1"/>
  <c r="E111" i="6" s="1"/>
  <c r="D153" i="6"/>
  <c r="E153" i="6" s="1"/>
  <c r="D112" i="6" l="1"/>
  <c r="E112" i="6" s="1"/>
  <c r="D154" i="6"/>
  <c r="E154" i="6" s="1"/>
  <c r="D113" i="6" l="1"/>
  <c r="E113" i="6" s="1"/>
  <c r="D155" i="6"/>
  <c r="E155" i="6" s="1"/>
  <c r="D114" i="6" l="1"/>
  <c r="E114" i="6" s="1"/>
  <c r="D156" i="6"/>
  <c r="E156" i="6" s="1"/>
  <c r="D115" i="6" l="1"/>
  <c r="E115" i="6" s="1"/>
  <c r="D157" i="6"/>
  <c r="E157" i="6" s="1"/>
  <c r="D116" i="6" l="1"/>
  <c r="E116" i="6" s="1"/>
  <c r="D158" i="6"/>
  <c r="E158" i="6" s="1"/>
  <c r="D117" i="6" l="1"/>
  <c r="E117" i="6" s="1"/>
  <c r="D159" i="6"/>
  <c r="E159" i="6" s="1"/>
  <c r="D118" i="6" l="1"/>
  <c r="E118" i="6" s="1"/>
  <c r="D160" i="6"/>
  <c r="E160" i="6" s="1"/>
  <c r="D119" i="6" l="1"/>
  <c r="E119" i="6" s="1"/>
  <c r="D161" i="6"/>
  <c r="E161" i="6" s="1"/>
  <c r="D120" i="6" l="1"/>
  <c r="E120" i="6" s="1"/>
  <c r="D162" i="6"/>
  <c r="E162" i="6" s="1"/>
  <c r="D121" i="6" l="1"/>
  <c r="E121" i="6" s="1"/>
  <c r="D163" i="6"/>
  <c r="E163" i="6" s="1"/>
  <c r="D122" i="6" l="1"/>
  <c r="E122" i="6" s="1"/>
  <c r="D164" i="6"/>
  <c r="E164" i="6" s="1"/>
  <c r="D123" i="6" l="1"/>
  <c r="E123" i="6" s="1"/>
  <c r="D165" i="6"/>
  <c r="E165" i="6" s="1"/>
  <c r="D124" i="6" l="1"/>
  <c r="E124" i="6" s="1"/>
  <c r="D166" i="6"/>
  <c r="E166" i="6" s="1"/>
  <c r="D125" i="6" l="1"/>
  <c r="E125" i="6" s="1"/>
  <c r="D167" i="6"/>
  <c r="E167" i="6" s="1"/>
  <c r="D126" i="6" l="1"/>
  <c r="E126" i="6" s="1"/>
  <c r="D168" i="6"/>
  <c r="E168" i="6" s="1"/>
  <c r="D127" i="6" l="1"/>
  <c r="E127" i="6" s="1"/>
  <c r="D169" i="6"/>
  <c r="E169" i="6" s="1"/>
  <c r="D128" i="6" l="1"/>
  <c r="E128" i="6" s="1"/>
  <c r="D170" i="6"/>
  <c r="E170" i="6" s="1"/>
  <c r="D129" i="6" l="1"/>
  <c r="E129" i="6" s="1"/>
  <c r="D171" i="6"/>
  <c r="E171" i="6" s="1"/>
  <c r="D130" i="6" l="1"/>
  <c r="E130" i="6" s="1"/>
  <c r="D172" i="6"/>
  <c r="E172" i="6" s="1"/>
  <c r="D131" i="6" l="1"/>
  <c r="E131" i="6" s="1"/>
  <c r="D173" i="6"/>
  <c r="E173" i="6" s="1"/>
  <c r="D132" i="6" l="1"/>
  <c r="E132" i="6" s="1"/>
  <c r="D174" i="6"/>
  <c r="E174" i="6" s="1"/>
  <c r="D133" i="6" l="1"/>
  <c r="E133" i="6" s="1"/>
  <c r="D175" i="6"/>
  <c r="E175" i="6" s="1"/>
  <c r="D134" i="6" l="1"/>
  <c r="E134" i="6" s="1"/>
  <c r="D176" i="6"/>
  <c r="E176" i="6" s="1"/>
  <c r="D135" i="6" l="1"/>
  <c r="E135" i="6" s="1"/>
  <c r="D177" i="6"/>
  <c r="E177" i="6" s="1"/>
  <c r="D136" i="6" l="1"/>
  <c r="E136" i="6" s="1"/>
  <c r="D178" i="6"/>
  <c r="E178" i="6" s="1"/>
  <c r="D138" i="6" l="1"/>
  <c r="E138" i="6" s="1"/>
  <c r="D137" i="6"/>
  <c r="E137" i="6" s="1"/>
  <c r="D179" i="6"/>
  <c r="E179" i="6" s="1"/>
  <c r="D180" i="6" l="1"/>
  <c r="E180" i="6" s="1"/>
  <c r="D181" i="6" l="1"/>
  <c r="E181" i="6" s="1"/>
  <c r="D182" i="6" l="1"/>
  <c r="E182" i="6" s="1"/>
  <c r="D183" i="6" l="1"/>
  <c r="E183" i="6" s="1"/>
  <c r="D184" i="6" l="1"/>
  <c r="E184" i="6" s="1"/>
  <c r="D185" i="6" l="1"/>
  <c r="E185" i="6" s="1"/>
  <c r="D186" i="6" l="1"/>
  <c r="E186" i="6" s="1"/>
  <c r="D187" i="6" l="1"/>
  <c r="E187" i="6" s="1"/>
  <c r="D188" i="6" l="1"/>
  <c r="E188" i="6" s="1"/>
  <c r="D189" i="6" l="1"/>
  <c r="E189" i="6" s="1"/>
  <c r="D190" i="6" l="1"/>
  <c r="E190" i="6" s="1"/>
  <c r="D191" i="6" l="1"/>
  <c r="E191" i="6" s="1"/>
  <c r="D192" i="6" l="1"/>
  <c r="E192" i="6" s="1"/>
  <c r="D193" i="6" l="1"/>
  <c r="E193" i="6" s="1"/>
  <c r="D194" i="6" l="1"/>
  <c r="E194" i="6" s="1"/>
  <c r="D195" i="6" l="1"/>
  <c r="E195" i="6" s="1"/>
  <c r="D196" i="6" l="1"/>
  <c r="E196" i="6" s="1"/>
  <c r="D197" i="6" l="1"/>
  <c r="E197" i="6" s="1"/>
  <c r="D198" i="6" l="1"/>
  <c r="E198" i="6" s="1"/>
  <c r="D199" i="6" l="1"/>
  <c r="E199" i="6" s="1"/>
  <c r="D200" i="6" l="1"/>
  <c r="E200" i="6" s="1"/>
  <c r="D201" i="6" l="1"/>
  <c r="E201" i="6" s="1"/>
  <c r="D202" i="6" l="1"/>
  <c r="E202" i="6" s="1"/>
  <c r="D203" i="6" l="1"/>
  <c r="E203" i="6" s="1"/>
  <c r="D204" i="6" l="1"/>
  <c r="E204" i="6" s="1"/>
  <c r="D205" i="6" l="1"/>
  <c r="E205" i="6" s="1"/>
  <c r="D206" i="6" l="1"/>
  <c r="E206" i="6" s="1"/>
  <c r="D207" i="6" l="1"/>
  <c r="E207" i="6" s="1"/>
  <c r="D208" i="6" l="1"/>
  <c r="E208" i="6" s="1"/>
  <c r="D209" i="6" l="1"/>
  <c r="E209" i="6" s="1"/>
  <c r="D210" i="6" l="1"/>
  <c r="E210" i="6" s="1"/>
  <c r="D211" i="6" l="1"/>
  <c r="E211" i="6" s="1"/>
  <c r="D212" i="6" l="1"/>
  <c r="E212" i="6" s="1"/>
  <c r="D213" i="6" l="1"/>
  <c r="E213" i="6" s="1"/>
  <c r="D214" i="6" l="1"/>
  <c r="E214" i="6" s="1"/>
  <c r="D215" i="6" l="1"/>
  <c r="E215" i="6" s="1"/>
  <c r="D216" i="6" l="1"/>
  <c r="E216" i="6" s="1"/>
  <c r="D217" i="6" l="1"/>
  <c r="E217" i="6" s="1"/>
  <c r="D218" i="6" l="1"/>
  <c r="E218" i="6" s="1"/>
  <c r="D219" i="6" l="1"/>
  <c r="E219" i="6" s="1"/>
  <c r="D220" i="6" l="1"/>
  <c r="E220" i="6" s="1"/>
  <c r="D221" i="6" l="1"/>
  <c r="E221" i="6" s="1"/>
  <c r="D222" i="6" l="1"/>
  <c r="E222" i="6" s="1"/>
  <c r="D223" i="6" l="1"/>
  <c r="E223" i="6" s="1"/>
  <c r="D224" i="6" l="1"/>
  <c r="E224" i="6" s="1"/>
  <c r="D225" i="6" l="1"/>
  <c r="E225" i="6" s="1"/>
  <c r="D226" i="6" l="1"/>
  <c r="E226" i="6" s="1"/>
  <c r="D227" i="6" l="1"/>
  <c r="E227" i="6" s="1"/>
  <c r="D228" i="6" l="1"/>
  <c r="E228" i="6" s="1"/>
  <c r="D229" i="6" l="1"/>
  <c r="E229" i="6" s="1"/>
  <c r="D230" i="6" l="1"/>
  <c r="E230" i="6" s="1"/>
  <c r="D231" i="6" l="1"/>
  <c r="E231" i="6" s="1"/>
  <c r="D232" i="6" l="1"/>
  <c r="E232" i="6" s="1"/>
  <c r="D233" i="6" l="1"/>
  <c r="E233" i="6" s="1"/>
  <c r="D234" i="6" l="1"/>
  <c r="E234" i="6" s="1"/>
  <c r="D235" i="6" l="1"/>
  <c r="E235" i="6" s="1"/>
  <c r="D236" i="6" l="1"/>
  <c r="E236" i="6" s="1"/>
  <c r="D237" i="6" l="1"/>
  <c r="E237" i="6" s="1"/>
  <c r="D238" i="6" l="1"/>
  <c r="E238" i="6" s="1"/>
  <c r="D239" i="6" l="1"/>
  <c r="E239" i="6" s="1"/>
  <c r="D240" i="6" l="1"/>
  <c r="E240" i="6" s="1"/>
  <c r="D241" i="6" l="1"/>
  <c r="E241" i="6" s="1"/>
  <c r="D242" i="6" l="1"/>
  <c r="E242" i="6" s="1"/>
  <c r="D243" i="6" l="1"/>
  <c r="E243" i="6" s="1"/>
  <c r="D244" i="6" l="1"/>
  <c r="E244" i="6" s="1"/>
  <c r="D245" i="6" l="1"/>
  <c r="E245" i="6" s="1"/>
  <c r="D246" i="6" l="1"/>
  <c r="E246" i="6" s="1"/>
  <c r="D247" i="6" l="1"/>
  <c r="E247" i="6" s="1"/>
  <c r="D248" i="6" l="1"/>
  <c r="E248" i="6" s="1"/>
  <c r="D249" i="6" l="1"/>
  <c r="E249" i="6" s="1"/>
  <c r="D250" i="6" l="1"/>
  <c r="E250" i="6" s="1"/>
  <c r="D251" i="6" l="1"/>
  <c r="E251" i="6" s="1"/>
  <c r="D252" i="6" l="1"/>
  <c r="E252" i="6" s="1"/>
  <c r="D253" i="6" l="1"/>
  <c r="E253" i="6" s="1"/>
  <c r="D254" i="6" l="1"/>
  <c r="E254" i="6" s="1"/>
  <c r="D255" i="6" l="1"/>
  <c r="E255" i="6" s="1"/>
  <c r="D256" i="6" l="1"/>
  <c r="E256" i="6" s="1"/>
  <c r="D257" i="6" l="1"/>
  <c r="E257" i="6" s="1"/>
  <c r="D258" i="6" l="1"/>
  <c r="E258" i="6" s="1"/>
  <c r="D259" i="6" l="1"/>
  <c r="E259" i="6" s="1"/>
  <c r="D260" i="6" l="1"/>
  <c r="E260" i="6" s="1"/>
  <c r="D261" i="6" l="1"/>
  <c r="E261" i="6" s="1"/>
  <c r="D262" i="6" l="1"/>
  <c r="E262" i="6" s="1"/>
  <c r="D263" i="6" l="1"/>
  <c r="E263" i="6" s="1"/>
  <c r="D264" i="6" l="1"/>
  <c r="E264" i="6" s="1"/>
  <c r="D265" i="6" l="1"/>
  <c r="E265" i="6" s="1"/>
  <c r="D266" i="6" l="1"/>
  <c r="E266" i="6" s="1"/>
  <c r="D267" i="6" l="1"/>
  <c r="E267" i="6" s="1"/>
  <c r="D268" i="6" l="1"/>
  <c r="E268" i="6" s="1"/>
  <c r="D269" i="6" l="1"/>
  <c r="E269" i="6" s="1"/>
  <c r="D270" i="6" l="1"/>
  <c r="E270" i="6" s="1"/>
  <c r="D271" i="6" l="1"/>
  <c r="E271" i="6" s="1"/>
  <c r="D272" i="6" l="1"/>
  <c r="E272" i="6" s="1"/>
  <c r="D273" i="6" l="1"/>
  <c r="E273" i="6" s="1"/>
  <c r="D274" i="6" l="1"/>
  <c r="E274" i="6" s="1"/>
  <c r="D275" i="6" l="1"/>
  <c r="E275" i="6" s="1"/>
  <c r="D276" i="6" l="1"/>
  <c r="E276" i="6" s="1"/>
  <c r="D277" i="6" l="1"/>
  <c r="E277" i="6" s="1"/>
  <c r="D278" i="6" l="1"/>
  <c r="E278" i="6" s="1"/>
  <c r="D279" i="6" l="1"/>
  <c r="E279" i="6" s="1"/>
  <c r="D280" i="6" l="1"/>
  <c r="E280" i="6" s="1"/>
  <c r="D281" i="6" l="1"/>
  <c r="E281" i="6" s="1"/>
  <c r="D282" i="6" l="1"/>
  <c r="E282" i="6" s="1"/>
  <c r="D283" i="6" l="1"/>
  <c r="E283" i="6" s="1"/>
  <c r="D284" i="6" l="1"/>
  <c r="E284" i="6" s="1"/>
  <c r="D285" i="6" l="1"/>
  <c r="E285" i="6" s="1"/>
  <c r="D286" i="6" l="1"/>
  <c r="E286" i="6" s="1"/>
  <c r="D287" i="6" l="1"/>
  <c r="E287" i="6" s="1"/>
  <c r="D288" i="6" l="1"/>
  <c r="E288" i="6" s="1"/>
  <c r="D289" i="6" l="1"/>
  <c r="E289" i="6" s="1"/>
  <c r="D290" i="6" l="1"/>
  <c r="E290" i="6" s="1"/>
  <c r="D291" i="6" l="1"/>
  <c r="E291" i="6" s="1"/>
  <c r="D292" i="6" l="1"/>
  <c r="E292" i="6" s="1"/>
  <c r="D293" i="6" l="1"/>
  <c r="E293" i="6" s="1"/>
  <c r="D294" i="6" l="1"/>
  <c r="E294" i="6" s="1"/>
  <c r="D295" i="6" l="1"/>
  <c r="E295" i="6" s="1"/>
  <c r="D296" i="6" l="1"/>
  <c r="E296" i="6" s="1"/>
  <c r="D297" i="6" l="1"/>
  <c r="E297" i="6" s="1"/>
  <c r="D298" i="6" l="1"/>
  <c r="E298" i="6" s="1"/>
  <c r="D299" i="6" l="1"/>
  <c r="E299" i="6" s="1"/>
  <c r="D300" i="6" l="1"/>
  <c r="E300" i="6" s="1"/>
  <c r="D301" i="6" l="1"/>
  <c r="E301" i="6" s="1"/>
  <c r="D302" i="6" l="1"/>
  <c r="E302" i="6" s="1"/>
  <c r="D303" i="6" l="1"/>
  <c r="E303" i="6" s="1"/>
  <c r="D304" i="6" l="1"/>
  <c r="E304" i="6" s="1"/>
  <c r="D305" i="6" l="1"/>
  <c r="E305" i="6" s="1"/>
  <c r="D306" i="6" l="1"/>
  <c r="E306" i="6" s="1"/>
  <c r="D307" i="6" l="1"/>
  <c r="E307" i="6" s="1"/>
  <c r="D308" i="6" l="1"/>
  <c r="E308" i="6" s="1"/>
  <c r="D309" i="6" l="1"/>
  <c r="E309" i="6" s="1"/>
  <c r="D310" i="6" l="1"/>
  <c r="E310" i="6" s="1"/>
  <c r="D311" i="6" l="1"/>
  <c r="E311" i="6" s="1"/>
  <c r="D312" i="6" l="1"/>
  <c r="E312" i="6" s="1"/>
  <c r="D313" i="6" l="1"/>
  <c r="E313" i="6" s="1"/>
  <c r="D314" i="6" l="1"/>
  <c r="E314" i="6" s="1"/>
  <c r="D315" i="6" l="1"/>
  <c r="E315" i="6" s="1"/>
  <c r="D316" i="6" l="1"/>
  <c r="E316" i="6" s="1"/>
  <c r="D317" i="6" l="1"/>
  <c r="E317" i="6" s="1"/>
  <c r="D318" i="6" l="1"/>
  <c r="E318" i="6" s="1"/>
  <c r="D319" i="6" l="1"/>
  <c r="E319" i="6" s="1"/>
  <c r="D320" i="6" l="1"/>
  <c r="E320" i="6" s="1"/>
  <c r="D321" i="6" l="1"/>
  <c r="E321" i="6" s="1"/>
  <c r="D322" i="6" l="1"/>
  <c r="E322" i="6" s="1"/>
  <c r="D323" i="6" l="1"/>
  <c r="E323" i="6" s="1"/>
  <c r="D324" i="6" l="1"/>
  <c r="E324" i="6" s="1"/>
  <c r="D325" i="6" l="1"/>
  <c r="E325" i="6" s="1"/>
  <c r="D326" i="6" l="1"/>
  <c r="E326" i="6" s="1"/>
  <c r="D327" i="6" l="1"/>
  <c r="E327" i="6" s="1"/>
  <c r="D328" i="6" l="1"/>
  <c r="E328" i="6" s="1"/>
  <c r="D329" i="6" l="1"/>
  <c r="E329" i="6" s="1"/>
  <c r="D330" i="6" l="1"/>
  <c r="E330" i="6" s="1"/>
  <c r="D331" i="6" l="1"/>
  <c r="E331" i="6" s="1"/>
  <c r="D332" i="6" l="1"/>
  <c r="E332" i="6" s="1"/>
  <c r="D333" i="6" l="1"/>
  <c r="E333" i="6" s="1"/>
  <c r="D334" i="6" l="1"/>
  <c r="E334" i="6" s="1"/>
  <c r="D335" i="6" l="1"/>
  <c r="E335" i="6" s="1"/>
  <c r="D336" i="6" l="1"/>
  <c r="E336" i="6" s="1"/>
  <c r="D337" i="6" l="1"/>
  <c r="E337" i="6" s="1"/>
  <c r="D338" i="6" l="1"/>
  <c r="E338" i="6" s="1"/>
  <c r="D339" i="6" l="1"/>
  <c r="E339" i="6" s="1"/>
  <c r="D340" i="6" l="1"/>
  <c r="E340" i="6" s="1"/>
  <c r="D341" i="6" l="1"/>
  <c r="E341" i="6" s="1"/>
  <c r="D342" i="6" l="1"/>
  <c r="E342" i="6" s="1"/>
  <c r="D343" i="6" l="1"/>
  <c r="E343" i="6" s="1"/>
  <c r="D344" i="6" l="1"/>
  <c r="E344" i="6" s="1"/>
  <c r="D345" i="6" l="1"/>
  <c r="E345" i="6" s="1"/>
  <c r="D346" i="6" l="1"/>
  <c r="E346" i="6" s="1"/>
  <c r="D347" i="6" l="1"/>
  <c r="E347" i="6" s="1"/>
  <c r="D348" i="6" l="1"/>
  <c r="E348" i="6" s="1"/>
  <c r="D349" i="6" l="1"/>
  <c r="E349" i="6" s="1"/>
  <c r="D350" i="6" l="1"/>
  <c r="E350" i="6" s="1"/>
  <c r="D351" i="6" l="1"/>
  <c r="E351" i="6" s="1"/>
  <c r="D352" i="6" l="1"/>
  <c r="E352" i="6" s="1"/>
  <c r="D353" i="6" l="1"/>
  <c r="E353" i="6" s="1"/>
  <c r="D354" i="6" l="1"/>
  <c r="E354" i="6" s="1"/>
  <c r="D355" i="6" l="1"/>
  <c r="E355" i="6" s="1"/>
  <c r="D356" i="6" l="1"/>
  <c r="E356" i="6" s="1"/>
  <c r="D357" i="6" l="1"/>
  <c r="E357" i="6" s="1"/>
  <c r="D358" i="6" l="1"/>
  <c r="E358" i="6" s="1"/>
  <c r="D359" i="6" l="1"/>
  <c r="E359" i="6" s="1"/>
  <c r="D360" i="6" l="1"/>
  <c r="E360" i="6" s="1"/>
  <c r="D361" i="6" l="1"/>
  <c r="E361" i="6" s="1"/>
  <c r="D362" i="6" l="1"/>
  <c r="E362" i="6" s="1"/>
  <c r="D363" i="6" l="1"/>
  <c r="E363" i="6" s="1"/>
  <c r="D364" i="6" l="1"/>
  <c r="E364" i="6" s="1"/>
  <c r="D365" i="6" l="1"/>
  <c r="E365" i="6" s="1"/>
  <c r="D366" i="6" l="1"/>
  <c r="E366" i="6" s="1"/>
  <c r="D367" i="6" l="1"/>
  <c r="E367" i="6" s="1"/>
  <c r="D368" i="6" l="1"/>
  <c r="E368" i="6" s="1"/>
  <c r="D369" i="6" l="1"/>
  <c r="E369" i="6" s="1"/>
  <c r="D370" i="6" l="1"/>
  <c r="E370" i="6" s="1"/>
  <c r="D371" i="6" l="1"/>
  <c r="E371" i="6" s="1"/>
  <c r="D372" i="6" l="1"/>
  <c r="E372" i="6" s="1"/>
  <c r="D373" i="6" l="1"/>
  <c r="E373" i="6" s="1"/>
  <c r="D374" i="6" l="1"/>
  <c r="E374" i="6" s="1"/>
  <c r="D375" i="6" l="1"/>
  <c r="E375" i="6" s="1"/>
  <c r="D376" i="6" l="1"/>
  <c r="E376" i="6" s="1"/>
  <c r="D377" i="6" l="1"/>
  <c r="E377" i="6" s="1"/>
  <c r="D378" i="6" l="1"/>
  <c r="E378" i="6" s="1"/>
  <c r="D379" i="6" l="1"/>
  <c r="E379" i="6" s="1"/>
  <c r="D380" i="6" l="1"/>
  <c r="E380" i="6" s="1"/>
  <c r="D381" i="6" l="1"/>
  <c r="E381" i="6" s="1"/>
  <c r="D382" i="6" l="1"/>
  <c r="E382" i="6" s="1"/>
  <c r="D383" i="6" l="1"/>
  <c r="E383" i="6" s="1"/>
  <c r="D384" i="6" l="1"/>
  <c r="E384" i="6" s="1"/>
  <c r="D385" i="6" l="1"/>
  <c r="E385" i="6" s="1"/>
  <c r="D386" i="6" l="1"/>
  <c r="E386" i="6" s="1"/>
  <c r="D387" i="6" l="1"/>
  <c r="E387" i="6" s="1"/>
  <c r="D388" i="6" l="1"/>
  <c r="E388" i="6" s="1"/>
  <c r="D389" i="6" l="1"/>
  <c r="E389" i="6" s="1"/>
  <c r="D390" i="6" l="1"/>
  <c r="E390" i="6" s="1"/>
  <c r="D391" i="6" l="1"/>
  <c r="E391" i="6" s="1"/>
  <c r="D392" i="6" l="1"/>
  <c r="E392" i="6" s="1"/>
  <c r="D393" i="6" l="1"/>
  <c r="E393" i="6" s="1"/>
  <c r="D394" i="6" l="1"/>
  <c r="E394" i="6" s="1"/>
  <c r="D395" i="6" l="1"/>
  <c r="E395" i="6" s="1"/>
  <c r="D396" i="6" l="1"/>
  <c r="E396" i="6" s="1"/>
  <c r="D397" i="6" l="1"/>
  <c r="E397" i="6" s="1"/>
  <c r="D398" i="6" l="1"/>
  <c r="E398" i="6" s="1"/>
  <c r="D399" i="6" l="1"/>
  <c r="E399" i="6" s="1"/>
  <c r="D400" i="6" l="1"/>
  <c r="E400" i="6" s="1"/>
  <c r="D401" i="6" l="1"/>
  <c r="E401" i="6" s="1"/>
  <c r="D402" i="6" l="1"/>
  <c r="E402" i="6" s="1"/>
  <c r="D403" i="6" l="1"/>
  <c r="E403" i="6" s="1"/>
  <c r="D404" i="6" l="1"/>
  <c r="E404" i="6" s="1"/>
  <c r="D405" i="6" l="1"/>
  <c r="E405" i="6" s="1"/>
  <c r="D406" i="6" l="1"/>
  <c r="E406" i="6" s="1"/>
  <c r="D407" i="6" l="1"/>
  <c r="E407" i="6" s="1"/>
  <c r="D408" i="6" l="1"/>
  <c r="E408" i="6" s="1"/>
  <c r="D409" i="6" l="1"/>
  <c r="E409" i="6" s="1"/>
  <c r="D410" i="6" l="1"/>
  <c r="E410" i="6" s="1"/>
  <c r="D411" i="6" l="1"/>
  <c r="E411" i="6" s="1"/>
  <c r="D412" i="6" l="1"/>
  <c r="E412" i="6" s="1"/>
  <c r="D413" i="6" l="1"/>
  <c r="E413" i="6" s="1"/>
  <c r="D414" i="6" l="1"/>
  <c r="E414" i="6" s="1"/>
  <c r="D415" i="6" l="1"/>
  <c r="E415" i="6" s="1"/>
  <c r="D416" i="6" l="1"/>
  <c r="E416" i="6" s="1"/>
  <c r="D417" i="6" l="1"/>
  <c r="E417" i="6" s="1"/>
  <c r="D418" i="6" l="1"/>
  <c r="E418" i="6" s="1"/>
  <c r="D419" i="6" l="1"/>
  <c r="E419" i="6" s="1"/>
  <c r="D420" i="6" l="1"/>
  <c r="E420" i="6" s="1"/>
  <c r="D421" i="6" l="1"/>
  <c r="E421" i="6" s="1"/>
  <c r="D422" i="6" l="1"/>
  <c r="E422" i="6" s="1"/>
  <c r="D423" i="6" l="1"/>
  <c r="E423" i="6" s="1"/>
  <c r="D424" i="6" l="1"/>
  <c r="E424" i="6" s="1"/>
  <c r="D425" i="6" l="1"/>
  <c r="E425" i="6" s="1"/>
  <c r="D426" i="6" l="1"/>
  <c r="E426" i="6" s="1"/>
  <c r="D427" i="6" l="1"/>
  <c r="E427" i="6" s="1"/>
  <c r="D428" i="6" l="1"/>
  <c r="E428" i="6" s="1"/>
  <c r="D429" i="6" l="1"/>
  <c r="E429" i="6" s="1"/>
  <c r="D430" i="6" l="1"/>
  <c r="E430" i="6" s="1"/>
  <c r="D431" i="6" l="1"/>
  <c r="E431" i="6" s="1"/>
  <c r="D432" i="6" l="1"/>
  <c r="E432" i="6" s="1"/>
  <c r="D433" i="6" l="1"/>
  <c r="E433" i="6" s="1"/>
  <c r="D434" i="6" l="1"/>
  <c r="E434" i="6" s="1"/>
  <c r="D435" i="6" l="1"/>
  <c r="E435" i="6" s="1"/>
  <c r="D436" i="6" l="1"/>
  <c r="E436" i="6" s="1"/>
  <c r="D437" i="6" l="1"/>
  <c r="E437" i="6" s="1"/>
  <c r="D438" i="6" l="1"/>
  <c r="E438" i="6" s="1"/>
  <c r="D439" i="6" l="1"/>
  <c r="E439" i="6" s="1"/>
  <c r="D440" i="6" l="1"/>
  <c r="E440" i="6" s="1"/>
  <c r="D441" i="6" l="1"/>
  <c r="E441" i="6" s="1"/>
  <c r="D442" i="6" l="1"/>
  <c r="E442" i="6" s="1"/>
  <c r="D443" i="6" l="1"/>
  <c r="E443" i="6" s="1"/>
  <c r="D444" i="6" l="1"/>
  <c r="E444" i="6" s="1"/>
  <c r="D445" i="6" l="1"/>
  <c r="E445" i="6" s="1"/>
  <c r="D446" i="6" l="1"/>
  <c r="E446" i="6" s="1"/>
  <c r="D447" i="6" l="1"/>
  <c r="E447" i="6" s="1"/>
  <c r="D448" i="6" l="1"/>
  <c r="E448" i="6" s="1"/>
  <c r="D449" i="6" l="1"/>
  <c r="E449" i="6" s="1"/>
  <c r="D450" i="6" l="1"/>
  <c r="E450" i="6" s="1"/>
  <c r="D451" i="6" l="1"/>
  <c r="E451" i="6" s="1"/>
  <c r="D452" i="6" l="1"/>
  <c r="E452" i="6" s="1"/>
  <c r="D453" i="6" l="1"/>
  <c r="E453" i="6" s="1"/>
  <c r="D454" i="6" l="1"/>
  <c r="E454" i="6" s="1"/>
  <c r="D455" i="6" l="1"/>
  <c r="E455" i="6" s="1"/>
  <c r="D456" i="6" l="1"/>
  <c r="E456" i="6" s="1"/>
  <c r="D457" i="6" l="1"/>
  <c r="E457" i="6" s="1"/>
  <c r="D458" i="6" l="1"/>
  <c r="E458" i="6" s="1"/>
  <c r="D459" i="6" l="1"/>
  <c r="E459" i="6" s="1"/>
  <c r="D460" i="6" l="1"/>
  <c r="E460" i="6" s="1"/>
  <c r="D461" i="6" l="1"/>
  <c r="E461" i="6" s="1"/>
  <c r="D462" i="6" l="1"/>
  <c r="E462" i="6" s="1"/>
  <c r="D463" i="6" l="1"/>
  <c r="E463" i="6" s="1"/>
  <c r="D464" i="6" l="1"/>
  <c r="E464" i="6" s="1"/>
  <c r="D465" i="6" l="1"/>
  <c r="E465" i="6" s="1"/>
  <c r="D466" i="6" l="1"/>
  <c r="E466" i="6" s="1"/>
  <c r="D467" i="6" l="1"/>
  <c r="E467" i="6" s="1"/>
  <c r="D468" i="6" l="1"/>
  <c r="E468" i="6" s="1"/>
  <c r="D469" i="6" l="1"/>
  <c r="E469" i="6" s="1"/>
  <c r="D470" i="6" l="1"/>
  <c r="E470" i="6" s="1"/>
  <c r="D471" i="6" l="1"/>
  <c r="E471" i="6" s="1"/>
  <c r="D472" i="6" l="1"/>
  <c r="E472" i="6" s="1"/>
  <c r="D473" i="6" l="1"/>
  <c r="E473" i="6" s="1"/>
  <c r="D474" i="6" l="1"/>
  <c r="E474" i="6" s="1"/>
  <c r="D475" i="6" l="1"/>
  <c r="E475" i="6" s="1"/>
  <c r="D476" i="6" l="1"/>
  <c r="E476" i="6" s="1"/>
  <c r="D477" i="6" l="1"/>
  <c r="E477" i="6" s="1"/>
  <c r="D478" i="6" l="1"/>
  <c r="E478" i="6" s="1"/>
  <c r="D479" i="6" l="1"/>
  <c r="E479" i="6" s="1"/>
  <c r="D480" i="6" l="1"/>
  <c r="E480" i="6" s="1"/>
  <c r="D481" i="6" l="1"/>
  <c r="E481" i="6" s="1"/>
  <c r="D482" i="6" l="1"/>
  <c r="E482" i="6" s="1"/>
  <c r="D483" i="6" l="1"/>
  <c r="E483" i="6" s="1"/>
  <c r="D484" i="6" l="1"/>
  <c r="E484" i="6" s="1"/>
  <c r="D485" i="6" l="1"/>
  <c r="E485" i="6" s="1"/>
  <c r="D486" i="6" l="1"/>
  <c r="E486" i="6" s="1"/>
  <c r="D487" i="6" l="1"/>
  <c r="E487" i="6" s="1"/>
  <c r="D488" i="6" l="1"/>
  <c r="E488" i="6" s="1"/>
  <c r="D489" i="6" l="1"/>
  <c r="E489" i="6" s="1"/>
  <c r="D490" i="6" l="1"/>
  <c r="E490" i="6" s="1"/>
  <c r="D491" i="6" l="1"/>
  <c r="E491" i="6" s="1"/>
  <c r="D492" i="6" l="1"/>
  <c r="E492" i="6" s="1"/>
  <c r="D493" i="6" l="1"/>
  <c r="E493" i="6" s="1"/>
  <c r="D494" i="6" l="1"/>
  <c r="E494" i="6" s="1"/>
  <c r="D495" i="6" l="1"/>
  <c r="E495" i="6" s="1"/>
  <c r="D496" i="6" l="1"/>
  <c r="E496" i="6" s="1"/>
  <c r="D497" i="6" l="1"/>
  <c r="E497" i="6" s="1"/>
  <c r="D498" i="6" l="1"/>
  <c r="E498" i="6" s="1"/>
  <c r="D499" i="6" l="1"/>
  <c r="E499" i="6" s="1"/>
  <c r="D500" i="6" l="1"/>
  <c r="E500" i="6" s="1"/>
  <c r="D501" i="6" l="1"/>
  <c r="E501" i="6" s="1"/>
  <c r="D502" i="6" l="1"/>
  <c r="E502" i="6" s="1"/>
  <c r="D503" i="6" l="1"/>
  <c r="E503" i="6" s="1"/>
  <c r="D504" i="6" l="1"/>
  <c r="E504" i="6" s="1"/>
  <c r="D505" i="6" l="1"/>
  <c r="E505" i="6" s="1"/>
  <c r="D506" i="6" l="1"/>
  <c r="E506" i="6" s="1"/>
  <c r="D507" i="6" l="1"/>
  <c r="E507" i="6" s="1"/>
  <c r="D508" i="6" l="1"/>
  <c r="E508" i="6" s="1"/>
  <c r="D509" i="6" l="1"/>
  <c r="E509" i="6" s="1"/>
  <c r="D510" i="6" l="1"/>
  <c r="E510" i="6" s="1"/>
  <c r="D511" i="6" l="1"/>
  <c r="E511" i="6" s="1"/>
  <c r="D512" i="6" l="1"/>
  <c r="E512" i="6" s="1"/>
  <c r="D513" i="6" l="1"/>
  <c r="E513" i="6" s="1"/>
  <c r="D514" i="6" l="1"/>
  <c r="E514" i="6" s="1"/>
  <c r="D515" i="6" l="1"/>
  <c r="E515" i="6" s="1"/>
  <c r="D516" i="6" l="1"/>
  <c r="E516" i="6" s="1"/>
  <c r="D517" i="6" l="1"/>
  <c r="E517" i="6" s="1"/>
  <c r="D518" i="6" l="1"/>
  <c r="E518" i="6" s="1"/>
  <c r="D519" i="6" l="1"/>
  <c r="E519" i="6" s="1"/>
  <c r="D520" i="6" l="1"/>
  <c r="E520" i="6" s="1"/>
  <c r="D521" i="6" l="1"/>
  <c r="E521" i="6" s="1"/>
  <c r="D522" i="6" l="1"/>
  <c r="E522" i="6" s="1"/>
  <c r="D523" i="6" l="1"/>
  <c r="E523" i="6" s="1"/>
  <c r="D524" i="6" l="1"/>
  <c r="E524" i="6" s="1"/>
  <c r="D525" i="6" l="1"/>
  <c r="E525" i="6" s="1"/>
  <c r="D526" i="6" l="1"/>
  <c r="E526" i="6" s="1"/>
  <c r="D527" i="6" l="1"/>
  <c r="E527" i="6" s="1"/>
  <c r="D528" i="6" l="1"/>
  <c r="E528" i="6" s="1"/>
  <c r="D529" i="6" l="1"/>
  <c r="E529" i="6" s="1"/>
  <c r="D530" i="6" l="1"/>
  <c r="E530" i="6" s="1"/>
  <c r="D531" i="6" l="1"/>
  <c r="E531" i="6" s="1"/>
  <c r="D532" i="6" l="1"/>
  <c r="E532" i="6" s="1"/>
  <c r="D533" i="6" l="1"/>
  <c r="E533" i="6" s="1"/>
  <c r="D534" i="6" l="1"/>
  <c r="E534" i="6" s="1"/>
  <c r="D535" i="6" l="1"/>
  <c r="E535" i="6" s="1"/>
  <c r="D536" i="6" l="1"/>
  <c r="E536" i="6" s="1"/>
  <c r="D537" i="6" l="1"/>
  <c r="E537" i="6" s="1"/>
  <c r="D538" i="6" l="1"/>
  <c r="E538" i="6" s="1"/>
  <c r="D539" i="6" l="1"/>
  <c r="E539" i="6" s="1"/>
  <c r="D540" i="6" l="1"/>
  <c r="E540" i="6" s="1"/>
  <c r="D541" i="6" l="1"/>
  <c r="E541" i="6" s="1"/>
  <c r="D542" i="6" l="1"/>
  <c r="E542" i="6" s="1"/>
  <c r="D543" i="6" l="1"/>
  <c r="E543" i="6" s="1"/>
  <c r="D544" i="6" l="1"/>
  <c r="E544" i="6" s="1"/>
  <c r="D545" i="6" l="1"/>
  <c r="E545" i="6" s="1"/>
  <c r="D546" i="6" l="1"/>
  <c r="E546" i="6" s="1"/>
  <c r="D547" i="6" l="1"/>
  <c r="E547" i="6" s="1"/>
  <c r="D548" i="6" l="1"/>
  <c r="E548" i="6" s="1"/>
  <c r="D549" i="6" l="1"/>
  <c r="E549" i="6" s="1"/>
  <c r="D550" i="6" l="1"/>
  <c r="E550" i="6" s="1"/>
  <c r="D551" i="6" l="1"/>
  <c r="E551" i="6" s="1"/>
  <c r="D552" i="6" l="1"/>
  <c r="E552" i="6" s="1"/>
  <c r="D553" i="6" l="1"/>
  <c r="E553" i="6" s="1"/>
  <c r="D554" i="6" l="1"/>
  <c r="E554" i="6" s="1"/>
  <c r="D555" i="6" l="1"/>
  <c r="E555" i="6" s="1"/>
  <c r="D556" i="6" l="1"/>
  <c r="E556" i="6" s="1"/>
  <c r="D557" i="6" l="1"/>
  <c r="E557" i="6" s="1"/>
  <c r="D558" i="6" l="1"/>
  <c r="E558" i="6" s="1"/>
  <c r="D559" i="6" l="1"/>
  <c r="E559" i="6" s="1"/>
  <c r="D560" i="6" l="1"/>
  <c r="E560" i="6" s="1"/>
  <c r="D561" i="6" l="1"/>
  <c r="E561" i="6" s="1"/>
  <c r="D562" i="6" l="1"/>
  <c r="E562" i="6" s="1"/>
  <c r="D563" i="6" l="1"/>
  <c r="E563" i="6" s="1"/>
  <c r="D564" i="6" l="1"/>
  <c r="E564" i="6" s="1"/>
  <c r="D565" i="6" l="1"/>
  <c r="E565" i="6" s="1"/>
  <c r="D566" i="6" l="1"/>
  <c r="E566" i="6" s="1"/>
  <c r="D567" i="6" l="1"/>
  <c r="E567" i="6" s="1"/>
  <c r="D568" i="6" l="1"/>
  <c r="E568" i="6" s="1"/>
  <c r="D569" i="6" l="1"/>
  <c r="E569" i="6" s="1"/>
  <c r="D570" i="6" l="1"/>
  <c r="E570" i="6" s="1"/>
  <c r="D571" i="6" l="1"/>
  <c r="E571" i="6" s="1"/>
  <c r="D572" i="6" l="1"/>
  <c r="E572" i="6" s="1"/>
  <c r="D573" i="6" l="1"/>
  <c r="E573" i="6" s="1"/>
  <c r="D574" i="6" l="1"/>
  <c r="E574" i="6" s="1"/>
  <c r="D575" i="6" l="1"/>
  <c r="E575" i="6" s="1"/>
  <c r="D576" i="6" l="1"/>
  <c r="E576" i="6" s="1"/>
  <c r="D577" i="6" l="1"/>
  <c r="E577" i="6" s="1"/>
  <c r="D578" i="6" l="1"/>
  <c r="E578" i="6" s="1"/>
  <c r="D579" i="6" l="1"/>
  <c r="E579" i="6" s="1"/>
  <c r="D580" i="6" l="1"/>
  <c r="E580" i="6" s="1"/>
  <c r="D581" i="6" l="1"/>
  <c r="E581" i="6" s="1"/>
  <c r="D582" i="6" l="1"/>
  <c r="E582" i="6" s="1"/>
  <c r="D583" i="6" l="1"/>
  <c r="E583" i="6" s="1"/>
  <c r="D584" i="6" l="1"/>
  <c r="E584" i="6" s="1"/>
  <c r="D585" i="6" l="1"/>
  <c r="E585" i="6" s="1"/>
  <c r="D586" i="6" l="1"/>
  <c r="E586" i="6" s="1"/>
  <c r="D587" i="6" l="1"/>
  <c r="E587" i="6" s="1"/>
  <c r="D588" i="6" l="1"/>
  <c r="E588" i="6" s="1"/>
  <c r="D589" i="6" l="1"/>
  <c r="E589" i="6" s="1"/>
  <c r="D590" i="6" l="1"/>
  <c r="E590" i="6" s="1"/>
  <c r="D591" i="6" l="1"/>
  <c r="E591" i="6" s="1"/>
  <c r="D592" i="6" l="1"/>
  <c r="E592" i="6" s="1"/>
  <c r="D593" i="6" l="1"/>
  <c r="E593" i="6" s="1"/>
  <c r="D594" i="6" l="1"/>
  <c r="E594" i="6" s="1"/>
  <c r="D595" i="6" l="1"/>
  <c r="E595" i="6" s="1"/>
  <c r="D596" i="6" l="1"/>
  <c r="E596" i="6" s="1"/>
  <c r="D597" i="6" l="1"/>
  <c r="E597" i="6" s="1"/>
  <c r="D598" i="6" l="1"/>
  <c r="E598" i="6" s="1"/>
  <c r="D599" i="6" l="1"/>
  <c r="E599" i="6" s="1"/>
  <c r="D600" i="6" l="1"/>
  <c r="E600" i="6" s="1"/>
  <c r="D601" i="6" l="1"/>
  <c r="E601" i="6" s="1"/>
  <c r="D602" i="6" l="1"/>
  <c r="E602" i="6" s="1"/>
  <c r="D603" i="6" l="1"/>
  <c r="E603" i="6" s="1"/>
  <c r="D604" i="6" l="1"/>
  <c r="E604" i="6" s="1"/>
  <c r="D605" i="6" l="1"/>
  <c r="E605" i="6" s="1"/>
  <c r="D606" i="6" l="1"/>
  <c r="E606" i="6" s="1"/>
  <c r="D607" i="6" l="1"/>
  <c r="E607" i="6" s="1"/>
  <c r="D608" i="6" l="1"/>
  <c r="E608" i="6" s="1"/>
  <c r="D609" i="6" l="1"/>
  <c r="E609" i="6" s="1"/>
  <c r="D610" i="6" l="1"/>
  <c r="E610" i="6" s="1"/>
  <c r="D611" i="6" l="1"/>
  <c r="E611" i="6" s="1"/>
  <c r="D612" i="6" l="1"/>
  <c r="E612" i="6" s="1"/>
  <c r="D613" i="6" l="1"/>
  <c r="E613" i="6" s="1"/>
  <c r="D614" i="6" l="1"/>
  <c r="E614" i="6" s="1"/>
  <c r="D615" i="6" l="1"/>
  <c r="E615" i="6" s="1"/>
  <c r="D616" i="6" l="1"/>
  <c r="E616" i="6" s="1"/>
  <c r="D617" i="6" l="1"/>
  <c r="E617" i="6" s="1"/>
  <c r="D618" i="6" l="1"/>
  <c r="E618" i="6" s="1"/>
  <c r="D619" i="6" l="1"/>
  <c r="E619" i="6" s="1"/>
  <c r="D620" i="6" l="1"/>
  <c r="E620" i="6" s="1"/>
  <c r="D621" i="6" l="1"/>
  <c r="E621" i="6" s="1"/>
  <c r="D622" i="6" l="1"/>
  <c r="E622" i="6" s="1"/>
  <c r="D623" i="6" l="1"/>
  <c r="E623" i="6" s="1"/>
  <c r="D624" i="6" l="1"/>
  <c r="E624" i="6" s="1"/>
  <c r="D625" i="6" l="1"/>
  <c r="E625" i="6" s="1"/>
  <c r="D626" i="6" l="1"/>
  <c r="E626" i="6" s="1"/>
  <c r="D627" i="6" l="1"/>
  <c r="E627" i="6" s="1"/>
  <c r="D628" i="6" l="1"/>
  <c r="E628" i="6" s="1"/>
  <c r="D629" i="6" l="1"/>
  <c r="E629" i="6" s="1"/>
  <c r="D630" i="6" l="1"/>
  <c r="E630" i="6" s="1"/>
  <c r="D631" i="6" l="1"/>
  <c r="E631" i="6" s="1"/>
  <c r="D632" i="6" l="1"/>
  <c r="E632" i="6" s="1"/>
  <c r="D633" i="6" l="1"/>
  <c r="E633" i="6" s="1"/>
  <c r="D634" i="6" l="1"/>
  <c r="E634" i="6" s="1"/>
  <c r="D635" i="6" l="1"/>
  <c r="E635" i="6" s="1"/>
  <c r="D636" i="6" l="1"/>
  <c r="E636" i="6" s="1"/>
  <c r="D637" i="6" l="1"/>
  <c r="E637" i="6" s="1"/>
  <c r="D638" i="6" l="1"/>
  <c r="E638" i="6" s="1"/>
  <c r="D639" i="6" l="1"/>
  <c r="E639" i="6" s="1"/>
  <c r="D640" i="6" l="1"/>
  <c r="E640" i="6" s="1"/>
  <c r="D641" i="6" l="1"/>
  <c r="E641" i="6" s="1"/>
  <c r="D642" i="6" l="1"/>
  <c r="E642" i="6" s="1"/>
  <c r="D643" i="6" l="1"/>
  <c r="E643" i="6" s="1"/>
  <c r="D644" i="6" l="1"/>
  <c r="E644" i="6" s="1"/>
  <c r="D645" i="6" l="1"/>
  <c r="E645" i="6" s="1"/>
  <c r="D646" i="6" l="1"/>
  <c r="E646" i="6" s="1"/>
  <c r="D647" i="6" l="1"/>
  <c r="E647" i="6" s="1"/>
  <c r="D648" i="6" l="1"/>
  <c r="E648" i="6" s="1"/>
  <c r="D649" i="6" l="1"/>
  <c r="E649" i="6" s="1"/>
  <c r="D650" i="6" l="1"/>
  <c r="E650" i="6" s="1"/>
  <c r="D651" i="6" l="1"/>
  <c r="E651" i="6" s="1"/>
  <c r="D652" i="6" l="1"/>
  <c r="E652" i="6" s="1"/>
  <c r="D653" i="6" l="1"/>
  <c r="E653" i="6" s="1"/>
  <c r="D654" i="6" l="1"/>
  <c r="E654" i="6" s="1"/>
  <c r="D655" i="6" l="1"/>
  <c r="E655" i="6" s="1"/>
  <c r="D656" i="6" l="1"/>
  <c r="E656" i="6" s="1"/>
  <c r="D657" i="6" l="1"/>
  <c r="E657" i="6" s="1"/>
  <c r="D658" i="6" l="1"/>
  <c r="E658" i="6" s="1"/>
  <c r="D659" i="6" l="1"/>
  <c r="E659" i="6" s="1"/>
  <c r="D660" i="6" l="1"/>
  <c r="E660" i="6" s="1"/>
  <c r="D661" i="6" l="1"/>
  <c r="E661" i="6" s="1"/>
  <c r="D662" i="6" l="1"/>
  <c r="E662" i="6" s="1"/>
  <c r="D663" i="6" l="1"/>
  <c r="E663" i="6" s="1"/>
  <c r="D664" i="6" l="1"/>
  <c r="E664" i="6" s="1"/>
  <c r="D665" i="6" l="1"/>
  <c r="E665" i="6" s="1"/>
  <c r="D666" i="6" l="1"/>
  <c r="E666" i="6" s="1"/>
  <c r="D667" i="6" l="1"/>
  <c r="E667" i="6" s="1"/>
  <c r="D668" i="6" l="1"/>
  <c r="E668" i="6" s="1"/>
  <c r="D669" i="6" l="1"/>
  <c r="E669" i="6" s="1"/>
  <c r="D670" i="6" l="1"/>
  <c r="E670" i="6" s="1"/>
  <c r="D671" i="6" l="1"/>
  <c r="E671" i="6" s="1"/>
  <c r="D672" i="6" l="1"/>
  <c r="E672" i="6" s="1"/>
  <c r="D673" i="6" l="1"/>
  <c r="E673" i="6" s="1"/>
  <c r="D674" i="6" l="1"/>
  <c r="E674" i="6" s="1"/>
  <c r="D675" i="6" l="1"/>
  <c r="E675" i="6" s="1"/>
  <c r="D676" i="6" l="1"/>
  <c r="E676" i="6" s="1"/>
  <c r="D677" i="6" l="1"/>
  <c r="E677" i="6" s="1"/>
  <c r="D678" i="6" l="1"/>
  <c r="E678" i="6" s="1"/>
  <c r="D679" i="6" l="1"/>
  <c r="E679" i="6" s="1"/>
  <c r="D680" i="6" l="1"/>
  <c r="E680" i="6" s="1"/>
  <c r="D681" i="6" l="1"/>
  <c r="E681" i="6" s="1"/>
  <c r="D682" i="6" l="1"/>
  <c r="E682" i="6" s="1"/>
  <c r="D683" i="6" l="1"/>
  <c r="E683" i="6" s="1"/>
  <c r="D684" i="6" l="1"/>
  <c r="E684" i="6" s="1"/>
  <c r="D685" i="6" l="1"/>
  <c r="E685" i="6" s="1"/>
  <c r="D686" i="6" l="1"/>
  <c r="E686" i="6" s="1"/>
  <c r="D687" i="6" l="1"/>
  <c r="E687" i="6" s="1"/>
  <c r="D688" i="6" l="1"/>
  <c r="E688" i="6" s="1"/>
  <c r="D689" i="6" l="1"/>
  <c r="E689" i="6" s="1"/>
  <c r="D690" i="6" l="1"/>
  <c r="E690" i="6" s="1"/>
  <c r="D691" i="6" l="1"/>
  <c r="E691" i="6" s="1"/>
  <c r="D692" i="6" l="1"/>
  <c r="E692" i="6" s="1"/>
  <c r="D693" i="6" l="1"/>
  <c r="E693" i="6" s="1"/>
  <c r="D694" i="6" l="1"/>
  <c r="E694" i="6" s="1"/>
  <c r="D695" i="6" l="1"/>
  <c r="E695" i="6" s="1"/>
  <c r="D696" i="6" l="1"/>
  <c r="E696" i="6" s="1"/>
  <c r="D697" i="6" l="1"/>
  <c r="E697" i="6" s="1"/>
  <c r="D698" i="6" l="1"/>
  <c r="E698" i="6" s="1"/>
  <c r="D699" i="6" l="1"/>
  <c r="E699" i="6" s="1"/>
  <c r="D700" i="6" l="1"/>
  <c r="E700" i="6" s="1"/>
  <c r="D701" i="6" l="1"/>
  <c r="E701" i="6" s="1"/>
  <c r="D702" i="6" l="1"/>
  <c r="E702" i="6" s="1"/>
  <c r="D703" i="6" l="1"/>
  <c r="E703" i="6" s="1"/>
  <c r="D704" i="6" l="1"/>
  <c r="E704" i="6" s="1"/>
  <c r="D705" i="6" l="1"/>
  <c r="E705" i="6" s="1"/>
  <c r="D706" i="6" l="1"/>
  <c r="E706" i="6" s="1"/>
  <c r="D707" i="6" l="1"/>
  <c r="E707" i="6" s="1"/>
  <c r="D708" i="6" l="1"/>
  <c r="E708" i="6" s="1"/>
  <c r="D709" i="6" l="1"/>
  <c r="E709" i="6" s="1"/>
  <c r="D710" i="6" l="1"/>
  <c r="E710" i="6" s="1"/>
  <c r="D711" i="6" l="1"/>
  <c r="E711" i="6" s="1"/>
  <c r="D712" i="6" l="1"/>
  <c r="E712" i="6" s="1"/>
  <c r="D713" i="6" l="1"/>
  <c r="E713" i="6" s="1"/>
  <c r="D714" i="6" l="1"/>
  <c r="E714" i="6" s="1"/>
  <c r="D715" i="6" l="1"/>
  <c r="E715" i="6" s="1"/>
  <c r="D716" i="6" l="1"/>
  <c r="E716" i="6" s="1"/>
  <c r="D717" i="6" l="1"/>
  <c r="E717" i="6" s="1"/>
  <c r="D718" i="6" l="1"/>
  <c r="E718" i="6" s="1"/>
  <c r="D719" i="6" l="1"/>
  <c r="E719" i="6" s="1"/>
  <c r="D720" i="6" l="1"/>
  <c r="E720" i="6" s="1"/>
  <c r="D721" i="6" l="1"/>
  <c r="E721" i="6" s="1"/>
  <c r="D722" i="6" l="1"/>
  <c r="E722" i="6" s="1"/>
  <c r="D723" i="6" l="1"/>
  <c r="E723" i="6" s="1"/>
  <c r="D724" i="6" l="1"/>
  <c r="E724" i="6" s="1"/>
  <c r="D725" i="6" l="1"/>
  <c r="E725" i="6" s="1"/>
  <c r="D726" i="6" l="1"/>
  <c r="E726" i="6" s="1"/>
  <c r="D727" i="6" l="1"/>
  <c r="E727" i="6" s="1"/>
  <c r="D728" i="6" l="1"/>
  <c r="E728" i="6" s="1"/>
  <c r="D729" i="6" l="1"/>
  <c r="E729" i="6" s="1"/>
  <c r="D730" i="6" l="1"/>
  <c r="E730" i="6" s="1"/>
  <c r="D731" i="6" l="1"/>
  <c r="E731" i="6" s="1"/>
  <c r="D732" i="6" l="1"/>
  <c r="E732" i="6" s="1"/>
  <c r="D733" i="6" l="1"/>
  <c r="E733" i="6" s="1"/>
  <c r="D734" i="6" l="1"/>
  <c r="E734" i="6" s="1"/>
  <c r="D735" i="6" l="1"/>
  <c r="E735" i="6" s="1"/>
  <c r="D736" i="6" l="1"/>
  <c r="E736" i="6" s="1"/>
  <c r="D737" i="6" l="1"/>
  <c r="E737" i="6" s="1"/>
  <c r="D738" i="6" l="1"/>
  <c r="E738" i="6" s="1"/>
  <c r="D739" i="6" l="1"/>
  <c r="E739" i="6" s="1"/>
  <c r="D740" i="6" l="1"/>
  <c r="E740" i="6" s="1"/>
  <c r="D741" i="6" l="1"/>
  <c r="E741" i="6" s="1"/>
  <c r="D742" i="6" l="1"/>
  <c r="E742" i="6" s="1"/>
  <c r="D743" i="6" l="1"/>
  <c r="E743" i="6" s="1"/>
  <c r="D744" i="6" l="1"/>
  <c r="E744" i="6" s="1"/>
  <c r="D745" i="6" l="1"/>
  <c r="E745" i="6" s="1"/>
  <c r="D746" i="6" l="1"/>
  <c r="E746" i="6" s="1"/>
  <c r="D747" i="6" l="1"/>
  <c r="E747" i="6" s="1"/>
  <c r="D748" i="6" l="1"/>
  <c r="E748" i="6" s="1"/>
  <c r="D749" i="6" l="1"/>
  <c r="E749" i="6" s="1"/>
  <c r="D750" i="6" l="1"/>
  <c r="E750" i="6" s="1"/>
  <c r="D751" i="6" l="1"/>
  <c r="E751" i="6" s="1"/>
  <c r="D752" i="6" l="1"/>
  <c r="E752" i="6" s="1"/>
  <c r="D753" i="6" l="1"/>
  <c r="E753" i="6" s="1"/>
  <c r="D754" i="6" l="1"/>
  <c r="E754" i="6" s="1"/>
  <c r="D755" i="6" l="1"/>
  <c r="E755" i="6" s="1"/>
  <c r="D756" i="6" l="1"/>
  <c r="E756" i="6" s="1"/>
  <c r="D757" i="6" l="1"/>
  <c r="E757" i="6" s="1"/>
  <c r="D758" i="6" l="1"/>
  <c r="E758" i="6" s="1"/>
  <c r="D759" i="6" l="1"/>
  <c r="E759" i="6" s="1"/>
  <c r="D760" i="6" l="1"/>
  <c r="E760" i="6" s="1"/>
  <c r="D761" i="6" l="1"/>
  <c r="E761" i="6" s="1"/>
  <c r="D762" i="6" l="1"/>
  <c r="E762" i="6" s="1"/>
  <c r="D763" i="6" l="1"/>
  <c r="E763" i="6" s="1"/>
  <c r="D764" i="6" l="1"/>
  <c r="E764" i="6" s="1"/>
  <c r="D765" i="6" l="1"/>
  <c r="E765" i="6" s="1"/>
  <c r="D766" i="6" l="1"/>
  <c r="E766" i="6" s="1"/>
  <c r="D767" i="6" l="1"/>
  <c r="E767" i="6" s="1"/>
  <c r="D768" i="6" l="1"/>
  <c r="E768" i="6" s="1"/>
  <c r="D769" i="6" l="1"/>
  <c r="E769" i="6" s="1"/>
  <c r="D770" i="6" l="1"/>
  <c r="E770" i="6" s="1"/>
  <c r="D771" i="6" l="1"/>
  <c r="E771" i="6" s="1"/>
  <c r="D772" i="6" l="1"/>
  <c r="E772" i="6" s="1"/>
  <c r="D773" i="6" l="1"/>
  <c r="E773" i="6" s="1"/>
  <c r="D774" i="6" l="1"/>
  <c r="E774" i="6" s="1"/>
  <c r="D775" i="6" l="1"/>
  <c r="E775" i="6" s="1"/>
  <c r="D776" i="6" l="1"/>
  <c r="E776" i="6" s="1"/>
  <c r="D777" i="6" l="1"/>
  <c r="E777" i="6" s="1"/>
  <c r="D778" i="6" l="1"/>
  <c r="E778" i="6" s="1"/>
  <c r="D779" i="6" l="1"/>
  <c r="E779" i="6" s="1"/>
  <c r="D780" i="6" l="1"/>
  <c r="E780" i="6" s="1"/>
  <c r="D781" i="6" l="1"/>
  <c r="E781" i="6" s="1"/>
  <c r="D782" i="6" l="1"/>
  <c r="E782" i="6" s="1"/>
  <c r="D783" i="6" l="1"/>
  <c r="E783" i="6" s="1"/>
  <c r="D784" i="6" l="1"/>
  <c r="E784" i="6" s="1"/>
  <c r="D785" i="6" l="1"/>
  <c r="E785" i="6" s="1"/>
  <c r="D786" i="6" l="1"/>
  <c r="E786" i="6" s="1"/>
  <c r="D787" i="6" l="1"/>
  <c r="E787" i="6" s="1"/>
  <c r="D788" i="6" l="1"/>
  <c r="E788" i="6" s="1"/>
  <c r="D789" i="6" l="1"/>
  <c r="E789" i="6" s="1"/>
  <c r="D790" i="6" l="1"/>
  <c r="E790" i="6" s="1"/>
  <c r="D791" i="6" l="1"/>
  <c r="E791" i="6" s="1"/>
  <c r="D792" i="6" l="1"/>
  <c r="E792" i="6" s="1"/>
  <c r="D793" i="6" l="1"/>
  <c r="E793" i="6" s="1"/>
  <c r="D794" i="6" l="1"/>
  <c r="E794" i="6" s="1"/>
  <c r="D795" i="6" l="1"/>
  <c r="E795" i="6" s="1"/>
  <c r="D796" i="6" l="1"/>
  <c r="E796" i="6" s="1"/>
  <c r="D797" i="6" l="1"/>
  <c r="E797" i="6" s="1"/>
  <c r="D798" i="6" l="1"/>
  <c r="E798" i="6" s="1"/>
  <c r="D799" i="6" l="1"/>
  <c r="E799" i="6" s="1"/>
  <c r="D800" i="6" l="1"/>
  <c r="E800" i="6" s="1"/>
  <c r="D801" i="6" l="1"/>
  <c r="E801" i="6" s="1"/>
  <c r="D802" i="6" l="1"/>
  <c r="E802" i="6" s="1"/>
  <c r="D803" i="6" l="1"/>
  <c r="E803" i="6" s="1"/>
  <c r="D804" i="6" l="1"/>
  <c r="E804" i="6" s="1"/>
  <c r="D805" i="6" l="1"/>
  <c r="E805" i="6" s="1"/>
  <c r="D806" i="6" l="1"/>
  <c r="E806" i="6" s="1"/>
  <c r="D807" i="6" l="1"/>
  <c r="E807" i="6" s="1"/>
  <c r="D808" i="6" l="1"/>
  <c r="E808" i="6" s="1"/>
  <c r="D809" i="6" l="1"/>
  <c r="E809" i="6" s="1"/>
  <c r="D810" i="6" l="1"/>
  <c r="E810" i="6" s="1"/>
  <c r="D811" i="6" l="1"/>
  <c r="E811" i="6" s="1"/>
  <c r="D812" i="6" l="1"/>
  <c r="E812" i="6" s="1"/>
  <c r="D813" i="6" l="1"/>
  <c r="E813" i="6" s="1"/>
  <c r="D814" i="6" l="1"/>
  <c r="E814" i="6" s="1"/>
  <c r="D815" i="6" l="1"/>
  <c r="E815" i="6" s="1"/>
  <c r="D816" i="6" l="1"/>
  <c r="E816" i="6" s="1"/>
  <c r="D817" i="6" l="1"/>
  <c r="E817" i="6" s="1"/>
  <c r="D818" i="6" l="1"/>
  <c r="E818" i="6" s="1"/>
  <c r="D819" i="6" l="1"/>
  <c r="E819" i="6" s="1"/>
  <c r="D820" i="6" l="1"/>
  <c r="E820" i="6" s="1"/>
  <c r="D821" i="6" l="1"/>
  <c r="E821" i="6" s="1"/>
  <c r="D822" i="6" l="1"/>
  <c r="E822" i="6" s="1"/>
  <c r="D823" i="6" l="1"/>
  <c r="E823" i="6" s="1"/>
  <c r="D824" i="6" l="1"/>
  <c r="E824" i="6" s="1"/>
  <c r="D825" i="6" l="1"/>
  <c r="E825" i="6" s="1"/>
  <c r="D826" i="6" l="1"/>
  <c r="E826" i="6" s="1"/>
  <c r="D827" i="6" l="1"/>
  <c r="E827" i="6" s="1"/>
  <c r="D828" i="6" l="1"/>
  <c r="E828" i="6" s="1"/>
  <c r="D829" i="6" l="1"/>
  <c r="E829" i="6" s="1"/>
  <c r="D830" i="6" l="1"/>
  <c r="E830" i="6" s="1"/>
  <c r="D831" i="6" l="1"/>
  <c r="E831" i="6" s="1"/>
  <c r="D832" i="6" l="1"/>
  <c r="E832" i="6" s="1"/>
  <c r="D833" i="6" l="1"/>
  <c r="E833" i="6" s="1"/>
  <c r="D834" i="6" l="1"/>
  <c r="E834" i="6" s="1"/>
  <c r="D835" i="6" l="1"/>
  <c r="E835" i="6" s="1"/>
  <c r="D836" i="6" l="1"/>
  <c r="E836" i="6" s="1"/>
  <c r="D837" i="6" l="1"/>
  <c r="E837" i="6" s="1"/>
  <c r="D838" i="6" l="1"/>
  <c r="E838" i="6" s="1"/>
  <c r="D839" i="6" l="1"/>
  <c r="E839" i="6" s="1"/>
  <c r="D840" i="6" l="1"/>
  <c r="E840" i="6" s="1"/>
  <c r="D841" i="6" l="1"/>
  <c r="E841" i="6" s="1"/>
  <c r="D842" i="6" l="1"/>
  <c r="E842" i="6" s="1"/>
  <c r="D843" i="6" l="1"/>
  <c r="E843" i="6" s="1"/>
  <c r="D844" i="6" l="1"/>
  <c r="E844" i="6" s="1"/>
  <c r="D845" i="6" l="1"/>
  <c r="E845" i="6" s="1"/>
  <c r="D846" i="6" l="1"/>
  <c r="E846" i="6" s="1"/>
  <c r="D847" i="6" l="1"/>
  <c r="E847" i="6" s="1"/>
  <c r="D848" i="6" l="1"/>
  <c r="E848" i="6" s="1"/>
  <c r="D849" i="6" l="1"/>
  <c r="E849" i="6" s="1"/>
  <c r="D850" i="6" l="1"/>
  <c r="E850" i="6" s="1"/>
  <c r="D851" i="6" l="1"/>
  <c r="E851" i="6" s="1"/>
  <c r="D852" i="6" l="1"/>
  <c r="E852" i="6" s="1"/>
  <c r="D853" i="6" l="1"/>
  <c r="E853" i="6" s="1"/>
  <c r="D854" i="6" l="1"/>
  <c r="E854" i="6" s="1"/>
  <c r="D855" i="6" l="1"/>
  <c r="E855" i="6" s="1"/>
  <c r="D856" i="6" l="1"/>
  <c r="E856" i="6" s="1"/>
  <c r="D857" i="6" l="1"/>
  <c r="E857" i="6" s="1"/>
  <c r="D858" i="6" l="1"/>
  <c r="E858" i="6" s="1"/>
  <c r="D859" i="6" l="1"/>
  <c r="E859" i="6" s="1"/>
  <c r="D860" i="6" l="1"/>
  <c r="E860" i="6" s="1"/>
  <c r="D861" i="6" l="1"/>
  <c r="E861" i="6" s="1"/>
  <c r="D862" i="6" l="1"/>
  <c r="E862" i="6" s="1"/>
  <c r="D863" i="6" l="1"/>
  <c r="E863" i="6" s="1"/>
  <c r="D864" i="6" l="1"/>
  <c r="E864" i="6" s="1"/>
  <c r="D865" i="6" l="1"/>
  <c r="E865" i="6" s="1"/>
  <c r="D866" i="6" l="1"/>
  <c r="E866" i="6" s="1"/>
  <c r="D867" i="6" l="1"/>
  <c r="E867" i="6" s="1"/>
  <c r="D868" i="6" l="1"/>
  <c r="E868" i="6" s="1"/>
  <c r="D869" i="6" l="1"/>
  <c r="E869" i="6" s="1"/>
  <c r="D870" i="6" l="1"/>
  <c r="E870" i="6" s="1"/>
  <c r="D871" i="6" l="1"/>
  <c r="E871" i="6" s="1"/>
  <c r="D872" i="6" l="1"/>
  <c r="E872" i="6" s="1"/>
  <c r="D873" i="6" l="1"/>
  <c r="E873" i="6" s="1"/>
  <c r="D874" i="6" l="1"/>
  <c r="E874" i="6" s="1"/>
  <c r="D875" i="6" l="1"/>
  <c r="E875" i="6" s="1"/>
  <c r="D876" i="6" l="1"/>
  <c r="E876" i="6" s="1"/>
  <c r="D877" i="6" l="1"/>
  <c r="E877" i="6" s="1"/>
  <c r="D878" i="6" l="1"/>
  <c r="E878" i="6" s="1"/>
  <c r="D879" i="6" l="1"/>
  <c r="E879" i="6" s="1"/>
  <c r="D880" i="6" l="1"/>
  <c r="E880" i="6" s="1"/>
  <c r="D881" i="6" l="1"/>
  <c r="E881" i="6" s="1"/>
  <c r="D882" i="6" l="1"/>
  <c r="E882" i="6" s="1"/>
  <c r="D883" i="6" l="1"/>
  <c r="E883" i="6" s="1"/>
  <c r="D884" i="6" l="1"/>
  <c r="E884" i="6" s="1"/>
  <c r="D885" i="6" l="1"/>
  <c r="E885" i="6" s="1"/>
  <c r="D886" i="6" l="1"/>
  <c r="E886" i="6" s="1"/>
  <c r="D887" i="6" l="1"/>
  <c r="E887" i="6" s="1"/>
  <c r="D888" i="6" l="1"/>
  <c r="E888" i="6" s="1"/>
  <c r="D889" i="6" l="1"/>
  <c r="E889" i="6" s="1"/>
  <c r="D890" i="6" l="1"/>
  <c r="E890" i="6" s="1"/>
  <c r="D891" i="6" l="1"/>
  <c r="E891" i="6" s="1"/>
  <c r="D892" i="6" l="1"/>
  <c r="E892" i="6" s="1"/>
  <c r="D893" i="6" l="1"/>
  <c r="E893" i="6" s="1"/>
  <c r="D894" i="6" l="1"/>
  <c r="E894" i="6" s="1"/>
  <c r="D895" i="6" l="1"/>
  <c r="E895" i="6" s="1"/>
  <c r="D896" i="6" l="1"/>
  <c r="E896" i="6" s="1"/>
  <c r="D897" i="6" l="1"/>
  <c r="E897" i="6" s="1"/>
  <c r="D898" i="6" l="1"/>
  <c r="E898" i="6" s="1"/>
  <c r="D899" i="6" l="1"/>
  <c r="E899" i="6" s="1"/>
  <c r="D900" i="6" l="1"/>
  <c r="E900" i="6" s="1"/>
  <c r="D901" i="6" l="1"/>
  <c r="E901" i="6" s="1"/>
  <c r="D902" i="6" l="1"/>
  <c r="E902" i="6" s="1"/>
  <c r="D903" i="6" l="1"/>
  <c r="E903" i="6" s="1"/>
  <c r="D904" i="6" l="1"/>
  <c r="E904" i="6" s="1"/>
  <c r="D905" i="6" l="1"/>
  <c r="E905" i="6" s="1"/>
  <c r="D906" i="6" l="1"/>
  <c r="E906" i="6" s="1"/>
  <c r="D907" i="6" l="1"/>
  <c r="E907" i="6" s="1"/>
  <c r="D908" i="6" l="1"/>
  <c r="E908" i="6" s="1"/>
  <c r="D909" i="6" l="1"/>
  <c r="E909" i="6" s="1"/>
  <c r="D910" i="6" l="1"/>
  <c r="E910" i="6" s="1"/>
  <c r="D911" i="6" l="1"/>
  <c r="E911" i="6" s="1"/>
  <c r="D912" i="6" l="1"/>
  <c r="E912" i="6" s="1"/>
  <c r="D913" i="6" l="1"/>
  <c r="E913" i="6" s="1"/>
  <c r="D914" i="6" l="1"/>
  <c r="E914" i="6" s="1"/>
  <c r="D915" i="6" l="1"/>
  <c r="E915" i="6" s="1"/>
  <c r="D916" i="6" l="1"/>
  <c r="E916" i="6" s="1"/>
  <c r="D917" i="6" l="1"/>
  <c r="E917" i="6" s="1"/>
  <c r="D918" i="6" l="1"/>
  <c r="E918" i="6" s="1"/>
  <c r="D919" i="6" l="1"/>
  <c r="E919" i="6" s="1"/>
  <c r="D920" i="6" l="1"/>
  <c r="E920" i="6" s="1"/>
  <c r="D921" i="6" l="1"/>
  <c r="E921" i="6" s="1"/>
  <c r="D922" i="6" l="1"/>
  <c r="E922" i="6" s="1"/>
  <c r="D923" i="6" l="1"/>
  <c r="E923" i="6" s="1"/>
  <c r="D924" i="6" l="1"/>
  <c r="E924" i="6" s="1"/>
  <c r="D925" i="6" l="1"/>
  <c r="E925" i="6" s="1"/>
  <c r="D926" i="6" l="1"/>
  <c r="E926" i="6" s="1"/>
  <c r="D927" i="6" l="1"/>
  <c r="E927" i="6" s="1"/>
  <c r="D928" i="6" l="1"/>
  <c r="E928" i="6" s="1"/>
  <c r="D929" i="6" l="1"/>
  <c r="E929" i="6" s="1"/>
  <c r="D930" i="6" l="1"/>
  <c r="E930" i="6" s="1"/>
  <c r="D931" i="6" l="1"/>
  <c r="E931" i="6" s="1"/>
  <c r="D932" i="6" l="1"/>
  <c r="E932" i="6" s="1"/>
  <c r="D933" i="6" l="1"/>
  <c r="E933" i="6" s="1"/>
  <c r="D934" i="6" l="1"/>
  <c r="E934" i="6" s="1"/>
  <c r="D935" i="6" l="1"/>
  <c r="E935" i="6" s="1"/>
  <c r="D936" i="6" l="1"/>
  <c r="E936" i="6" s="1"/>
  <c r="D937" i="6" l="1"/>
  <c r="E937" i="6" s="1"/>
  <c r="D938" i="6" l="1"/>
  <c r="E938" i="6" s="1"/>
  <c r="D939" i="6" l="1"/>
  <c r="E939" i="6" s="1"/>
  <c r="D940" i="6" l="1"/>
  <c r="E940" i="6" s="1"/>
  <c r="D941" i="6" l="1"/>
  <c r="E941" i="6" s="1"/>
  <c r="D942" i="6" l="1"/>
  <c r="E942" i="6" s="1"/>
  <c r="D943" i="6" l="1"/>
  <c r="E943" i="6" s="1"/>
  <c r="D944" i="6" l="1"/>
  <c r="E944" i="6" s="1"/>
  <c r="D945" i="6" l="1"/>
  <c r="E945" i="6" s="1"/>
  <c r="D946" i="6" l="1"/>
  <c r="E946" i="6" s="1"/>
  <c r="D947" i="6" l="1"/>
  <c r="E947" i="6" s="1"/>
  <c r="D948" i="6" l="1"/>
  <c r="E948" i="6" s="1"/>
  <c r="D949" i="6" l="1"/>
  <c r="E949" i="6" s="1"/>
  <c r="D950" i="6" l="1"/>
  <c r="E950" i="6" s="1"/>
  <c r="D951" i="6" l="1"/>
  <c r="E951" i="6" s="1"/>
  <c r="D952" i="6" l="1"/>
  <c r="E952" i="6" s="1"/>
  <c r="D953" i="6" l="1"/>
  <c r="E953" i="6" s="1"/>
  <c r="D954" i="6" l="1"/>
  <c r="E954" i="6" s="1"/>
  <c r="D955" i="6" l="1"/>
  <c r="E955" i="6" s="1"/>
  <c r="D956" i="6" l="1"/>
  <c r="E956" i="6" s="1"/>
  <c r="D957" i="6" l="1"/>
  <c r="E957" i="6" s="1"/>
  <c r="D958" i="6" l="1"/>
  <c r="E958" i="6" s="1"/>
  <c r="D959" i="6" l="1"/>
  <c r="E959" i="6" s="1"/>
  <c r="D960" i="6" l="1"/>
  <c r="E960" i="6" s="1"/>
  <c r="D961" i="6" l="1"/>
  <c r="E961" i="6" s="1"/>
  <c r="D962" i="6" l="1"/>
  <c r="E962" i="6" s="1"/>
  <c r="D963" i="6" l="1"/>
  <c r="E963" i="6" s="1"/>
  <c r="D964" i="6" l="1"/>
  <c r="E964" i="6" s="1"/>
  <c r="D965" i="6" l="1"/>
  <c r="E965" i="6" s="1"/>
  <c r="D966" i="6" l="1"/>
  <c r="E966" i="6" s="1"/>
  <c r="D967" i="6" l="1"/>
  <c r="E967" i="6" s="1"/>
  <c r="D968" i="6" l="1"/>
  <c r="E968" i="6" s="1"/>
  <c r="D969" i="6" l="1"/>
  <c r="E969" i="6" s="1"/>
  <c r="D970" i="6" l="1"/>
  <c r="E970" i="6" s="1"/>
  <c r="D971" i="6" l="1"/>
  <c r="E971" i="6" s="1"/>
  <c r="D972" i="6" l="1"/>
  <c r="E972" i="6" s="1"/>
  <c r="D973" i="6" l="1"/>
  <c r="E973" i="6" s="1"/>
  <c r="D974" i="6" l="1"/>
  <c r="E974" i="6" s="1"/>
  <c r="D975" i="6" l="1"/>
  <c r="E975" i="6" s="1"/>
  <c r="D976" i="6" l="1"/>
  <c r="E976" i="6" s="1"/>
  <c r="D977" i="6" l="1"/>
  <c r="E977" i="6" s="1"/>
  <c r="D978" i="6" l="1"/>
  <c r="E978" i="6" s="1"/>
  <c r="D979" i="6" l="1"/>
  <c r="E979" i="6" s="1"/>
  <c r="D980" i="6" l="1"/>
  <c r="E980" i="6" s="1"/>
  <c r="D981" i="6" l="1"/>
  <c r="E981" i="6" s="1"/>
  <c r="D982" i="6" l="1"/>
  <c r="E982" i="6" s="1"/>
  <c r="D983" i="6" l="1"/>
  <c r="E983" i="6" s="1"/>
  <c r="D984" i="6" l="1"/>
  <c r="E984" i="6" s="1"/>
  <c r="D985" i="6" l="1"/>
  <c r="E985" i="6" s="1"/>
  <c r="D986" i="6" l="1"/>
  <c r="E986" i="6" s="1"/>
  <c r="D987" i="6" l="1"/>
  <c r="E987" i="6" s="1"/>
  <c r="D988" i="6" l="1"/>
  <c r="E988" i="6" s="1"/>
  <c r="D989" i="6" l="1"/>
  <c r="E989" i="6" s="1"/>
  <c r="D990" i="6" l="1"/>
  <c r="E990" i="6" s="1"/>
  <c r="D991" i="6" l="1"/>
  <c r="E991" i="6" s="1"/>
  <c r="D992" i="6" l="1"/>
  <c r="E992" i="6" s="1"/>
  <c r="D993" i="6" l="1"/>
  <c r="E993" i="6" s="1"/>
  <c r="D994" i="6" l="1"/>
  <c r="E994" i="6" s="1"/>
  <c r="D995" i="6" l="1"/>
  <c r="E995" i="6" s="1"/>
  <c r="D996" i="6" l="1"/>
  <c r="E996" i="6" s="1"/>
  <c r="D997" i="6" l="1"/>
  <c r="E997" i="6" s="1"/>
  <c r="D998" i="6" l="1"/>
  <c r="E998" i="6" s="1"/>
  <c r="D999" i="6" l="1"/>
  <c r="E999" i="6" s="1"/>
  <c r="D1000" i="6" l="1"/>
  <c r="E1000" i="6" s="1"/>
  <c r="D1001" i="6" l="1"/>
  <c r="E1001" i="6" s="1"/>
  <c r="D1002" i="6" l="1"/>
  <c r="E1002" i="6" s="1"/>
  <c r="D1003" i="6" l="1"/>
  <c r="E1003" i="6" s="1"/>
  <c r="D1004" i="6" l="1"/>
  <c r="E1004" i="6" s="1"/>
  <c r="D1005" i="6" l="1"/>
  <c r="E1005" i="6" s="1"/>
  <c r="D1006" i="6" l="1"/>
  <c r="E1006" i="6" s="1"/>
  <c r="D1007" i="6" l="1"/>
  <c r="E1007" i="6" s="1"/>
  <c r="D1008" i="6" l="1"/>
  <c r="E1008" i="6" s="1"/>
  <c r="D1009" i="6" l="1"/>
  <c r="E1009" i="6" s="1"/>
  <c r="D1010" i="6" l="1"/>
  <c r="E1010" i="6" s="1"/>
  <c r="D1011" i="6" l="1"/>
  <c r="E1011" i="6" s="1"/>
  <c r="D1012" i="6" l="1"/>
  <c r="E1012" i="6" s="1"/>
  <c r="D1013" i="6" l="1"/>
  <c r="E1013" i="6" s="1"/>
  <c r="D1014" i="6" l="1"/>
  <c r="E1014" i="6" s="1"/>
  <c r="D1015" i="6" l="1"/>
  <c r="E1015" i="6" s="1"/>
  <c r="D1016" i="6" l="1"/>
  <c r="E1016" i="6" s="1"/>
  <c r="D1017" i="6" l="1"/>
  <c r="E1017" i="6" s="1"/>
  <c r="D1018" i="6" l="1"/>
  <c r="E1018" i="6" s="1"/>
  <c r="D1019" i="6" l="1"/>
  <c r="E1019" i="6" s="1"/>
  <c r="D1020" i="6" l="1"/>
  <c r="E1020" i="6" s="1"/>
  <c r="D1021" i="6" l="1"/>
  <c r="E1021" i="6" s="1"/>
  <c r="D1022" i="6" l="1"/>
  <c r="E1022" i="6" s="1"/>
  <c r="D1023" i="6" l="1"/>
  <c r="E1023" i="6" s="1"/>
  <c r="D1024" i="6" l="1"/>
  <c r="E1024" i="6" s="1"/>
  <c r="D1025" i="6" l="1"/>
  <c r="E1025" i="6" s="1"/>
  <c r="D1026" i="6" l="1"/>
  <c r="E1026" i="6" s="1"/>
  <c r="D1027" i="6" l="1"/>
  <c r="E1027" i="6" s="1"/>
  <c r="D1028" i="6" l="1"/>
  <c r="E1028" i="6" s="1"/>
  <c r="D1029" i="6" l="1"/>
  <c r="E1029" i="6" s="1"/>
  <c r="D1030" i="6" l="1"/>
  <c r="E1030" i="6" s="1"/>
  <c r="D1031" i="6" l="1"/>
  <c r="E1031" i="6" s="1"/>
  <c r="D1032" i="6" l="1"/>
  <c r="E1032" i="6" s="1"/>
  <c r="D1033" i="6" l="1"/>
  <c r="E1033" i="6" s="1"/>
  <c r="D1034" i="6" l="1"/>
  <c r="E1034" i="6" s="1"/>
  <c r="D1035" i="6" l="1"/>
  <c r="E1035" i="6" s="1"/>
  <c r="D1036" i="6" l="1"/>
  <c r="E1036" i="6" s="1"/>
  <c r="D1037" i="6" l="1"/>
  <c r="E1037" i="6" s="1"/>
  <c r="D1038" i="6" l="1"/>
  <c r="E1038" i="6" s="1"/>
  <c r="D1039" i="6" l="1"/>
  <c r="E1039" i="6" s="1"/>
  <c r="D1040" i="6" l="1"/>
  <c r="E1040" i="6" s="1"/>
  <c r="D1041" i="6" l="1"/>
  <c r="E1041" i="6" s="1"/>
  <c r="D1042" i="6" l="1"/>
  <c r="E1042" i="6" s="1"/>
  <c r="D1043" i="6" l="1"/>
  <c r="E1043" i="6" s="1"/>
  <c r="D1044" i="6" l="1"/>
  <c r="E1044" i="6" s="1"/>
  <c r="D1045" i="6" l="1"/>
  <c r="E1045" i="6" s="1"/>
  <c r="D1046" i="6" l="1"/>
  <c r="E1046" i="6" s="1"/>
  <c r="D1047" i="6" l="1"/>
  <c r="E1047" i="6" s="1"/>
  <c r="D1048" i="6" l="1"/>
  <c r="E1048" i="6" s="1"/>
  <c r="D1049" i="6" l="1"/>
  <c r="E1049" i="6" s="1"/>
  <c r="D1050" i="6" l="1"/>
  <c r="E1050" i="6" s="1"/>
  <c r="D1051" i="6" l="1"/>
  <c r="E1051" i="6" s="1"/>
  <c r="D1052" i="6" l="1"/>
  <c r="E1052" i="6" s="1"/>
  <c r="D1053" i="6" l="1"/>
  <c r="E1053" i="6" s="1"/>
  <c r="D1054" i="6" l="1"/>
  <c r="E1054" i="6" s="1"/>
  <c r="D1055" i="6" l="1"/>
  <c r="E1055" i="6" s="1"/>
  <c r="D1056" i="6" l="1"/>
  <c r="E1056" i="6" s="1"/>
  <c r="D1057" i="6" l="1"/>
  <c r="E1057" i="6" s="1"/>
  <c r="D1058" i="6" l="1"/>
  <c r="E1058" i="6" s="1"/>
  <c r="D1059" i="6" l="1"/>
  <c r="E1059" i="6" s="1"/>
  <c r="D1060" i="6" l="1"/>
  <c r="E1060" i="6" s="1"/>
  <c r="D1061" i="6" l="1"/>
  <c r="E1061" i="6" s="1"/>
  <c r="D1062" i="6" l="1"/>
  <c r="E1062" i="6" s="1"/>
  <c r="D1063" i="6" l="1"/>
  <c r="E1063" i="6" s="1"/>
  <c r="D1064" i="6" l="1"/>
  <c r="E1064" i="6" s="1"/>
  <c r="D1065" i="6" l="1"/>
  <c r="E1065" i="6" s="1"/>
  <c r="D1066" i="6" l="1"/>
  <c r="E1066" i="6" s="1"/>
  <c r="D1067" i="6" l="1"/>
  <c r="E1067" i="6" s="1"/>
  <c r="D1068" i="6" l="1"/>
  <c r="E1068" i="6" s="1"/>
  <c r="D1069" i="6" l="1"/>
  <c r="E1069" i="6" s="1"/>
  <c r="D1070" i="6" l="1"/>
  <c r="E1070" i="6" s="1"/>
  <c r="D1071" i="6" l="1"/>
  <c r="E1071" i="6" s="1"/>
  <c r="D1072" i="6" l="1"/>
  <c r="E1072" i="6" s="1"/>
  <c r="D1073" i="6" l="1"/>
  <c r="E1073" i="6" s="1"/>
  <c r="D1074" i="6" l="1"/>
  <c r="E1074" i="6" s="1"/>
  <c r="D1075" i="6" l="1"/>
  <c r="E1075" i="6" s="1"/>
  <c r="D1076" i="6" l="1"/>
  <c r="E1076" i="6" s="1"/>
  <c r="D1077" i="6" l="1"/>
  <c r="E1077" i="6" s="1"/>
  <c r="D1078" i="6" l="1"/>
  <c r="E1078" i="6" s="1"/>
  <c r="D1079" i="6" l="1"/>
  <c r="E1079" i="6" s="1"/>
  <c r="D1080" i="6" l="1"/>
  <c r="E1080" i="6" s="1"/>
  <c r="D1081" i="6" l="1"/>
  <c r="E1081" i="6" s="1"/>
  <c r="D1082" i="6" l="1"/>
  <c r="E1082" i="6" s="1"/>
  <c r="D1083" i="6" l="1"/>
  <c r="E1083" i="6" s="1"/>
  <c r="D1084" i="6" l="1"/>
  <c r="E1084" i="6" s="1"/>
  <c r="D1085" i="6" l="1"/>
  <c r="E1085" i="6" s="1"/>
  <c r="D1086" i="6" l="1"/>
  <c r="E1086" i="6" s="1"/>
  <c r="D1087" i="6" l="1"/>
  <c r="E1087" i="6" s="1"/>
  <c r="D1088" i="6" l="1"/>
  <c r="E1088" i="6" s="1"/>
  <c r="D1089" i="6" l="1"/>
  <c r="E1089" i="6" s="1"/>
  <c r="D1090" i="6" l="1"/>
  <c r="E1090" i="6" s="1"/>
  <c r="D1091" i="6" l="1"/>
  <c r="E1091" i="6" s="1"/>
  <c r="D1092" i="6" l="1"/>
  <c r="E1092" i="6" s="1"/>
  <c r="D1093" i="6" l="1"/>
  <c r="E1093" i="6" s="1"/>
  <c r="D1094" i="6" l="1"/>
  <c r="E1094" i="6" s="1"/>
  <c r="D1095" i="6" l="1"/>
  <c r="E1095" i="6" s="1"/>
  <c r="D1096" i="6" l="1"/>
  <c r="E1096" i="6" s="1"/>
  <c r="D1097" i="6" l="1"/>
  <c r="E1097" i="6" s="1"/>
  <c r="D1098" i="6" l="1"/>
  <c r="E1098" i="6" s="1"/>
  <c r="D1099" i="6" l="1"/>
  <c r="E1099" i="6" s="1"/>
  <c r="D1100" i="6" l="1"/>
  <c r="E1100" i="6" s="1"/>
  <c r="D1101" i="6" l="1"/>
  <c r="E1101" i="6" s="1"/>
  <c r="D1102" i="6" l="1"/>
  <c r="E1102" i="6" s="1"/>
  <c r="D1103" i="6" l="1"/>
  <c r="E1103" i="6" s="1"/>
  <c r="D1104" i="6" l="1"/>
  <c r="E1104" i="6" s="1"/>
  <c r="D1105" i="6" l="1"/>
  <c r="E1105" i="6" s="1"/>
  <c r="D1106" i="6" l="1"/>
  <c r="E1106" i="6" s="1"/>
  <c r="D1107" i="6" l="1"/>
  <c r="E1107" i="6" s="1"/>
  <c r="D1108" i="6" l="1"/>
  <c r="E1108" i="6" s="1"/>
  <c r="D1109" i="6" l="1"/>
  <c r="E1109" i="6" s="1"/>
  <c r="D1110" i="6" l="1"/>
  <c r="E1110" i="6" s="1"/>
  <c r="D1111" i="6" l="1"/>
  <c r="E1111" i="6" s="1"/>
  <c r="D1112" i="6" l="1"/>
  <c r="E1112" i="6" s="1"/>
  <c r="D1113" i="6" l="1"/>
  <c r="E1113" i="6" s="1"/>
  <c r="D1114" i="6" l="1"/>
  <c r="E1114" i="6" s="1"/>
  <c r="D1115" i="6" l="1"/>
  <c r="E1115" i="6" s="1"/>
  <c r="D1116" i="6" l="1"/>
  <c r="E1116" i="6" s="1"/>
  <c r="D1117" i="6" l="1"/>
  <c r="E1117" i="6" s="1"/>
  <c r="D1118" i="6" l="1"/>
  <c r="E1118" i="6" s="1"/>
  <c r="D1119" i="6" l="1"/>
  <c r="E1119" i="6" s="1"/>
  <c r="D1120" i="6" l="1"/>
  <c r="E1120" i="6" s="1"/>
  <c r="D1121" i="6" l="1"/>
  <c r="E1121" i="6" s="1"/>
  <c r="D1122" i="6" l="1"/>
  <c r="E1122" i="6" s="1"/>
  <c r="D1123" i="6" l="1"/>
  <c r="E1123" i="6" s="1"/>
  <c r="D1124" i="6" l="1"/>
  <c r="E1124" i="6" s="1"/>
  <c r="D1125" i="6" l="1"/>
  <c r="E1125" i="6" s="1"/>
  <c r="D1126" i="6" l="1"/>
  <c r="E1126" i="6" s="1"/>
  <c r="D1127" i="6" l="1"/>
  <c r="E1127" i="6" s="1"/>
  <c r="D1128" i="6" l="1"/>
  <c r="E1128" i="6" s="1"/>
  <c r="D1129" i="6" l="1"/>
  <c r="E1129" i="6" s="1"/>
  <c r="D1130" i="6" l="1"/>
  <c r="E1130" i="6" s="1"/>
  <c r="D1131" i="6" l="1"/>
  <c r="E1131" i="6" s="1"/>
  <c r="D1132" i="6" l="1"/>
  <c r="E1132" i="6" s="1"/>
  <c r="D1133" i="6" l="1"/>
  <c r="E1133" i="6" s="1"/>
  <c r="D1134" i="6" l="1"/>
  <c r="E1134" i="6" s="1"/>
  <c r="D1135" i="6" l="1"/>
  <c r="E1135" i="6" s="1"/>
  <c r="D1136" i="6" l="1"/>
  <c r="E1136" i="6" s="1"/>
  <c r="D1137" i="6" l="1"/>
  <c r="E1137" i="6" s="1"/>
  <c r="D1138" i="6" l="1"/>
  <c r="E1138" i="6" s="1"/>
  <c r="D1139" i="6" l="1"/>
  <c r="E1139" i="6" s="1"/>
  <c r="D1140" i="6" l="1"/>
  <c r="E1140" i="6" s="1"/>
  <c r="D1141" i="6" l="1"/>
  <c r="E1141" i="6" s="1"/>
  <c r="D1142" i="6" l="1"/>
  <c r="E1142" i="6" s="1"/>
  <c r="D1143" i="6" l="1"/>
  <c r="E1143" i="6" s="1"/>
  <c r="D1144" i="6" l="1"/>
  <c r="E1144" i="6" s="1"/>
  <c r="D1145" i="6" l="1"/>
  <c r="E1145" i="6" s="1"/>
  <c r="D1146" i="6" l="1"/>
  <c r="E1146" i="6" s="1"/>
  <c r="D1147" i="6" l="1"/>
  <c r="E1147" i="6" s="1"/>
  <c r="D1148" i="6" l="1"/>
  <c r="E1148" i="6" s="1"/>
  <c r="D1149" i="6" l="1"/>
  <c r="E1149" i="6" s="1"/>
  <c r="D1150" i="6" l="1"/>
  <c r="E1150" i="6" s="1"/>
  <c r="D1151" i="6" l="1"/>
  <c r="E1151" i="6" s="1"/>
  <c r="D1152" i="6" l="1"/>
  <c r="E1152" i="6" s="1"/>
  <c r="D1153" i="6" l="1"/>
  <c r="E1153" i="6" s="1"/>
  <c r="D1154" i="6" l="1"/>
  <c r="E1154" i="6" s="1"/>
  <c r="D1155" i="6" l="1"/>
  <c r="E1155" i="6" s="1"/>
  <c r="D1156" i="6" l="1"/>
  <c r="E1156" i="6" s="1"/>
  <c r="D1157" i="6" l="1"/>
  <c r="E1157" i="6" s="1"/>
  <c r="D1158" i="6" l="1"/>
  <c r="E1158" i="6" s="1"/>
  <c r="D1159" i="6" l="1"/>
  <c r="E1159" i="6" s="1"/>
  <c r="D1160" i="6" l="1"/>
  <c r="E1160" i="6" s="1"/>
  <c r="D1161" i="6" l="1"/>
  <c r="E1161" i="6" s="1"/>
  <c r="D1162" i="6" l="1"/>
  <c r="E1162" i="6" s="1"/>
  <c r="D1163" i="6" l="1"/>
  <c r="E1163" i="6" s="1"/>
  <c r="D1164" i="6" l="1"/>
  <c r="E1164" i="6" s="1"/>
  <c r="D1165" i="6" l="1"/>
  <c r="E1165" i="6" s="1"/>
  <c r="D1166" i="6" l="1"/>
  <c r="E1166" i="6" s="1"/>
  <c r="D1167" i="6" l="1"/>
  <c r="E1167" i="6" s="1"/>
  <c r="D1168" i="6" l="1"/>
  <c r="E1168" i="6" s="1"/>
  <c r="D1169" i="6" l="1"/>
  <c r="E1169" i="6" s="1"/>
  <c r="D1170" i="6" l="1"/>
  <c r="E1170" i="6" s="1"/>
  <c r="D1171" i="6" l="1"/>
  <c r="E1171" i="6" s="1"/>
  <c r="D1172" i="6" l="1"/>
  <c r="E1172" i="6" s="1"/>
  <c r="D1173" i="6" l="1"/>
  <c r="E1173" i="6" s="1"/>
  <c r="D1174" i="6" l="1"/>
  <c r="E1174" i="6" s="1"/>
  <c r="D1175" i="6" l="1"/>
  <c r="E1175" i="6" s="1"/>
  <c r="D1176" i="6" l="1"/>
  <c r="E1176" i="6" s="1"/>
  <c r="D1177" i="6" l="1"/>
  <c r="E1177" i="6" s="1"/>
  <c r="D1178" i="6" l="1"/>
  <c r="E1178" i="6" s="1"/>
  <c r="D1179" i="6" l="1"/>
  <c r="E1179" i="6" s="1"/>
  <c r="D1180" i="6" l="1"/>
  <c r="E1180" i="6" s="1"/>
  <c r="D1181" i="6" l="1"/>
  <c r="E1181" i="6" s="1"/>
  <c r="D1182" i="6" l="1"/>
  <c r="E1182" i="6" s="1"/>
  <c r="D1183" i="6" l="1"/>
  <c r="E1183" i="6" s="1"/>
  <c r="D1184" i="6" l="1"/>
  <c r="E1184" i="6" s="1"/>
  <c r="D1185" i="6" l="1"/>
  <c r="E1185" i="6" s="1"/>
  <c r="D1186" i="6" l="1"/>
  <c r="E1186" i="6" s="1"/>
  <c r="D1187" i="6" l="1"/>
  <c r="E1187" i="6" s="1"/>
  <c r="D1188" i="6" l="1"/>
  <c r="E1188" i="6" s="1"/>
  <c r="D1189" i="6" l="1"/>
  <c r="E1189" i="6" s="1"/>
  <c r="D1190" i="6" l="1"/>
  <c r="E1190" i="6" s="1"/>
  <c r="D1191" i="6" l="1"/>
  <c r="E1191" i="6" s="1"/>
  <c r="D1192" i="6" l="1"/>
  <c r="E1192" i="6" s="1"/>
  <c r="D1193" i="6" l="1"/>
  <c r="E1193" i="6" s="1"/>
  <c r="D1194" i="6" l="1"/>
  <c r="E1194" i="6" s="1"/>
  <c r="D1195" i="6" l="1"/>
  <c r="E1195" i="6" s="1"/>
  <c r="D1196" i="6" l="1"/>
  <c r="E1196" i="6" s="1"/>
  <c r="D1197" i="6" l="1"/>
  <c r="E1197" i="6" s="1"/>
  <c r="D1198" i="6" l="1"/>
  <c r="E1198" i="6" s="1"/>
  <c r="D1199" i="6" l="1"/>
  <c r="E1199" i="6" s="1"/>
  <c r="D1200" i="6" l="1"/>
  <c r="E1200" i="6" s="1"/>
  <c r="D1201" i="6" l="1"/>
  <c r="E1201" i="6" s="1"/>
  <c r="D1202" i="6" l="1"/>
  <c r="E1202" i="6" s="1"/>
  <c r="D1203" i="6" l="1"/>
  <c r="E1203" i="6" s="1"/>
  <c r="D1204" i="6" l="1"/>
  <c r="E1204" i="6" s="1"/>
  <c r="D1205" i="6" l="1"/>
  <c r="E1205" i="6" s="1"/>
  <c r="D1206" i="6" l="1"/>
  <c r="E1206" i="6" s="1"/>
  <c r="D1207" i="6" l="1"/>
  <c r="E1207" i="6" s="1"/>
  <c r="D1208" i="6" l="1"/>
  <c r="E1208" i="6" s="1"/>
  <c r="D1209" i="6" l="1"/>
  <c r="E1209" i="6" s="1"/>
  <c r="D1210" i="6" l="1"/>
  <c r="E1210" i="6" s="1"/>
  <c r="D1211" i="6" l="1"/>
  <c r="E1211" i="6" s="1"/>
  <c r="D1212" i="6" l="1"/>
  <c r="E1212" i="6" s="1"/>
  <c r="D1213" i="6" l="1"/>
  <c r="E1213" i="6" s="1"/>
  <c r="D1214" i="6" l="1"/>
  <c r="E1214" i="6" s="1"/>
  <c r="D1215" i="6" l="1"/>
  <c r="E1215" i="6" s="1"/>
  <c r="D1216" i="6" l="1"/>
  <c r="E1216" i="6" s="1"/>
  <c r="D1217" i="6" l="1"/>
  <c r="E1217" i="6" s="1"/>
  <c r="D1218" i="6" l="1"/>
  <c r="E1218" i="6" s="1"/>
  <c r="D1219" i="6" l="1"/>
  <c r="E1219" i="6" s="1"/>
  <c r="D1220" i="6" l="1"/>
  <c r="E1220" i="6" s="1"/>
  <c r="D1221" i="6" l="1"/>
  <c r="E1221" i="6" s="1"/>
  <c r="D1222" i="6" l="1"/>
  <c r="E1222" i="6" s="1"/>
  <c r="D1223" i="6" l="1"/>
  <c r="E1223" i="6" s="1"/>
  <c r="D1224" i="6" l="1"/>
  <c r="E1224" i="6" s="1"/>
  <c r="D1225" i="6" l="1"/>
  <c r="E1225" i="6" s="1"/>
  <c r="D1226" i="6" l="1"/>
  <c r="E1226" i="6" s="1"/>
  <c r="D1227" i="6" l="1"/>
  <c r="E1227" i="6" s="1"/>
  <c r="D1228" i="6" l="1"/>
  <c r="E1228" i="6" s="1"/>
  <c r="D1229" i="6" l="1"/>
  <c r="E1229" i="6" s="1"/>
  <c r="D1230" i="6" l="1"/>
  <c r="E1230" i="6" s="1"/>
  <c r="D1231" i="6" l="1"/>
  <c r="E1231" i="6" s="1"/>
  <c r="D1232" i="6" l="1"/>
  <c r="E1232" i="6" s="1"/>
  <c r="D1233" i="6" l="1"/>
  <c r="E1233" i="6" s="1"/>
  <c r="D1234" i="6" l="1"/>
  <c r="E1234" i="6" s="1"/>
  <c r="D1235" i="6" l="1"/>
  <c r="E1235" i="6" s="1"/>
  <c r="D1236" i="6" l="1"/>
  <c r="E1236" i="6" s="1"/>
  <c r="D1237" i="6" l="1"/>
  <c r="E1237" i="6" s="1"/>
  <c r="D1238" i="6" l="1"/>
  <c r="E1238" i="6" s="1"/>
  <c r="D1239" i="6" l="1"/>
  <c r="E1239" i="6" s="1"/>
  <c r="D1240" i="6" l="1"/>
  <c r="E1240" i="6" s="1"/>
  <c r="D1241" i="6" l="1"/>
  <c r="E1241" i="6" s="1"/>
  <c r="D1242" i="6" l="1"/>
  <c r="E1242" i="6" s="1"/>
  <c r="D1243" i="6" l="1"/>
  <c r="E1243" i="6" s="1"/>
  <c r="D1244" i="6" l="1"/>
  <c r="E1244" i="6" s="1"/>
  <c r="D1245" i="6" l="1"/>
  <c r="E1245" i="6" s="1"/>
  <c r="D1246" i="6" l="1"/>
  <c r="E1246" i="6" s="1"/>
  <c r="D1247" i="6" l="1"/>
  <c r="E1247" i="6" s="1"/>
  <c r="D1248" i="6" l="1"/>
  <c r="E1248" i="6" s="1"/>
  <c r="D1249" i="6" l="1"/>
  <c r="E1249" i="6" s="1"/>
  <c r="D1250" i="6" l="1"/>
  <c r="E1250" i="6" s="1"/>
  <c r="D1251" i="6" l="1"/>
  <c r="E1251" i="6" s="1"/>
  <c r="D1252" i="6" l="1"/>
  <c r="E1252" i="6" s="1"/>
  <c r="D1253" i="6" l="1"/>
  <c r="E1253" i="6" s="1"/>
  <c r="D1254" i="6" l="1"/>
  <c r="E1254" i="6" s="1"/>
  <c r="D1255" i="6" l="1"/>
  <c r="E1255" i="6" s="1"/>
  <c r="D1256" i="6" l="1"/>
  <c r="E1256" i="6" s="1"/>
  <c r="D1257" i="6" l="1"/>
  <c r="E1257" i="6" s="1"/>
  <c r="D1258" i="6" l="1"/>
  <c r="E1258" i="6" s="1"/>
  <c r="D1259" i="6" l="1"/>
  <c r="E1259" i="6" s="1"/>
  <c r="D1260" i="6" l="1"/>
  <c r="E1260" i="6" s="1"/>
  <c r="D1261" i="6" l="1"/>
  <c r="E1261" i="6" s="1"/>
  <c r="D1262" i="6" l="1"/>
  <c r="E1262" i="6" s="1"/>
  <c r="D1263" i="6" l="1"/>
  <c r="E1263" i="6" s="1"/>
  <c r="D1264" i="6" l="1"/>
  <c r="E1264" i="6" s="1"/>
  <c r="D1265" i="6" l="1"/>
  <c r="E1265" i="6" s="1"/>
  <c r="D1266" i="6" l="1"/>
  <c r="E1266" i="6" s="1"/>
  <c r="D1267" i="6" l="1"/>
  <c r="E1267" i="6" s="1"/>
  <c r="D1268" i="6" l="1"/>
  <c r="E1268" i="6" s="1"/>
  <c r="D1269" i="6" l="1"/>
  <c r="E1269" i="6" s="1"/>
  <c r="D1270" i="6" l="1"/>
  <c r="E1270" i="6" s="1"/>
  <c r="D1271" i="6" l="1"/>
  <c r="E1271" i="6" s="1"/>
  <c r="D1272" i="6" l="1"/>
  <c r="E1272" i="6" s="1"/>
  <c r="D1273" i="6" l="1"/>
  <c r="E1273" i="6" s="1"/>
  <c r="D1274" i="6" l="1"/>
  <c r="E1274" i="6" s="1"/>
  <c r="D1275" i="6" l="1"/>
  <c r="E1275" i="6" s="1"/>
  <c r="D1276" i="6" l="1"/>
  <c r="E1276" i="6" s="1"/>
  <c r="D1277" i="6" l="1"/>
  <c r="E1277" i="6" s="1"/>
  <c r="D1278" i="6" l="1"/>
  <c r="E1278" i="6" s="1"/>
  <c r="D1279" i="6" l="1"/>
  <c r="E1279" i="6" s="1"/>
  <c r="D1280" i="6" l="1"/>
  <c r="E1280" i="6" s="1"/>
  <c r="D1281" i="6" l="1"/>
  <c r="E1281" i="6" s="1"/>
  <c r="D1282" i="6" l="1"/>
  <c r="E1282" i="6" s="1"/>
  <c r="D1283" i="6" l="1"/>
  <c r="E1283" i="6" s="1"/>
  <c r="D1284" i="6" l="1"/>
  <c r="E1284" i="6" s="1"/>
  <c r="D1285" i="6" l="1"/>
  <c r="E1285" i="6" s="1"/>
  <c r="D1286" i="6" l="1"/>
  <c r="E1286" i="6" s="1"/>
  <c r="D1287" i="6" l="1"/>
  <c r="E1287" i="6" s="1"/>
  <c r="D1288" i="6" l="1"/>
  <c r="E1288" i="6" s="1"/>
  <c r="D1289" i="6" l="1"/>
  <c r="E1289" i="6" s="1"/>
  <c r="D1290" i="6" l="1"/>
  <c r="E1290" i="6" s="1"/>
  <c r="D1291" i="6" l="1"/>
  <c r="E1291" i="6" s="1"/>
  <c r="D1292" i="6" l="1"/>
  <c r="E1292" i="6" s="1"/>
  <c r="D1293" i="6" l="1"/>
  <c r="E1293" i="6" s="1"/>
  <c r="D1294" i="6" l="1"/>
  <c r="E1294" i="6" s="1"/>
  <c r="D1295" i="6" l="1"/>
  <c r="E1295" i="6" s="1"/>
  <c r="D1296" i="6" l="1"/>
  <c r="E1296" i="6" s="1"/>
  <c r="D1297" i="6" l="1"/>
  <c r="E1297" i="6" s="1"/>
  <c r="D1298" i="6" l="1"/>
  <c r="E1298" i="6" s="1"/>
  <c r="D1299" i="6" l="1"/>
  <c r="E1299" i="6" s="1"/>
  <c r="D1300" i="6" l="1"/>
  <c r="E1300" i="6" s="1"/>
  <c r="D1301" i="6" l="1"/>
  <c r="E1301" i="6" s="1"/>
  <c r="D1302" i="6" l="1"/>
  <c r="E1302" i="6" s="1"/>
  <c r="D1303" i="6" l="1"/>
  <c r="E1303" i="6" s="1"/>
  <c r="D1304" i="6" l="1"/>
  <c r="E1304" i="6" s="1"/>
  <c r="D1305" i="6" l="1"/>
  <c r="E1305" i="6" s="1"/>
  <c r="D1306" i="6" l="1"/>
  <c r="E1306" i="6" s="1"/>
  <c r="D1307" i="6" l="1"/>
  <c r="E1307" i="6" s="1"/>
  <c r="D1308" i="6" l="1"/>
  <c r="E1308" i="6" s="1"/>
  <c r="D1309" i="6" l="1"/>
  <c r="E1309" i="6" s="1"/>
  <c r="D1310" i="6" l="1"/>
  <c r="E1310" i="6" s="1"/>
  <c r="D1311" i="6" l="1"/>
  <c r="E1311" i="6" s="1"/>
  <c r="D1312" i="6" l="1"/>
  <c r="E1312" i="6" s="1"/>
  <c r="D1313" i="6" l="1"/>
  <c r="E1313" i="6" s="1"/>
  <c r="D1314" i="6" l="1"/>
  <c r="E1314" i="6" s="1"/>
  <c r="D1315" i="6" l="1"/>
  <c r="E1315" i="6" s="1"/>
  <c r="D1316" i="6" l="1"/>
  <c r="E1316" i="6" s="1"/>
  <c r="D1317" i="6" l="1"/>
  <c r="E1317" i="6" s="1"/>
  <c r="D1318" i="6" l="1"/>
  <c r="E1318" i="6" s="1"/>
  <c r="D1319" i="6" l="1"/>
  <c r="E1319" i="6" s="1"/>
  <c r="D1320" i="6" l="1"/>
  <c r="E1320" i="6" s="1"/>
  <c r="D1321" i="6" l="1"/>
  <c r="E1321" i="6" s="1"/>
  <c r="D1322" i="6" l="1"/>
  <c r="E1322" i="6" s="1"/>
  <c r="D1323" i="6" l="1"/>
  <c r="E1323" i="6" s="1"/>
  <c r="D1324" i="6" l="1"/>
  <c r="E1324" i="6" s="1"/>
  <c r="D1325" i="6" l="1"/>
  <c r="E1325" i="6" s="1"/>
  <c r="D1326" i="6" l="1"/>
  <c r="E1326" i="6" s="1"/>
  <c r="D1327" i="6" l="1"/>
  <c r="E1327" i="6" s="1"/>
  <c r="D1328" i="6" l="1"/>
  <c r="E1328" i="6" s="1"/>
  <c r="D1329" i="6" l="1"/>
  <c r="E1329" i="6" s="1"/>
  <c r="D1330" i="6" l="1"/>
  <c r="E1330" i="6" s="1"/>
  <c r="D1331" i="6" l="1"/>
  <c r="E1331" i="6" s="1"/>
  <c r="D1332" i="6" l="1"/>
  <c r="E1332" i="6" s="1"/>
  <c r="D1333" i="6" l="1"/>
  <c r="E1333" i="6" s="1"/>
  <c r="D1334" i="6" l="1"/>
  <c r="E1334" i="6" s="1"/>
  <c r="D1335" i="6" l="1"/>
  <c r="E1335" i="6" s="1"/>
  <c r="D1336" i="6" l="1"/>
  <c r="E1336" i="6" s="1"/>
  <c r="D1337" i="6" l="1"/>
  <c r="E1337" i="6" s="1"/>
  <c r="D1338" i="6" l="1"/>
  <c r="E1338" i="6" s="1"/>
  <c r="D1339" i="6" l="1"/>
  <c r="E1339" i="6" s="1"/>
  <c r="D1340" i="6" l="1"/>
  <c r="E1340" i="6" s="1"/>
  <c r="D1341" i="6" l="1"/>
  <c r="E1341" i="6" s="1"/>
  <c r="D1342" i="6" l="1"/>
  <c r="E1342" i="6" s="1"/>
  <c r="D1343" i="6" l="1"/>
  <c r="E1343" i="6" s="1"/>
  <c r="D1344" i="6" l="1"/>
  <c r="E1344" i="6" s="1"/>
  <c r="D1345" i="6" l="1"/>
  <c r="E1345" i="6" s="1"/>
  <c r="D1346" i="6" l="1"/>
  <c r="E1346" i="6" s="1"/>
  <c r="D1347" i="6" l="1"/>
  <c r="E1347" i="6" s="1"/>
  <c r="D1348" i="6" l="1"/>
  <c r="E1348" i="6" s="1"/>
  <c r="D1349" i="6" l="1"/>
  <c r="E1349" i="6" s="1"/>
  <c r="D1350" i="6" l="1"/>
  <c r="E1350" i="6" s="1"/>
  <c r="D1351" i="6" l="1"/>
  <c r="E1351" i="6" s="1"/>
  <c r="D1352" i="6" l="1"/>
  <c r="E1352" i="6" s="1"/>
  <c r="D1353" i="6" l="1"/>
  <c r="E1353" i="6" s="1"/>
  <c r="D1354" i="6" l="1"/>
  <c r="E1354" i="6" s="1"/>
  <c r="D1355" i="6" l="1"/>
  <c r="E1355" i="6" s="1"/>
  <c r="D1356" i="6" l="1"/>
  <c r="E1356" i="6" s="1"/>
  <c r="D1357" i="6" l="1"/>
  <c r="E1357" i="6" s="1"/>
  <c r="D1358" i="6" l="1"/>
  <c r="E1358" i="6" s="1"/>
  <c r="D1359" i="6" l="1"/>
  <c r="E1359" i="6" s="1"/>
  <c r="D1360" i="6" l="1"/>
  <c r="E1360" i="6" s="1"/>
  <c r="D1361" i="6" l="1"/>
  <c r="E1361" i="6" s="1"/>
  <c r="D1362" i="6" l="1"/>
  <c r="E1362" i="6" s="1"/>
  <c r="D1363" i="6" l="1"/>
  <c r="E1363" i="6" s="1"/>
  <c r="D1364" i="6" l="1"/>
  <c r="E1364" i="6" s="1"/>
  <c r="D1365" i="6" l="1"/>
  <c r="E1365" i="6" s="1"/>
  <c r="D1366" i="6" l="1"/>
  <c r="E1366" i="6" s="1"/>
  <c r="D1367" i="6" l="1"/>
  <c r="E1367" i="6" s="1"/>
  <c r="D1368" i="6" l="1"/>
  <c r="E1368" i="6" s="1"/>
  <c r="D1369" i="6" l="1"/>
  <c r="E1369" i="6" s="1"/>
  <c r="D1370" i="6" l="1"/>
  <c r="E1370" i="6" s="1"/>
  <c r="D1371" i="6" l="1"/>
  <c r="E1371" i="6" s="1"/>
  <c r="D1372" i="6" l="1"/>
  <c r="E1372" i="6" s="1"/>
  <c r="D1373" i="6" l="1"/>
  <c r="E1373" i="6" s="1"/>
  <c r="D1374" i="6" l="1"/>
  <c r="E1374" i="6" s="1"/>
  <c r="D1375" i="6" l="1"/>
  <c r="E1375" i="6" s="1"/>
  <c r="D1376" i="6" l="1"/>
  <c r="E1376" i="6" s="1"/>
  <c r="D1377" i="6" l="1"/>
  <c r="E1377" i="6" s="1"/>
  <c r="D1378" i="6" l="1"/>
  <c r="E1378" i="6" s="1"/>
  <c r="D1379" i="6" l="1"/>
  <c r="E1379" i="6" s="1"/>
  <c r="D1380" i="6" l="1"/>
  <c r="E1380" i="6" s="1"/>
  <c r="D1381" i="6" l="1"/>
  <c r="E1381" i="6" s="1"/>
  <c r="D1382" i="6" l="1"/>
  <c r="E1382" i="6" s="1"/>
  <c r="D1383" i="6" l="1"/>
  <c r="E1383" i="6" s="1"/>
  <c r="D1384" i="6" l="1"/>
  <c r="E1384" i="6" s="1"/>
  <c r="D1385" i="6" l="1"/>
  <c r="E1385" i="6" s="1"/>
  <c r="D1386" i="6" l="1"/>
  <c r="E1386" i="6" s="1"/>
  <c r="D1387" i="6" l="1"/>
  <c r="E1387" i="6" s="1"/>
  <c r="D1388" i="6" l="1"/>
  <c r="E1388" i="6" s="1"/>
  <c r="D1389" i="6" l="1"/>
  <c r="E1389" i="6" s="1"/>
  <c r="D1390" i="6" l="1"/>
  <c r="E1390" i="6" s="1"/>
  <c r="D1391" i="6" l="1"/>
  <c r="E1391" i="6" s="1"/>
  <c r="D1392" i="6" l="1"/>
  <c r="E1392" i="6" s="1"/>
  <c r="D1393" i="6" l="1"/>
  <c r="E1393" i="6" s="1"/>
  <c r="D1394" i="6" l="1"/>
  <c r="E1394" i="6" s="1"/>
  <c r="D1395" i="6" l="1"/>
  <c r="E1395" i="6" s="1"/>
  <c r="D1396" i="6" l="1"/>
  <c r="E1396" i="6" s="1"/>
  <c r="D1397" i="6" l="1"/>
  <c r="E1397" i="6" s="1"/>
  <c r="D1398" i="6" l="1"/>
  <c r="E1398" i="6" s="1"/>
  <c r="D1399" i="6" l="1"/>
  <c r="E1399" i="6" s="1"/>
  <c r="D1400" i="6" l="1"/>
  <c r="E1400" i="6" s="1"/>
  <c r="D1401" i="6" l="1"/>
  <c r="E1401" i="6" s="1"/>
  <c r="D1402" i="6" l="1"/>
  <c r="E1402" i="6" s="1"/>
  <c r="D1403" i="6" l="1"/>
  <c r="E1403" i="6" s="1"/>
  <c r="D1404" i="6" l="1"/>
  <c r="E1404" i="6" s="1"/>
  <c r="D1405" i="6" l="1"/>
  <c r="E1405" i="6" s="1"/>
  <c r="D1406" i="6" l="1"/>
  <c r="E1406" i="6" s="1"/>
  <c r="D1407" i="6" l="1"/>
  <c r="E1407" i="6" s="1"/>
  <c r="D1408" i="6" l="1"/>
  <c r="E1408" i="6" s="1"/>
  <c r="D1409" i="6" l="1"/>
  <c r="E1409" i="6" s="1"/>
  <c r="D1410" i="6" l="1"/>
  <c r="E1410" i="6" s="1"/>
  <c r="D1411" i="6" l="1"/>
  <c r="E1411" i="6" s="1"/>
  <c r="D1412" i="6" l="1"/>
  <c r="E1412" i="6" s="1"/>
  <c r="D1413" i="6" l="1"/>
  <c r="E1413" i="6" s="1"/>
  <c r="D1414" i="6" l="1"/>
  <c r="E1414" i="6" s="1"/>
  <c r="D1415" i="6" l="1"/>
  <c r="E1415" i="6" s="1"/>
  <c r="D1416" i="6" l="1"/>
  <c r="E1416" i="6" s="1"/>
  <c r="D1417" i="6" l="1"/>
  <c r="E1417" i="6" s="1"/>
  <c r="D1418" i="6" l="1"/>
  <c r="E1418" i="6" s="1"/>
  <c r="D1419" i="6" l="1"/>
  <c r="E1419" i="6" s="1"/>
  <c r="D1420" i="6" l="1"/>
  <c r="E1420" i="6" s="1"/>
  <c r="D1421" i="6" l="1"/>
  <c r="E1421" i="6" s="1"/>
  <c r="D1422" i="6" l="1"/>
  <c r="E1422" i="6" s="1"/>
  <c r="D1423" i="6" l="1"/>
  <c r="E1423" i="6" s="1"/>
  <c r="D1424" i="6" l="1"/>
  <c r="E1424" i="6" s="1"/>
  <c r="D1425" i="6" l="1"/>
  <c r="E1425" i="6" s="1"/>
  <c r="D1426" i="6" l="1"/>
  <c r="E1426" i="6" s="1"/>
  <c r="D1427" i="6" l="1"/>
  <c r="E1427" i="6" s="1"/>
  <c r="D1428" i="6" l="1"/>
  <c r="E1428" i="6" s="1"/>
  <c r="D1429" i="6" l="1"/>
  <c r="E1429" i="6" s="1"/>
  <c r="D1430" i="6" l="1"/>
  <c r="E1430" i="6" s="1"/>
  <c r="D1431" i="6" l="1"/>
  <c r="E1431" i="6" s="1"/>
  <c r="D1432" i="6" l="1"/>
  <c r="E1432" i="6" s="1"/>
  <c r="D1433" i="6" l="1"/>
  <c r="E1433" i="6" s="1"/>
  <c r="D1434" i="6" l="1"/>
  <c r="E1434" i="6" s="1"/>
  <c r="D1435" i="6" l="1"/>
  <c r="E1435" i="6" s="1"/>
  <c r="D1436" i="6" l="1"/>
  <c r="E1436" i="6" s="1"/>
  <c r="D1437" i="6" l="1"/>
  <c r="E1437" i="6" s="1"/>
  <c r="D1438" i="6" l="1"/>
  <c r="E1438" i="6" s="1"/>
  <c r="D1439" i="6" l="1"/>
  <c r="E1439" i="6" s="1"/>
  <c r="D1440" i="6" l="1"/>
  <c r="E1440" i="6" s="1"/>
  <c r="D1441" i="6" l="1"/>
  <c r="E1441" i="6" s="1"/>
  <c r="D1442" i="6" l="1"/>
  <c r="E1442" i="6" s="1"/>
  <c r="D1443" i="6" l="1"/>
  <c r="E1443" i="6" s="1"/>
  <c r="D1444" i="6" l="1"/>
  <c r="E1444" i="6" s="1"/>
  <c r="D1445" i="6" l="1"/>
  <c r="E1445" i="6" s="1"/>
  <c r="D1446" i="6" l="1"/>
  <c r="E1446" i="6" s="1"/>
  <c r="D1447" i="6" l="1"/>
  <c r="E1447" i="6" s="1"/>
  <c r="D1448" i="6" l="1"/>
  <c r="E1448" i="6" s="1"/>
  <c r="D1449" i="6" l="1"/>
  <c r="E1449" i="6" s="1"/>
  <c r="D1450" i="6" l="1"/>
  <c r="E1450" i="6" s="1"/>
  <c r="D1451" i="6" l="1"/>
  <c r="E1451" i="6" s="1"/>
  <c r="D1452" i="6" l="1"/>
  <c r="E1452" i="6" s="1"/>
  <c r="D1453" i="6" l="1"/>
  <c r="E1453" i="6" s="1"/>
  <c r="D1454" i="6" l="1"/>
  <c r="E1454" i="6" s="1"/>
  <c r="D1455" i="6" l="1"/>
  <c r="E1455" i="6" s="1"/>
  <c r="D1456" i="6" l="1"/>
  <c r="E1456" i="6" s="1"/>
  <c r="D1457" i="6" l="1"/>
  <c r="E1457" i="6" s="1"/>
  <c r="D1458" i="6" l="1"/>
  <c r="E1458" i="6" s="1"/>
  <c r="D1459" i="6" l="1"/>
  <c r="E1459" i="6" s="1"/>
  <c r="D1460" i="6" l="1"/>
  <c r="E1460" i="6" s="1"/>
  <c r="D1461" i="6" l="1"/>
  <c r="E1461" i="6" s="1"/>
  <c r="D1462" i="6" l="1"/>
  <c r="E1462" i="6" s="1"/>
  <c r="D1463" i="6" l="1"/>
  <c r="E1463" i="6" s="1"/>
  <c r="D1464" i="6" l="1"/>
  <c r="E1464" i="6" s="1"/>
  <c r="D1465" i="6" l="1"/>
  <c r="E1465" i="6" s="1"/>
  <c r="D1466" i="6" l="1"/>
  <c r="E1466" i="6" s="1"/>
  <c r="D1467" i="6" l="1"/>
  <c r="E1467" i="6" s="1"/>
  <c r="D1468" i="6" l="1"/>
  <c r="E1468" i="6" s="1"/>
  <c r="D1469" i="6" l="1"/>
  <c r="E1469" i="6" s="1"/>
  <c r="D1470" i="6" l="1"/>
  <c r="E1470" i="6" s="1"/>
  <c r="D1471" i="6" l="1"/>
  <c r="E1471" i="6" s="1"/>
  <c r="D1472" i="6" l="1"/>
  <c r="E1472" i="6" s="1"/>
  <c r="D1473" i="6" l="1"/>
  <c r="E1473" i="6" s="1"/>
  <c r="D1474" i="6" l="1"/>
  <c r="E1474" i="6" s="1"/>
  <c r="D1475" i="6" l="1"/>
  <c r="E1475" i="6" s="1"/>
  <c r="D1476" i="6" l="1"/>
  <c r="E1476" i="6" s="1"/>
  <c r="D1477" i="6" l="1"/>
  <c r="E1477" i="6" s="1"/>
  <c r="D1478" i="6" l="1"/>
  <c r="E1478" i="6" s="1"/>
  <c r="D1479" i="6" l="1"/>
  <c r="E1479" i="6" s="1"/>
  <c r="D1480" i="6" l="1"/>
  <c r="E1480" i="6" s="1"/>
  <c r="D1481" i="6" l="1"/>
  <c r="E1481" i="6" s="1"/>
  <c r="D1482" i="6" l="1"/>
  <c r="E1482" i="6" s="1"/>
  <c r="D1483" i="6" l="1"/>
  <c r="E1483" i="6" s="1"/>
  <c r="D1484" i="6" l="1"/>
  <c r="E1484" i="6" s="1"/>
  <c r="D1485" i="6" l="1"/>
  <c r="E1485" i="6" s="1"/>
  <c r="D1486" i="6" l="1"/>
  <c r="E1486" i="6" s="1"/>
  <c r="D1487" i="6" l="1"/>
  <c r="E1487" i="6" s="1"/>
  <c r="D1488" i="6" l="1"/>
  <c r="E1488" i="6" s="1"/>
  <c r="D1489" i="6" l="1"/>
  <c r="E1489" i="6" s="1"/>
  <c r="D1490" i="6" l="1"/>
  <c r="E1490" i="6" s="1"/>
  <c r="D1491" i="6" l="1"/>
  <c r="E1491" i="6" s="1"/>
  <c r="D1492" i="6" l="1"/>
  <c r="E1492" i="6" s="1"/>
  <c r="D1493" i="6" l="1"/>
  <c r="E1493" i="6" s="1"/>
  <c r="D1494" i="6" l="1"/>
  <c r="E1494" i="6" s="1"/>
  <c r="D1495" i="6" l="1"/>
  <c r="E1495" i="6" s="1"/>
  <c r="D1496" i="6" l="1"/>
  <c r="E1496" i="6" s="1"/>
  <c r="D1497" i="6" l="1"/>
  <c r="E1497" i="6" s="1"/>
  <c r="D1498" i="6" l="1"/>
  <c r="E1498" i="6" s="1"/>
  <c r="D1499" i="6" l="1"/>
  <c r="E1499" i="6" s="1"/>
  <c r="D1500" i="6" l="1"/>
  <c r="E1500" i="6" s="1"/>
  <c r="D1501" i="6" l="1"/>
  <c r="E1501" i="6" s="1"/>
  <c r="D1502" i="6" l="1"/>
  <c r="E1502" i="6" s="1"/>
  <c r="D1503" i="6" l="1"/>
  <c r="E1503" i="6" s="1"/>
  <c r="D1504" i="6" l="1"/>
  <c r="E1504" i="6" s="1"/>
  <c r="D1505" i="6" l="1"/>
  <c r="E1505" i="6" s="1"/>
  <c r="D1506" i="6" l="1"/>
  <c r="E1506" i="6" s="1"/>
  <c r="D1507" i="6" l="1"/>
  <c r="E1507" i="6" s="1"/>
  <c r="D1508" i="6" l="1"/>
  <c r="E1508" i="6" s="1"/>
  <c r="D1509" i="6" l="1"/>
  <c r="E1509" i="6" s="1"/>
  <c r="D1510" i="6" l="1"/>
  <c r="E1510" i="6" s="1"/>
  <c r="D1511" i="6" l="1"/>
  <c r="E1511" i="6" s="1"/>
  <c r="D1512" i="6" l="1"/>
  <c r="E1512" i="6" s="1"/>
  <c r="D1513" i="6" l="1"/>
  <c r="E1513" i="6" s="1"/>
  <c r="D1514" i="6" l="1"/>
  <c r="E1514" i="6" s="1"/>
  <c r="D1515" i="6" l="1"/>
  <c r="E1515" i="6" s="1"/>
  <c r="D1516" i="6" l="1"/>
  <c r="E1516" i="6" s="1"/>
  <c r="D1517" i="6" l="1"/>
  <c r="E1517" i="6" s="1"/>
  <c r="D1518" i="6" l="1"/>
  <c r="E1518" i="6" s="1"/>
  <c r="D1519" i="6" l="1"/>
  <c r="E1519" i="6" s="1"/>
  <c r="D1520" i="6" l="1"/>
  <c r="E1520" i="6" s="1"/>
  <c r="D1521" i="6" l="1"/>
  <c r="E1521" i="6" s="1"/>
  <c r="D1522" i="6" l="1"/>
  <c r="E1522" i="6" s="1"/>
  <c r="D1523" i="6" l="1"/>
  <c r="E1523" i="6" s="1"/>
  <c r="D1524" i="6" l="1"/>
  <c r="E1524" i="6" s="1"/>
  <c r="D1525" i="6" l="1"/>
  <c r="E1525" i="6" s="1"/>
  <c r="D1526" i="6" l="1"/>
  <c r="E1526" i="6" s="1"/>
  <c r="D1527" i="6" l="1"/>
  <c r="E1527" i="6" s="1"/>
  <c r="D1528" i="6" l="1"/>
  <c r="E1528" i="6" s="1"/>
  <c r="D1529" i="6" l="1"/>
  <c r="E1529" i="6" s="1"/>
  <c r="D1530" i="6" l="1"/>
  <c r="E1530" i="6" s="1"/>
  <c r="D1531" i="6" l="1"/>
  <c r="E1531" i="6" s="1"/>
  <c r="D1532" i="6" l="1"/>
  <c r="E1532" i="6" s="1"/>
  <c r="D1533" i="6" l="1"/>
  <c r="E1533" i="6" s="1"/>
  <c r="D1534" i="6" l="1"/>
  <c r="E1534" i="6" s="1"/>
  <c r="D1535" i="6" l="1"/>
  <c r="E1535" i="6" s="1"/>
  <c r="D1536" i="6" l="1"/>
  <c r="E1536" i="6" s="1"/>
  <c r="D1537" i="6" l="1"/>
  <c r="E1537" i="6" s="1"/>
  <c r="D1538" i="6" l="1"/>
  <c r="E1538" i="6" s="1"/>
  <c r="D1539" i="6" l="1"/>
  <c r="E1539" i="6" s="1"/>
  <c r="D1540" i="6" l="1"/>
  <c r="E1540" i="6" s="1"/>
  <c r="D1541" i="6" l="1"/>
  <c r="E1541" i="6" s="1"/>
  <c r="D1542" i="6" l="1"/>
  <c r="E1542" i="6" s="1"/>
  <c r="D1543" i="6" l="1"/>
  <c r="E1543" i="6" s="1"/>
  <c r="D1544" i="6" l="1"/>
  <c r="E1544" i="6" s="1"/>
  <c r="D1545" i="6" l="1"/>
  <c r="E1545" i="6" s="1"/>
  <c r="D1546" i="6" l="1"/>
  <c r="E1546" i="6" s="1"/>
  <c r="D1547" i="6" l="1"/>
  <c r="E1547" i="6" s="1"/>
  <c r="D1548" i="6" l="1"/>
  <c r="E1548" i="6" s="1"/>
  <c r="D1549" i="6" l="1"/>
  <c r="E1549" i="6" s="1"/>
  <c r="D1550" i="6" l="1"/>
  <c r="E1550" i="6" s="1"/>
  <c r="D1551" i="6" l="1"/>
  <c r="E1551" i="6" s="1"/>
  <c r="D1552" i="6" l="1"/>
  <c r="E1552" i="6" s="1"/>
  <c r="D1553" i="6" l="1"/>
  <c r="E1553" i="6" s="1"/>
  <c r="D1554" i="6" l="1"/>
  <c r="E1554" i="6" s="1"/>
  <c r="D1555" i="6" l="1"/>
  <c r="E1555" i="6" s="1"/>
  <c r="D1556" i="6" l="1"/>
  <c r="E1556" i="6" s="1"/>
  <c r="D1557" i="6" l="1"/>
  <c r="E1557" i="6" s="1"/>
  <c r="D1558" i="6" l="1"/>
  <c r="E1558" i="6" s="1"/>
  <c r="D1559" i="6" l="1"/>
  <c r="E1559" i="6" s="1"/>
  <c r="D1560" i="6" l="1"/>
  <c r="E1560" i="6" s="1"/>
  <c r="D1561" i="6" l="1"/>
  <c r="E1561" i="6" s="1"/>
  <c r="D1562" i="6" l="1"/>
  <c r="E1562" i="6" s="1"/>
  <c r="D1563" i="6" l="1"/>
  <c r="E1563" i="6" s="1"/>
  <c r="D1564" i="6" l="1"/>
  <c r="E1564" i="6" s="1"/>
  <c r="D1565" i="6" l="1"/>
  <c r="E1565" i="6" s="1"/>
  <c r="D1566" i="6" l="1"/>
  <c r="E1566" i="6" s="1"/>
  <c r="D1567" i="6" l="1"/>
  <c r="E1567" i="6" s="1"/>
  <c r="D1568" i="6" l="1"/>
  <c r="E1568" i="6" s="1"/>
  <c r="D1569" i="6" l="1"/>
  <c r="E1569" i="6" s="1"/>
  <c r="D1570" i="6" l="1"/>
  <c r="E1570" i="6" s="1"/>
  <c r="D1571" i="6" l="1"/>
  <c r="E1571" i="6" s="1"/>
  <c r="D1572" i="6" l="1"/>
  <c r="E1572" i="6" s="1"/>
  <c r="D1573" i="6" l="1"/>
  <c r="E1573" i="6" s="1"/>
  <c r="D1574" i="6" l="1"/>
  <c r="E1574" i="6" s="1"/>
  <c r="D1575" i="6" l="1"/>
  <c r="E1575" i="6" s="1"/>
  <c r="D1576" i="6" l="1"/>
  <c r="E1576" i="6" s="1"/>
  <c r="D1577" i="6" l="1"/>
  <c r="E1577" i="6" s="1"/>
  <c r="D1578" i="6" l="1"/>
  <c r="E1578" i="6" s="1"/>
  <c r="D1579" i="6" l="1"/>
  <c r="E1579" i="6" s="1"/>
  <c r="D1580" i="6" l="1"/>
  <c r="E1580" i="6" s="1"/>
  <c r="D1581" i="6" l="1"/>
  <c r="E1581" i="6" s="1"/>
  <c r="D1582" i="6" l="1"/>
  <c r="E1582" i="6" s="1"/>
  <c r="D1583" i="6" l="1"/>
  <c r="E1583" i="6" s="1"/>
  <c r="D1584" i="6" l="1"/>
  <c r="E1584" i="6" s="1"/>
  <c r="D1585" i="6" l="1"/>
  <c r="E1585" i="6" s="1"/>
  <c r="D1586" i="6" l="1"/>
  <c r="E1586" i="6" s="1"/>
  <c r="D1587" i="6" l="1"/>
  <c r="E1587" i="6" s="1"/>
  <c r="D1588" i="6" l="1"/>
  <c r="E1588" i="6" s="1"/>
  <c r="D1589" i="6" l="1"/>
  <c r="E1589" i="6" s="1"/>
  <c r="D1590" i="6" l="1"/>
  <c r="E1590" i="6" s="1"/>
  <c r="D1591" i="6" l="1"/>
  <c r="E1591" i="6" s="1"/>
  <c r="D1592" i="6" l="1"/>
  <c r="E1592" i="6" s="1"/>
  <c r="D1593" i="6" l="1"/>
  <c r="E1593" i="6" s="1"/>
  <c r="D1594" i="6" l="1"/>
  <c r="E1594" i="6" s="1"/>
  <c r="D1595" i="6" l="1"/>
  <c r="E1595" i="6" s="1"/>
  <c r="D1596" i="6" l="1"/>
  <c r="E1596" i="6" s="1"/>
  <c r="D1597" i="6" l="1"/>
  <c r="E1597" i="6" s="1"/>
  <c r="D1598" i="6" l="1"/>
  <c r="E1598" i="6" s="1"/>
  <c r="D1599" i="6" l="1"/>
  <c r="E1599" i="6" s="1"/>
  <c r="D1600" i="6" l="1"/>
  <c r="E1600" i="6" s="1"/>
  <c r="D1601" i="6" l="1"/>
  <c r="E1601" i="6" s="1"/>
  <c r="D1602" i="6" l="1"/>
  <c r="E1602" i="6" s="1"/>
  <c r="D1603" i="6" l="1"/>
  <c r="E1603" i="6" s="1"/>
  <c r="D1604" i="6" l="1"/>
  <c r="E1604" i="6" s="1"/>
  <c r="D1605" i="6" l="1"/>
  <c r="E1605" i="6" s="1"/>
  <c r="D1606" i="6" l="1"/>
  <c r="E1606" i="6" s="1"/>
  <c r="D1607" i="6" l="1"/>
  <c r="E1607" i="6" s="1"/>
  <c r="D1608" i="6" l="1"/>
  <c r="E1608" i="6" s="1"/>
  <c r="D1609" i="6" l="1"/>
  <c r="E1609" i="6" s="1"/>
  <c r="D1610" i="6" l="1"/>
  <c r="E1610" i="6" s="1"/>
  <c r="D1611" i="6" l="1"/>
  <c r="E1611" i="6" s="1"/>
  <c r="D1612" i="6" l="1"/>
  <c r="E1612" i="6" s="1"/>
  <c r="D1613" i="6" l="1"/>
  <c r="E1613" i="6" s="1"/>
  <c r="D1614" i="6" l="1"/>
  <c r="E1614" i="6" s="1"/>
  <c r="D1615" i="6" l="1"/>
  <c r="E1615" i="6" s="1"/>
  <c r="D1616" i="6" l="1"/>
  <c r="E1616" i="6" s="1"/>
  <c r="D1617" i="6" l="1"/>
  <c r="E1617" i="6" s="1"/>
  <c r="D1618" i="6" l="1"/>
  <c r="E1618" i="6" s="1"/>
  <c r="D1619" i="6" l="1"/>
  <c r="E1619" i="6" s="1"/>
  <c r="D1620" i="6" l="1"/>
  <c r="E1620" i="6" s="1"/>
  <c r="D1621" i="6" l="1"/>
  <c r="E1621" i="6" s="1"/>
  <c r="D1622" i="6" l="1"/>
  <c r="E1622" i="6" s="1"/>
  <c r="D1623" i="6" l="1"/>
  <c r="E1623" i="6" s="1"/>
  <c r="D1624" i="6" l="1"/>
  <c r="E1624" i="6" s="1"/>
  <c r="D1625" i="6" l="1"/>
  <c r="E1625" i="6" s="1"/>
  <c r="D1626" i="6" l="1"/>
  <c r="E1626" i="6" s="1"/>
  <c r="D1627" i="6" l="1"/>
  <c r="E1627" i="6" s="1"/>
  <c r="D1628" i="6" l="1"/>
  <c r="E1628" i="6" s="1"/>
  <c r="D1629" i="6" l="1"/>
  <c r="E1629" i="6" s="1"/>
  <c r="D1630" i="6" l="1"/>
  <c r="E1630" i="6" s="1"/>
  <c r="D1631" i="6" l="1"/>
  <c r="E1631" i="6" s="1"/>
  <c r="D1632" i="6" l="1"/>
  <c r="E1632" i="6" s="1"/>
  <c r="D1633" i="6" l="1"/>
  <c r="E1633" i="6" s="1"/>
  <c r="D1634" i="6" l="1"/>
  <c r="E1634" i="6" s="1"/>
  <c r="D1635" i="6" l="1"/>
  <c r="E1635" i="6" s="1"/>
  <c r="D1636" i="6" l="1"/>
  <c r="E1636" i="6" s="1"/>
  <c r="D1637" i="6" l="1"/>
  <c r="E1637" i="6" s="1"/>
  <c r="D1638" i="6" l="1"/>
  <c r="E1638" i="6" s="1"/>
  <c r="D1639" i="6" l="1"/>
  <c r="E1639" i="6" s="1"/>
  <c r="D1640" i="6" l="1"/>
  <c r="E1640" i="6" s="1"/>
  <c r="D1641" i="6" l="1"/>
  <c r="E1641" i="6" s="1"/>
  <c r="D1642" i="6" l="1"/>
  <c r="E1642" i="6" s="1"/>
  <c r="D1643" i="6" l="1"/>
  <c r="E1643" i="6" s="1"/>
  <c r="D1644" i="6" l="1"/>
  <c r="E1644" i="6" s="1"/>
  <c r="D1645" i="6" l="1"/>
  <c r="E1645" i="6" s="1"/>
  <c r="D1646" i="6" l="1"/>
  <c r="E1646" i="6" s="1"/>
  <c r="D1647" i="6" l="1"/>
  <c r="E1647" i="6" s="1"/>
  <c r="D1648" i="6" l="1"/>
  <c r="E1648" i="6" s="1"/>
  <c r="D1649" i="6" l="1"/>
  <c r="E1649" i="6" s="1"/>
  <c r="D1650" i="6" l="1"/>
  <c r="E1650" i="6" s="1"/>
  <c r="D1651" i="6" l="1"/>
  <c r="E1651" i="6" s="1"/>
  <c r="D1652" i="6" l="1"/>
  <c r="E1652" i="6" s="1"/>
  <c r="D1653" i="6" l="1"/>
  <c r="E1653" i="6" s="1"/>
  <c r="D1654" i="6" l="1"/>
  <c r="E1654" i="6" s="1"/>
  <c r="D1655" i="6" l="1"/>
  <c r="E1655" i="6" s="1"/>
  <c r="D1656" i="6" l="1"/>
  <c r="E1656" i="6" s="1"/>
  <c r="D1657" i="6" l="1"/>
  <c r="E1657" i="6" s="1"/>
  <c r="D1658" i="6" l="1"/>
  <c r="E1658" i="6" s="1"/>
  <c r="D1659" i="6" l="1"/>
  <c r="E1659" i="6" s="1"/>
  <c r="D1660" i="6" l="1"/>
  <c r="E1660" i="6" s="1"/>
  <c r="D1661" i="6" l="1"/>
  <c r="E1661" i="6" s="1"/>
  <c r="D1662" i="6" l="1"/>
  <c r="E1662" i="6" s="1"/>
  <c r="D1663" i="6" l="1"/>
  <c r="E1663" i="6" s="1"/>
  <c r="D1664" i="6" l="1"/>
  <c r="E1664" i="6" s="1"/>
  <c r="D1665" i="6" l="1"/>
  <c r="E1665" i="6" s="1"/>
  <c r="D1666" i="6" l="1"/>
  <c r="E1666" i="6" s="1"/>
  <c r="D1667" i="6" l="1"/>
  <c r="E1667" i="6" s="1"/>
  <c r="D1668" i="6" l="1"/>
  <c r="E1668" i="6" s="1"/>
  <c r="D1669" i="6" l="1"/>
  <c r="E1669" i="6" s="1"/>
  <c r="D1670" i="6" l="1"/>
  <c r="E1670" i="6" s="1"/>
  <c r="D1671" i="6" l="1"/>
  <c r="E1671" i="6" s="1"/>
  <c r="D1672" i="6" l="1"/>
  <c r="E1672" i="6" s="1"/>
  <c r="D1673" i="6" l="1"/>
  <c r="E1673" i="6" s="1"/>
  <c r="D1674" i="6" l="1"/>
  <c r="E1674" i="6" s="1"/>
  <c r="D1675" i="6" l="1"/>
  <c r="E1675" i="6" s="1"/>
  <c r="D1676" i="6" l="1"/>
  <c r="E1676" i="6" s="1"/>
  <c r="D1677" i="6" l="1"/>
  <c r="E1677" i="6" s="1"/>
  <c r="D1678" i="6" l="1"/>
  <c r="E1678" i="6" s="1"/>
  <c r="D1679" i="6" l="1"/>
  <c r="E1679" i="6" s="1"/>
  <c r="D1680" i="6" l="1"/>
  <c r="E1680" i="6" s="1"/>
  <c r="D1681" i="6" l="1"/>
  <c r="E1681" i="6" s="1"/>
  <c r="D1682" i="6" l="1"/>
  <c r="E1682" i="6" s="1"/>
  <c r="D1683" i="6" l="1"/>
  <c r="E1683" i="6" s="1"/>
  <c r="D1684" i="6" l="1"/>
  <c r="E1684" i="6" s="1"/>
  <c r="D1685" i="6" l="1"/>
  <c r="E1685" i="6" s="1"/>
  <c r="D1686" i="6" l="1"/>
  <c r="E1686" i="6" s="1"/>
  <c r="D1687" i="6" l="1"/>
  <c r="E1687" i="6" s="1"/>
  <c r="D1688" i="6" l="1"/>
  <c r="E1688" i="6" s="1"/>
  <c r="D1689" i="6" l="1"/>
  <c r="E1689" i="6" s="1"/>
  <c r="D1690" i="6" l="1"/>
  <c r="E1690" i="6" s="1"/>
  <c r="D1691" i="6" l="1"/>
  <c r="E1691" i="6" s="1"/>
  <c r="D1692" i="6" l="1"/>
  <c r="E1692" i="6" s="1"/>
  <c r="D1693" i="6" l="1"/>
  <c r="E1693" i="6" s="1"/>
  <c r="D1694" i="6" l="1"/>
  <c r="E1694" i="6" s="1"/>
  <c r="D1695" i="6" l="1"/>
  <c r="E1695" i="6" s="1"/>
  <c r="D1696" i="6" l="1"/>
  <c r="E1696" i="6" s="1"/>
  <c r="D1697" i="6" l="1"/>
  <c r="E1697" i="6" s="1"/>
  <c r="D1698" i="6" l="1"/>
  <c r="E1698" i="6" s="1"/>
  <c r="D1699" i="6" l="1"/>
  <c r="E1699" i="6" s="1"/>
  <c r="D1700" i="6" l="1"/>
  <c r="E1700" i="6" s="1"/>
  <c r="D1701" i="6" l="1"/>
  <c r="E1701" i="6" s="1"/>
  <c r="D1702" i="6" l="1"/>
  <c r="E1702" i="6" s="1"/>
  <c r="D1703" i="6" l="1"/>
  <c r="E1703" i="6" s="1"/>
  <c r="D1704" i="6" l="1"/>
  <c r="E1704" i="6" s="1"/>
  <c r="D1705" i="6" l="1"/>
  <c r="E1705" i="6" s="1"/>
  <c r="D1706" i="6" l="1"/>
  <c r="E1706" i="6" s="1"/>
  <c r="D1707" i="6" l="1"/>
  <c r="E1707" i="6" s="1"/>
  <c r="D1708" i="6" l="1"/>
  <c r="E1708" i="6" s="1"/>
  <c r="D1709" i="6" l="1"/>
  <c r="E1709" i="6" s="1"/>
  <c r="D1710" i="6" l="1"/>
  <c r="E1710" i="6" s="1"/>
  <c r="D1711" i="6" l="1"/>
  <c r="E1711" i="6" s="1"/>
  <c r="D1712" i="6" l="1"/>
  <c r="E1712" i="6" s="1"/>
  <c r="D1713" i="6" l="1"/>
  <c r="E1713" i="6" s="1"/>
  <c r="D1714" i="6" l="1"/>
  <c r="E1714" i="6" s="1"/>
  <c r="D1715" i="6" l="1"/>
  <c r="E1715" i="6" s="1"/>
  <c r="D1716" i="6" l="1"/>
  <c r="E1716" i="6" s="1"/>
  <c r="D1717" i="6" l="1"/>
  <c r="E1717" i="6" s="1"/>
  <c r="D1718" i="6" l="1"/>
  <c r="E1718" i="6" s="1"/>
  <c r="D1719" i="6" l="1"/>
  <c r="E1719" i="6" s="1"/>
  <c r="D1720" i="6" l="1"/>
  <c r="E1720" i="6" s="1"/>
  <c r="D1721" i="6" l="1"/>
  <c r="E1721" i="6" s="1"/>
  <c r="D1722" i="6" l="1"/>
  <c r="E1722" i="6" s="1"/>
  <c r="D1723" i="6" l="1"/>
  <c r="E1723" i="6" s="1"/>
  <c r="D1724" i="6" l="1"/>
  <c r="E1724" i="6" s="1"/>
  <c r="D1725" i="6" l="1"/>
  <c r="E1725" i="6" s="1"/>
  <c r="D1726" i="6" l="1"/>
  <c r="E1726" i="6" s="1"/>
  <c r="D1727" i="6" l="1"/>
  <c r="E1727" i="6" s="1"/>
  <c r="D1728" i="6" l="1"/>
  <c r="E1728" i="6" s="1"/>
  <c r="D1729" i="6" l="1"/>
  <c r="E1729" i="6" s="1"/>
  <c r="D1730" i="6" l="1"/>
  <c r="E1730" i="6" s="1"/>
  <c r="D1731" i="6" l="1"/>
  <c r="E1731" i="6" s="1"/>
  <c r="D1732" i="6" l="1"/>
  <c r="E1732" i="6" s="1"/>
  <c r="D1733" i="6" l="1"/>
  <c r="E1733" i="6" s="1"/>
  <c r="D1734" i="6" l="1"/>
  <c r="E1734" i="6" s="1"/>
  <c r="D1735" i="6" l="1"/>
  <c r="E1735" i="6" s="1"/>
  <c r="D1736" i="6" l="1"/>
  <c r="E1736" i="6" s="1"/>
  <c r="D1737" i="6" l="1"/>
  <c r="E1737" i="6" s="1"/>
  <c r="D1738" i="6" l="1"/>
  <c r="E1738" i="6" s="1"/>
  <c r="D1739" i="6" l="1"/>
  <c r="E1739" i="6" s="1"/>
  <c r="D1740" i="6" l="1"/>
  <c r="E1740" i="6" s="1"/>
  <c r="D1741" i="6" l="1"/>
  <c r="E1741" i="6" s="1"/>
  <c r="D1742" i="6" l="1"/>
  <c r="E1742" i="6" s="1"/>
  <c r="D1743" i="6" l="1"/>
  <c r="E1743" i="6" s="1"/>
  <c r="D1744" i="6" l="1"/>
  <c r="E1744" i="6" s="1"/>
  <c r="D1745" i="6" l="1"/>
  <c r="E1745" i="6" s="1"/>
  <c r="D1746" i="6" l="1"/>
  <c r="E1746" i="6" s="1"/>
  <c r="D1747" i="6" l="1"/>
  <c r="E1747" i="6" s="1"/>
  <c r="D1748" i="6" l="1"/>
  <c r="E1748" i="6" s="1"/>
  <c r="D1749" i="6" l="1"/>
  <c r="E1749" i="6" s="1"/>
  <c r="D1750" i="6" l="1"/>
  <c r="E1750" i="6" s="1"/>
  <c r="D1751" i="6" l="1"/>
  <c r="E1751" i="6" s="1"/>
  <c r="D1752" i="6" l="1"/>
  <c r="E1752" i="6" s="1"/>
  <c r="D1753" i="6" l="1"/>
  <c r="E1753" i="6" s="1"/>
  <c r="D1754" i="6" l="1"/>
  <c r="E1754" i="6" s="1"/>
  <c r="D1755" i="6" l="1"/>
  <c r="E1755" i="6" s="1"/>
  <c r="D1756" i="6" l="1"/>
  <c r="E1756" i="6" s="1"/>
  <c r="D1757" i="6" l="1"/>
  <c r="E1757" i="6" s="1"/>
  <c r="D1758" i="6" l="1"/>
  <c r="E1758" i="6" s="1"/>
  <c r="D1759" i="6" l="1"/>
  <c r="E1759" i="6" s="1"/>
  <c r="D1760" i="6" l="1"/>
  <c r="E1760" i="6" s="1"/>
  <c r="D1761" i="6" l="1"/>
  <c r="E1761" i="6" s="1"/>
  <c r="D1762" i="6" l="1"/>
  <c r="E1762" i="6" s="1"/>
  <c r="D1763" i="6" l="1"/>
  <c r="E1763" i="6" s="1"/>
  <c r="D1764" i="6" l="1"/>
  <c r="E1764" i="6" s="1"/>
  <c r="D1765" i="6" l="1"/>
  <c r="E1765" i="6" s="1"/>
  <c r="D1766" i="6" l="1"/>
  <c r="E1766" i="6" s="1"/>
  <c r="D1767" i="6" l="1"/>
  <c r="E1767" i="6" s="1"/>
  <c r="D1768" i="6" l="1"/>
  <c r="E1768" i="6" s="1"/>
  <c r="D1769" i="6" l="1"/>
  <c r="E1769" i="6" s="1"/>
  <c r="D1770" i="6" l="1"/>
  <c r="E1770" i="6" s="1"/>
  <c r="D1771" i="6" l="1"/>
  <c r="E1771" i="6" s="1"/>
  <c r="D1772" i="6" l="1"/>
  <c r="E1772" i="6" s="1"/>
  <c r="D1773" i="6" l="1"/>
  <c r="E1773" i="6" s="1"/>
  <c r="D1774" i="6" l="1"/>
  <c r="E1774" i="6" s="1"/>
  <c r="D1775" i="6" l="1"/>
  <c r="E1775" i="6" s="1"/>
  <c r="D1776" i="6" l="1"/>
  <c r="E1776" i="6" s="1"/>
  <c r="D1777" i="6" l="1"/>
  <c r="E1777" i="6" s="1"/>
  <c r="D1778" i="6" l="1"/>
  <c r="E1778" i="6" s="1"/>
  <c r="D1779" i="6" l="1"/>
  <c r="E1779" i="6" s="1"/>
  <c r="D1780" i="6" l="1"/>
  <c r="E1780" i="6" s="1"/>
  <c r="D1781" i="6" l="1"/>
  <c r="E1781" i="6" s="1"/>
  <c r="D1782" i="6" l="1"/>
  <c r="E1782" i="6" s="1"/>
  <c r="D1783" i="6" l="1"/>
  <c r="E1783" i="6" s="1"/>
  <c r="D1784" i="6" l="1"/>
  <c r="E1784" i="6" s="1"/>
  <c r="D1785" i="6" l="1"/>
  <c r="E1785" i="6" s="1"/>
  <c r="D1786" i="6" l="1"/>
  <c r="E1786" i="6" s="1"/>
  <c r="D1787" i="6" l="1"/>
  <c r="E1787" i="6" s="1"/>
  <c r="D1788" i="6" l="1"/>
  <c r="E1788" i="6" s="1"/>
  <c r="D1789" i="6" l="1"/>
  <c r="E1789" i="6" s="1"/>
  <c r="D1790" i="6" l="1"/>
  <c r="E1790" i="6" s="1"/>
  <c r="D1791" i="6" l="1"/>
  <c r="E1791" i="6" s="1"/>
  <c r="D1792" i="6" l="1"/>
  <c r="E1792" i="6" s="1"/>
  <c r="D1793" i="6" l="1"/>
  <c r="E1793" i="6" s="1"/>
  <c r="D1794" i="6" l="1"/>
  <c r="E1794" i="6" s="1"/>
  <c r="D1795" i="6" l="1"/>
  <c r="E1795" i="6" s="1"/>
  <c r="D1796" i="6" l="1"/>
  <c r="E1796" i="6" s="1"/>
  <c r="D1797" i="6" l="1"/>
  <c r="E1797" i="6" s="1"/>
  <c r="D1798" i="6" l="1"/>
  <c r="E1798" i="6" s="1"/>
  <c r="D1799" i="6" l="1"/>
  <c r="E1799" i="6" s="1"/>
  <c r="D1800" i="6" l="1"/>
  <c r="E1800" i="6" s="1"/>
  <c r="D1801" i="6" l="1"/>
  <c r="E1801" i="6" s="1"/>
  <c r="D1802" i="6" l="1"/>
  <c r="E1802" i="6" s="1"/>
  <c r="D1803" i="6" l="1"/>
  <c r="E1803" i="6" s="1"/>
  <c r="D1804" i="6" l="1"/>
  <c r="E1804" i="6" s="1"/>
  <c r="D1805" i="6" l="1"/>
  <c r="E1805" i="6" s="1"/>
  <c r="D1806" i="6" l="1"/>
  <c r="E1806" i="6" s="1"/>
  <c r="D1807" i="6" l="1"/>
  <c r="E1807" i="6" s="1"/>
  <c r="D1808" i="6" l="1"/>
  <c r="E1808" i="6" s="1"/>
  <c r="D1809" i="6" l="1"/>
  <c r="E1809" i="6" s="1"/>
  <c r="D1810" i="6" l="1"/>
  <c r="E1810" i="6" s="1"/>
  <c r="D1811" i="6" l="1"/>
  <c r="E1811" i="6" s="1"/>
  <c r="D1812" i="6" l="1"/>
  <c r="E1812" i="6" s="1"/>
  <c r="D1813" i="6" l="1"/>
  <c r="E1813" i="6" s="1"/>
  <c r="D1814" i="6" l="1"/>
  <c r="E1814" i="6" s="1"/>
  <c r="D1815" i="6" l="1"/>
  <c r="E1815" i="6" s="1"/>
  <c r="D1816" i="6" l="1"/>
  <c r="E1816" i="6" s="1"/>
  <c r="D1817" i="6" l="1"/>
  <c r="E1817" i="6" s="1"/>
  <c r="D1818" i="6" l="1"/>
  <c r="E1818" i="6" s="1"/>
  <c r="D1819" i="6" l="1"/>
  <c r="E1819" i="6" s="1"/>
  <c r="D1820" i="6" l="1"/>
  <c r="E1820" i="6" s="1"/>
  <c r="D1821" i="6" l="1"/>
  <c r="E1821" i="6" s="1"/>
  <c r="D1822" i="6" l="1"/>
  <c r="E1822" i="6" s="1"/>
  <c r="D1823" i="6" l="1"/>
  <c r="E1823" i="6" s="1"/>
  <c r="D1824" i="6" l="1"/>
  <c r="E1824" i="6" s="1"/>
  <c r="D1825" i="6" l="1"/>
  <c r="E1825" i="6" s="1"/>
  <c r="D1826" i="6" l="1"/>
  <c r="E1826" i="6" s="1"/>
  <c r="D1827" i="6" l="1"/>
  <c r="E1827" i="6" s="1"/>
  <c r="D1828" i="6" l="1"/>
  <c r="E1828" i="6" s="1"/>
  <c r="D1829" i="6" l="1"/>
  <c r="E1829" i="6" s="1"/>
  <c r="D1830" i="6" l="1"/>
  <c r="E1830" i="6" s="1"/>
  <c r="D1831" i="6" l="1"/>
  <c r="E1831" i="6" s="1"/>
  <c r="D1832" i="6" l="1"/>
  <c r="E1832" i="6" s="1"/>
  <c r="D1833" i="6" l="1"/>
  <c r="E1833" i="6" s="1"/>
  <c r="D1834" i="6" l="1"/>
  <c r="E1834" i="6" s="1"/>
  <c r="D1835" i="6" l="1"/>
  <c r="E1835" i="6" s="1"/>
  <c r="D1836" i="6" l="1"/>
  <c r="E1836" i="6" s="1"/>
  <c r="D1837" i="6" l="1"/>
  <c r="E1837" i="6" s="1"/>
  <c r="D1838" i="6" l="1"/>
  <c r="E1838" i="6" s="1"/>
  <c r="D1839" i="6" l="1"/>
  <c r="E1839" i="6" s="1"/>
  <c r="D1840" i="6" l="1"/>
  <c r="E1840" i="6" s="1"/>
  <c r="D1841" i="6" l="1"/>
  <c r="E1841" i="6" s="1"/>
  <c r="D1842" i="6" l="1"/>
  <c r="E1842" i="6" s="1"/>
  <c r="D1843" i="6" l="1"/>
  <c r="E1843" i="6" s="1"/>
  <c r="D1844" i="6" l="1"/>
  <c r="E1844" i="6" s="1"/>
  <c r="D1845" i="6" l="1"/>
  <c r="E1845" i="6" s="1"/>
  <c r="D1846" i="6" l="1"/>
  <c r="E1846" i="6" s="1"/>
  <c r="D1847" i="6" l="1"/>
  <c r="E1847" i="6" s="1"/>
  <c r="D1848" i="6" l="1"/>
  <c r="E1848" i="6" s="1"/>
  <c r="D1849" i="6" l="1"/>
  <c r="E1849" i="6" s="1"/>
  <c r="D1850" i="6" l="1"/>
  <c r="E1850" i="6" s="1"/>
  <c r="D1851" i="6" l="1"/>
  <c r="E1851" i="6" s="1"/>
  <c r="D1852" i="6" l="1"/>
  <c r="E1852" i="6" s="1"/>
  <c r="D1853" i="6" l="1"/>
  <c r="E1853" i="6" s="1"/>
  <c r="D1854" i="6" l="1"/>
  <c r="E1854" i="6" s="1"/>
  <c r="D1855" i="6" l="1"/>
  <c r="E1855" i="6" s="1"/>
  <c r="D1856" i="6" l="1"/>
  <c r="E1856" i="6" s="1"/>
  <c r="D1857" i="6" l="1"/>
  <c r="E1857" i="6" s="1"/>
  <c r="D1858" i="6" l="1"/>
  <c r="E1858" i="6" s="1"/>
  <c r="D1859" i="6" l="1"/>
  <c r="E1859" i="6" s="1"/>
  <c r="D1860" i="6" l="1"/>
  <c r="E1860" i="6" s="1"/>
  <c r="D1861" i="6" l="1"/>
  <c r="E1861" i="6" s="1"/>
  <c r="D1862" i="6" l="1"/>
  <c r="E1862" i="6" s="1"/>
  <c r="D1863" i="6" l="1"/>
  <c r="E1863" i="6" s="1"/>
  <c r="D1864" i="6" l="1"/>
  <c r="E1864" i="6" s="1"/>
  <c r="D1865" i="6" l="1"/>
  <c r="E1865" i="6" s="1"/>
  <c r="D1866" i="6" l="1"/>
  <c r="E1866" i="6" s="1"/>
  <c r="D1867" i="6" l="1"/>
  <c r="E1867" i="6" s="1"/>
  <c r="D1868" i="6" l="1"/>
  <c r="E1868" i="6" s="1"/>
  <c r="D1869" i="6" l="1"/>
  <c r="E1869" i="6" s="1"/>
  <c r="D1870" i="6" l="1"/>
  <c r="E1870" i="6" s="1"/>
  <c r="D1871" i="6" l="1"/>
  <c r="E1871" i="6" s="1"/>
  <c r="D1872" i="6" l="1"/>
  <c r="E1872" i="6" s="1"/>
  <c r="D1873" i="6" l="1"/>
  <c r="E1873" i="6" s="1"/>
  <c r="D1874" i="6" l="1"/>
  <c r="E1874" i="6" s="1"/>
  <c r="D1875" i="6" l="1"/>
  <c r="E1875" i="6" s="1"/>
  <c r="D1876" i="6" l="1"/>
  <c r="E1876" i="6" s="1"/>
  <c r="D1877" i="6" l="1"/>
  <c r="E1877" i="6" s="1"/>
  <c r="D1878" i="6" l="1"/>
  <c r="E1878" i="6" s="1"/>
  <c r="D1879" i="6" l="1"/>
  <c r="E1879" i="6" s="1"/>
  <c r="D1880" i="6" l="1"/>
  <c r="E1880" i="6" s="1"/>
  <c r="D1881" i="6" l="1"/>
  <c r="E1881" i="6" s="1"/>
  <c r="D1882" i="6" l="1"/>
  <c r="E1882" i="6" s="1"/>
  <c r="D1883" i="6" l="1"/>
  <c r="E1883" i="6" s="1"/>
  <c r="D1884" i="6" l="1"/>
  <c r="E1884" i="6" s="1"/>
  <c r="D1885" i="6" l="1"/>
  <c r="E1885" i="6" s="1"/>
  <c r="D1886" i="6" l="1"/>
  <c r="E1886" i="6" s="1"/>
  <c r="D1887" i="6" l="1"/>
  <c r="E1887" i="6" s="1"/>
  <c r="D1888" i="6" l="1"/>
  <c r="E1888" i="6" s="1"/>
  <c r="D1889" i="6" l="1"/>
  <c r="E1889" i="6" s="1"/>
  <c r="D1890" i="6" l="1"/>
  <c r="E1890" i="6" s="1"/>
  <c r="D1891" i="6" l="1"/>
  <c r="E1891" i="6" s="1"/>
  <c r="D1892" i="6" l="1"/>
  <c r="E1892" i="6" s="1"/>
  <c r="D1893" i="6" l="1"/>
  <c r="E1893" i="6" s="1"/>
  <c r="D1894" i="6" l="1"/>
  <c r="E1894" i="6" s="1"/>
  <c r="D1895" i="6" l="1"/>
  <c r="E1895" i="6" s="1"/>
  <c r="D1896" i="6" l="1"/>
  <c r="E1896" i="6" s="1"/>
  <c r="D1897" i="6" l="1"/>
  <c r="E1897" i="6" s="1"/>
  <c r="D1898" i="6" l="1"/>
  <c r="E1898" i="6" s="1"/>
  <c r="D1899" i="6" l="1"/>
  <c r="E1899" i="6" s="1"/>
  <c r="D1900" i="6" l="1"/>
  <c r="E1900" i="6" s="1"/>
  <c r="D1901" i="6" l="1"/>
  <c r="E1901" i="6" s="1"/>
  <c r="D1902" i="6" l="1"/>
  <c r="E1902" i="6" s="1"/>
  <c r="D1903" i="6" l="1"/>
  <c r="E1903" i="6" s="1"/>
  <c r="D1904" i="6" l="1"/>
  <c r="E1904" i="6" s="1"/>
  <c r="D1905" i="6" l="1"/>
  <c r="E1905" i="6" s="1"/>
  <c r="D1906" i="6" l="1"/>
  <c r="E1906" i="6" s="1"/>
  <c r="D1907" i="6" l="1"/>
  <c r="E1907" i="6" s="1"/>
  <c r="D1908" i="6" l="1"/>
  <c r="E1908" i="6" s="1"/>
  <c r="D1909" i="6" l="1"/>
  <c r="E1909" i="6" s="1"/>
  <c r="D1910" i="6" l="1"/>
  <c r="E1910" i="6" s="1"/>
  <c r="D1911" i="6" l="1"/>
  <c r="E1911" i="6" s="1"/>
  <c r="D1912" i="6" l="1"/>
  <c r="E1912" i="6" s="1"/>
  <c r="D1913" i="6" l="1"/>
  <c r="E1913" i="6" s="1"/>
  <c r="D1914" i="6" l="1"/>
  <c r="E1914" i="6" s="1"/>
  <c r="D1915" i="6" l="1"/>
  <c r="E1915" i="6" s="1"/>
  <c r="D1916" i="6" l="1"/>
  <c r="E1916" i="6" s="1"/>
  <c r="D1917" i="6" l="1"/>
  <c r="E1917" i="6" s="1"/>
  <c r="D1918" i="6" l="1"/>
  <c r="E1918" i="6" s="1"/>
  <c r="D1919" i="6" l="1"/>
  <c r="E1919" i="6" s="1"/>
  <c r="D1920" i="6" l="1"/>
  <c r="E1920" i="6" s="1"/>
  <c r="D1921" i="6" l="1"/>
  <c r="E1921" i="6" s="1"/>
  <c r="D1922" i="6" l="1"/>
  <c r="E1922" i="6" s="1"/>
  <c r="D1923" i="6" l="1"/>
  <c r="E1923" i="6" s="1"/>
  <c r="D1924" i="6" l="1"/>
  <c r="E1924" i="6" s="1"/>
  <c r="D1925" i="6" l="1"/>
  <c r="E1925" i="6" s="1"/>
  <c r="D1926" i="6" l="1"/>
  <c r="E1926" i="6" s="1"/>
  <c r="D1927" i="6" l="1"/>
  <c r="E1927" i="6" s="1"/>
  <c r="D1928" i="6" l="1"/>
  <c r="E1928" i="6" s="1"/>
  <c r="D1929" i="6" l="1"/>
  <c r="E1929" i="6" s="1"/>
  <c r="D1930" i="6" l="1"/>
  <c r="E1930" i="6" s="1"/>
  <c r="D1931" i="6" l="1"/>
  <c r="E1931" i="6" s="1"/>
  <c r="D1932" i="6" l="1"/>
  <c r="E1932" i="6" s="1"/>
  <c r="D1933" i="6" l="1"/>
  <c r="E1933" i="6" s="1"/>
  <c r="D1934" i="6" l="1"/>
  <c r="E1934" i="6" s="1"/>
  <c r="D1935" i="6" l="1"/>
  <c r="E1935" i="6" s="1"/>
  <c r="D1936" i="6" l="1"/>
  <c r="E1936" i="6" s="1"/>
  <c r="D1937" i="6" l="1"/>
  <c r="E1937" i="6" s="1"/>
  <c r="D1938" i="6" l="1"/>
  <c r="E1938" i="6" s="1"/>
  <c r="D1939" i="6" l="1"/>
  <c r="E1939" i="6" s="1"/>
  <c r="D1940" i="6" l="1"/>
  <c r="E1940" i="6" s="1"/>
  <c r="D1941" i="6" l="1"/>
  <c r="E1941" i="6" s="1"/>
  <c r="D1942" i="6" l="1"/>
  <c r="E1942" i="6" s="1"/>
  <c r="D1943" i="6" l="1"/>
  <c r="E1943" i="6" s="1"/>
  <c r="D1944" i="6" l="1"/>
  <c r="E1944" i="6" s="1"/>
  <c r="D1945" i="6" l="1"/>
  <c r="E1945" i="6" s="1"/>
  <c r="D1946" i="6" l="1"/>
  <c r="E1946" i="6" s="1"/>
  <c r="D1947" i="6" l="1"/>
  <c r="E1947" i="6" s="1"/>
  <c r="D1948" i="6" l="1"/>
  <c r="E1948" i="6" s="1"/>
  <c r="D1949" i="6" l="1"/>
  <c r="E1949" i="6" s="1"/>
  <c r="D1950" i="6" l="1"/>
  <c r="E1950" i="6" s="1"/>
  <c r="D1951" i="6" l="1"/>
  <c r="E1951" i="6" s="1"/>
  <c r="D1952" i="6" l="1"/>
  <c r="E1952" i="6" s="1"/>
  <c r="D1953" i="6" l="1"/>
  <c r="E1953" i="6" s="1"/>
  <c r="D1954" i="6" l="1"/>
  <c r="E1954" i="6" s="1"/>
  <c r="D1955" i="6" l="1"/>
  <c r="E1955" i="6" s="1"/>
  <c r="D1956" i="6" l="1"/>
  <c r="E1956" i="6" s="1"/>
  <c r="D1957" i="6" l="1"/>
  <c r="E1957" i="6" s="1"/>
  <c r="D1958" i="6" l="1"/>
  <c r="E1958" i="6" s="1"/>
  <c r="D1959" i="6" l="1"/>
  <c r="E1959" i="6" s="1"/>
  <c r="D1960" i="6" l="1"/>
  <c r="E1960" i="6" s="1"/>
  <c r="D1961" i="6" l="1"/>
  <c r="E1961" i="6" s="1"/>
  <c r="D1962" i="6" l="1"/>
  <c r="E1962" i="6" s="1"/>
  <c r="D1963" i="6" l="1"/>
  <c r="E1963" i="6" s="1"/>
  <c r="D1964" i="6" l="1"/>
  <c r="E1964" i="6" s="1"/>
  <c r="D1965" i="6" l="1"/>
  <c r="E1965" i="6" s="1"/>
  <c r="D1966" i="6" l="1"/>
  <c r="E1966" i="6" s="1"/>
  <c r="D1967" i="6" l="1"/>
  <c r="E1967" i="6" s="1"/>
  <c r="D1968" i="6" l="1"/>
  <c r="E1968" i="6" s="1"/>
  <c r="D1969" i="6" l="1"/>
  <c r="E1969" i="6" s="1"/>
  <c r="D1970" i="6" l="1"/>
  <c r="E1970" i="6" s="1"/>
  <c r="D1971" i="6" l="1"/>
  <c r="E1971" i="6" s="1"/>
  <c r="D1972" i="6" l="1"/>
  <c r="E1972" i="6" s="1"/>
  <c r="D1973" i="6" l="1"/>
  <c r="E1973" i="6" s="1"/>
  <c r="D1974" i="6" l="1"/>
  <c r="E1974" i="6" s="1"/>
  <c r="D1975" i="6" l="1"/>
  <c r="E1975" i="6" s="1"/>
  <c r="D1976" i="6" l="1"/>
  <c r="E1976" i="6" s="1"/>
  <c r="D1977" i="6" l="1"/>
  <c r="E1977" i="6" s="1"/>
  <c r="D1978" i="6" l="1"/>
  <c r="E1978" i="6" s="1"/>
  <c r="D1979" i="6" l="1"/>
  <c r="E1979" i="6" s="1"/>
  <c r="D1980" i="6" l="1"/>
  <c r="E1980" i="6" s="1"/>
  <c r="D1981" i="6" l="1"/>
  <c r="E1981" i="6" s="1"/>
  <c r="D1982" i="6" l="1"/>
  <c r="E1982" i="6" s="1"/>
  <c r="D1983" i="6" l="1"/>
  <c r="E1983" i="6" s="1"/>
  <c r="D1984" i="6" l="1"/>
  <c r="E1984" i="6" s="1"/>
  <c r="D1985" i="6" l="1"/>
  <c r="E1985" i="6" s="1"/>
  <c r="D1986" i="6" l="1"/>
  <c r="E1986" i="6" s="1"/>
  <c r="D1987" i="6" l="1"/>
  <c r="E1987" i="6" s="1"/>
  <c r="D1988" i="6" l="1"/>
  <c r="E1988" i="6" s="1"/>
  <c r="D1989" i="6" l="1"/>
  <c r="E1989" i="6" s="1"/>
  <c r="D1990" i="6" l="1"/>
  <c r="E1990" i="6" s="1"/>
  <c r="D1991" i="6" l="1"/>
  <c r="E1991" i="6" s="1"/>
  <c r="D1992" i="6" l="1"/>
  <c r="E1992" i="6" s="1"/>
  <c r="D1993" i="6" l="1"/>
  <c r="E1993" i="6" s="1"/>
  <c r="D1994" i="6" l="1"/>
  <c r="E1994" i="6" s="1"/>
  <c r="D1995" i="6" l="1"/>
  <c r="E1995" i="6" s="1"/>
  <c r="D1996" i="6" l="1"/>
  <c r="E1996" i="6" s="1"/>
  <c r="D1997" i="6" l="1"/>
  <c r="E1997" i="6" s="1"/>
  <c r="D1998" i="6" l="1"/>
  <c r="E1998" i="6" s="1"/>
  <c r="D1999" i="6" l="1"/>
  <c r="E1999" i="6" s="1"/>
  <c r="D2000" i="6" l="1"/>
  <c r="E2000" i="6" s="1"/>
  <c r="D2001" i="6" l="1"/>
  <c r="E2001" i="6" s="1"/>
  <c r="D2002" i="6" l="1"/>
  <c r="E2002" i="6" s="1"/>
  <c r="D2003" i="6" l="1"/>
  <c r="E2003" i="6" s="1"/>
  <c r="D2004" i="6" l="1"/>
  <c r="E2004" i="6" s="1"/>
  <c r="D2005" i="6" l="1"/>
  <c r="E2005" i="6" s="1"/>
  <c r="D2006" i="6" l="1"/>
  <c r="E2006" i="6" s="1"/>
  <c r="D2007" i="6" l="1"/>
  <c r="E2007" i="6" s="1"/>
  <c r="D2008" i="6" l="1"/>
  <c r="E2008" i="6" s="1"/>
  <c r="D2009" i="6" l="1"/>
  <c r="E2009" i="6" s="1"/>
  <c r="D2010" i="6" l="1"/>
  <c r="E2010" i="6" s="1"/>
  <c r="D2011" i="6" l="1"/>
  <c r="E2011" i="6" s="1"/>
  <c r="D2012" i="6" l="1"/>
  <c r="E2012" i="6" s="1"/>
  <c r="D2013" i="6" l="1"/>
  <c r="E2013" i="6" s="1"/>
  <c r="D2014" i="6" l="1"/>
  <c r="E2014" i="6" s="1"/>
  <c r="D2015" i="6" l="1"/>
  <c r="E2015" i="6" s="1"/>
  <c r="D2016" i="6" l="1"/>
  <c r="E2016" i="6" s="1"/>
  <c r="D2017" i="6" l="1"/>
  <c r="E2017" i="6" s="1"/>
  <c r="D2018" i="6" l="1"/>
  <c r="E2018" i="6" s="1"/>
  <c r="D2019" i="6" l="1"/>
  <c r="E2019" i="6" s="1"/>
  <c r="D2020" i="6" l="1"/>
  <c r="E2020" i="6" s="1"/>
  <c r="D2021" i="6" l="1"/>
  <c r="E2021" i="6" s="1"/>
  <c r="D2022" i="6" l="1"/>
  <c r="E2022" i="6" s="1"/>
  <c r="D2023" i="6" l="1"/>
  <c r="E2023" i="6" s="1"/>
  <c r="D2024" i="6" l="1"/>
  <c r="E2024" i="6" s="1"/>
  <c r="D2025" i="6" l="1"/>
  <c r="E2025" i="6" s="1"/>
  <c r="D2026" i="6" l="1"/>
  <c r="E2026" i="6" s="1"/>
  <c r="D2027" i="6" l="1"/>
  <c r="E2027" i="6" s="1"/>
  <c r="D2028" i="6" l="1"/>
  <c r="E2028" i="6" s="1"/>
  <c r="D2029" i="6" l="1"/>
  <c r="E2029" i="6" s="1"/>
  <c r="D2030" i="6" l="1"/>
  <c r="E2030" i="6" s="1"/>
  <c r="D2031" i="6" l="1"/>
  <c r="E2031" i="6" s="1"/>
  <c r="D2032" i="6" l="1"/>
  <c r="E2032" i="6" s="1"/>
  <c r="D2033" i="6" l="1"/>
  <c r="E2033" i="6" s="1"/>
  <c r="D2034" i="6" l="1"/>
  <c r="E2034" i="6" s="1"/>
  <c r="D2035" i="6" l="1"/>
  <c r="E2035" i="6" s="1"/>
  <c r="D2036" i="6" l="1"/>
  <c r="E2036" i="6" s="1"/>
  <c r="D2037" i="6" l="1"/>
  <c r="E2037" i="6" s="1"/>
  <c r="D2038" i="6" l="1"/>
  <c r="E2038" i="6" s="1"/>
  <c r="D2039" i="6" l="1"/>
  <c r="E2039" i="6" s="1"/>
  <c r="D2040" i="6" l="1"/>
  <c r="E2040" i="6" s="1"/>
  <c r="D2041" i="6" l="1"/>
  <c r="E2041" i="6" s="1"/>
  <c r="D2042" i="6" l="1"/>
  <c r="E2042" i="6" s="1"/>
  <c r="D2043" i="6" l="1"/>
  <c r="E2043" i="6" s="1"/>
  <c r="D2044" i="6" l="1"/>
  <c r="E2044" i="6" s="1"/>
  <c r="D2045" i="6" l="1"/>
  <c r="E2045" i="6" s="1"/>
  <c r="D2046" i="6" l="1"/>
  <c r="E2046" i="6" s="1"/>
  <c r="D2047" i="6" l="1"/>
  <c r="E2047" i="6" s="1"/>
  <c r="D2048" i="6" l="1"/>
  <c r="E2048" i="6" s="1"/>
  <c r="D2049" i="6" l="1"/>
  <c r="E2049" i="6" s="1"/>
  <c r="D2050" i="6" l="1"/>
  <c r="E2050" i="6" s="1"/>
  <c r="D2051" i="6" l="1"/>
  <c r="E2051" i="6" s="1"/>
  <c r="D2052" i="6" l="1"/>
  <c r="E2052" i="6" s="1"/>
  <c r="D2053" i="6" l="1"/>
  <c r="E2053" i="6" s="1"/>
  <c r="D2054" i="6" l="1"/>
  <c r="E2054" i="6" s="1"/>
  <c r="D2055" i="6" l="1"/>
  <c r="E2055" i="6" s="1"/>
  <c r="D2056" i="6" l="1"/>
  <c r="E2056" i="6" s="1"/>
  <c r="D2057" i="6" l="1"/>
  <c r="E2057" i="6" s="1"/>
  <c r="D2058" i="6" l="1"/>
  <c r="E2058" i="6" s="1"/>
  <c r="D2059" i="6" l="1"/>
  <c r="E2059" i="6" s="1"/>
  <c r="D2060" i="6" l="1"/>
  <c r="E2060" i="6" s="1"/>
  <c r="D2061" i="6" l="1"/>
  <c r="E2061" i="6" s="1"/>
  <c r="D2062" i="6" l="1"/>
  <c r="E2062" i="6" s="1"/>
  <c r="D2063" i="6" l="1"/>
  <c r="E2063" i="6" s="1"/>
  <c r="D2064" i="6" l="1"/>
  <c r="E2064" i="6" s="1"/>
  <c r="D2065" i="6" l="1"/>
  <c r="E2065" i="6" s="1"/>
  <c r="D2066" i="6" l="1"/>
  <c r="E2066" i="6" s="1"/>
  <c r="D2067" i="6" l="1"/>
  <c r="E2067" i="6" s="1"/>
  <c r="D2068" i="6" l="1"/>
  <c r="E2068" i="6" s="1"/>
  <c r="D2069" i="6" l="1"/>
  <c r="E2069" i="6" s="1"/>
  <c r="D2070" i="6" l="1"/>
  <c r="E2070" i="6" s="1"/>
  <c r="D2071" i="6" l="1"/>
  <c r="E2071" i="6" s="1"/>
  <c r="D2072" i="6" l="1"/>
  <c r="E2072" i="6" s="1"/>
  <c r="D2073" i="6" l="1"/>
  <c r="E2073" i="6" s="1"/>
  <c r="D2074" i="6" l="1"/>
  <c r="E2074" i="6" s="1"/>
  <c r="D2075" i="6" l="1"/>
  <c r="E2075" i="6" s="1"/>
  <c r="D2076" i="6" l="1"/>
  <c r="E2076" i="6" s="1"/>
  <c r="D2077" i="6" l="1"/>
  <c r="E2077" i="6" s="1"/>
  <c r="D2078" i="6" l="1"/>
  <c r="E2078" i="6" s="1"/>
  <c r="D2079" i="6" l="1"/>
  <c r="E2079" i="6" s="1"/>
  <c r="D2080" i="6" l="1"/>
  <c r="E2080" i="6" s="1"/>
  <c r="D2081" i="6" l="1"/>
  <c r="E2081" i="6" s="1"/>
  <c r="D2082" i="6" l="1"/>
  <c r="E2082" i="6" s="1"/>
  <c r="D2083" i="6" l="1"/>
  <c r="E2083" i="6" s="1"/>
  <c r="D2084" i="6" l="1"/>
  <c r="E2084" i="6" s="1"/>
  <c r="D2085" i="6" l="1"/>
  <c r="E2085" i="6" s="1"/>
  <c r="D2086" i="6" l="1"/>
  <c r="E2086" i="6" s="1"/>
  <c r="D2087" i="6" l="1"/>
  <c r="E2087" i="6" s="1"/>
  <c r="D2088" i="6" l="1"/>
  <c r="E2088" i="6" s="1"/>
  <c r="D2089" i="6" l="1"/>
  <c r="E2089" i="6" s="1"/>
  <c r="D2090" i="6" l="1"/>
  <c r="E2090" i="6" s="1"/>
  <c r="D2091" i="6" l="1"/>
  <c r="E2091" i="6" s="1"/>
  <c r="D2092" i="6" l="1"/>
  <c r="E2092" i="6" s="1"/>
  <c r="D2093" i="6" l="1"/>
  <c r="E2093" i="6" s="1"/>
  <c r="D2094" i="6" l="1"/>
  <c r="E2094" i="6" s="1"/>
  <c r="D2095" i="6" l="1"/>
  <c r="E2095" i="6" s="1"/>
  <c r="D2096" i="6" l="1"/>
  <c r="E2096" i="6" s="1"/>
  <c r="D2097" i="6" l="1"/>
  <c r="E2097" i="6" s="1"/>
  <c r="D2098" i="6" l="1"/>
  <c r="E2098" i="6" s="1"/>
  <c r="D2099" i="6" l="1"/>
  <c r="E2099" i="6" s="1"/>
  <c r="D2100" i="6" l="1"/>
  <c r="E2100" i="6" s="1"/>
  <c r="D2101" i="6" l="1"/>
  <c r="E2101" i="6" s="1"/>
  <c r="D2102" i="6" l="1"/>
  <c r="E2102" i="6" s="1"/>
  <c r="D2103" i="6" l="1"/>
  <c r="E2103" i="6" s="1"/>
  <c r="D2104" i="6" l="1"/>
  <c r="E2104" i="6" s="1"/>
  <c r="D2105" i="6" l="1"/>
  <c r="E2105" i="6" s="1"/>
  <c r="D2106" i="6" l="1"/>
  <c r="E2106" i="6" s="1"/>
  <c r="D2107" i="6" l="1"/>
  <c r="E2107" i="6" s="1"/>
  <c r="D2108" i="6" l="1"/>
  <c r="E2108" i="6" s="1"/>
  <c r="D2109" i="6" l="1"/>
  <c r="E2109" i="6" s="1"/>
  <c r="D2110" i="6" l="1"/>
  <c r="E2110" i="6" s="1"/>
  <c r="D2111" i="6" l="1"/>
  <c r="E2111" i="6" s="1"/>
  <c r="D2112" i="6" l="1"/>
  <c r="E2112" i="6" s="1"/>
  <c r="D2113" i="6" l="1"/>
  <c r="E2113" i="6" s="1"/>
  <c r="D2114" i="6" l="1"/>
  <c r="E2114" i="6" s="1"/>
  <c r="D2115" i="6" l="1"/>
  <c r="E2115" i="6" s="1"/>
  <c r="D2116" i="6" l="1"/>
  <c r="E2116" i="6" s="1"/>
  <c r="D2117" i="6" l="1"/>
  <c r="E2117" i="6" s="1"/>
  <c r="D2118" i="6" l="1"/>
  <c r="E2118" i="6" s="1"/>
  <c r="D2119" i="6" l="1"/>
  <c r="E2119" i="6" s="1"/>
  <c r="D2120" i="6" l="1"/>
  <c r="E2120" i="6" s="1"/>
  <c r="D2121" i="6" l="1"/>
  <c r="E2121" i="6" s="1"/>
  <c r="D2122" i="6" l="1"/>
  <c r="E2122" i="6" s="1"/>
  <c r="D2123" i="6" l="1"/>
  <c r="E2123" i="6" s="1"/>
  <c r="D2124" i="6" l="1"/>
  <c r="E2124" i="6" s="1"/>
  <c r="D2125" i="6" l="1"/>
  <c r="E2125" i="6" s="1"/>
  <c r="D2126" i="6" l="1"/>
  <c r="E2126" i="6" s="1"/>
  <c r="D2127" i="6" l="1"/>
  <c r="E2127" i="6" s="1"/>
  <c r="D2128" i="6" l="1"/>
  <c r="E2128" i="6" s="1"/>
  <c r="D2129" i="6" l="1"/>
  <c r="E2129" i="6" s="1"/>
  <c r="D2130" i="6" l="1"/>
  <c r="E2130" i="6" s="1"/>
  <c r="D2131" i="6" l="1"/>
  <c r="E2131" i="6" s="1"/>
  <c r="D2132" i="6" l="1"/>
  <c r="E2132" i="6" s="1"/>
  <c r="D2133" i="6" l="1"/>
  <c r="E2133" i="6" s="1"/>
  <c r="D2134" i="6" l="1"/>
  <c r="E2134" i="6" s="1"/>
  <c r="D2135" i="6" l="1"/>
  <c r="E2135" i="6" s="1"/>
  <c r="D2136" i="6" l="1"/>
  <c r="E2136" i="6" s="1"/>
  <c r="D2137" i="6" l="1"/>
  <c r="E2137" i="6" s="1"/>
  <c r="D2138" i="6" l="1"/>
  <c r="E2138" i="6" s="1"/>
  <c r="D2139" i="6" l="1"/>
  <c r="E2139" i="6" s="1"/>
  <c r="D2140" i="6" l="1"/>
  <c r="E2140" i="6" s="1"/>
  <c r="D2141" i="6" l="1"/>
  <c r="E2141" i="6" s="1"/>
  <c r="D2142" i="6" l="1"/>
  <c r="E2142" i="6" s="1"/>
  <c r="D2143" i="6" l="1"/>
  <c r="E2143" i="6" s="1"/>
  <c r="D2144" i="6" l="1"/>
  <c r="E2144" i="6" s="1"/>
  <c r="D2145" i="6" l="1"/>
  <c r="E2145" i="6" s="1"/>
  <c r="D2146" i="6" l="1"/>
  <c r="E2146" i="6" s="1"/>
  <c r="D2147" i="6" l="1"/>
  <c r="E2147" i="6" s="1"/>
  <c r="D2148" i="6" l="1"/>
  <c r="E2148" i="6" s="1"/>
  <c r="D2149" i="6" l="1"/>
  <c r="E2149" i="6" s="1"/>
  <c r="D2150" i="6" l="1"/>
  <c r="E2150" i="6" s="1"/>
  <c r="D2151" i="6" l="1"/>
  <c r="E2151" i="6" s="1"/>
  <c r="D2152" i="6" l="1"/>
  <c r="E2152" i="6" s="1"/>
  <c r="D2153" i="6" l="1"/>
  <c r="E2153" i="6" s="1"/>
  <c r="D2154" i="6" l="1"/>
  <c r="E2154" i="6" s="1"/>
  <c r="D2155" i="6" l="1"/>
  <c r="E2155" i="6" s="1"/>
  <c r="D2156" i="6" l="1"/>
  <c r="E2156" i="6" s="1"/>
  <c r="D2157" i="6" l="1"/>
  <c r="E2157" i="6" s="1"/>
  <c r="D2158" i="6" l="1"/>
  <c r="E2158" i="6" s="1"/>
  <c r="D2159" i="6" l="1"/>
  <c r="E2159" i="6" s="1"/>
  <c r="D2160" i="6" l="1"/>
  <c r="E2160" i="6" s="1"/>
  <c r="D2161" i="6" l="1"/>
  <c r="E2161" i="6" s="1"/>
  <c r="D2162" i="6" l="1"/>
  <c r="E2162" i="6" s="1"/>
  <c r="D2163" i="6" l="1"/>
  <c r="E2163" i="6" s="1"/>
  <c r="D2164" i="6" l="1"/>
  <c r="E2164" i="6" s="1"/>
  <c r="D2165" i="6" l="1"/>
  <c r="E2165" i="6" s="1"/>
  <c r="D2166" i="6" l="1"/>
  <c r="E2166" i="6" s="1"/>
  <c r="D2167" i="6" l="1"/>
  <c r="E2167" i="6" s="1"/>
  <c r="D2168" i="6" l="1"/>
  <c r="E2168" i="6" s="1"/>
  <c r="D2169" i="6" l="1"/>
  <c r="E2169" i="6" s="1"/>
  <c r="D2170" i="6" l="1"/>
  <c r="E2170" i="6" s="1"/>
  <c r="D2171" i="6" l="1"/>
  <c r="E2171" i="6" s="1"/>
  <c r="D2172" i="6" l="1"/>
  <c r="E2172" i="6" s="1"/>
  <c r="D2173" i="6" l="1"/>
  <c r="E2173" i="6" s="1"/>
  <c r="D2174" i="6" l="1"/>
  <c r="E2174" i="6" s="1"/>
  <c r="D2175" i="6" l="1"/>
  <c r="E2175" i="6" s="1"/>
  <c r="D2176" i="6" l="1"/>
  <c r="E2176" i="6" s="1"/>
  <c r="D2177" i="6" l="1"/>
  <c r="E2177" i="6" s="1"/>
  <c r="D2178" i="6" l="1"/>
  <c r="E2178" i="6" s="1"/>
  <c r="D2179" i="6" l="1"/>
  <c r="E2179" i="6" s="1"/>
  <c r="D2180" i="6" l="1"/>
  <c r="E2180" i="6" s="1"/>
  <c r="D2181" i="6" l="1"/>
  <c r="E2181" i="6" s="1"/>
  <c r="D2182" i="6" l="1"/>
  <c r="E2182" i="6" s="1"/>
  <c r="D2183" i="6" l="1"/>
  <c r="E2183" i="6" s="1"/>
  <c r="D2184" i="6" l="1"/>
  <c r="E2184" i="6" s="1"/>
  <c r="D2185" i="6" l="1"/>
  <c r="E2185" i="6" s="1"/>
  <c r="D2186" i="6" l="1"/>
  <c r="E2186" i="6" s="1"/>
  <c r="D2187" i="6" l="1"/>
  <c r="E2187" i="6" s="1"/>
  <c r="D2188" i="6" l="1"/>
  <c r="E2188" i="6" s="1"/>
  <c r="D2189" i="6" l="1"/>
  <c r="E2189" i="6" s="1"/>
  <c r="D2190" i="6" l="1"/>
  <c r="E2190" i="6" s="1"/>
  <c r="D2191" i="6" l="1"/>
  <c r="E2191" i="6" s="1"/>
  <c r="D2192" i="6" l="1"/>
  <c r="E2192" i="6" s="1"/>
  <c r="D2193" i="6" l="1"/>
  <c r="E2193" i="6" s="1"/>
  <c r="D2194" i="6" l="1"/>
  <c r="E2194" i="6" s="1"/>
  <c r="D2195" i="6" l="1"/>
  <c r="E2195" i="6" s="1"/>
  <c r="D2196" i="6" l="1"/>
  <c r="E2196" i="6" s="1"/>
  <c r="D2197" i="6" l="1"/>
  <c r="E2197" i="6" s="1"/>
  <c r="D2198" i="6" l="1"/>
  <c r="E2198" i="6" s="1"/>
  <c r="D2199" i="6" l="1"/>
  <c r="E2199" i="6" s="1"/>
  <c r="D2200" i="6" l="1"/>
  <c r="E2200" i="6" s="1"/>
  <c r="D2201" i="6" l="1"/>
  <c r="E2201" i="6" s="1"/>
  <c r="D2202" i="6" l="1"/>
  <c r="E2202" i="6" s="1"/>
  <c r="D2203" i="6" l="1"/>
  <c r="E2203" i="6" s="1"/>
  <c r="D2204" i="6" l="1"/>
  <c r="E2204" i="6" s="1"/>
  <c r="D2205" i="6" l="1"/>
  <c r="E2205" i="6" s="1"/>
  <c r="D2206" i="6" l="1"/>
  <c r="E2206" i="6" s="1"/>
  <c r="D2207" i="6" l="1"/>
  <c r="E2207" i="6" s="1"/>
  <c r="D2208" i="6" l="1"/>
  <c r="E2208" i="6" s="1"/>
  <c r="D2209" i="6" l="1"/>
  <c r="E2209" i="6" s="1"/>
  <c r="D2210" i="6" l="1"/>
  <c r="E2210" i="6" s="1"/>
  <c r="D2211" i="6" l="1"/>
  <c r="E2211" i="6" s="1"/>
  <c r="D2212" i="6" l="1"/>
  <c r="E2212" i="6" s="1"/>
  <c r="D2213" i="6" l="1"/>
  <c r="E2213" i="6" s="1"/>
  <c r="D2214" i="6" l="1"/>
  <c r="E2214" i="6" s="1"/>
  <c r="D2215" i="6" l="1"/>
  <c r="E2215" i="6" s="1"/>
  <c r="D2216" i="6" l="1"/>
  <c r="E2216" i="6" s="1"/>
  <c r="D2217" i="6" l="1"/>
  <c r="E2217" i="6" s="1"/>
  <c r="D2218" i="6" l="1"/>
  <c r="E2218" i="6" s="1"/>
  <c r="D2219" i="6" l="1"/>
  <c r="E2219" i="6" s="1"/>
  <c r="D2220" i="6" l="1"/>
  <c r="E2220" i="6" s="1"/>
  <c r="D2221" i="6" l="1"/>
  <c r="E2221" i="6" s="1"/>
  <c r="D2222" i="6" l="1"/>
  <c r="E2222" i="6" s="1"/>
  <c r="D2223" i="6" l="1"/>
  <c r="E2223" i="6" s="1"/>
  <c r="D2224" i="6" l="1"/>
  <c r="E2224" i="6" s="1"/>
  <c r="D2225" i="6" l="1"/>
  <c r="E2225" i="6" s="1"/>
  <c r="D2226" i="6" l="1"/>
  <c r="E2226" i="6" s="1"/>
  <c r="D2227" i="6" l="1"/>
  <c r="E2227" i="6" s="1"/>
  <c r="D2228" i="6" l="1"/>
  <c r="E2228" i="6" s="1"/>
  <c r="D2229" i="6" l="1"/>
  <c r="E2229" i="6" s="1"/>
  <c r="D2230" i="6" l="1"/>
  <c r="E2230" i="6" s="1"/>
  <c r="D2231" i="6" l="1"/>
  <c r="E2231" i="6" s="1"/>
  <c r="D2232" i="6" l="1"/>
  <c r="E2232" i="6" s="1"/>
  <c r="D2233" i="6" l="1"/>
  <c r="E2233" i="6" s="1"/>
  <c r="D2234" i="6" l="1"/>
  <c r="E2234" i="6" s="1"/>
  <c r="D2235" i="6" l="1"/>
  <c r="E2235" i="6" s="1"/>
  <c r="D2236" i="6" l="1"/>
  <c r="E2236" i="6" s="1"/>
  <c r="D2237" i="6" l="1"/>
  <c r="E2237" i="6" s="1"/>
  <c r="D2238" i="6" l="1"/>
  <c r="E2238" i="6" s="1"/>
  <c r="D2239" i="6" l="1"/>
  <c r="E2239" i="6" s="1"/>
  <c r="D2240" i="6" l="1"/>
  <c r="E2240" i="6" s="1"/>
  <c r="D2241" i="6" l="1"/>
  <c r="E2241" i="6" s="1"/>
  <c r="D2242" i="6" l="1"/>
  <c r="E2242" i="6" s="1"/>
  <c r="D2243" i="6" l="1"/>
  <c r="E2243" i="6" s="1"/>
  <c r="D2244" i="6" l="1"/>
  <c r="E2244" i="6" s="1"/>
  <c r="D2245" i="6" l="1"/>
  <c r="E2245" i="6" s="1"/>
  <c r="D2246" i="6" l="1"/>
  <c r="E2246" i="6" s="1"/>
  <c r="D2247" i="6" l="1"/>
  <c r="E2247" i="6" s="1"/>
  <c r="D2248" i="6" l="1"/>
  <c r="E2248" i="6" s="1"/>
  <c r="D2249" i="6" l="1"/>
  <c r="E2249" i="6" s="1"/>
  <c r="D2250" i="6" l="1"/>
  <c r="E2250" i="6" s="1"/>
  <c r="D2251" i="6" l="1"/>
  <c r="E2251" i="6" s="1"/>
  <c r="D2252" i="6" l="1"/>
  <c r="E2252" i="6" s="1"/>
  <c r="D2253" i="6" l="1"/>
  <c r="E2253" i="6" s="1"/>
  <c r="D2254" i="6" l="1"/>
  <c r="E2254" i="6" s="1"/>
  <c r="D2255" i="6" l="1"/>
  <c r="E2255" i="6" s="1"/>
  <c r="D2256" i="6" l="1"/>
  <c r="E2256" i="6" s="1"/>
  <c r="D2257" i="6" l="1"/>
  <c r="E2257" i="6" s="1"/>
  <c r="D2258" i="6" l="1"/>
  <c r="E2258" i="6" s="1"/>
  <c r="D2259" i="6" l="1"/>
  <c r="E2259" i="6" s="1"/>
  <c r="D2260" i="6" l="1"/>
  <c r="E2260" i="6" s="1"/>
  <c r="D2261" i="6" l="1"/>
  <c r="E2261" i="6" s="1"/>
  <c r="D2262" i="6" l="1"/>
  <c r="E2262" i="6" s="1"/>
  <c r="D2263" i="6" l="1"/>
  <c r="E2263" i="6" s="1"/>
  <c r="D2264" i="6" l="1"/>
  <c r="E2264" i="6" s="1"/>
  <c r="D2265" i="6" l="1"/>
  <c r="E2265" i="6" s="1"/>
  <c r="D2266" i="6" l="1"/>
  <c r="E2266" i="6" s="1"/>
  <c r="D2267" i="6" l="1"/>
  <c r="E2267" i="6" s="1"/>
  <c r="D2268" i="6" l="1"/>
  <c r="E2268" i="6" s="1"/>
  <c r="D2269" i="6" l="1"/>
  <c r="E2269" i="6" s="1"/>
  <c r="D2270" i="6" l="1"/>
  <c r="E2270" i="6" s="1"/>
  <c r="D2271" i="6" l="1"/>
  <c r="E2271" i="6" s="1"/>
  <c r="D2272" i="6" l="1"/>
  <c r="E2272" i="6" s="1"/>
  <c r="D2273" i="6" l="1"/>
  <c r="E2273" i="6" s="1"/>
  <c r="D2274" i="6" l="1"/>
  <c r="E2274" i="6" s="1"/>
  <c r="D2275" i="6" l="1"/>
  <c r="E2275" i="6" s="1"/>
  <c r="D2276" i="6" l="1"/>
  <c r="E2276" i="6" s="1"/>
  <c r="D2277" i="6" l="1"/>
  <c r="E2277" i="6" s="1"/>
  <c r="D2278" i="6" l="1"/>
  <c r="E2278" i="6" s="1"/>
  <c r="D2279" i="6" l="1"/>
  <c r="E2279" i="6" s="1"/>
  <c r="D2280" i="6" l="1"/>
  <c r="E2280" i="6" s="1"/>
  <c r="D2281" i="6" l="1"/>
  <c r="E2281" i="6" s="1"/>
  <c r="D2282" i="6" l="1"/>
  <c r="E2282" i="6" s="1"/>
  <c r="D2283" i="6" l="1"/>
  <c r="E2283" i="6" s="1"/>
  <c r="D2284" i="6" l="1"/>
  <c r="E2284" i="6" s="1"/>
  <c r="D2285" i="6" l="1"/>
  <c r="E2285" i="6" s="1"/>
  <c r="D2286" i="6" l="1"/>
  <c r="E2286" i="6" s="1"/>
  <c r="D2287" i="6" l="1"/>
  <c r="E2287" i="6" s="1"/>
  <c r="D2288" i="6" l="1"/>
  <c r="E2288" i="6" s="1"/>
  <c r="D2289" i="6" l="1"/>
  <c r="E2289" i="6" s="1"/>
  <c r="D2290" i="6" l="1"/>
  <c r="E2290" i="6" s="1"/>
  <c r="D2291" i="6" l="1"/>
  <c r="E2291" i="6" s="1"/>
  <c r="D2292" i="6" l="1"/>
  <c r="E2292" i="6" s="1"/>
  <c r="D2293" i="6" l="1"/>
  <c r="E2293" i="6" s="1"/>
  <c r="D2294" i="6" l="1"/>
  <c r="E2294" i="6" s="1"/>
  <c r="D2295" i="6" l="1"/>
  <c r="E2295" i="6" s="1"/>
  <c r="D2296" i="6" l="1"/>
  <c r="E2296" i="6" s="1"/>
  <c r="D2297" i="6" l="1"/>
  <c r="E2297" i="6" s="1"/>
  <c r="D2298" i="6" l="1"/>
  <c r="E2298" i="6" s="1"/>
  <c r="D2299" i="6" l="1"/>
  <c r="E2299" i="6" s="1"/>
  <c r="D2300" i="6" l="1"/>
  <c r="E2300" i="6" s="1"/>
  <c r="D2301" i="6" l="1"/>
  <c r="E2301" i="6" s="1"/>
  <c r="D2302" i="6" l="1"/>
  <c r="E2302" i="6" s="1"/>
  <c r="D2303" i="6" l="1"/>
  <c r="E2303" i="6" s="1"/>
  <c r="D2304" i="6" l="1"/>
  <c r="E2304" i="6" s="1"/>
  <c r="D2305" i="6" l="1"/>
  <c r="E2305" i="6" s="1"/>
  <c r="D2306" i="6" l="1"/>
  <c r="E2306" i="6" s="1"/>
  <c r="D2307" i="6" l="1"/>
  <c r="E2307" i="6" s="1"/>
  <c r="D2308" i="6" l="1"/>
  <c r="E2308" i="6" s="1"/>
  <c r="D2309" i="6" l="1"/>
  <c r="E2309" i="6" s="1"/>
  <c r="D2310" i="6" l="1"/>
  <c r="E2310" i="6" s="1"/>
  <c r="D2311" i="6" l="1"/>
  <c r="E2311" i="6" s="1"/>
  <c r="D2312" i="6" l="1"/>
  <c r="E2312" i="6" s="1"/>
  <c r="D2313" i="6" l="1"/>
  <c r="E2313" i="6" s="1"/>
  <c r="D2314" i="6" l="1"/>
  <c r="E2314" i="6" s="1"/>
  <c r="D2315" i="6" l="1"/>
  <c r="E2315" i="6" s="1"/>
  <c r="D2316" i="6" l="1"/>
  <c r="E2316" i="6" s="1"/>
  <c r="D2317" i="6" l="1"/>
  <c r="E2317" i="6" s="1"/>
  <c r="D2318" i="6" l="1"/>
  <c r="E2318" i="6" s="1"/>
  <c r="D2319" i="6" l="1"/>
  <c r="E2319" i="6" s="1"/>
  <c r="D2320" i="6" l="1"/>
  <c r="E2320" i="6" s="1"/>
  <c r="D2321" i="6" l="1"/>
  <c r="E2321" i="6" s="1"/>
  <c r="D2322" i="6" l="1"/>
  <c r="E2322" i="6" s="1"/>
  <c r="D2323" i="6" l="1"/>
  <c r="E2323" i="6" s="1"/>
  <c r="D2324" i="6" l="1"/>
  <c r="E2324" i="6" s="1"/>
  <c r="D2325" i="6" l="1"/>
  <c r="E2325" i="6" s="1"/>
  <c r="D2326" i="6" l="1"/>
  <c r="E2326" i="6" s="1"/>
  <c r="D2327" i="6" l="1"/>
  <c r="E2327" i="6" s="1"/>
  <c r="D2328" i="6" l="1"/>
  <c r="E2328" i="6" s="1"/>
  <c r="D2329" i="6" l="1"/>
  <c r="E2329" i="6" s="1"/>
  <c r="D2330" i="6" l="1"/>
  <c r="E2330" i="6" s="1"/>
  <c r="D2331" i="6" l="1"/>
  <c r="E2331" i="6" s="1"/>
  <c r="D2332" i="6" l="1"/>
  <c r="E2332" i="6" s="1"/>
  <c r="D2333" i="6" l="1"/>
  <c r="E2333" i="6" s="1"/>
  <c r="D2334" i="6" l="1"/>
  <c r="E2334" i="6" s="1"/>
  <c r="D2335" i="6" l="1"/>
  <c r="E2335" i="6" s="1"/>
  <c r="D2336" i="6" l="1"/>
  <c r="E2336" i="6" s="1"/>
  <c r="D2337" i="6" l="1"/>
  <c r="E2337" i="6" s="1"/>
  <c r="D2338" i="6" l="1"/>
  <c r="E2338" i="6" s="1"/>
  <c r="D2339" i="6" l="1"/>
  <c r="E2339" i="6" s="1"/>
  <c r="D2340" i="6" l="1"/>
  <c r="E2340" i="6" s="1"/>
  <c r="D2341" i="6" l="1"/>
  <c r="E2341" i="6" s="1"/>
  <c r="D2342" i="6" l="1"/>
  <c r="E2342" i="6" s="1"/>
  <c r="D2343" i="6" l="1"/>
  <c r="E2343" i="6" s="1"/>
  <c r="D2344" i="6" l="1"/>
  <c r="E2344" i="6" s="1"/>
  <c r="D2345" i="6" l="1"/>
  <c r="E2345" i="6" s="1"/>
  <c r="D2346" i="6" l="1"/>
  <c r="E2346" i="6" s="1"/>
  <c r="D2347" i="6" l="1"/>
  <c r="E2347" i="6" s="1"/>
  <c r="D2348" i="6" l="1"/>
  <c r="E2348" i="6" s="1"/>
  <c r="D2349" i="6" l="1"/>
  <c r="E2349" i="6" s="1"/>
  <c r="D2350" i="6" l="1"/>
  <c r="E2350" i="6" s="1"/>
  <c r="D2351" i="6" l="1"/>
  <c r="E2351" i="6" s="1"/>
  <c r="D2352" i="6" l="1"/>
  <c r="E2352" i="6" s="1"/>
  <c r="D2353" i="6"/>
  <c r="E2353" i="6" s="1"/>
</calcChain>
</file>

<file path=xl/sharedStrings.xml><?xml version="1.0" encoding="utf-8"?>
<sst xmlns="http://schemas.openxmlformats.org/spreadsheetml/2006/main" count="10041" uniqueCount="438">
  <si>
    <t>Alwa</t>
  </si>
  <si>
    <t>Antonowka</t>
  </si>
  <si>
    <t>Cortland</t>
  </si>
  <si>
    <t>Delikates</t>
  </si>
  <si>
    <t>Gala</t>
  </si>
  <si>
    <t>Gloster</t>
  </si>
  <si>
    <t>Idared</t>
  </si>
  <si>
    <t>Jonagold</t>
  </si>
  <si>
    <t>Jonagored</t>
  </si>
  <si>
    <t>Kosztela</t>
  </si>
  <si>
    <t>Ligol</t>
  </si>
  <si>
    <t>Lobo</t>
  </si>
  <si>
    <t>Melba</t>
  </si>
  <si>
    <t>Papierowka</t>
  </si>
  <si>
    <t>Reneta</t>
  </si>
  <si>
    <t>Szampion</t>
  </si>
  <si>
    <t>192-09-72-275</t>
  </si>
  <si>
    <t>Z</t>
  </si>
  <si>
    <t>054-09-46-315</t>
  </si>
  <si>
    <t>015-89-55-248</t>
  </si>
  <si>
    <t>128-69-77-900</t>
  </si>
  <si>
    <t>053-79-35-388</t>
  </si>
  <si>
    <t>014-02-05-290</t>
  </si>
  <si>
    <t>050-38-86-889</t>
  </si>
  <si>
    <t>058-15-94-554</t>
  </si>
  <si>
    <t>102-48-01-310</t>
  </si>
  <si>
    <t>033-49-11-774</t>
  </si>
  <si>
    <t>176-54-34-364</t>
  </si>
  <si>
    <t>089-90-67-935</t>
  </si>
  <si>
    <t>159-34-45-151</t>
  </si>
  <si>
    <t>170-89-76-803</t>
  </si>
  <si>
    <t>164-61-25-530</t>
  </si>
  <si>
    <t>091-99-74-175</t>
  </si>
  <si>
    <t>043-34-53-278</t>
  </si>
  <si>
    <t>105-89-55-029</t>
  </si>
  <si>
    <t>178-24-36-171</t>
  </si>
  <si>
    <t>080-51-85-809</t>
  </si>
  <si>
    <t>019-98-81-222</t>
  </si>
  <si>
    <t>039-15-21-087</t>
  </si>
  <si>
    <t>128-91-02-348</t>
  </si>
  <si>
    <t>138-66-38-929</t>
  </si>
  <si>
    <t>172-30-09-104</t>
  </si>
  <si>
    <t>182-72-86-381</t>
  </si>
  <si>
    <t>179-23-02-772</t>
  </si>
  <si>
    <t>047-70-78-199</t>
  </si>
  <si>
    <t>045-63-27-114</t>
  </si>
  <si>
    <t>047-26-54-835</t>
  </si>
  <si>
    <t>126-55-91-375</t>
  </si>
  <si>
    <t>029-43-78-009</t>
  </si>
  <si>
    <t>193-47-03-638</t>
  </si>
  <si>
    <t>163-92-64-010</t>
  </si>
  <si>
    <t>072-92-42-932</t>
  </si>
  <si>
    <t>177-95-05-373</t>
  </si>
  <si>
    <t>062-58-80-597</t>
  </si>
  <si>
    <t>178-41-36-927</t>
  </si>
  <si>
    <t>131-80-62-556</t>
  </si>
  <si>
    <t>170-26-38-135</t>
  </si>
  <si>
    <t>035-32-41-072</t>
  </si>
  <si>
    <t>080-77-49-649</t>
  </si>
  <si>
    <t>180-17-78-339</t>
  </si>
  <si>
    <t>115-65-39-258</t>
  </si>
  <si>
    <t>128-29-15-591</t>
  </si>
  <si>
    <t>140-36-11-559</t>
  </si>
  <si>
    <t>153-24-82-022</t>
  </si>
  <si>
    <t>093-96-93-428</t>
  </si>
  <si>
    <t>J</t>
  </si>
  <si>
    <t>162-82-16-285</t>
  </si>
  <si>
    <t>179-22-38-195</t>
  </si>
  <si>
    <t>L</t>
  </si>
  <si>
    <t>Etykiety wierszy</t>
  </si>
  <si>
    <t>Suma końcowa</t>
  </si>
  <si>
    <t>Etykiety kolumn</t>
  </si>
  <si>
    <t>data sprzedazy</t>
  </si>
  <si>
    <t>kod odmiany</t>
  </si>
  <si>
    <t>nazwa odmiany jablka</t>
  </si>
  <si>
    <t>NIP</t>
  </si>
  <si>
    <t>kilogramy</t>
  </si>
  <si>
    <t>nazwa</t>
  </si>
  <si>
    <t>cena / kg</t>
  </si>
  <si>
    <t>Suma z kilogramy</t>
  </si>
  <si>
    <t xml:space="preserve">przychód </t>
  </si>
  <si>
    <t>przychod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</si>
  <si>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</si>
  <si>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</si>
  <si>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</si>
  <si>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</si>
  <si>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</si>
  <si>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</si>
  <si>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</si>
  <si>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</si>
  <si>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</si>
  <si>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</si>
  <si>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</si>
  <si>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03.sty</t>
  </si>
  <si>
    <t>04.sty</t>
  </si>
  <si>
    <t>05.sty</t>
  </si>
  <si>
    <t>06.sty</t>
  </si>
  <si>
    <t>07.sty</t>
  </si>
  <si>
    <t>08.sty</t>
  </si>
  <si>
    <t>10.sty</t>
  </si>
  <si>
    <t>11.sty</t>
  </si>
  <si>
    <t>12.sty</t>
  </si>
  <si>
    <t>13.sty</t>
  </si>
  <si>
    <t>14.sty</t>
  </si>
  <si>
    <t>15.sty</t>
  </si>
  <si>
    <t>17.sty</t>
  </si>
  <si>
    <t>18.sty</t>
  </si>
  <si>
    <t>19.sty</t>
  </si>
  <si>
    <t>20.sty</t>
  </si>
  <si>
    <t>21.sty</t>
  </si>
  <si>
    <t>22.sty</t>
  </si>
  <si>
    <t>24.sty</t>
  </si>
  <si>
    <t>25.sty</t>
  </si>
  <si>
    <t>26.sty</t>
  </si>
  <si>
    <t>27.sty</t>
  </si>
  <si>
    <t>28.sty</t>
  </si>
  <si>
    <t>29.sty</t>
  </si>
  <si>
    <t>31.sty</t>
  </si>
  <si>
    <t>01.lut</t>
  </si>
  <si>
    <t>02.lut</t>
  </si>
  <si>
    <t>03.lut</t>
  </si>
  <si>
    <t>04.lut</t>
  </si>
  <si>
    <t>05.lut</t>
  </si>
  <si>
    <t>07.lut</t>
  </si>
  <si>
    <t>08.lut</t>
  </si>
  <si>
    <t>09.lut</t>
  </si>
  <si>
    <t>10.lut</t>
  </si>
  <si>
    <t>11.lut</t>
  </si>
  <si>
    <t>12.lut</t>
  </si>
  <si>
    <t>14.lut</t>
  </si>
  <si>
    <t>15.lut</t>
  </si>
  <si>
    <t>16.lut</t>
  </si>
  <si>
    <t>17.lut</t>
  </si>
  <si>
    <t>18.lut</t>
  </si>
  <si>
    <t>19.lut</t>
  </si>
  <si>
    <t>21.lut</t>
  </si>
  <si>
    <t>22.lut</t>
  </si>
  <si>
    <t>23.lut</t>
  </si>
  <si>
    <t>24.lut</t>
  </si>
  <si>
    <t>25.lut</t>
  </si>
  <si>
    <t>26.lut</t>
  </si>
  <si>
    <t>28.lut</t>
  </si>
  <si>
    <t>01.mar</t>
  </si>
  <si>
    <t>02.mar</t>
  </si>
  <si>
    <t>03.mar</t>
  </si>
  <si>
    <t>04.mar</t>
  </si>
  <si>
    <t>05.mar</t>
  </si>
  <si>
    <t>07.mar</t>
  </si>
  <si>
    <t>08.mar</t>
  </si>
  <si>
    <t>09.mar</t>
  </si>
  <si>
    <t>10.mar</t>
  </si>
  <si>
    <t>11.mar</t>
  </si>
  <si>
    <t>12.mar</t>
  </si>
  <si>
    <t>14.mar</t>
  </si>
  <si>
    <t>15.mar</t>
  </si>
  <si>
    <t>16.mar</t>
  </si>
  <si>
    <t>17.mar</t>
  </si>
  <si>
    <t>18.mar</t>
  </si>
  <si>
    <t>19.mar</t>
  </si>
  <si>
    <t>21.mar</t>
  </si>
  <si>
    <t>22.mar</t>
  </si>
  <si>
    <t>23.mar</t>
  </si>
  <si>
    <t>24.mar</t>
  </si>
  <si>
    <t>25.mar</t>
  </si>
  <si>
    <t>26.mar</t>
  </si>
  <si>
    <t>28.mar</t>
  </si>
  <si>
    <t>29.mar</t>
  </si>
  <si>
    <t>30.mar</t>
  </si>
  <si>
    <t>31.mar</t>
  </si>
  <si>
    <t>01.kwi</t>
  </si>
  <si>
    <t>02.kwi</t>
  </si>
  <si>
    <t>04.kwi</t>
  </si>
  <si>
    <t>05.kwi</t>
  </si>
  <si>
    <t>06.kwi</t>
  </si>
  <si>
    <t>07.kwi</t>
  </si>
  <si>
    <t>08.kwi</t>
  </si>
  <si>
    <t>09.kwi</t>
  </si>
  <si>
    <t>11.kwi</t>
  </si>
  <si>
    <t>12.kwi</t>
  </si>
  <si>
    <t>13.kwi</t>
  </si>
  <si>
    <t>14.kwi</t>
  </si>
  <si>
    <t>15.kwi</t>
  </si>
  <si>
    <t>16.kwi</t>
  </si>
  <si>
    <t>18.kwi</t>
  </si>
  <si>
    <t>19.kwi</t>
  </si>
  <si>
    <t>20.kwi</t>
  </si>
  <si>
    <t>21.kwi</t>
  </si>
  <si>
    <t>22.kwi</t>
  </si>
  <si>
    <t>23.kwi</t>
  </si>
  <si>
    <t>25.kwi</t>
  </si>
  <si>
    <t>26.kwi</t>
  </si>
  <si>
    <t>27.kwi</t>
  </si>
  <si>
    <t>28.kwi</t>
  </si>
  <si>
    <t>29.kwi</t>
  </si>
  <si>
    <t>30.kwi</t>
  </si>
  <si>
    <t>02.maj</t>
  </si>
  <si>
    <t>03.maj</t>
  </si>
  <si>
    <t>04.maj</t>
  </si>
  <si>
    <t>05.maj</t>
  </si>
  <si>
    <t>06.maj</t>
  </si>
  <si>
    <t>07.maj</t>
  </si>
  <si>
    <t>09.maj</t>
  </si>
  <si>
    <t>10.maj</t>
  </si>
  <si>
    <t>11.maj</t>
  </si>
  <si>
    <t>12.maj</t>
  </si>
  <si>
    <t>13.maj</t>
  </si>
  <si>
    <t>14.maj</t>
  </si>
  <si>
    <t>16.maj</t>
  </si>
  <si>
    <t>17.maj</t>
  </si>
  <si>
    <t>18.maj</t>
  </si>
  <si>
    <t>19.maj</t>
  </si>
  <si>
    <t>20.maj</t>
  </si>
  <si>
    <t>21.maj</t>
  </si>
  <si>
    <t>23.maj</t>
  </si>
  <si>
    <t>24.maj</t>
  </si>
  <si>
    <t>25.maj</t>
  </si>
  <si>
    <t>26.maj</t>
  </si>
  <si>
    <t>27.maj</t>
  </si>
  <si>
    <t>28.maj</t>
  </si>
  <si>
    <t>30.maj</t>
  </si>
  <si>
    <t>31.maj</t>
  </si>
  <si>
    <t>01.cze</t>
  </si>
  <si>
    <t>02.cze</t>
  </si>
  <si>
    <t>03.cze</t>
  </si>
  <si>
    <t>04.cze</t>
  </si>
  <si>
    <t>06.cze</t>
  </si>
  <si>
    <t>07.cze</t>
  </si>
  <si>
    <t>08.cze</t>
  </si>
  <si>
    <t>09.cze</t>
  </si>
  <si>
    <t>10.cze</t>
  </si>
  <si>
    <t>11.cze</t>
  </si>
  <si>
    <t>13.cze</t>
  </si>
  <si>
    <t>14.cze</t>
  </si>
  <si>
    <t>15.cze</t>
  </si>
  <si>
    <t>16.cze</t>
  </si>
  <si>
    <t>17.cze</t>
  </si>
  <si>
    <t>18.cze</t>
  </si>
  <si>
    <t>20.cze</t>
  </si>
  <si>
    <t>21.cze</t>
  </si>
  <si>
    <t>22.cze</t>
  </si>
  <si>
    <t>23.cze</t>
  </si>
  <si>
    <t>24.cze</t>
  </si>
  <si>
    <t>25.cze</t>
  </si>
  <si>
    <t>27.cze</t>
  </si>
  <si>
    <t>28.cze</t>
  </si>
  <si>
    <t>29.cze</t>
  </si>
  <si>
    <t>30.cze</t>
  </si>
  <si>
    <t>01.lip</t>
  </si>
  <si>
    <t>02.lip</t>
  </si>
  <si>
    <t>04.lip</t>
  </si>
  <si>
    <t>05.lip</t>
  </si>
  <si>
    <t>06.lip</t>
  </si>
  <si>
    <t>07.lip</t>
  </si>
  <si>
    <t>08.lip</t>
  </si>
  <si>
    <t>09.lip</t>
  </si>
  <si>
    <t>11.lip</t>
  </si>
  <si>
    <t>12.lip</t>
  </si>
  <si>
    <t>13.lip</t>
  </si>
  <si>
    <t>14.lip</t>
  </si>
  <si>
    <t>15.lip</t>
  </si>
  <si>
    <t>16.lip</t>
  </si>
  <si>
    <t>18.lip</t>
  </si>
  <si>
    <t>19.lip</t>
  </si>
  <si>
    <t>20.lip</t>
  </si>
  <si>
    <t>21.lip</t>
  </si>
  <si>
    <t>22.lip</t>
  </si>
  <si>
    <t>23.lip</t>
  </si>
  <si>
    <t>25.lip</t>
  </si>
  <si>
    <t>26.lip</t>
  </si>
  <si>
    <t>27.lip</t>
  </si>
  <si>
    <t>28.lip</t>
  </si>
  <si>
    <t>29.lip</t>
  </si>
  <si>
    <t>30.lip</t>
  </si>
  <si>
    <t>01.sie</t>
  </si>
  <si>
    <t>02.sie</t>
  </si>
  <si>
    <t>03.sie</t>
  </si>
  <si>
    <t>04.sie</t>
  </si>
  <si>
    <t>05.sie</t>
  </si>
  <si>
    <t>06.sie</t>
  </si>
  <si>
    <t>08.sie</t>
  </si>
  <si>
    <t>09.sie</t>
  </si>
  <si>
    <t>10.sie</t>
  </si>
  <si>
    <t>11.sie</t>
  </si>
  <si>
    <t>12.sie</t>
  </si>
  <si>
    <t>13.sie</t>
  </si>
  <si>
    <t>15.sie</t>
  </si>
  <si>
    <t>16.sie</t>
  </si>
  <si>
    <t>17.sie</t>
  </si>
  <si>
    <t>18.sie</t>
  </si>
  <si>
    <t>19.sie</t>
  </si>
  <si>
    <t>20.sie</t>
  </si>
  <si>
    <t>22.sie</t>
  </si>
  <si>
    <t>23.sie</t>
  </si>
  <si>
    <t>24.sie</t>
  </si>
  <si>
    <t>25.sie</t>
  </si>
  <si>
    <t>26.sie</t>
  </si>
  <si>
    <t>27.sie</t>
  </si>
  <si>
    <t>29.sie</t>
  </si>
  <si>
    <t>30.sie</t>
  </si>
  <si>
    <t>31.sie</t>
  </si>
  <si>
    <t>01.wrz</t>
  </si>
  <si>
    <t>02.wrz</t>
  </si>
  <si>
    <t>03.wrz</t>
  </si>
  <si>
    <t>05.wrz</t>
  </si>
  <si>
    <t>06.wrz</t>
  </si>
  <si>
    <t>07.wrz</t>
  </si>
  <si>
    <t>08.wrz</t>
  </si>
  <si>
    <t>09.wrz</t>
  </si>
  <si>
    <t>10.wrz</t>
  </si>
  <si>
    <t>12.wrz</t>
  </si>
  <si>
    <t>13.wrz</t>
  </si>
  <si>
    <t>14.wrz</t>
  </si>
  <si>
    <t>15.wrz</t>
  </si>
  <si>
    <t>16.wrz</t>
  </si>
  <si>
    <t>17.wrz</t>
  </si>
  <si>
    <t>19.wrz</t>
  </si>
  <si>
    <t>20.wrz</t>
  </si>
  <si>
    <t>21.wrz</t>
  </si>
  <si>
    <t>22.wrz</t>
  </si>
  <si>
    <t>23.wrz</t>
  </si>
  <si>
    <t>24.wrz</t>
  </si>
  <si>
    <t>26.wrz</t>
  </si>
  <si>
    <t>27.wrz</t>
  </si>
  <si>
    <t>28.wrz</t>
  </si>
  <si>
    <t>29.wrz</t>
  </si>
  <si>
    <t>30.wrz</t>
  </si>
  <si>
    <t>01.paź</t>
  </si>
  <si>
    <t>03.paź</t>
  </si>
  <si>
    <t>04.paź</t>
  </si>
  <si>
    <t>05.paź</t>
  </si>
  <si>
    <t>06.paź</t>
  </si>
  <si>
    <t>07.paź</t>
  </si>
  <si>
    <t>08.paź</t>
  </si>
  <si>
    <t>10.paź</t>
  </si>
  <si>
    <t>11.paź</t>
  </si>
  <si>
    <t>12.paź</t>
  </si>
  <si>
    <t>13.paź</t>
  </si>
  <si>
    <t>14.paź</t>
  </si>
  <si>
    <t>15.paź</t>
  </si>
  <si>
    <t>17.paź</t>
  </si>
  <si>
    <t>18.paź</t>
  </si>
  <si>
    <t>19.paź</t>
  </si>
  <si>
    <t>20.paź</t>
  </si>
  <si>
    <t>21.paź</t>
  </si>
  <si>
    <t>22.paź</t>
  </si>
  <si>
    <t>24.paź</t>
  </si>
  <si>
    <t>25.paź</t>
  </si>
  <si>
    <t>26.paź</t>
  </si>
  <si>
    <t>27.paź</t>
  </si>
  <si>
    <t>28.paź</t>
  </si>
  <si>
    <t>29.paź</t>
  </si>
  <si>
    <t>31.paź</t>
  </si>
  <si>
    <t>01.lis</t>
  </si>
  <si>
    <t>02.lis</t>
  </si>
  <si>
    <t>03.lis</t>
  </si>
  <si>
    <t>04.lis</t>
  </si>
  <si>
    <t>05.lis</t>
  </si>
  <si>
    <t>07.lis</t>
  </si>
  <si>
    <t>08.lis</t>
  </si>
  <si>
    <t>09.lis</t>
  </si>
  <si>
    <t>10.lis</t>
  </si>
  <si>
    <t>11.lis</t>
  </si>
  <si>
    <t>12.lis</t>
  </si>
  <si>
    <t>14.lis</t>
  </si>
  <si>
    <t>15.lis</t>
  </si>
  <si>
    <t>16.lis</t>
  </si>
  <si>
    <t>17.lis</t>
  </si>
  <si>
    <t>18.lis</t>
  </si>
  <si>
    <t>19.lis</t>
  </si>
  <si>
    <t>21.lis</t>
  </si>
  <si>
    <t>22.lis</t>
  </si>
  <si>
    <t>23.lis</t>
  </si>
  <si>
    <t>24.lis</t>
  </si>
  <si>
    <t>25.lis</t>
  </si>
  <si>
    <t>26.lis</t>
  </si>
  <si>
    <t>28.lis</t>
  </si>
  <si>
    <t>29.lis</t>
  </si>
  <si>
    <t>30.lis</t>
  </si>
  <si>
    <t>01.gru</t>
  </si>
  <si>
    <t>02.gru</t>
  </si>
  <si>
    <t>03.gru</t>
  </si>
  <si>
    <t>05.gru</t>
  </si>
  <si>
    <t>06.gru</t>
  </si>
  <si>
    <t>07.gru</t>
  </si>
  <si>
    <t>08.gru</t>
  </si>
  <si>
    <t>09.gru</t>
  </si>
  <si>
    <t>10.gru</t>
  </si>
  <si>
    <t>12.gru</t>
  </si>
  <si>
    <t>13.gru</t>
  </si>
  <si>
    <t>14.gru</t>
  </si>
  <si>
    <t>15.gru</t>
  </si>
  <si>
    <t>16.gru</t>
  </si>
  <si>
    <t>17.gru</t>
  </si>
  <si>
    <t>19.gru</t>
  </si>
  <si>
    <t>20.gru</t>
  </si>
  <si>
    <t>21.gru</t>
  </si>
  <si>
    <t>22.gru</t>
  </si>
  <si>
    <t>23.gru</t>
  </si>
  <si>
    <t>24.gru</t>
  </si>
  <si>
    <t>26.gru</t>
  </si>
  <si>
    <t>27.gru</t>
  </si>
  <si>
    <t>28.gru</t>
  </si>
  <si>
    <t>29.gru</t>
  </si>
  <si>
    <t>30.gru</t>
  </si>
  <si>
    <t>31.gru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</si>
  <si>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</si>
  <si>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</si>
  <si>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</si>
  <si>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</si>
  <si>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</si>
  <si>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</si>
  <si>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</si>
  <si>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</si>
  <si>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</si>
  <si>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</si>
  <si>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</si>
  <si>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</si>
  <si>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Najpopularniejsza</t>
  </si>
  <si>
    <t>Miesiąc</t>
  </si>
  <si>
    <t>Ilość</t>
  </si>
  <si>
    <t>styczeń</t>
  </si>
  <si>
    <t xml:space="preserve">kwota rabatu </t>
  </si>
  <si>
    <t>zakres rabatu</t>
  </si>
  <si>
    <t>5gr</t>
  </si>
  <si>
    <t>15 000 &lt; x &gt; 20 000</t>
  </si>
  <si>
    <t>10gr</t>
  </si>
  <si>
    <t>x &gt;= 20 000</t>
  </si>
  <si>
    <t>od momentu 1 nabijaj rabat i sprawdzaj zakres nastepny</t>
  </si>
  <si>
    <t>Czy jest rabat 10gr</t>
  </si>
  <si>
    <t>Czy jest rabat 5gr</t>
  </si>
  <si>
    <t>koszt całkowity</t>
  </si>
  <si>
    <t>Szczegóły Suma z kilogramy — Dni (data sprzedazy): 20-Dec, NIP: 014-02-05-290</t>
  </si>
  <si>
    <t>rabat</t>
  </si>
  <si>
    <t>SUMA RABATÓW:</t>
  </si>
  <si>
    <t>ILE RAZY UDZIELONO RABATU:</t>
  </si>
  <si>
    <t>Suma z kilogramow</t>
  </si>
  <si>
    <t>rabaty</t>
  </si>
  <si>
    <t>ILOŚĆ PRZYZNANYCH RABATÓW: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</si>
</sst>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800]dddd\,\ mmmm\ dd\,\ yyyy"/>
    <numFmt numFmtId="165" formatCode="[$-415]mmmm\ yy;@"/>
    <numFmt numFmtId="166" formatCode="_-* #,##0.0_-;\-* #,##0.0_-;_-* &quot;-&quot;??_-;_-@_-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0" xfId="0" applyFont="1"/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  <xf numFmtId="166" fontId="0" fillId="0" borderId="0" xfId="1" applyNumberFormat="1" applyFont="1"/>
    <xf numFmtId="0" fontId="0" fillId="0" borderId="0" xfId="0" applyAlignment="1">
      <alignment horizontal="center"/>
    </xf>
    <xf numFmtId="2" fontId="0" fillId="0" borderId="0" xfId="0" applyNumberFormat="1"/>
  </cellXfs>
  <cellStyles count="2">
    <cellStyle name="Dziesiętny" xfId="1" builtinId="3"/>
    <cellStyle name="Normalny" xfId="0" builtinId="0"/>
  </cellStyles>
  <dxfs count="15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numFmt numFmtId="164" formatCode="[$-F800]dddd\,\ mmmm\ dd\,\ yyyy"/>
    </dxf>
    <dxf>
      <numFmt numFmtId="2" formatCode="0.00"/>
    </dxf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Najpopularniejsze odmiany w miesiącach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Arkusz1!$S$5:$S$16</c:f>
              <c:strCache>
                <c:ptCount val="12"/>
                <c:pt idx="0">
                  <c:v>Styczeń- Gala</c:v>
                </c:pt>
                <c:pt idx="1">
                  <c:v>Luty- Gala</c:v>
                </c:pt>
                <c:pt idx="2">
                  <c:v>Marzec- Jonagored</c:v>
                </c:pt>
                <c:pt idx="3">
                  <c:v>Kwiecień- Gala</c:v>
                </c:pt>
                <c:pt idx="4">
                  <c:v>Maj- Gala</c:v>
                </c:pt>
                <c:pt idx="5">
                  <c:v>Czerwiec- Reneta</c:v>
                </c:pt>
                <c:pt idx="6">
                  <c:v>Lipiec- Melba</c:v>
                </c:pt>
                <c:pt idx="7">
                  <c:v>Sierpień- Reneta</c:v>
                </c:pt>
                <c:pt idx="8">
                  <c:v>Wrzesień- Reneta</c:v>
                </c:pt>
                <c:pt idx="9">
                  <c:v>Październik- Reneta</c:v>
                </c:pt>
                <c:pt idx="10">
                  <c:v>Listopad- Reneta</c:v>
                </c:pt>
                <c:pt idx="11">
                  <c:v>Grudzień- Jonagored</c:v>
                </c:pt>
              </c:strCache>
            </c:strRef>
          </c:cat>
          <c:val>
            <c:numRef>
              <c:f>Arkusz1!$T$5:$T$16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5-48CE-81EC-BAAD323E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7654975"/>
        <c:axId val="357657855"/>
      </c:barChart>
      <c:catAx>
        <c:axId val="357654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7657855"/>
        <c:crosses val="autoZero"/>
        <c:auto val="1"/>
        <c:lblAlgn val="ctr"/>
        <c:lblOffset val="100"/>
        <c:noMultiLvlLbl val="0"/>
      </c:catAx>
      <c:valAx>
        <c:axId val="3576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sprzedanych jabłek [kg]</a:t>
                </a:r>
              </a:p>
            </c:rich>
          </c:tx>
          <c:layout>
            <c:manualLayout>
              <c:xMode val="edge"/>
              <c:yMode val="edge"/>
              <c:x val="1.5944195316392625E-2"/>
              <c:y val="0.22904268545379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7654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CF23801-5D59-B4D9-6577-A68C862CB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058.759080439813" createdVersion="8" refreshedVersion="8" minRefreshableVersion="3" recordCount="2500" xr:uid="{82B64AA8-2948-4429-B4A2-518A8F0C6E80}">
  <cacheSource type="worksheet">
    <worksheetSource ref="A1:F2501" sheet="jablka"/>
  </cacheSource>
  <cacheFields count="8">
    <cacheField name="data sprzedazy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7"/>
    </cacheField>
    <cacheField name="nazwa odmiany jablk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 odmiany" numFmtId="0">
      <sharedItems count="3">
        <s v="Z"/>
        <s v="J"/>
        <s v="L"/>
      </sharedItems>
    </cacheField>
    <cacheField name="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kilogramy" numFmtId="0">
      <sharedItems containsSemiMixedTypes="0" containsString="0" containsNumber="1" containsInteger="1" minValue="10" maxValue="797" count="645">
        <n v="470"/>
        <n v="410"/>
        <n v="242"/>
        <n v="533"/>
        <n v="543"/>
        <n v="341"/>
        <n v="284"/>
        <n v="159"/>
        <n v="609"/>
        <n v="464"/>
        <n v="570"/>
        <n v="222"/>
        <n v="720"/>
        <n v="283"/>
        <n v="204"/>
        <n v="368"/>
        <n v="110"/>
        <n v="534"/>
        <n v="438"/>
        <n v="34"/>
        <n v="64"/>
        <n v="555"/>
        <n v="640"/>
        <n v="331"/>
        <n v="114"/>
        <n v="378"/>
        <n v="206"/>
        <n v="318"/>
        <n v="657"/>
        <n v="316"/>
        <n v="139"/>
        <n v="254"/>
        <n v="69"/>
        <n v="141"/>
        <n v="740"/>
        <n v="715"/>
        <n v="446"/>
        <n v="390"/>
        <n v="455"/>
        <n v="323"/>
        <n v="115"/>
        <n v="629"/>
        <n v="11"/>
        <n v="270"/>
        <n v="377"/>
        <n v="371"/>
        <n v="288"/>
        <n v="306"/>
        <n v="258"/>
        <n v="260"/>
        <n v="103"/>
        <n v="127"/>
        <n v="32"/>
        <n v="196"/>
        <n v="120"/>
        <n v="372"/>
        <n v="577"/>
        <n v="88"/>
        <n v="266"/>
        <n v="85"/>
        <n v="695"/>
        <n v="232"/>
        <n v="734"/>
        <n v="424"/>
        <n v="193"/>
        <n v="13"/>
        <n v="450"/>
        <n v="356"/>
        <n v="281"/>
        <n v="415"/>
        <n v="627"/>
        <n v="369"/>
        <n v="89"/>
        <n v="579"/>
        <n v="412"/>
        <n v="403"/>
        <n v="92"/>
        <n v="269"/>
        <n v="752"/>
        <n v="408"/>
        <n v="536"/>
        <n v="47"/>
        <n v="249"/>
        <n v="566"/>
        <n v="364"/>
        <n v="461"/>
        <n v="256"/>
        <n v="94"/>
        <n v="183"/>
        <n v="463"/>
        <n v="169"/>
        <n v="556"/>
        <n v="583"/>
        <n v="374"/>
        <n v="308"/>
        <n v="240"/>
        <n v="298"/>
        <n v="272"/>
        <n v="430"/>
        <n v="532"/>
        <n v="396"/>
        <n v="520"/>
        <n v="296"/>
        <n v="400"/>
        <n v="221"/>
        <n v="19"/>
        <n v="346"/>
        <n v="419"/>
        <n v="211"/>
        <n v="15"/>
        <n v="212"/>
        <n v="511"/>
        <n v="447"/>
        <n v="327"/>
        <n v="241"/>
        <n v="497"/>
        <n v="111"/>
        <n v="482"/>
        <n v="46"/>
        <n v="385"/>
        <n v="717"/>
        <n v="135"/>
        <n v="234"/>
        <n v="402"/>
        <n v="478"/>
        <n v="361"/>
        <n v="247"/>
        <n v="590"/>
        <n v="59"/>
        <n v="781"/>
        <n v="132"/>
        <n v="23"/>
        <n v="186"/>
        <n v="255"/>
        <n v="113"/>
        <n v="407"/>
        <n v="339"/>
        <n v="305"/>
        <n v="621"/>
        <n v="591"/>
        <n v="136"/>
        <n v="417"/>
        <n v="311"/>
        <n v="409"/>
        <n v="646"/>
        <n v="460"/>
        <n v="568"/>
        <n v="350"/>
        <n v="367"/>
        <n v="431"/>
        <n v="389"/>
        <n v="79"/>
        <n v="257"/>
        <n v="625"/>
        <n v="81"/>
        <n v="337"/>
        <n v="12"/>
        <n v="129"/>
        <n v="301"/>
        <n v="354"/>
        <n v="112"/>
        <n v="783"/>
        <n v="299"/>
        <n v="145"/>
        <n v="581"/>
        <n v="197"/>
        <n v="493"/>
        <n v="321"/>
        <n v="18"/>
        <n v="45"/>
        <n v="712"/>
        <n v="317"/>
        <n v="605"/>
        <n v="148"/>
        <n v="144"/>
        <n v="289"/>
        <n v="67"/>
        <n v="310"/>
        <n v="440"/>
        <n v="25"/>
        <n v="508"/>
        <n v="429"/>
        <n v="100"/>
        <n v="559"/>
        <n v="483"/>
        <n v="481"/>
        <n v="344"/>
        <n v="650"/>
        <n v="187"/>
        <n v="433"/>
        <n v="180"/>
        <n v="231"/>
        <n v="551"/>
        <n v="149"/>
        <n v="697"/>
        <n v="737"/>
        <n v="366"/>
        <n v="90"/>
        <n v="96"/>
        <n v="524"/>
        <n v="84"/>
        <n v="388"/>
        <n v="353"/>
        <n v="185"/>
        <n v="476"/>
        <n v="330"/>
        <n v="44"/>
        <n v="602"/>
        <n v="107"/>
        <n v="335"/>
        <n v="49"/>
        <n v="578"/>
        <n v="238"/>
        <n v="675"/>
        <n v="477"/>
        <n v="413"/>
        <n v="421"/>
        <n v="340"/>
        <n v="191"/>
        <n v="170"/>
        <n v="42"/>
        <n v="393"/>
        <n v="333"/>
        <n v="259"/>
        <n v="227"/>
        <n v="498"/>
        <n v="93"/>
        <n v="538"/>
        <n v="167"/>
        <n v="71"/>
        <n v="573"/>
        <n v="728"/>
        <n v="99"/>
        <n v="487"/>
        <n v="375"/>
        <n v="163"/>
        <n v="489"/>
        <n v="16"/>
        <n v="293"/>
        <n v="128"/>
        <n v="150"/>
        <n v="465"/>
        <n v="263"/>
        <n v="603"/>
        <n v="475"/>
        <n v="387"/>
        <n v="574"/>
        <n v="294"/>
        <n v="753"/>
        <n v="154"/>
        <n v="780"/>
        <n v="542"/>
        <n v="510"/>
        <n v="384"/>
        <n v="39"/>
        <n v="522"/>
        <n v="315"/>
        <n v="610"/>
        <n v="243"/>
        <n v="398"/>
        <n v="176"/>
        <n v="342"/>
        <n v="456"/>
        <n v="682"/>
        <n v="292"/>
        <n v="680"/>
        <n v="454"/>
        <n v="692"/>
        <n v="435"/>
        <n v="130"/>
        <n v="74"/>
        <n v="205"/>
        <n v="332"/>
        <n v="599"/>
        <n v="235"/>
        <n v="155"/>
        <n v="576"/>
        <n v="395"/>
        <n v="448"/>
        <n v="418"/>
        <n v="328"/>
        <n v="678"/>
        <n v="685"/>
        <n v="126"/>
        <n v="133"/>
        <n v="491"/>
        <n v="628"/>
        <n v="459"/>
        <n v="172"/>
        <n v="674"/>
        <n v="209"/>
        <n v="177"/>
        <n v="14"/>
        <n v="36"/>
        <n v="480"/>
        <n v="65"/>
        <n v="322"/>
        <n v="466"/>
        <n v="302"/>
        <n v="223"/>
        <n v="320"/>
        <n v="329"/>
        <n v="123"/>
        <n v="560"/>
        <n v="345"/>
        <n v="488"/>
        <n v="537"/>
        <n v="86"/>
        <n v="426"/>
        <n v="80"/>
        <n v="394"/>
        <n v="563"/>
        <n v="436"/>
        <n v="668"/>
        <n v="274"/>
        <n v="224"/>
        <n v="244"/>
        <n v="213"/>
        <n v="495"/>
        <n v="743"/>
        <n v="405"/>
        <n v="264"/>
        <n v="165"/>
        <n v="91"/>
        <n v="529"/>
        <n v="658"/>
        <n v="768"/>
        <n v="277"/>
        <n v="420"/>
        <n v="17"/>
        <n v="381"/>
        <n v="614"/>
        <n v="750"/>
        <n v="324"/>
        <n v="386"/>
        <n v="278"/>
        <n v="359"/>
        <n v="397"/>
        <n v="437"/>
        <n v="53"/>
        <n v="661"/>
        <n v="506"/>
        <n v="667"/>
        <n v="469"/>
        <n v="546"/>
        <n v="245"/>
        <n v="68"/>
        <n v="182"/>
        <n v="116"/>
        <n v="512"/>
        <n v="40"/>
        <n v="138"/>
        <n v="709"/>
        <n v="362"/>
        <n v="156"/>
        <n v="434"/>
        <n v="422"/>
        <n v="161"/>
        <n v="634"/>
        <n v="276"/>
        <n v="73"/>
        <n v="51"/>
        <n v="684"/>
        <n v="194"/>
        <n v="336"/>
        <n v="363"/>
        <n v="108"/>
        <n v="490"/>
        <n v="282"/>
        <n v="75"/>
        <n v="117"/>
        <n v="314"/>
        <n v="106"/>
        <n v="681"/>
        <n v="188"/>
        <n v="474"/>
        <n v="216"/>
        <n v="351"/>
        <n v="540"/>
        <n v="580"/>
        <n v="22"/>
        <n v="291"/>
        <n v="722"/>
        <n v="273"/>
        <n v="593"/>
        <n v="505"/>
        <n v="535"/>
        <n v="229"/>
        <n v="677"/>
        <n v="218"/>
        <n v="83"/>
        <n v="338"/>
        <n v="399"/>
        <n v="616"/>
        <n v="343"/>
        <n v="776"/>
        <n v="220"/>
        <n v="406"/>
        <n v="612"/>
        <n v="214"/>
        <n v="358"/>
        <n v="517"/>
        <n v="442"/>
        <n v="33"/>
        <n v="56"/>
        <n v="60"/>
        <n v="624"/>
        <n v="297"/>
        <n v="392"/>
        <n v="178"/>
        <n v="571"/>
        <n v="451"/>
        <n v="217"/>
        <n v="195"/>
        <n v="230"/>
        <n v="383"/>
        <n v="710"/>
        <n v="20"/>
        <n v="730"/>
        <n v="688"/>
        <n v="379"/>
        <n v="582"/>
        <n v="620"/>
        <n v="453"/>
        <n v="101"/>
        <n v="457"/>
        <n v="541"/>
        <n v="472"/>
        <n v="611"/>
        <n v="771"/>
        <n v="52"/>
        <n v="564"/>
        <n v="428"/>
        <n v="633"/>
        <n v="307"/>
        <n v="253"/>
        <n v="334"/>
        <n v="95"/>
        <n v="547"/>
        <n v="638"/>
        <n v="200"/>
        <n v="598"/>
        <n v="427"/>
        <n v="550"/>
        <n v="279"/>
        <n v="458"/>
        <n v="656"/>
        <n v="376"/>
        <n v="119"/>
        <n v="77"/>
        <n v="795"/>
        <n v="500"/>
        <n v="207"/>
        <n v="304"/>
        <n v="271"/>
        <n v="189"/>
        <n v="349"/>
        <n v="166"/>
        <n v="27"/>
        <n v="246"/>
        <n v="549"/>
        <n v="237"/>
        <n v="319"/>
        <n v="623"/>
        <n v="404"/>
        <n v="423"/>
        <n v="467"/>
        <n v="303"/>
        <n v="122"/>
        <n v="76"/>
        <n v="648"/>
        <n v="411"/>
        <n v="295"/>
        <n v="557"/>
        <n v="312"/>
        <n v="210"/>
        <n v="131"/>
        <n v="516"/>
        <n v="797"/>
        <n v="146"/>
        <n v="513"/>
        <n v="219"/>
        <n v="143"/>
        <n v="745"/>
        <n v="504"/>
        <n v="87"/>
        <n v="252"/>
        <n v="548"/>
        <n v="233"/>
        <n v="171"/>
        <n v="527"/>
        <n v="401"/>
        <n v="525"/>
        <n v="641"/>
        <n v="558"/>
        <n v="55"/>
        <n v="347"/>
        <n v="521"/>
        <n v="794"/>
        <n v="391"/>
        <n v="97"/>
        <n v="190"/>
        <n v="594"/>
        <n v="770"/>
        <n v="58"/>
        <n v="380"/>
        <n v="43"/>
        <n v="357"/>
        <n v="592"/>
        <n v="109"/>
        <n v="585"/>
        <n v="225"/>
        <n v="562"/>
        <n v="670"/>
        <n v="280"/>
        <n v="355"/>
        <n v="519"/>
        <n v="441"/>
        <n v="360"/>
        <n v="567"/>
        <n v="502"/>
        <n v="313"/>
        <n v="226"/>
        <n v="484"/>
        <n v="37"/>
        <n v="526"/>
        <n v="452"/>
        <n v="228"/>
        <n v="636"/>
        <n v="164"/>
        <n v="173"/>
        <n v="637"/>
        <n v="449"/>
        <n v="676"/>
        <n v="777"/>
        <n v="575"/>
        <n v="31"/>
        <n v="499"/>
        <n v="174"/>
        <n v="181"/>
        <n v="201"/>
        <n v="473"/>
        <n v="300"/>
        <n v="198"/>
        <n v="30"/>
        <n v="50"/>
        <n v="290"/>
        <n v="102"/>
        <n v="287"/>
        <n v="325"/>
        <n v="286"/>
        <n v="140"/>
        <n v="285"/>
        <n v="35"/>
        <n v="28"/>
        <n v="160"/>
        <n v="414"/>
        <n v="137"/>
        <n v="38"/>
        <n v="492"/>
        <n v="352"/>
        <n v="124"/>
        <n v="485"/>
        <n v="61"/>
        <n v="439"/>
        <n v="29"/>
        <n v="208"/>
        <n v="66"/>
        <n v="105"/>
        <n v="265"/>
        <n v="179"/>
        <n v="326"/>
        <n v="239"/>
        <n v="445"/>
        <n v="151"/>
        <n v="152"/>
        <n v="215"/>
        <n v="479"/>
        <n v="147"/>
        <n v="62"/>
        <n v="104"/>
        <n v="236"/>
        <n v="275"/>
        <n v="373"/>
        <n v="162"/>
        <n v="365"/>
        <n v="21"/>
        <n v="153"/>
        <n v="262"/>
        <n v="192"/>
        <n v="432"/>
        <n v="54"/>
        <n v="184"/>
        <n v="82"/>
        <n v="157"/>
        <n v="248"/>
        <n v="267"/>
        <n v="125"/>
        <n v="203"/>
        <n v="118"/>
        <n v="70"/>
        <n v="10"/>
        <n v="250"/>
        <n v="175"/>
        <n v="48"/>
        <n v="57"/>
        <n v="309"/>
        <n v="98"/>
        <n v="261"/>
        <n v="471"/>
        <n v="444"/>
        <n v="251"/>
        <n v="416"/>
        <n v="348"/>
        <n v="268"/>
        <n v="370"/>
        <n v="443"/>
        <n v="24"/>
        <n v="26"/>
        <n v="494"/>
        <n v="425"/>
        <n v="468"/>
        <n v="168"/>
        <n v="72"/>
        <n v="142"/>
        <n v="41"/>
        <n v="462"/>
        <n v="158"/>
        <n v="714"/>
        <n v="778"/>
        <n v="606"/>
        <n v="501"/>
        <n v="382"/>
        <n v="561"/>
        <n v="654"/>
        <n v="686"/>
        <n v="645"/>
        <n v="689"/>
        <n v="665"/>
        <n v="572"/>
        <n v="662"/>
        <n v="78"/>
        <n v="553"/>
        <n v="496"/>
        <n v="509"/>
      </sharedItems>
    </cacheField>
    <cacheField name="koszt całkowity" numFmtId="0">
      <sharedItems containsSemiMixedTypes="0" containsString="0" containsNumber="1" minValue="25" maxValue="2709.7999999999997"/>
    </cacheField>
    <cacheField name="Dni (data sprzedazy)" numFmtId="0" databaseField="0">
      <fieldGroup base="0">
        <rangePr groupBy="days" startDate="2022-01-03T00:00:00" endDate="2023-01-01T00:00:00"/>
        <groupItems count="368">
          <s v="&lt;03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 sprzedazy)" numFmtId="0" databaseField="0">
      <fieldGroup base="0">
        <rangePr groupBy="months" startDate="2022-01-03T00:00:00" endDate="2023-01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x v="0"/>
    <n v="1598"/>
  </r>
  <r>
    <x v="0"/>
    <x v="0"/>
    <x v="0"/>
    <x v="1"/>
    <x v="1"/>
    <n v="1394"/>
  </r>
  <r>
    <x v="0"/>
    <x v="1"/>
    <x v="0"/>
    <x v="2"/>
    <x v="2"/>
    <n v="847"/>
  </r>
  <r>
    <x v="0"/>
    <x v="1"/>
    <x v="0"/>
    <x v="3"/>
    <x v="3"/>
    <n v="1865.5"/>
  </r>
  <r>
    <x v="0"/>
    <x v="0"/>
    <x v="0"/>
    <x v="4"/>
    <x v="4"/>
    <n v="1846.2"/>
  </r>
  <r>
    <x v="0"/>
    <x v="2"/>
    <x v="0"/>
    <x v="4"/>
    <x v="5"/>
    <n v="988.9"/>
  </r>
  <r>
    <x v="0"/>
    <x v="3"/>
    <x v="0"/>
    <x v="5"/>
    <x v="6"/>
    <n v="965.6"/>
  </r>
  <r>
    <x v="0"/>
    <x v="4"/>
    <x v="0"/>
    <x v="6"/>
    <x v="7"/>
    <n v="540.6"/>
  </r>
  <r>
    <x v="0"/>
    <x v="5"/>
    <x v="0"/>
    <x v="4"/>
    <x v="8"/>
    <n v="2070.6"/>
  </r>
  <r>
    <x v="0"/>
    <x v="4"/>
    <x v="0"/>
    <x v="7"/>
    <x v="9"/>
    <n v="1577.6"/>
  </r>
  <r>
    <x v="0"/>
    <x v="6"/>
    <x v="0"/>
    <x v="8"/>
    <x v="10"/>
    <n v="1368"/>
  </r>
  <r>
    <x v="0"/>
    <x v="7"/>
    <x v="0"/>
    <x v="9"/>
    <x v="11"/>
    <n v="754.8"/>
  </r>
  <r>
    <x v="0"/>
    <x v="5"/>
    <x v="0"/>
    <x v="1"/>
    <x v="12"/>
    <n v="2448"/>
  </r>
  <r>
    <x v="0"/>
    <x v="0"/>
    <x v="0"/>
    <x v="10"/>
    <x v="13"/>
    <n v="962.19999999999993"/>
  </r>
  <r>
    <x v="1"/>
    <x v="6"/>
    <x v="0"/>
    <x v="11"/>
    <x v="14"/>
    <n v="489.59999999999997"/>
  </r>
  <r>
    <x v="1"/>
    <x v="2"/>
    <x v="0"/>
    <x v="2"/>
    <x v="15"/>
    <n v="1067.2"/>
  </r>
  <r>
    <x v="1"/>
    <x v="7"/>
    <x v="0"/>
    <x v="6"/>
    <x v="16"/>
    <n v="374"/>
  </r>
  <r>
    <x v="1"/>
    <x v="6"/>
    <x v="0"/>
    <x v="12"/>
    <x v="17"/>
    <n v="1281.5999999999999"/>
  </r>
  <r>
    <x v="1"/>
    <x v="8"/>
    <x v="0"/>
    <x v="13"/>
    <x v="18"/>
    <n v="1401.6000000000001"/>
  </r>
  <r>
    <x v="1"/>
    <x v="7"/>
    <x v="0"/>
    <x v="10"/>
    <x v="19"/>
    <n v="115.6"/>
  </r>
  <r>
    <x v="1"/>
    <x v="3"/>
    <x v="0"/>
    <x v="14"/>
    <x v="20"/>
    <n v="217.6"/>
  </r>
  <r>
    <x v="1"/>
    <x v="6"/>
    <x v="0"/>
    <x v="15"/>
    <x v="21"/>
    <n v="1332"/>
  </r>
  <r>
    <x v="1"/>
    <x v="1"/>
    <x v="0"/>
    <x v="15"/>
    <x v="22"/>
    <n v="2240"/>
  </r>
  <r>
    <x v="1"/>
    <x v="6"/>
    <x v="0"/>
    <x v="16"/>
    <x v="23"/>
    <n v="794.4"/>
  </r>
  <r>
    <x v="2"/>
    <x v="2"/>
    <x v="0"/>
    <x v="17"/>
    <x v="24"/>
    <n v="330.59999999999997"/>
  </r>
  <r>
    <x v="2"/>
    <x v="3"/>
    <x v="0"/>
    <x v="18"/>
    <x v="16"/>
    <n v="374"/>
  </r>
  <r>
    <x v="2"/>
    <x v="0"/>
    <x v="0"/>
    <x v="12"/>
    <x v="25"/>
    <n v="1285.2"/>
  </r>
  <r>
    <x v="2"/>
    <x v="2"/>
    <x v="0"/>
    <x v="19"/>
    <x v="26"/>
    <n v="597.4"/>
  </r>
  <r>
    <x v="2"/>
    <x v="1"/>
    <x v="0"/>
    <x v="20"/>
    <x v="27"/>
    <n v="1113"/>
  </r>
  <r>
    <x v="2"/>
    <x v="1"/>
    <x v="0"/>
    <x v="21"/>
    <x v="28"/>
    <n v="2299.5"/>
  </r>
  <r>
    <x v="2"/>
    <x v="0"/>
    <x v="0"/>
    <x v="19"/>
    <x v="29"/>
    <n v="1074.3999999999999"/>
  </r>
  <r>
    <x v="2"/>
    <x v="8"/>
    <x v="0"/>
    <x v="22"/>
    <x v="30"/>
    <n v="444.8"/>
  </r>
  <r>
    <x v="3"/>
    <x v="4"/>
    <x v="0"/>
    <x v="23"/>
    <x v="31"/>
    <n v="863.6"/>
  </r>
  <r>
    <x v="3"/>
    <x v="3"/>
    <x v="0"/>
    <x v="20"/>
    <x v="32"/>
    <n v="234.6"/>
  </r>
  <r>
    <x v="4"/>
    <x v="4"/>
    <x v="0"/>
    <x v="24"/>
    <x v="33"/>
    <n v="479.4"/>
  </r>
  <r>
    <x v="4"/>
    <x v="5"/>
    <x v="0"/>
    <x v="16"/>
    <x v="34"/>
    <n v="2516"/>
  </r>
  <r>
    <x v="4"/>
    <x v="5"/>
    <x v="0"/>
    <x v="25"/>
    <x v="35"/>
    <n v="2431"/>
  </r>
  <r>
    <x v="4"/>
    <x v="4"/>
    <x v="0"/>
    <x v="26"/>
    <x v="36"/>
    <n v="1516.3999999999999"/>
  </r>
  <r>
    <x v="4"/>
    <x v="0"/>
    <x v="0"/>
    <x v="27"/>
    <x v="37"/>
    <n v="1326"/>
  </r>
  <r>
    <x v="4"/>
    <x v="2"/>
    <x v="0"/>
    <x v="20"/>
    <x v="38"/>
    <n v="1319.5"/>
  </r>
  <r>
    <x v="4"/>
    <x v="5"/>
    <x v="0"/>
    <x v="21"/>
    <x v="39"/>
    <n v="1098.2"/>
  </r>
  <r>
    <x v="4"/>
    <x v="7"/>
    <x v="0"/>
    <x v="10"/>
    <x v="25"/>
    <n v="1285.2"/>
  </r>
  <r>
    <x v="4"/>
    <x v="7"/>
    <x v="0"/>
    <x v="27"/>
    <x v="40"/>
    <n v="391"/>
  </r>
  <r>
    <x v="5"/>
    <x v="5"/>
    <x v="0"/>
    <x v="24"/>
    <x v="41"/>
    <n v="2138.6"/>
  </r>
  <r>
    <x v="5"/>
    <x v="7"/>
    <x v="0"/>
    <x v="6"/>
    <x v="42"/>
    <n v="37.4"/>
  </r>
  <r>
    <x v="5"/>
    <x v="2"/>
    <x v="0"/>
    <x v="21"/>
    <x v="43"/>
    <n v="783"/>
  </r>
  <r>
    <x v="5"/>
    <x v="4"/>
    <x v="0"/>
    <x v="28"/>
    <x v="30"/>
    <n v="472.59999999999997"/>
  </r>
  <r>
    <x v="5"/>
    <x v="1"/>
    <x v="0"/>
    <x v="24"/>
    <x v="44"/>
    <n v="1319.5"/>
  </r>
  <r>
    <x v="5"/>
    <x v="3"/>
    <x v="0"/>
    <x v="29"/>
    <x v="45"/>
    <n v="1261.3999999999999"/>
  </r>
  <r>
    <x v="5"/>
    <x v="8"/>
    <x v="0"/>
    <x v="30"/>
    <x v="46"/>
    <n v="921.6"/>
  </r>
  <r>
    <x v="5"/>
    <x v="6"/>
    <x v="0"/>
    <x v="5"/>
    <x v="47"/>
    <n v="734.4"/>
  </r>
  <r>
    <x v="5"/>
    <x v="4"/>
    <x v="0"/>
    <x v="2"/>
    <x v="48"/>
    <n v="877.19999999999993"/>
  </r>
  <r>
    <x v="6"/>
    <x v="6"/>
    <x v="0"/>
    <x v="31"/>
    <x v="49"/>
    <n v="624"/>
  </r>
  <r>
    <x v="6"/>
    <x v="4"/>
    <x v="0"/>
    <x v="21"/>
    <x v="50"/>
    <n v="350.2"/>
  </r>
  <r>
    <x v="6"/>
    <x v="3"/>
    <x v="0"/>
    <x v="17"/>
    <x v="51"/>
    <n v="431.8"/>
  </r>
  <r>
    <x v="6"/>
    <x v="8"/>
    <x v="0"/>
    <x v="32"/>
    <x v="52"/>
    <n v="102.4"/>
  </r>
  <r>
    <x v="6"/>
    <x v="3"/>
    <x v="0"/>
    <x v="33"/>
    <x v="53"/>
    <n v="666.4"/>
  </r>
  <r>
    <x v="6"/>
    <x v="4"/>
    <x v="0"/>
    <x v="16"/>
    <x v="54"/>
    <n v="408"/>
  </r>
  <r>
    <x v="6"/>
    <x v="3"/>
    <x v="0"/>
    <x v="5"/>
    <x v="55"/>
    <n v="1264.8"/>
  </r>
  <r>
    <x v="6"/>
    <x v="6"/>
    <x v="0"/>
    <x v="34"/>
    <x v="56"/>
    <n v="1384.8"/>
  </r>
  <r>
    <x v="6"/>
    <x v="7"/>
    <x v="0"/>
    <x v="16"/>
    <x v="57"/>
    <n v="299.2"/>
  </r>
  <r>
    <x v="6"/>
    <x v="8"/>
    <x v="0"/>
    <x v="35"/>
    <x v="58"/>
    <n v="851.2"/>
  </r>
  <r>
    <x v="6"/>
    <x v="2"/>
    <x v="0"/>
    <x v="26"/>
    <x v="59"/>
    <n v="246.5"/>
  </r>
  <r>
    <x v="6"/>
    <x v="0"/>
    <x v="0"/>
    <x v="18"/>
    <x v="60"/>
    <n v="2363"/>
  </r>
  <r>
    <x v="6"/>
    <x v="2"/>
    <x v="0"/>
    <x v="6"/>
    <x v="39"/>
    <n v="936.69999999999993"/>
  </r>
  <r>
    <x v="6"/>
    <x v="6"/>
    <x v="0"/>
    <x v="18"/>
    <x v="61"/>
    <n v="556.79999999999995"/>
  </r>
  <r>
    <x v="6"/>
    <x v="5"/>
    <x v="0"/>
    <x v="36"/>
    <x v="62"/>
    <n v="2495.6"/>
  </r>
  <r>
    <x v="6"/>
    <x v="7"/>
    <x v="0"/>
    <x v="11"/>
    <x v="63"/>
    <n v="1441.6"/>
  </r>
  <r>
    <x v="7"/>
    <x v="4"/>
    <x v="0"/>
    <x v="37"/>
    <x v="31"/>
    <n v="863.6"/>
  </r>
  <r>
    <x v="7"/>
    <x v="8"/>
    <x v="0"/>
    <x v="33"/>
    <x v="64"/>
    <n v="617.6"/>
  </r>
  <r>
    <x v="7"/>
    <x v="7"/>
    <x v="0"/>
    <x v="38"/>
    <x v="65"/>
    <n v="44.199999999999996"/>
  </r>
  <r>
    <x v="7"/>
    <x v="4"/>
    <x v="0"/>
    <x v="39"/>
    <x v="66"/>
    <n v="1530"/>
  </r>
  <r>
    <x v="8"/>
    <x v="1"/>
    <x v="0"/>
    <x v="40"/>
    <x v="67"/>
    <n v="1246"/>
  </r>
  <r>
    <x v="8"/>
    <x v="0"/>
    <x v="0"/>
    <x v="22"/>
    <x v="6"/>
    <n v="965.6"/>
  </r>
  <r>
    <x v="8"/>
    <x v="0"/>
    <x v="0"/>
    <x v="40"/>
    <x v="68"/>
    <n v="955.4"/>
  </r>
  <r>
    <x v="8"/>
    <x v="1"/>
    <x v="0"/>
    <x v="24"/>
    <x v="69"/>
    <n v="1452.5"/>
  </r>
  <r>
    <x v="8"/>
    <x v="1"/>
    <x v="0"/>
    <x v="4"/>
    <x v="70"/>
    <n v="2194.5"/>
  </r>
  <r>
    <x v="8"/>
    <x v="3"/>
    <x v="0"/>
    <x v="20"/>
    <x v="71"/>
    <n v="1254.5999999999999"/>
  </r>
  <r>
    <x v="8"/>
    <x v="2"/>
    <x v="0"/>
    <x v="3"/>
    <x v="72"/>
    <n v="258.09999999999997"/>
  </r>
  <r>
    <x v="8"/>
    <x v="6"/>
    <x v="0"/>
    <x v="19"/>
    <x v="73"/>
    <n v="1389.6"/>
  </r>
  <r>
    <x v="8"/>
    <x v="2"/>
    <x v="0"/>
    <x v="5"/>
    <x v="74"/>
    <n v="1194.8"/>
  </r>
  <r>
    <x v="9"/>
    <x v="1"/>
    <x v="0"/>
    <x v="36"/>
    <x v="75"/>
    <n v="1410.5"/>
  </r>
  <r>
    <x v="9"/>
    <x v="2"/>
    <x v="0"/>
    <x v="8"/>
    <x v="76"/>
    <n v="266.8"/>
  </r>
  <r>
    <x v="9"/>
    <x v="0"/>
    <x v="0"/>
    <x v="3"/>
    <x v="77"/>
    <n v="914.6"/>
  </r>
  <r>
    <x v="9"/>
    <x v="7"/>
    <x v="0"/>
    <x v="16"/>
    <x v="7"/>
    <n v="540.6"/>
  </r>
  <r>
    <x v="10"/>
    <x v="5"/>
    <x v="0"/>
    <x v="32"/>
    <x v="78"/>
    <n v="2556.7999999999997"/>
  </r>
  <r>
    <x v="10"/>
    <x v="6"/>
    <x v="0"/>
    <x v="36"/>
    <x v="79"/>
    <n v="979.19999999999993"/>
  </r>
  <r>
    <x v="10"/>
    <x v="5"/>
    <x v="0"/>
    <x v="1"/>
    <x v="80"/>
    <n v="1822.3999999999999"/>
  </r>
  <r>
    <x v="10"/>
    <x v="7"/>
    <x v="0"/>
    <x v="30"/>
    <x v="81"/>
    <n v="159.79999999999998"/>
  </r>
  <r>
    <x v="10"/>
    <x v="8"/>
    <x v="0"/>
    <x v="41"/>
    <x v="82"/>
    <n v="796.80000000000007"/>
  </r>
  <r>
    <x v="10"/>
    <x v="5"/>
    <x v="0"/>
    <x v="26"/>
    <x v="83"/>
    <n v="1924.3999999999999"/>
  </r>
  <r>
    <x v="10"/>
    <x v="6"/>
    <x v="0"/>
    <x v="42"/>
    <x v="84"/>
    <n v="873.6"/>
  </r>
  <r>
    <x v="10"/>
    <x v="3"/>
    <x v="0"/>
    <x v="32"/>
    <x v="85"/>
    <n v="1567.3999999999999"/>
  </r>
  <r>
    <x v="10"/>
    <x v="2"/>
    <x v="0"/>
    <x v="10"/>
    <x v="86"/>
    <n v="742.4"/>
  </r>
  <r>
    <x v="10"/>
    <x v="8"/>
    <x v="0"/>
    <x v="4"/>
    <x v="87"/>
    <n v="300.8"/>
  </r>
  <r>
    <x v="10"/>
    <x v="6"/>
    <x v="0"/>
    <x v="7"/>
    <x v="40"/>
    <n v="276"/>
  </r>
  <r>
    <x v="10"/>
    <x v="7"/>
    <x v="0"/>
    <x v="35"/>
    <x v="88"/>
    <n v="622.19999999999993"/>
  </r>
  <r>
    <x v="10"/>
    <x v="2"/>
    <x v="0"/>
    <x v="43"/>
    <x v="15"/>
    <n v="1067.2"/>
  </r>
  <r>
    <x v="10"/>
    <x v="1"/>
    <x v="0"/>
    <x v="44"/>
    <x v="89"/>
    <n v="1620.5"/>
  </r>
  <r>
    <x v="11"/>
    <x v="7"/>
    <x v="0"/>
    <x v="32"/>
    <x v="90"/>
    <n v="574.6"/>
  </r>
  <r>
    <x v="11"/>
    <x v="6"/>
    <x v="0"/>
    <x v="41"/>
    <x v="91"/>
    <n v="1334.3999999999999"/>
  </r>
  <r>
    <x v="12"/>
    <x v="5"/>
    <x v="0"/>
    <x v="30"/>
    <x v="92"/>
    <n v="1982.2"/>
  </r>
  <r>
    <x v="12"/>
    <x v="1"/>
    <x v="0"/>
    <x v="19"/>
    <x v="25"/>
    <n v="1323"/>
  </r>
  <r>
    <x v="12"/>
    <x v="6"/>
    <x v="0"/>
    <x v="23"/>
    <x v="93"/>
    <n v="897.6"/>
  </r>
  <r>
    <x v="12"/>
    <x v="8"/>
    <x v="0"/>
    <x v="14"/>
    <x v="94"/>
    <n v="985.6"/>
  </r>
  <r>
    <x v="12"/>
    <x v="6"/>
    <x v="0"/>
    <x v="45"/>
    <x v="95"/>
    <n v="576"/>
  </r>
  <r>
    <x v="12"/>
    <x v="3"/>
    <x v="0"/>
    <x v="46"/>
    <x v="96"/>
    <n v="1013.1999999999999"/>
  </r>
  <r>
    <x v="12"/>
    <x v="3"/>
    <x v="0"/>
    <x v="41"/>
    <x v="97"/>
    <n v="924.8"/>
  </r>
  <r>
    <x v="12"/>
    <x v="0"/>
    <x v="0"/>
    <x v="0"/>
    <x v="98"/>
    <n v="1462"/>
  </r>
  <r>
    <x v="12"/>
    <x v="1"/>
    <x v="0"/>
    <x v="27"/>
    <x v="99"/>
    <n v="1862"/>
  </r>
  <r>
    <x v="12"/>
    <x v="0"/>
    <x v="0"/>
    <x v="16"/>
    <x v="100"/>
    <n v="1346.3999999999999"/>
  </r>
  <r>
    <x v="12"/>
    <x v="4"/>
    <x v="0"/>
    <x v="31"/>
    <x v="57"/>
    <n v="299.2"/>
  </r>
  <r>
    <x v="12"/>
    <x v="0"/>
    <x v="0"/>
    <x v="30"/>
    <x v="101"/>
    <n v="1768"/>
  </r>
  <r>
    <x v="12"/>
    <x v="4"/>
    <x v="0"/>
    <x v="22"/>
    <x v="102"/>
    <n v="1006.4"/>
  </r>
  <r>
    <x v="12"/>
    <x v="3"/>
    <x v="0"/>
    <x v="9"/>
    <x v="103"/>
    <n v="1360"/>
  </r>
  <r>
    <x v="12"/>
    <x v="6"/>
    <x v="0"/>
    <x v="46"/>
    <x v="104"/>
    <n v="530.4"/>
  </r>
  <r>
    <x v="12"/>
    <x v="0"/>
    <x v="0"/>
    <x v="32"/>
    <x v="86"/>
    <n v="870.4"/>
  </r>
  <r>
    <x v="12"/>
    <x v="8"/>
    <x v="0"/>
    <x v="21"/>
    <x v="105"/>
    <n v="60.800000000000004"/>
  </r>
  <r>
    <x v="12"/>
    <x v="2"/>
    <x v="0"/>
    <x v="40"/>
    <x v="25"/>
    <n v="1096.2"/>
  </r>
  <r>
    <x v="13"/>
    <x v="8"/>
    <x v="0"/>
    <x v="26"/>
    <x v="106"/>
    <n v="1107.2"/>
  </r>
  <r>
    <x v="13"/>
    <x v="3"/>
    <x v="0"/>
    <x v="6"/>
    <x v="107"/>
    <n v="1424.6"/>
  </r>
  <r>
    <x v="13"/>
    <x v="0"/>
    <x v="0"/>
    <x v="28"/>
    <x v="108"/>
    <n v="717.4"/>
  </r>
  <r>
    <x v="13"/>
    <x v="5"/>
    <x v="0"/>
    <x v="1"/>
    <x v="56"/>
    <n v="1961.8"/>
  </r>
  <r>
    <x v="13"/>
    <x v="2"/>
    <x v="0"/>
    <x v="9"/>
    <x v="37"/>
    <n v="1131"/>
  </r>
  <r>
    <x v="13"/>
    <x v="4"/>
    <x v="0"/>
    <x v="9"/>
    <x v="109"/>
    <n v="51"/>
  </r>
  <r>
    <x v="13"/>
    <x v="6"/>
    <x v="0"/>
    <x v="12"/>
    <x v="110"/>
    <n v="508.79999999999995"/>
  </r>
  <r>
    <x v="13"/>
    <x v="6"/>
    <x v="0"/>
    <x v="15"/>
    <x v="107"/>
    <n v="1005.5999999999999"/>
  </r>
  <r>
    <x v="14"/>
    <x v="5"/>
    <x v="0"/>
    <x v="15"/>
    <x v="111"/>
    <n v="1737.3999999999999"/>
  </r>
  <r>
    <x v="14"/>
    <x v="7"/>
    <x v="0"/>
    <x v="14"/>
    <x v="112"/>
    <n v="1519.8"/>
  </r>
  <r>
    <x v="14"/>
    <x v="3"/>
    <x v="0"/>
    <x v="35"/>
    <x v="113"/>
    <n v="1111.8"/>
  </r>
  <r>
    <x v="14"/>
    <x v="0"/>
    <x v="0"/>
    <x v="38"/>
    <x v="114"/>
    <n v="819.4"/>
  </r>
  <r>
    <x v="14"/>
    <x v="2"/>
    <x v="0"/>
    <x v="19"/>
    <x v="115"/>
    <n v="1441.3"/>
  </r>
  <r>
    <x v="14"/>
    <x v="8"/>
    <x v="0"/>
    <x v="6"/>
    <x v="116"/>
    <n v="355.20000000000005"/>
  </r>
  <r>
    <x v="14"/>
    <x v="2"/>
    <x v="0"/>
    <x v="31"/>
    <x v="117"/>
    <n v="1397.8"/>
  </r>
  <r>
    <x v="14"/>
    <x v="7"/>
    <x v="0"/>
    <x v="19"/>
    <x v="118"/>
    <n v="156.4"/>
  </r>
  <r>
    <x v="14"/>
    <x v="3"/>
    <x v="0"/>
    <x v="46"/>
    <x v="119"/>
    <n v="1309"/>
  </r>
  <r>
    <x v="14"/>
    <x v="5"/>
    <x v="0"/>
    <x v="42"/>
    <x v="120"/>
    <n v="2437.7999999999997"/>
  </r>
  <r>
    <x v="14"/>
    <x v="7"/>
    <x v="0"/>
    <x v="18"/>
    <x v="42"/>
    <n v="37.4"/>
  </r>
  <r>
    <x v="15"/>
    <x v="4"/>
    <x v="0"/>
    <x v="40"/>
    <x v="121"/>
    <n v="459"/>
  </r>
  <r>
    <x v="15"/>
    <x v="7"/>
    <x v="0"/>
    <x v="45"/>
    <x v="122"/>
    <n v="795.6"/>
  </r>
  <r>
    <x v="15"/>
    <x v="6"/>
    <x v="0"/>
    <x v="23"/>
    <x v="123"/>
    <n v="964.8"/>
  </r>
  <r>
    <x v="15"/>
    <x v="2"/>
    <x v="0"/>
    <x v="21"/>
    <x v="115"/>
    <n v="1441.3"/>
  </r>
  <r>
    <x v="15"/>
    <x v="6"/>
    <x v="0"/>
    <x v="44"/>
    <x v="124"/>
    <n v="1147.2"/>
  </r>
  <r>
    <x v="16"/>
    <x v="0"/>
    <x v="0"/>
    <x v="44"/>
    <x v="125"/>
    <n v="1227.3999999999999"/>
  </r>
  <r>
    <x v="16"/>
    <x v="8"/>
    <x v="0"/>
    <x v="13"/>
    <x v="1"/>
    <n v="1312"/>
  </r>
  <r>
    <x v="16"/>
    <x v="6"/>
    <x v="0"/>
    <x v="37"/>
    <x v="117"/>
    <n v="1156.8"/>
  </r>
  <r>
    <x v="16"/>
    <x v="3"/>
    <x v="0"/>
    <x v="28"/>
    <x v="126"/>
    <n v="839.8"/>
  </r>
  <r>
    <x v="16"/>
    <x v="0"/>
    <x v="0"/>
    <x v="31"/>
    <x v="110"/>
    <n v="720.8"/>
  </r>
  <r>
    <x v="17"/>
    <x v="1"/>
    <x v="0"/>
    <x v="18"/>
    <x v="127"/>
    <n v="2065"/>
  </r>
  <r>
    <x v="17"/>
    <x v="7"/>
    <x v="0"/>
    <x v="1"/>
    <x v="128"/>
    <n v="200.6"/>
  </r>
  <r>
    <x v="18"/>
    <x v="0"/>
    <x v="0"/>
    <x v="30"/>
    <x v="85"/>
    <n v="1567.3999999999999"/>
  </r>
  <r>
    <x v="18"/>
    <x v="0"/>
    <x v="0"/>
    <x v="32"/>
    <x v="5"/>
    <n v="1159.3999999999999"/>
  </r>
  <r>
    <x v="18"/>
    <x v="5"/>
    <x v="0"/>
    <x v="2"/>
    <x v="129"/>
    <n v="2655.4"/>
  </r>
  <r>
    <x v="18"/>
    <x v="7"/>
    <x v="0"/>
    <x v="6"/>
    <x v="130"/>
    <n v="448.8"/>
  </r>
  <r>
    <x v="18"/>
    <x v="3"/>
    <x v="0"/>
    <x v="37"/>
    <x v="131"/>
    <n v="78.2"/>
  </r>
  <r>
    <x v="18"/>
    <x v="1"/>
    <x v="0"/>
    <x v="44"/>
    <x v="63"/>
    <n v="1484"/>
  </r>
  <r>
    <x v="18"/>
    <x v="7"/>
    <x v="0"/>
    <x v="46"/>
    <x v="132"/>
    <n v="632.4"/>
  </r>
  <r>
    <x v="18"/>
    <x v="7"/>
    <x v="0"/>
    <x v="26"/>
    <x v="133"/>
    <n v="867"/>
  </r>
  <r>
    <x v="18"/>
    <x v="4"/>
    <x v="0"/>
    <x v="38"/>
    <x v="134"/>
    <n v="384.2"/>
  </r>
  <r>
    <x v="18"/>
    <x v="5"/>
    <x v="0"/>
    <x v="31"/>
    <x v="135"/>
    <n v="1383.8"/>
  </r>
  <r>
    <x v="18"/>
    <x v="4"/>
    <x v="0"/>
    <x v="6"/>
    <x v="136"/>
    <n v="1152.5999999999999"/>
  </r>
  <r>
    <x v="18"/>
    <x v="1"/>
    <x v="0"/>
    <x v="18"/>
    <x v="93"/>
    <n v="1309"/>
  </r>
  <r>
    <x v="18"/>
    <x v="1"/>
    <x v="0"/>
    <x v="47"/>
    <x v="137"/>
    <n v="1067.5"/>
  </r>
  <r>
    <x v="18"/>
    <x v="0"/>
    <x v="0"/>
    <x v="44"/>
    <x v="138"/>
    <n v="2111.4"/>
  </r>
  <r>
    <x v="18"/>
    <x v="5"/>
    <x v="0"/>
    <x v="8"/>
    <x v="139"/>
    <n v="2009.3999999999999"/>
  </r>
  <r>
    <x v="18"/>
    <x v="4"/>
    <x v="0"/>
    <x v="23"/>
    <x v="140"/>
    <n v="462.4"/>
  </r>
  <r>
    <x v="18"/>
    <x v="2"/>
    <x v="0"/>
    <x v="13"/>
    <x v="137"/>
    <n v="884.5"/>
  </r>
  <r>
    <x v="19"/>
    <x v="0"/>
    <x v="0"/>
    <x v="7"/>
    <x v="112"/>
    <n v="1519.8"/>
  </r>
  <r>
    <x v="19"/>
    <x v="3"/>
    <x v="0"/>
    <x v="35"/>
    <x v="141"/>
    <n v="1417.8"/>
  </r>
  <r>
    <x v="19"/>
    <x v="5"/>
    <x v="0"/>
    <x v="18"/>
    <x v="142"/>
    <n v="1057.3999999999999"/>
  </r>
  <r>
    <x v="20"/>
    <x v="4"/>
    <x v="0"/>
    <x v="13"/>
    <x v="143"/>
    <n v="1390.6"/>
  </r>
  <r>
    <x v="20"/>
    <x v="5"/>
    <x v="0"/>
    <x v="20"/>
    <x v="144"/>
    <n v="2196.4"/>
  </r>
  <r>
    <x v="20"/>
    <x v="0"/>
    <x v="0"/>
    <x v="1"/>
    <x v="145"/>
    <n v="1564"/>
  </r>
  <r>
    <x v="20"/>
    <x v="1"/>
    <x v="0"/>
    <x v="13"/>
    <x v="146"/>
    <n v="1988"/>
  </r>
  <r>
    <x v="20"/>
    <x v="4"/>
    <x v="0"/>
    <x v="7"/>
    <x v="147"/>
    <n v="1190"/>
  </r>
  <r>
    <x v="20"/>
    <x v="4"/>
    <x v="0"/>
    <x v="11"/>
    <x v="148"/>
    <n v="1247.8"/>
  </r>
  <r>
    <x v="20"/>
    <x v="8"/>
    <x v="0"/>
    <x v="11"/>
    <x v="149"/>
    <n v="1379.2"/>
  </r>
  <r>
    <x v="21"/>
    <x v="2"/>
    <x v="0"/>
    <x v="12"/>
    <x v="150"/>
    <n v="1128.0999999999999"/>
  </r>
  <r>
    <x v="21"/>
    <x v="2"/>
    <x v="0"/>
    <x v="18"/>
    <x v="69"/>
    <n v="1203.5"/>
  </r>
  <r>
    <x v="21"/>
    <x v="4"/>
    <x v="0"/>
    <x v="39"/>
    <x v="151"/>
    <n v="268.59999999999997"/>
  </r>
  <r>
    <x v="21"/>
    <x v="4"/>
    <x v="0"/>
    <x v="27"/>
    <x v="152"/>
    <n v="873.8"/>
  </r>
  <r>
    <x v="21"/>
    <x v="1"/>
    <x v="0"/>
    <x v="7"/>
    <x v="153"/>
    <n v="2187.5"/>
  </r>
  <r>
    <x v="22"/>
    <x v="3"/>
    <x v="0"/>
    <x v="18"/>
    <x v="154"/>
    <n v="275.39999999999998"/>
  </r>
  <r>
    <x v="22"/>
    <x v="0"/>
    <x v="0"/>
    <x v="16"/>
    <x v="155"/>
    <n v="1145.8"/>
  </r>
  <r>
    <x v="22"/>
    <x v="2"/>
    <x v="0"/>
    <x v="25"/>
    <x v="156"/>
    <n v="34.799999999999997"/>
  </r>
  <r>
    <x v="23"/>
    <x v="7"/>
    <x v="0"/>
    <x v="37"/>
    <x v="157"/>
    <n v="438.59999999999997"/>
  </r>
  <r>
    <x v="23"/>
    <x v="2"/>
    <x v="0"/>
    <x v="45"/>
    <x v="158"/>
    <n v="872.9"/>
  </r>
  <r>
    <x v="23"/>
    <x v="2"/>
    <x v="0"/>
    <x v="4"/>
    <x v="159"/>
    <n v="1026.5999999999999"/>
  </r>
  <r>
    <x v="23"/>
    <x v="8"/>
    <x v="0"/>
    <x v="24"/>
    <x v="160"/>
    <n v="358.40000000000003"/>
  </r>
  <r>
    <x v="23"/>
    <x v="5"/>
    <x v="0"/>
    <x v="46"/>
    <x v="161"/>
    <n v="2662.2"/>
  </r>
  <r>
    <x v="23"/>
    <x v="2"/>
    <x v="0"/>
    <x v="43"/>
    <x v="162"/>
    <n v="867.1"/>
  </r>
  <r>
    <x v="23"/>
    <x v="4"/>
    <x v="0"/>
    <x v="21"/>
    <x v="163"/>
    <n v="493"/>
  </r>
  <r>
    <x v="24"/>
    <x v="3"/>
    <x v="0"/>
    <x v="4"/>
    <x v="133"/>
    <n v="867"/>
  </r>
  <r>
    <x v="24"/>
    <x v="5"/>
    <x v="0"/>
    <x v="32"/>
    <x v="164"/>
    <n v="1975.3999999999999"/>
  </r>
  <r>
    <x v="24"/>
    <x v="6"/>
    <x v="0"/>
    <x v="43"/>
    <x v="165"/>
    <n v="472.79999999999995"/>
  </r>
  <r>
    <x v="24"/>
    <x v="5"/>
    <x v="0"/>
    <x v="23"/>
    <x v="166"/>
    <n v="1676.2"/>
  </r>
  <r>
    <x v="24"/>
    <x v="6"/>
    <x v="0"/>
    <x v="0"/>
    <x v="167"/>
    <n v="770.4"/>
  </r>
  <r>
    <x v="24"/>
    <x v="2"/>
    <x v="0"/>
    <x v="35"/>
    <x v="168"/>
    <n v="52.199999999999996"/>
  </r>
  <r>
    <x v="24"/>
    <x v="2"/>
    <x v="0"/>
    <x v="36"/>
    <x v="169"/>
    <n v="130.5"/>
  </r>
  <r>
    <x v="24"/>
    <x v="5"/>
    <x v="0"/>
    <x v="32"/>
    <x v="170"/>
    <n v="2420.7999999999997"/>
  </r>
  <r>
    <x v="24"/>
    <x v="0"/>
    <x v="0"/>
    <x v="38"/>
    <x v="171"/>
    <n v="1077.8"/>
  </r>
  <r>
    <x v="24"/>
    <x v="6"/>
    <x v="0"/>
    <x v="44"/>
    <x v="97"/>
    <n v="652.79999999999995"/>
  </r>
  <r>
    <x v="24"/>
    <x v="2"/>
    <x v="0"/>
    <x v="24"/>
    <x v="158"/>
    <n v="872.9"/>
  </r>
  <r>
    <x v="24"/>
    <x v="1"/>
    <x v="0"/>
    <x v="33"/>
    <x v="172"/>
    <n v="2117.5"/>
  </r>
  <r>
    <x v="24"/>
    <x v="8"/>
    <x v="0"/>
    <x v="44"/>
    <x v="13"/>
    <n v="905.6"/>
  </r>
  <r>
    <x v="24"/>
    <x v="4"/>
    <x v="0"/>
    <x v="24"/>
    <x v="125"/>
    <n v="1227.3999999999999"/>
  </r>
  <r>
    <x v="24"/>
    <x v="2"/>
    <x v="0"/>
    <x v="20"/>
    <x v="173"/>
    <n v="429.2"/>
  </r>
  <r>
    <x v="25"/>
    <x v="7"/>
    <x v="0"/>
    <x v="23"/>
    <x v="174"/>
    <n v="489.59999999999997"/>
  </r>
  <r>
    <x v="25"/>
    <x v="6"/>
    <x v="0"/>
    <x v="29"/>
    <x v="26"/>
    <n v="494.4"/>
  </r>
  <r>
    <x v="25"/>
    <x v="8"/>
    <x v="0"/>
    <x v="33"/>
    <x v="74"/>
    <n v="1318.4"/>
  </r>
  <r>
    <x v="25"/>
    <x v="3"/>
    <x v="0"/>
    <x v="26"/>
    <x v="157"/>
    <n v="438.59999999999997"/>
  </r>
  <r>
    <x v="25"/>
    <x v="7"/>
    <x v="0"/>
    <x v="27"/>
    <x v="175"/>
    <n v="982.6"/>
  </r>
  <r>
    <x v="25"/>
    <x v="8"/>
    <x v="0"/>
    <x v="13"/>
    <x v="176"/>
    <n v="214.4"/>
  </r>
  <r>
    <x v="25"/>
    <x v="3"/>
    <x v="0"/>
    <x v="0"/>
    <x v="177"/>
    <n v="1054"/>
  </r>
  <r>
    <x v="25"/>
    <x v="5"/>
    <x v="0"/>
    <x v="29"/>
    <x v="178"/>
    <n v="1496"/>
  </r>
  <r>
    <x v="25"/>
    <x v="4"/>
    <x v="0"/>
    <x v="21"/>
    <x v="5"/>
    <n v="1159.3999999999999"/>
  </r>
  <r>
    <x v="25"/>
    <x v="7"/>
    <x v="0"/>
    <x v="21"/>
    <x v="179"/>
    <n v="85"/>
  </r>
  <r>
    <x v="25"/>
    <x v="5"/>
    <x v="0"/>
    <x v="42"/>
    <x v="180"/>
    <n v="1727.2"/>
  </r>
  <r>
    <x v="26"/>
    <x v="8"/>
    <x v="0"/>
    <x v="32"/>
    <x v="181"/>
    <n v="1372.8000000000002"/>
  </r>
  <r>
    <x v="26"/>
    <x v="3"/>
    <x v="0"/>
    <x v="23"/>
    <x v="182"/>
    <n v="340"/>
  </r>
  <r>
    <x v="26"/>
    <x v="6"/>
    <x v="0"/>
    <x v="0"/>
    <x v="183"/>
    <n v="1341.6"/>
  </r>
  <r>
    <x v="26"/>
    <x v="7"/>
    <x v="0"/>
    <x v="10"/>
    <x v="184"/>
    <n v="1642.2"/>
  </r>
  <r>
    <x v="26"/>
    <x v="5"/>
    <x v="0"/>
    <x v="48"/>
    <x v="185"/>
    <n v="1635.3999999999999"/>
  </r>
  <r>
    <x v="26"/>
    <x v="7"/>
    <x v="0"/>
    <x v="38"/>
    <x v="105"/>
    <n v="64.599999999999994"/>
  </r>
  <r>
    <x v="26"/>
    <x v="1"/>
    <x v="0"/>
    <x v="16"/>
    <x v="186"/>
    <n v="1204"/>
  </r>
  <r>
    <x v="26"/>
    <x v="0"/>
    <x v="0"/>
    <x v="17"/>
    <x v="187"/>
    <n v="2210"/>
  </r>
  <r>
    <x v="27"/>
    <x v="3"/>
    <x v="0"/>
    <x v="24"/>
    <x v="188"/>
    <n v="635.79999999999995"/>
  </r>
  <r>
    <x v="27"/>
    <x v="2"/>
    <x v="0"/>
    <x v="11"/>
    <x v="189"/>
    <n v="1255.7"/>
  </r>
  <r>
    <x v="27"/>
    <x v="4"/>
    <x v="0"/>
    <x v="15"/>
    <x v="190"/>
    <n v="612"/>
  </r>
  <r>
    <x v="27"/>
    <x v="1"/>
    <x v="0"/>
    <x v="4"/>
    <x v="148"/>
    <n v="1284.5"/>
  </r>
  <r>
    <x v="27"/>
    <x v="1"/>
    <x v="0"/>
    <x v="31"/>
    <x v="191"/>
    <n v="808.5"/>
  </r>
  <r>
    <x v="27"/>
    <x v="3"/>
    <x v="0"/>
    <x v="31"/>
    <x v="133"/>
    <n v="867"/>
  </r>
  <r>
    <x v="27"/>
    <x v="1"/>
    <x v="0"/>
    <x v="8"/>
    <x v="192"/>
    <n v="1928.5"/>
  </r>
  <r>
    <x v="28"/>
    <x v="6"/>
    <x v="0"/>
    <x v="9"/>
    <x v="193"/>
    <n v="357.59999999999997"/>
  </r>
  <r>
    <x v="28"/>
    <x v="5"/>
    <x v="0"/>
    <x v="16"/>
    <x v="194"/>
    <n v="2369.7999999999997"/>
  </r>
  <r>
    <x v="28"/>
    <x v="1"/>
    <x v="0"/>
    <x v="1"/>
    <x v="189"/>
    <n v="1515.5"/>
  </r>
  <r>
    <x v="28"/>
    <x v="5"/>
    <x v="0"/>
    <x v="12"/>
    <x v="195"/>
    <n v="2505.7999999999997"/>
  </r>
  <r>
    <x v="28"/>
    <x v="3"/>
    <x v="0"/>
    <x v="30"/>
    <x v="196"/>
    <n v="1244.3999999999999"/>
  </r>
  <r>
    <x v="29"/>
    <x v="2"/>
    <x v="0"/>
    <x v="40"/>
    <x v="197"/>
    <n v="261"/>
  </r>
  <r>
    <x v="29"/>
    <x v="2"/>
    <x v="0"/>
    <x v="30"/>
    <x v="198"/>
    <n v="278.39999999999998"/>
  </r>
  <r>
    <x v="29"/>
    <x v="1"/>
    <x v="0"/>
    <x v="49"/>
    <x v="199"/>
    <n v="1834"/>
  </r>
  <r>
    <x v="29"/>
    <x v="8"/>
    <x v="0"/>
    <x v="27"/>
    <x v="182"/>
    <n v="320"/>
  </r>
  <r>
    <x v="29"/>
    <x v="7"/>
    <x v="0"/>
    <x v="10"/>
    <x v="200"/>
    <n v="285.59999999999997"/>
  </r>
  <r>
    <x v="29"/>
    <x v="3"/>
    <x v="0"/>
    <x v="0"/>
    <x v="201"/>
    <n v="1319.2"/>
  </r>
  <r>
    <x v="29"/>
    <x v="4"/>
    <x v="0"/>
    <x v="33"/>
    <x v="202"/>
    <n v="1200.2"/>
  </r>
  <r>
    <x v="30"/>
    <x v="3"/>
    <x v="0"/>
    <x v="32"/>
    <x v="203"/>
    <n v="629"/>
  </r>
  <r>
    <x v="30"/>
    <x v="0"/>
    <x v="0"/>
    <x v="4"/>
    <x v="201"/>
    <n v="1319.2"/>
  </r>
  <r>
    <x v="30"/>
    <x v="4"/>
    <x v="0"/>
    <x v="1"/>
    <x v="204"/>
    <n v="1618.3999999999999"/>
  </r>
  <r>
    <x v="30"/>
    <x v="5"/>
    <x v="0"/>
    <x v="24"/>
    <x v="205"/>
    <n v="1122"/>
  </r>
  <r>
    <x v="30"/>
    <x v="8"/>
    <x v="0"/>
    <x v="24"/>
    <x v="19"/>
    <n v="108.80000000000001"/>
  </r>
  <r>
    <x v="30"/>
    <x v="3"/>
    <x v="0"/>
    <x v="40"/>
    <x v="206"/>
    <n v="149.6"/>
  </r>
  <r>
    <x v="30"/>
    <x v="5"/>
    <x v="0"/>
    <x v="47"/>
    <x v="207"/>
    <n v="2046.8"/>
  </r>
  <r>
    <x v="30"/>
    <x v="8"/>
    <x v="0"/>
    <x v="16"/>
    <x v="208"/>
    <n v="342.40000000000003"/>
  </r>
  <r>
    <x v="30"/>
    <x v="1"/>
    <x v="0"/>
    <x v="11"/>
    <x v="209"/>
    <n v="1172.5"/>
  </r>
  <r>
    <x v="30"/>
    <x v="5"/>
    <x v="0"/>
    <x v="42"/>
    <x v="171"/>
    <n v="1077.8"/>
  </r>
  <r>
    <x v="30"/>
    <x v="2"/>
    <x v="0"/>
    <x v="31"/>
    <x v="210"/>
    <n v="142.1"/>
  </r>
  <r>
    <x v="30"/>
    <x v="0"/>
    <x v="0"/>
    <x v="38"/>
    <x v="211"/>
    <n v="1965.2"/>
  </r>
  <r>
    <x v="30"/>
    <x v="4"/>
    <x v="0"/>
    <x v="41"/>
    <x v="212"/>
    <n v="809.19999999999993"/>
  </r>
  <r>
    <x v="30"/>
    <x v="5"/>
    <x v="0"/>
    <x v="18"/>
    <x v="213"/>
    <n v="2295"/>
  </r>
  <r>
    <x v="30"/>
    <x v="5"/>
    <x v="0"/>
    <x v="40"/>
    <x v="214"/>
    <n v="1621.8"/>
  </r>
  <r>
    <x v="30"/>
    <x v="1"/>
    <x v="0"/>
    <x v="21"/>
    <x v="215"/>
    <n v="1445.5"/>
  </r>
  <r>
    <x v="30"/>
    <x v="0"/>
    <x v="0"/>
    <x v="15"/>
    <x v="216"/>
    <n v="1431.3999999999999"/>
  </r>
  <r>
    <x v="31"/>
    <x v="5"/>
    <x v="0"/>
    <x v="27"/>
    <x v="67"/>
    <n v="1210.3999999999999"/>
  </r>
  <r>
    <x v="31"/>
    <x v="7"/>
    <x v="0"/>
    <x v="13"/>
    <x v="5"/>
    <n v="1159.3999999999999"/>
  </r>
  <r>
    <x v="31"/>
    <x v="0"/>
    <x v="0"/>
    <x v="42"/>
    <x v="143"/>
    <n v="1390.6"/>
  </r>
  <r>
    <x v="31"/>
    <x v="5"/>
    <x v="0"/>
    <x v="41"/>
    <x v="202"/>
    <n v="1200.2"/>
  </r>
  <r>
    <x v="31"/>
    <x v="7"/>
    <x v="0"/>
    <x v="36"/>
    <x v="217"/>
    <n v="1156"/>
  </r>
  <r>
    <x v="31"/>
    <x v="6"/>
    <x v="0"/>
    <x v="11"/>
    <x v="218"/>
    <n v="458.4"/>
  </r>
  <r>
    <x v="32"/>
    <x v="7"/>
    <x v="0"/>
    <x v="29"/>
    <x v="219"/>
    <n v="578"/>
  </r>
  <r>
    <x v="32"/>
    <x v="6"/>
    <x v="0"/>
    <x v="27"/>
    <x v="100"/>
    <n v="950.4"/>
  </r>
  <r>
    <x v="32"/>
    <x v="1"/>
    <x v="0"/>
    <x v="27"/>
    <x v="164"/>
    <n v="2033.5"/>
  </r>
  <r>
    <x v="32"/>
    <x v="8"/>
    <x v="0"/>
    <x v="46"/>
    <x v="220"/>
    <n v="134.4"/>
  </r>
  <r>
    <x v="32"/>
    <x v="3"/>
    <x v="0"/>
    <x v="15"/>
    <x v="221"/>
    <n v="1336.2"/>
  </r>
  <r>
    <x v="32"/>
    <x v="8"/>
    <x v="0"/>
    <x v="6"/>
    <x v="222"/>
    <n v="1065.6000000000001"/>
  </r>
  <r>
    <x v="32"/>
    <x v="7"/>
    <x v="0"/>
    <x v="39"/>
    <x v="223"/>
    <n v="880.6"/>
  </r>
  <r>
    <x v="32"/>
    <x v="2"/>
    <x v="0"/>
    <x v="45"/>
    <x v="224"/>
    <n v="658.3"/>
  </r>
  <r>
    <x v="33"/>
    <x v="5"/>
    <x v="0"/>
    <x v="36"/>
    <x v="225"/>
    <n v="1693.2"/>
  </r>
  <r>
    <x v="33"/>
    <x v="8"/>
    <x v="0"/>
    <x v="40"/>
    <x v="94"/>
    <n v="985.6"/>
  </r>
  <r>
    <x v="33"/>
    <x v="2"/>
    <x v="0"/>
    <x v="6"/>
    <x v="118"/>
    <n v="133.4"/>
  </r>
  <r>
    <x v="33"/>
    <x v="0"/>
    <x v="0"/>
    <x v="15"/>
    <x v="23"/>
    <n v="1125.3999999999999"/>
  </r>
  <r>
    <x v="33"/>
    <x v="7"/>
    <x v="0"/>
    <x v="5"/>
    <x v="226"/>
    <n v="316.2"/>
  </r>
  <r>
    <x v="33"/>
    <x v="1"/>
    <x v="0"/>
    <x v="28"/>
    <x v="222"/>
    <n v="1165.5"/>
  </r>
  <r>
    <x v="33"/>
    <x v="4"/>
    <x v="0"/>
    <x v="7"/>
    <x v="216"/>
    <n v="1431.3999999999999"/>
  </r>
  <r>
    <x v="33"/>
    <x v="2"/>
    <x v="0"/>
    <x v="24"/>
    <x v="137"/>
    <n v="884.5"/>
  </r>
  <r>
    <x v="33"/>
    <x v="1"/>
    <x v="0"/>
    <x v="12"/>
    <x v="227"/>
    <n v="1883"/>
  </r>
  <r>
    <x v="34"/>
    <x v="7"/>
    <x v="0"/>
    <x v="14"/>
    <x v="228"/>
    <n v="567.79999999999995"/>
  </r>
  <r>
    <x v="34"/>
    <x v="7"/>
    <x v="0"/>
    <x v="34"/>
    <x v="229"/>
    <n v="241.4"/>
  </r>
  <r>
    <x v="34"/>
    <x v="0"/>
    <x v="0"/>
    <x v="25"/>
    <x v="8"/>
    <n v="2070.6"/>
  </r>
  <r>
    <x v="34"/>
    <x v="1"/>
    <x v="0"/>
    <x v="41"/>
    <x v="230"/>
    <n v="2005.5"/>
  </r>
  <r>
    <x v="34"/>
    <x v="4"/>
    <x v="0"/>
    <x v="33"/>
    <x v="116"/>
    <n v="377.4"/>
  </r>
  <r>
    <x v="34"/>
    <x v="5"/>
    <x v="0"/>
    <x v="28"/>
    <x v="231"/>
    <n v="2475.1999999999998"/>
  </r>
  <r>
    <x v="34"/>
    <x v="3"/>
    <x v="0"/>
    <x v="35"/>
    <x v="232"/>
    <n v="336.59999999999997"/>
  </r>
  <r>
    <x v="34"/>
    <x v="7"/>
    <x v="0"/>
    <x v="35"/>
    <x v="233"/>
    <n v="1655.8"/>
  </r>
  <r>
    <x v="34"/>
    <x v="0"/>
    <x v="0"/>
    <x v="30"/>
    <x v="234"/>
    <n v="1275"/>
  </r>
  <r>
    <x v="35"/>
    <x v="4"/>
    <x v="0"/>
    <x v="46"/>
    <x v="216"/>
    <n v="1431.3999999999999"/>
  </r>
  <r>
    <x v="35"/>
    <x v="8"/>
    <x v="0"/>
    <x v="31"/>
    <x v="235"/>
    <n v="521.6"/>
  </r>
  <r>
    <x v="36"/>
    <x v="3"/>
    <x v="0"/>
    <x v="37"/>
    <x v="236"/>
    <n v="1662.6"/>
  </r>
  <r>
    <x v="36"/>
    <x v="5"/>
    <x v="0"/>
    <x v="4"/>
    <x v="215"/>
    <n v="1404.2"/>
  </r>
  <r>
    <x v="36"/>
    <x v="2"/>
    <x v="0"/>
    <x v="42"/>
    <x v="237"/>
    <n v="46.4"/>
  </r>
  <r>
    <x v="36"/>
    <x v="1"/>
    <x v="0"/>
    <x v="30"/>
    <x v="238"/>
    <n v="1025.5"/>
  </r>
  <r>
    <x v="36"/>
    <x v="2"/>
    <x v="0"/>
    <x v="48"/>
    <x v="239"/>
    <n v="371.2"/>
  </r>
  <r>
    <x v="36"/>
    <x v="1"/>
    <x v="0"/>
    <x v="23"/>
    <x v="73"/>
    <n v="2026.5"/>
  </r>
  <r>
    <x v="36"/>
    <x v="6"/>
    <x v="0"/>
    <x v="44"/>
    <x v="240"/>
    <n v="360"/>
  </r>
  <r>
    <x v="36"/>
    <x v="8"/>
    <x v="0"/>
    <x v="26"/>
    <x v="241"/>
    <n v="1488"/>
  </r>
  <r>
    <x v="36"/>
    <x v="4"/>
    <x v="0"/>
    <x v="9"/>
    <x v="143"/>
    <n v="1390.6"/>
  </r>
  <r>
    <x v="36"/>
    <x v="2"/>
    <x v="0"/>
    <x v="15"/>
    <x v="123"/>
    <n v="1165.8"/>
  </r>
  <r>
    <x v="36"/>
    <x v="6"/>
    <x v="0"/>
    <x v="7"/>
    <x v="242"/>
    <n v="631.19999999999993"/>
  </r>
  <r>
    <x v="37"/>
    <x v="7"/>
    <x v="0"/>
    <x v="31"/>
    <x v="158"/>
    <n v="1023.4"/>
  </r>
  <r>
    <x v="37"/>
    <x v="1"/>
    <x v="0"/>
    <x v="37"/>
    <x v="243"/>
    <n v="2110.5"/>
  </r>
  <r>
    <x v="37"/>
    <x v="7"/>
    <x v="0"/>
    <x v="3"/>
    <x v="244"/>
    <n v="1615"/>
  </r>
  <r>
    <x v="37"/>
    <x v="0"/>
    <x v="0"/>
    <x v="2"/>
    <x v="245"/>
    <n v="1315.8"/>
  </r>
  <r>
    <x v="37"/>
    <x v="6"/>
    <x v="0"/>
    <x v="10"/>
    <x v="246"/>
    <n v="1377.6"/>
  </r>
  <r>
    <x v="37"/>
    <x v="8"/>
    <x v="0"/>
    <x v="43"/>
    <x v="247"/>
    <n v="940.80000000000007"/>
  </r>
  <r>
    <x v="37"/>
    <x v="5"/>
    <x v="0"/>
    <x v="15"/>
    <x v="248"/>
    <n v="2560.1999999999998"/>
  </r>
  <r>
    <x v="37"/>
    <x v="4"/>
    <x v="0"/>
    <x v="32"/>
    <x v="249"/>
    <n v="523.6"/>
  </r>
  <r>
    <x v="37"/>
    <x v="8"/>
    <x v="0"/>
    <x v="37"/>
    <x v="68"/>
    <n v="899.2"/>
  </r>
  <r>
    <x v="38"/>
    <x v="2"/>
    <x v="0"/>
    <x v="43"/>
    <x v="179"/>
    <n v="72.5"/>
  </r>
  <r>
    <x v="38"/>
    <x v="5"/>
    <x v="0"/>
    <x v="10"/>
    <x v="89"/>
    <n v="1574.2"/>
  </r>
  <r>
    <x v="38"/>
    <x v="8"/>
    <x v="0"/>
    <x v="25"/>
    <x v="104"/>
    <n v="707.2"/>
  </r>
  <r>
    <x v="38"/>
    <x v="5"/>
    <x v="0"/>
    <x v="41"/>
    <x v="250"/>
    <n v="2652"/>
  </r>
  <r>
    <x v="38"/>
    <x v="6"/>
    <x v="0"/>
    <x v="26"/>
    <x v="251"/>
    <n v="1300.8"/>
  </r>
  <r>
    <x v="38"/>
    <x v="6"/>
    <x v="0"/>
    <x v="16"/>
    <x v="191"/>
    <n v="554.4"/>
  </r>
  <r>
    <x v="38"/>
    <x v="0"/>
    <x v="0"/>
    <x v="23"/>
    <x v="252"/>
    <n v="1734"/>
  </r>
  <r>
    <x v="38"/>
    <x v="0"/>
    <x v="0"/>
    <x v="2"/>
    <x v="253"/>
    <n v="1305.5999999999999"/>
  </r>
  <r>
    <x v="38"/>
    <x v="8"/>
    <x v="0"/>
    <x v="31"/>
    <x v="254"/>
    <n v="124.80000000000001"/>
  </r>
  <r>
    <x v="38"/>
    <x v="8"/>
    <x v="0"/>
    <x v="16"/>
    <x v="114"/>
    <n v="771.2"/>
  </r>
  <r>
    <x v="39"/>
    <x v="8"/>
    <x v="0"/>
    <x v="42"/>
    <x v="214"/>
    <n v="1526.4"/>
  </r>
  <r>
    <x v="39"/>
    <x v="0"/>
    <x v="0"/>
    <x v="34"/>
    <x v="4"/>
    <n v="1846.2"/>
  </r>
  <r>
    <x v="39"/>
    <x v="4"/>
    <x v="0"/>
    <x v="45"/>
    <x v="63"/>
    <n v="1441.6"/>
  </r>
  <r>
    <x v="39"/>
    <x v="5"/>
    <x v="0"/>
    <x v="25"/>
    <x v="255"/>
    <n v="1774.8"/>
  </r>
  <r>
    <x v="39"/>
    <x v="1"/>
    <x v="0"/>
    <x v="11"/>
    <x v="224"/>
    <n v="794.5"/>
  </r>
  <r>
    <x v="39"/>
    <x v="8"/>
    <x v="0"/>
    <x v="34"/>
    <x v="238"/>
    <n v="937.6"/>
  </r>
  <r>
    <x v="40"/>
    <x v="4"/>
    <x v="0"/>
    <x v="4"/>
    <x v="79"/>
    <n v="1387.2"/>
  </r>
  <r>
    <x v="40"/>
    <x v="5"/>
    <x v="0"/>
    <x v="28"/>
    <x v="256"/>
    <n v="1071"/>
  </r>
  <r>
    <x v="40"/>
    <x v="1"/>
    <x v="0"/>
    <x v="31"/>
    <x v="257"/>
    <n v="2135"/>
  </r>
  <r>
    <x v="40"/>
    <x v="4"/>
    <x v="0"/>
    <x v="8"/>
    <x v="184"/>
    <n v="1642.2"/>
  </r>
  <r>
    <x v="40"/>
    <x v="3"/>
    <x v="0"/>
    <x v="38"/>
    <x v="258"/>
    <n v="826.19999999999993"/>
  </r>
  <r>
    <x v="41"/>
    <x v="6"/>
    <x v="0"/>
    <x v="35"/>
    <x v="97"/>
    <n v="652.79999999999995"/>
  </r>
  <r>
    <x v="41"/>
    <x v="8"/>
    <x v="0"/>
    <x v="43"/>
    <x v="259"/>
    <n v="1273.6000000000001"/>
  </r>
  <r>
    <x v="41"/>
    <x v="4"/>
    <x v="0"/>
    <x v="45"/>
    <x v="197"/>
    <n v="306"/>
  </r>
  <r>
    <x v="41"/>
    <x v="8"/>
    <x v="0"/>
    <x v="21"/>
    <x v="260"/>
    <n v="563.20000000000005"/>
  </r>
  <r>
    <x v="41"/>
    <x v="2"/>
    <x v="0"/>
    <x v="31"/>
    <x v="261"/>
    <n v="991.8"/>
  </r>
  <r>
    <x v="41"/>
    <x v="7"/>
    <x v="0"/>
    <x v="27"/>
    <x v="262"/>
    <n v="1550.3999999999999"/>
  </r>
  <r>
    <x v="41"/>
    <x v="5"/>
    <x v="0"/>
    <x v="11"/>
    <x v="184"/>
    <n v="1642.2"/>
  </r>
  <r>
    <x v="41"/>
    <x v="1"/>
    <x v="0"/>
    <x v="38"/>
    <x v="263"/>
    <n v="2387"/>
  </r>
  <r>
    <x v="42"/>
    <x v="8"/>
    <x v="0"/>
    <x v="44"/>
    <x v="98"/>
    <n v="1376"/>
  </r>
  <r>
    <x v="42"/>
    <x v="2"/>
    <x v="0"/>
    <x v="46"/>
    <x v="59"/>
    <n v="246.5"/>
  </r>
  <r>
    <x v="42"/>
    <x v="1"/>
    <x v="0"/>
    <x v="32"/>
    <x v="264"/>
    <n v="1022"/>
  </r>
  <r>
    <x v="42"/>
    <x v="6"/>
    <x v="0"/>
    <x v="25"/>
    <x v="79"/>
    <n v="979.19999999999993"/>
  </r>
  <r>
    <x v="42"/>
    <x v="0"/>
    <x v="0"/>
    <x v="14"/>
    <x v="265"/>
    <n v="2312"/>
  </r>
  <r>
    <x v="42"/>
    <x v="7"/>
    <x v="0"/>
    <x v="36"/>
    <x v="55"/>
    <n v="1264.8"/>
  </r>
  <r>
    <x v="42"/>
    <x v="5"/>
    <x v="0"/>
    <x v="46"/>
    <x v="266"/>
    <n v="1543.6"/>
  </r>
  <r>
    <x v="42"/>
    <x v="5"/>
    <x v="0"/>
    <x v="31"/>
    <x v="159"/>
    <n v="1203.5999999999999"/>
  </r>
  <r>
    <x v="42"/>
    <x v="6"/>
    <x v="0"/>
    <x v="3"/>
    <x v="29"/>
    <n v="758.4"/>
  </r>
  <r>
    <x v="42"/>
    <x v="6"/>
    <x v="0"/>
    <x v="3"/>
    <x v="44"/>
    <n v="904.8"/>
  </r>
  <r>
    <x v="42"/>
    <x v="0"/>
    <x v="0"/>
    <x v="36"/>
    <x v="267"/>
    <n v="2352.7999999999997"/>
  </r>
  <r>
    <x v="42"/>
    <x v="2"/>
    <x v="0"/>
    <x v="21"/>
    <x v="268"/>
    <n v="1261.5"/>
  </r>
  <r>
    <x v="42"/>
    <x v="3"/>
    <x v="0"/>
    <x v="18"/>
    <x v="269"/>
    <n v="442"/>
  </r>
  <r>
    <x v="42"/>
    <x v="3"/>
    <x v="0"/>
    <x v="41"/>
    <x v="270"/>
    <n v="251.6"/>
  </r>
  <r>
    <x v="42"/>
    <x v="3"/>
    <x v="0"/>
    <x v="15"/>
    <x v="271"/>
    <n v="697"/>
  </r>
  <r>
    <x v="42"/>
    <x v="2"/>
    <x v="0"/>
    <x v="23"/>
    <x v="272"/>
    <n v="962.8"/>
  </r>
  <r>
    <x v="42"/>
    <x v="2"/>
    <x v="0"/>
    <x v="29"/>
    <x v="176"/>
    <n v="194.29999999999998"/>
  </r>
  <r>
    <x v="43"/>
    <x v="4"/>
    <x v="0"/>
    <x v="29"/>
    <x v="112"/>
    <n v="1519.8"/>
  </r>
  <r>
    <x v="43"/>
    <x v="2"/>
    <x v="0"/>
    <x v="15"/>
    <x v="160"/>
    <n v="324.8"/>
  </r>
  <r>
    <x v="43"/>
    <x v="1"/>
    <x v="0"/>
    <x v="18"/>
    <x v="273"/>
    <n v="2096.5"/>
  </r>
  <r>
    <x v="43"/>
    <x v="1"/>
    <x v="0"/>
    <x v="13"/>
    <x v="274"/>
    <n v="822.5"/>
  </r>
  <r>
    <x v="43"/>
    <x v="6"/>
    <x v="0"/>
    <x v="34"/>
    <x v="275"/>
    <n v="372"/>
  </r>
  <r>
    <x v="43"/>
    <x v="7"/>
    <x v="0"/>
    <x v="11"/>
    <x v="33"/>
    <n v="479.4"/>
  </r>
  <r>
    <x v="43"/>
    <x v="3"/>
    <x v="0"/>
    <x v="6"/>
    <x v="29"/>
    <n v="1074.3999999999999"/>
  </r>
  <r>
    <x v="44"/>
    <x v="1"/>
    <x v="0"/>
    <x v="41"/>
    <x v="252"/>
    <n v="1785"/>
  </r>
  <r>
    <x v="44"/>
    <x v="0"/>
    <x v="0"/>
    <x v="36"/>
    <x v="276"/>
    <n v="1958.3999999999999"/>
  </r>
  <r>
    <x v="44"/>
    <x v="0"/>
    <x v="0"/>
    <x v="39"/>
    <x v="37"/>
    <n v="1326"/>
  </r>
  <r>
    <x v="44"/>
    <x v="6"/>
    <x v="0"/>
    <x v="37"/>
    <x v="137"/>
    <n v="732"/>
  </r>
  <r>
    <x v="44"/>
    <x v="2"/>
    <x v="0"/>
    <x v="27"/>
    <x v="277"/>
    <n v="1145.5"/>
  </r>
  <r>
    <x v="44"/>
    <x v="5"/>
    <x v="0"/>
    <x v="17"/>
    <x v="278"/>
    <n v="1523.2"/>
  </r>
  <r>
    <x v="44"/>
    <x v="0"/>
    <x v="0"/>
    <x v="33"/>
    <x v="278"/>
    <n v="1523.2"/>
  </r>
  <r>
    <x v="45"/>
    <x v="2"/>
    <x v="0"/>
    <x v="31"/>
    <x v="279"/>
    <n v="1212.2"/>
  </r>
  <r>
    <x v="45"/>
    <x v="6"/>
    <x v="0"/>
    <x v="3"/>
    <x v="280"/>
    <n v="787.19999999999993"/>
  </r>
  <r>
    <x v="45"/>
    <x v="1"/>
    <x v="0"/>
    <x v="30"/>
    <x v="211"/>
    <n v="2023"/>
  </r>
  <r>
    <x v="45"/>
    <x v="3"/>
    <x v="0"/>
    <x v="0"/>
    <x v="279"/>
    <n v="1421.2"/>
  </r>
  <r>
    <x v="46"/>
    <x v="5"/>
    <x v="0"/>
    <x v="4"/>
    <x v="281"/>
    <n v="2305.1999999999998"/>
  </r>
  <r>
    <x v="46"/>
    <x v="0"/>
    <x v="0"/>
    <x v="48"/>
    <x v="282"/>
    <n v="2329"/>
  </r>
  <r>
    <x v="46"/>
    <x v="3"/>
    <x v="0"/>
    <x v="45"/>
    <x v="283"/>
    <n v="428.4"/>
  </r>
  <r>
    <x v="46"/>
    <x v="2"/>
    <x v="0"/>
    <x v="0"/>
    <x v="284"/>
    <n v="385.7"/>
  </r>
  <r>
    <x v="46"/>
    <x v="5"/>
    <x v="0"/>
    <x v="25"/>
    <x v="243"/>
    <n v="2050.1999999999998"/>
  </r>
  <r>
    <x v="47"/>
    <x v="7"/>
    <x v="0"/>
    <x v="44"/>
    <x v="285"/>
    <n v="1669.3999999999999"/>
  </r>
  <r>
    <x v="47"/>
    <x v="2"/>
    <x v="0"/>
    <x v="19"/>
    <x v="284"/>
    <n v="385.7"/>
  </r>
  <r>
    <x v="47"/>
    <x v="1"/>
    <x v="0"/>
    <x v="32"/>
    <x v="286"/>
    <n v="2198"/>
  </r>
  <r>
    <x v="47"/>
    <x v="8"/>
    <x v="0"/>
    <x v="39"/>
    <x v="215"/>
    <n v="1321.6000000000001"/>
  </r>
  <r>
    <x v="47"/>
    <x v="5"/>
    <x v="0"/>
    <x v="3"/>
    <x v="91"/>
    <n v="1890.3999999999999"/>
  </r>
  <r>
    <x v="48"/>
    <x v="5"/>
    <x v="0"/>
    <x v="13"/>
    <x v="287"/>
    <n v="1560.6"/>
  </r>
  <r>
    <x v="48"/>
    <x v="0"/>
    <x v="0"/>
    <x v="41"/>
    <x v="272"/>
    <n v="1128.8"/>
  </r>
  <r>
    <x v="48"/>
    <x v="5"/>
    <x v="0"/>
    <x v="33"/>
    <x v="236"/>
    <n v="1662.6"/>
  </r>
  <r>
    <x v="48"/>
    <x v="6"/>
    <x v="0"/>
    <x v="41"/>
    <x v="288"/>
    <n v="412.8"/>
  </r>
  <r>
    <x v="48"/>
    <x v="0"/>
    <x v="0"/>
    <x v="20"/>
    <x v="289"/>
    <n v="2291.6"/>
  </r>
  <r>
    <x v="48"/>
    <x v="4"/>
    <x v="0"/>
    <x v="21"/>
    <x v="290"/>
    <n v="710.6"/>
  </r>
  <r>
    <x v="48"/>
    <x v="3"/>
    <x v="0"/>
    <x v="39"/>
    <x v="291"/>
    <n v="601.79999999999995"/>
  </r>
  <r>
    <x v="48"/>
    <x v="2"/>
    <x v="0"/>
    <x v="15"/>
    <x v="292"/>
    <n v="40.6"/>
  </r>
  <r>
    <x v="48"/>
    <x v="7"/>
    <x v="0"/>
    <x v="36"/>
    <x v="293"/>
    <n v="122.39999999999999"/>
  </r>
  <r>
    <x v="48"/>
    <x v="6"/>
    <x v="0"/>
    <x v="25"/>
    <x v="294"/>
    <n v="1152"/>
  </r>
  <r>
    <x v="48"/>
    <x v="8"/>
    <x v="0"/>
    <x v="26"/>
    <x v="295"/>
    <n v="208"/>
  </r>
  <r>
    <x v="48"/>
    <x v="8"/>
    <x v="0"/>
    <x v="49"/>
    <x v="296"/>
    <n v="1030.4000000000001"/>
  </r>
  <r>
    <x v="49"/>
    <x v="7"/>
    <x v="0"/>
    <x v="6"/>
    <x v="297"/>
    <n v="1584.3999999999999"/>
  </r>
  <r>
    <x v="49"/>
    <x v="4"/>
    <x v="0"/>
    <x v="0"/>
    <x v="182"/>
    <n v="340"/>
  </r>
  <r>
    <x v="49"/>
    <x v="0"/>
    <x v="0"/>
    <x v="3"/>
    <x v="155"/>
    <n v="1145.8"/>
  </r>
  <r>
    <x v="49"/>
    <x v="3"/>
    <x v="0"/>
    <x v="36"/>
    <x v="298"/>
    <n v="1026.8"/>
  </r>
  <r>
    <x v="49"/>
    <x v="0"/>
    <x v="0"/>
    <x v="19"/>
    <x v="299"/>
    <n v="758.19999999999993"/>
  </r>
  <r>
    <x v="49"/>
    <x v="0"/>
    <x v="0"/>
    <x v="18"/>
    <x v="300"/>
    <n v="1088"/>
  </r>
  <r>
    <x v="49"/>
    <x v="5"/>
    <x v="0"/>
    <x v="26"/>
    <x v="301"/>
    <n v="1118.5999999999999"/>
  </r>
  <r>
    <x v="49"/>
    <x v="6"/>
    <x v="0"/>
    <x v="43"/>
    <x v="167"/>
    <n v="770.4"/>
  </r>
  <r>
    <x v="49"/>
    <x v="8"/>
    <x v="0"/>
    <x v="41"/>
    <x v="302"/>
    <n v="393.6"/>
  </r>
  <r>
    <x v="49"/>
    <x v="1"/>
    <x v="0"/>
    <x v="49"/>
    <x v="303"/>
    <n v="1960"/>
  </r>
  <r>
    <x v="50"/>
    <x v="6"/>
    <x v="0"/>
    <x v="46"/>
    <x v="80"/>
    <n v="1286.3999999999999"/>
  </r>
  <r>
    <x v="50"/>
    <x v="1"/>
    <x v="0"/>
    <x v="12"/>
    <x v="304"/>
    <n v="1207.5"/>
  </r>
  <r>
    <x v="50"/>
    <x v="6"/>
    <x v="0"/>
    <x v="1"/>
    <x v="212"/>
    <n v="571.19999999999993"/>
  </r>
  <r>
    <x v="50"/>
    <x v="7"/>
    <x v="0"/>
    <x v="16"/>
    <x v="156"/>
    <n v="40.799999999999997"/>
  </r>
  <r>
    <x v="50"/>
    <x v="6"/>
    <x v="0"/>
    <x v="34"/>
    <x v="305"/>
    <n v="1171.2"/>
  </r>
  <r>
    <x v="50"/>
    <x v="1"/>
    <x v="0"/>
    <x v="19"/>
    <x v="306"/>
    <n v="1879.5"/>
  </r>
  <r>
    <x v="50"/>
    <x v="7"/>
    <x v="0"/>
    <x v="2"/>
    <x v="307"/>
    <n v="292.39999999999998"/>
  </r>
  <r>
    <x v="50"/>
    <x v="7"/>
    <x v="0"/>
    <x v="1"/>
    <x v="124"/>
    <n v="1625.2"/>
  </r>
  <r>
    <x v="51"/>
    <x v="6"/>
    <x v="0"/>
    <x v="34"/>
    <x v="242"/>
    <n v="631.19999999999993"/>
  </r>
  <r>
    <x v="51"/>
    <x v="6"/>
    <x v="0"/>
    <x v="7"/>
    <x v="18"/>
    <n v="1051.2"/>
  </r>
  <r>
    <x v="51"/>
    <x v="2"/>
    <x v="0"/>
    <x v="29"/>
    <x v="254"/>
    <n v="113.1"/>
  </r>
  <r>
    <x v="51"/>
    <x v="3"/>
    <x v="0"/>
    <x v="40"/>
    <x v="308"/>
    <n v="1448.3999999999999"/>
  </r>
  <r>
    <x v="51"/>
    <x v="2"/>
    <x v="0"/>
    <x v="38"/>
    <x v="308"/>
    <n v="1235.3999999999999"/>
  </r>
  <r>
    <x v="51"/>
    <x v="3"/>
    <x v="0"/>
    <x v="38"/>
    <x v="309"/>
    <n v="272"/>
  </r>
  <r>
    <x v="51"/>
    <x v="1"/>
    <x v="0"/>
    <x v="35"/>
    <x v="310"/>
    <n v="1379"/>
  </r>
  <r>
    <x v="51"/>
    <x v="8"/>
    <x v="0"/>
    <x v="36"/>
    <x v="221"/>
    <n v="1257.6000000000001"/>
  </r>
  <r>
    <x v="51"/>
    <x v="2"/>
    <x v="0"/>
    <x v="0"/>
    <x v="305"/>
    <n v="1415.2"/>
  </r>
  <r>
    <x v="52"/>
    <x v="6"/>
    <x v="0"/>
    <x v="43"/>
    <x v="311"/>
    <n v="1351.2"/>
  </r>
  <r>
    <x v="52"/>
    <x v="1"/>
    <x v="0"/>
    <x v="21"/>
    <x v="312"/>
    <n v="1526"/>
  </r>
  <r>
    <x v="52"/>
    <x v="1"/>
    <x v="0"/>
    <x v="35"/>
    <x v="313"/>
    <n v="2338"/>
  </r>
  <r>
    <x v="52"/>
    <x v="7"/>
    <x v="0"/>
    <x v="37"/>
    <x v="314"/>
    <n v="931.6"/>
  </r>
  <r>
    <x v="52"/>
    <x v="6"/>
    <x v="0"/>
    <x v="33"/>
    <x v="92"/>
    <n v="1399.2"/>
  </r>
  <r>
    <x v="52"/>
    <x v="3"/>
    <x v="0"/>
    <x v="8"/>
    <x v="315"/>
    <n v="761.6"/>
  </r>
  <r>
    <x v="52"/>
    <x v="7"/>
    <x v="0"/>
    <x v="19"/>
    <x v="84"/>
    <n v="1237.5999999999999"/>
  </r>
  <r>
    <x v="53"/>
    <x v="7"/>
    <x v="0"/>
    <x v="39"/>
    <x v="287"/>
    <n v="1560.6"/>
  </r>
  <r>
    <x v="53"/>
    <x v="1"/>
    <x v="0"/>
    <x v="15"/>
    <x v="316"/>
    <n v="854"/>
  </r>
  <r>
    <x v="53"/>
    <x v="2"/>
    <x v="0"/>
    <x v="15"/>
    <x v="298"/>
    <n v="875.8"/>
  </r>
  <r>
    <x v="53"/>
    <x v="1"/>
    <x v="0"/>
    <x v="9"/>
    <x v="143"/>
    <n v="1431.5"/>
  </r>
  <r>
    <x v="53"/>
    <x v="3"/>
    <x v="0"/>
    <x v="10"/>
    <x v="77"/>
    <n v="914.6"/>
  </r>
  <r>
    <x v="53"/>
    <x v="8"/>
    <x v="0"/>
    <x v="8"/>
    <x v="279"/>
    <n v="1337.6000000000001"/>
  </r>
  <r>
    <x v="53"/>
    <x v="1"/>
    <x v="0"/>
    <x v="3"/>
    <x v="317"/>
    <n v="745.5"/>
  </r>
  <r>
    <x v="53"/>
    <x v="1"/>
    <x v="0"/>
    <x v="11"/>
    <x v="261"/>
    <n v="1197"/>
  </r>
  <r>
    <x v="53"/>
    <x v="1"/>
    <x v="0"/>
    <x v="46"/>
    <x v="318"/>
    <n v="1732.5"/>
  </r>
  <r>
    <x v="53"/>
    <x v="3"/>
    <x v="0"/>
    <x v="49"/>
    <x v="190"/>
    <n v="612"/>
  </r>
  <r>
    <x v="53"/>
    <x v="5"/>
    <x v="0"/>
    <x v="14"/>
    <x v="319"/>
    <n v="2526.1999999999998"/>
  </r>
  <r>
    <x v="54"/>
    <x v="2"/>
    <x v="0"/>
    <x v="21"/>
    <x v="320"/>
    <n v="1174.5"/>
  </r>
  <r>
    <x v="54"/>
    <x v="3"/>
    <x v="0"/>
    <x v="40"/>
    <x v="321"/>
    <n v="897.6"/>
  </r>
  <r>
    <x v="54"/>
    <x v="0"/>
    <x v="0"/>
    <x v="31"/>
    <x v="107"/>
    <n v="1424.6"/>
  </r>
  <r>
    <x v="54"/>
    <x v="8"/>
    <x v="0"/>
    <x v="0"/>
    <x v="59"/>
    <n v="272"/>
  </r>
  <r>
    <x v="54"/>
    <x v="7"/>
    <x v="0"/>
    <x v="5"/>
    <x v="322"/>
    <n v="561"/>
  </r>
  <r>
    <x v="54"/>
    <x v="2"/>
    <x v="0"/>
    <x v="28"/>
    <x v="323"/>
    <n v="263.89999999999998"/>
  </r>
  <r>
    <x v="54"/>
    <x v="6"/>
    <x v="0"/>
    <x v="29"/>
    <x v="230"/>
    <n v="1375.2"/>
  </r>
  <r>
    <x v="55"/>
    <x v="8"/>
    <x v="0"/>
    <x v="29"/>
    <x v="24"/>
    <n v="364.8"/>
  </r>
  <r>
    <x v="55"/>
    <x v="5"/>
    <x v="0"/>
    <x v="27"/>
    <x v="324"/>
    <n v="1798.6"/>
  </r>
  <r>
    <x v="55"/>
    <x v="5"/>
    <x v="0"/>
    <x v="23"/>
    <x v="325"/>
    <n v="2237.1999999999998"/>
  </r>
  <r>
    <x v="55"/>
    <x v="6"/>
    <x v="0"/>
    <x v="0"/>
    <x v="157"/>
    <n v="309.59999999999997"/>
  </r>
  <r>
    <x v="56"/>
    <x v="4"/>
    <x v="0"/>
    <x v="36"/>
    <x v="82"/>
    <n v="846.6"/>
  </r>
  <r>
    <x v="56"/>
    <x v="5"/>
    <x v="0"/>
    <x v="2"/>
    <x v="326"/>
    <n v="2611.1999999999998"/>
  </r>
  <r>
    <x v="56"/>
    <x v="3"/>
    <x v="0"/>
    <x v="4"/>
    <x v="48"/>
    <n v="877.19999999999993"/>
  </r>
  <r>
    <x v="56"/>
    <x v="8"/>
    <x v="0"/>
    <x v="32"/>
    <x v="160"/>
    <n v="358.40000000000003"/>
  </r>
  <r>
    <x v="57"/>
    <x v="8"/>
    <x v="0"/>
    <x v="5"/>
    <x v="115"/>
    <n v="1590.4"/>
  </r>
  <r>
    <x v="57"/>
    <x v="8"/>
    <x v="0"/>
    <x v="12"/>
    <x v="327"/>
    <n v="886.40000000000009"/>
  </r>
  <r>
    <x v="57"/>
    <x v="0"/>
    <x v="0"/>
    <x v="25"/>
    <x v="328"/>
    <n v="1428"/>
  </r>
  <r>
    <x v="57"/>
    <x v="0"/>
    <x v="0"/>
    <x v="5"/>
    <x v="79"/>
    <n v="1387.2"/>
  </r>
  <r>
    <x v="57"/>
    <x v="2"/>
    <x v="0"/>
    <x v="12"/>
    <x v="284"/>
    <n v="385.7"/>
  </r>
  <r>
    <x v="57"/>
    <x v="8"/>
    <x v="0"/>
    <x v="19"/>
    <x v="55"/>
    <n v="1190.4000000000001"/>
  </r>
  <r>
    <x v="57"/>
    <x v="7"/>
    <x v="0"/>
    <x v="3"/>
    <x v="19"/>
    <n v="115.6"/>
  </r>
  <r>
    <x v="58"/>
    <x v="2"/>
    <x v="0"/>
    <x v="14"/>
    <x v="198"/>
    <n v="278.39999999999998"/>
  </r>
  <r>
    <x v="58"/>
    <x v="7"/>
    <x v="0"/>
    <x v="7"/>
    <x v="329"/>
    <n v="57.8"/>
  </r>
  <r>
    <x v="58"/>
    <x v="8"/>
    <x v="0"/>
    <x v="13"/>
    <x v="330"/>
    <n v="1219.2"/>
  </r>
  <r>
    <x v="58"/>
    <x v="0"/>
    <x v="0"/>
    <x v="38"/>
    <x v="117"/>
    <n v="1638.8"/>
  </r>
  <r>
    <x v="58"/>
    <x v="1"/>
    <x v="0"/>
    <x v="20"/>
    <x v="296"/>
    <n v="1127"/>
  </r>
  <r>
    <x v="58"/>
    <x v="1"/>
    <x v="0"/>
    <x v="47"/>
    <x v="331"/>
    <n v="2149"/>
  </r>
  <r>
    <x v="58"/>
    <x v="5"/>
    <x v="0"/>
    <x v="19"/>
    <x v="79"/>
    <n v="1387.2"/>
  </r>
  <r>
    <x v="58"/>
    <x v="7"/>
    <x v="0"/>
    <x v="10"/>
    <x v="154"/>
    <n v="275.39999999999998"/>
  </r>
  <r>
    <x v="58"/>
    <x v="5"/>
    <x v="0"/>
    <x v="9"/>
    <x v="332"/>
    <n v="2550"/>
  </r>
  <r>
    <x v="58"/>
    <x v="4"/>
    <x v="0"/>
    <x v="26"/>
    <x v="51"/>
    <n v="431.8"/>
  </r>
  <r>
    <x v="59"/>
    <x v="1"/>
    <x v="0"/>
    <x v="43"/>
    <x v="333"/>
    <n v="1134"/>
  </r>
  <r>
    <x v="59"/>
    <x v="1"/>
    <x v="0"/>
    <x v="35"/>
    <x v="334"/>
    <n v="1351"/>
  </r>
  <r>
    <x v="59"/>
    <x v="1"/>
    <x v="0"/>
    <x v="41"/>
    <x v="335"/>
    <n v="973"/>
  </r>
  <r>
    <x v="59"/>
    <x v="3"/>
    <x v="0"/>
    <x v="5"/>
    <x v="336"/>
    <n v="1220.5999999999999"/>
  </r>
  <r>
    <x v="59"/>
    <x v="7"/>
    <x v="0"/>
    <x v="30"/>
    <x v="337"/>
    <n v="1349.8"/>
  </r>
  <r>
    <x v="59"/>
    <x v="6"/>
    <x v="0"/>
    <x v="48"/>
    <x v="338"/>
    <n v="1048.8"/>
  </r>
  <r>
    <x v="59"/>
    <x v="2"/>
    <x v="0"/>
    <x v="15"/>
    <x v="339"/>
    <n v="153.69999999999999"/>
  </r>
  <r>
    <x v="60"/>
    <x v="1"/>
    <x v="0"/>
    <x v="11"/>
    <x v="85"/>
    <n v="1613.5"/>
  </r>
  <r>
    <x v="60"/>
    <x v="5"/>
    <x v="0"/>
    <x v="38"/>
    <x v="340"/>
    <n v="2247.4"/>
  </r>
  <r>
    <x v="60"/>
    <x v="5"/>
    <x v="0"/>
    <x v="0"/>
    <x v="341"/>
    <n v="1720.3999999999999"/>
  </r>
  <r>
    <x v="60"/>
    <x v="2"/>
    <x v="0"/>
    <x v="24"/>
    <x v="158"/>
    <n v="872.9"/>
  </r>
  <r>
    <x v="60"/>
    <x v="8"/>
    <x v="0"/>
    <x v="48"/>
    <x v="299"/>
    <n v="713.6"/>
  </r>
  <r>
    <x v="60"/>
    <x v="7"/>
    <x v="0"/>
    <x v="33"/>
    <x v="123"/>
    <n v="1366.8"/>
  </r>
  <r>
    <x v="60"/>
    <x v="0"/>
    <x v="0"/>
    <x v="37"/>
    <x v="266"/>
    <n v="1543.6"/>
  </r>
  <r>
    <x v="60"/>
    <x v="0"/>
    <x v="0"/>
    <x v="35"/>
    <x v="115"/>
    <n v="1689.8"/>
  </r>
  <r>
    <x v="60"/>
    <x v="1"/>
    <x v="0"/>
    <x v="39"/>
    <x v="342"/>
    <n v="2334.5"/>
  </r>
  <r>
    <x v="61"/>
    <x v="1"/>
    <x v="0"/>
    <x v="39"/>
    <x v="191"/>
    <n v="808.5"/>
  </r>
  <r>
    <x v="61"/>
    <x v="0"/>
    <x v="0"/>
    <x v="26"/>
    <x v="343"/>
    <n v="1594.6"/>
  </r>
  <r>
    <x v="61"/>
    <x v="6"/>
    <x v="0"/>
    <x v="9"/>
    <x v="344"/>
    <n v="1310.3999999999999"/>
  </r>
  <r>
    <x v="61"/>
    <x v="0"/>
    <x v="0"/>
    <x v="43"/>
    <x v="79"/>
    <n v="1387.2"/>
  </r>
  <r>
    <x v="61"/>
    <x v="7"/>
    <x v="0"/>
    <x v="38"/>
    <x v="221"/>
    <n v="1336.2"/>
  </r>
  <r>
    <x v="61"/>
    <x v="0"/>
    <x v="0"/>
    <x v="31"/>
    <x v="345"/>
    <n v="833"/>
  </r>
  <r>
    <x v="61"/>
    <x v="7"/>
    <x v="0"/>
    <x v="9"/>
    <x v="346"/>
    <n v="231.2"/>
  </r>
  <r>
    <x v="62"/>
    <x v="3"/>
    <x v="0"/>
    <x v="45"/>
    <x v="347"/>
    <n v="618.79999999999995"/>
  </r>
  <r>
    <x v="62"/>
    <x v="8"/>
    <x v="0"/>
    <x v="16"/>
    <x v="348"/>
    <n v="371.20000000000005"/>
  </r>
  <r>
    <x v="62"/>
    <x v="0"/>
    <x v="0"/>
    <x v="42"/>
    <x v="349"/>
    <n v="1740.8"/>
  </r>
  <r>
    <x v="62"/>
    <x v="4"/>
    <x v="0"/>
    <x v="18"/>
    <x v="186"/>
    <n v="1169.5999999999999"/>
  </r>
  <r>
    <x v="62"/>
    <x v="1"/>
    <x v="0"/>
    <x v="13"/>
    <x v="93"/>
    <n v="1309"/>
  </r>
  <r>
    <x v="62"/>
    <x v="7"/>
    <x v="0"/>
    <x v="21"/>
    <x v="350"/>
    <n v="136"/>
  </r>
  <r>
    <x v="62"/>
    <x v="3"/>
    <x v="0"/>
    <x v="4"/>
    <x v="258"/>
    <n v="826.19999999999993"/>
  </r>
  <r>
    <x v="62"/>
    <x v="5"/>
    <x v="0"/>
    <x v="20"/>
    <x v="320"/>
    <n v="1377"/>
  </r>
  <r>
    <x v="63"/>
    <x v="1"/>
    <x v="0"/>
    <x v="18"/>
    <x v="91"/>
    <n v="1946"/>
  </r>
  <r>
    <x v="63"/>
    <x v="2"/>
    <x v="0"/>
    <x v="1"/>
    <x v="351"/>
    <n v="400.2"/>
  </r>
  <r>
    <x v="63"/>
    <x v="5"/>
    <x v="0"/>
    <x v="43"/>
    <x v="352"/>
    <n v="2410.6"/>
  </r>
  <r>
    <x v="63"/>
    <x v="0"/>
    <x v="0"/>
    <x v="7"/>
    <x v="273"/>
    <n v="2036.6"/>
  </r>
  <r>
    <x v="63"/>
    <x v="6"/>
    <x v="0"/>
    <x v="8"/>
    <x v="353"/>
    <n v="868.8"/>
  </r>
  <r>
    <x v="63"/>
    <x v="5"/>
    <x v="0"/>
    <x v="0"/>
    <x v="113"/>
    <n v="1111.8"/>
  </r>
  <r>
    <x v="63"/>
    <x v="0"/>
    <x v="0"/>
    <x v="33"/>
    <x v="321"/>
    <n v="897.6"/>
  </r>
  <r>
    <x v="63"/>
    <x v="4"/>
    <x v="0"/>
    <x v="34"/>
    <x v="318"/>
    <n v="1683"/>
  </r>
  <r>
    <x v="64"/>
    <x v="3"/>
    <x v="0"/>
    <x v="46"/>
    <x v="354"/>
    <n v="530.4"/>
  </r>
  <r>
    <x v="64"/>
    <x v="2"/>
    <x v="0"/>
    <x v="29"/>
    <x v="355"/>
    <n v="1258.5999999999999"/>
  </r>
  <r>
    <x v="64"/>
    <x v="8"/>
    <x v="0"/>
    <x v="28"/>
    <x v="356"/>
    <n v="1350.4"/>
  </r>
  <r>
    <x v="64"/>
    <x v="8"/>
    <x v="0"/>
    <x v="37"/>
    <x v="11"/>
    <n v="710.40000000000009"/>
  </r>
  <r>
    <x v="64"/>
    <x v="4"/>
    <x v="0"/>
    <x v="32"/>
    <x v="84"/>
    <n v="1237.5999999999999"/>
  </r>
  <r>
    <x v="65"/>
    <x v="1"/>
    <x v="0"/>
    <x v="41"/>
    <x v="272"/>
    <n v="1162"/>
  </r>
  <r>
    <x v="65"/>
    <x v="7"/>
    <x v="0"/>
    <x v="35"/>
    <x v="357"/>
    <n v="547.4"/>
  </r>
  <r>
    <x v="66"/>
    <x v="5"/>
    <x v="0"/>
    <x v="46"/>
    <x v="358"/>
    <n v="2155.6"/>
  </r>
  <r>
    <x v="66"/>
    <x v="4"/>
    <x v="0"/>
    <x v="2"/>
    <x v="64"/>
    <n v="656.19999999999993"/>
  </r>
  <r>
    <x v="66"/>
    <x v="0"/>
    <x v="0"/>
    <x v="39"/>
    <x v="82"/>
    <n v="846.6"/>
  </r>
  <r>
    <x v="66"/>
    <x v="3"/>
    <x v="0"/>
    <x v="21"/>
    <x v="359"/>
    <n v="938.4"/>
  </r>
  <r>
    <x v="66"/>
    <x v="5"/>
    <x v="0"/>
    <x v="15"/>
    <x v="243"/>
    <n v="2050.1999999999998"/>
  </r>
  <r>
    <x v="66"/>
    <x v="1"/>
    <x v="0"/>
    <x v="12"/>
    <x v="233"/>
    <n v="1704.5"/>
  </r>
  <r>
    <x v="66"/>
    <x v="8"/>
    <x v="0"/>
    <x v="2"/>
    <x v="359"/>
    <n v="883.2"/>
  </r>
  <r>
    <x v="66"/>
    <x v="3"/>
    <x v="0"/>
    <x v="19"/>
    <x v="360"/>
    <n v="248.2"/>
  </r>
  <r>
    <x v="66"/>
    <x v="8"/>
    <x v="0"/>
    <x v="40"/>
    <x v="347"/>
    <n v="582.4"/>
  </r>
  <r>
    <x v="66"/>
    <x v="8"/>
    <x v="0"/>
    <x v="8"/>
    <x v="361"/>
    <n v="163.20000000000002"/>
  </r>
  <r>
    <x v="66"/>
    <x v="2"/>
    <x v="0"/>
    <x v="42"/>
    <x v="162"/>
    <n v="867.1"/>
  </r>
  <r>
    <x v="66"/>
    <x v="1"/>
    <x v="0"/>
    <x v="14"/>
    <x v="362"/>
    <n v="2394"/>
  </r>
  <r>
    <x v="66"/>
    <x v="0"/>
    <x v="0"/>
    <x v="34"/>
    <x v="70"/>
    <n v="2131.7999999999997"/>
  </r>
  <r>
    <x v="67"/>
    <x v="3"/>
    <x v="0"/>
    <x v="29"/>
    <x v="147"/>
    <n v="1190"/>
  </r>
  <r>
    <x v="67"/>
    <x v="2"/>
    <x v="0"/>
    <x v="26"/>
    <x v="363"/>
    <n v="562.6"/>
  </r>
  <r>
    <x v="67"/>
    <x v="3"/>
    <x v="0"/>
    <x v="23"/>
    <x v="65"/>
    <n v="44.199999999999996"/>
  </r>
  <r>
    <x v="67"/>
    <x v="7"/>
    <x v="0"/>
    <x v="34"/>
    <x v="364"/>
    <n v="1142.3999999999999"/>
  </r>
  <r>
    <x v="67"/>
    <x v="5"/>
    <x v="0"/>
    <x v="33"/>
    <x v="365"/>
    <n v="1234.2"/>
  </r>
  <r>
    <x v="67"/>
    <x v="2"/>
    <x v="0"/>
    <x v="3"/>
    <x v="366"/>
    <n v="313.2"/>
  </r>
  <r>
    <x v="67"/>
    <x v="1"/>
    <x v="0"/>
    <x v="48"/>
    <x v="241"/>
    <n v="1627.5"/>
  </r>
  <r>
    <x v="68"/>
    <x v="6"/>
    <x v="0"/>
    <x v="19"/>
    <x v="367"/>
    <n v="1176"/>
  </r>
  <r>
    <x v="68"/>
    <x v="4"/>
    <x v="0"/>
    <x v="25"/>
    <x v="329"/>
    <n v="57.8"/>
  </r>
  <r>
    <x v="68"/>
    <x v="2"/>
    <x v="0"/>
    <x v="23"/>
    <x v="368"/>
    <n v="817.8"/>
  </r>
  <r>
    <x v="69"/>
    <x v="6"/>
    <x v="0"/>
    <x v="22"/>
    <x v="33"/>
    <n v="338.4"/>
  </r>
  <r>
    <x v="69"/>
    <x v="2"/>
    <x v="0"/>
    <x v="12"/>
    <x v="369"/>
    <n v="217.5"/>
  </r>
  <r>
    <x v="69"/>
    <x v="7"/>
    <x v="0"/>
    <x v="26"/>
    <x v="134"/>
    <n v="384.2"/>
  </r>
  <r>
    <x v="69"/>
    <x v="1"/>
    <x v="0"/>
    <x v="41"/>
    <x v="73"/>
    <n v="2026.5"/>
  </r>
  <r>
    <x v="69"/>
    <x v="6"/>
    <x v="0"/>
    <x v="32"/>
    <x v="302"/>
    <n v="295.2"/>
  </r>
  <r>
    <x v="69"/>
    <x v="1"/>
    <x v="0"/>
    <x v="21"/>
    <x v="68"/>
    <n v="983.5"/>
  </r>
  <r>
    <x v="70"/>
    <x v="8"/>
    <x v="0"/>
    <x v="3"/>
    <x v="370"/>
    <n v="374.40000000000003"/>
  </r>
  <r>
    <x v="70"/>
    <x v="6"/>
    <x v="0"/>
    <x v="4"/>
    <x v="192"/>
    <n v="1322.3999999999999"/>
  </r>
  <r>
    <x v="70"/>
    <x v="8"/>
    <x v="0"/>
    <x v="48"/>
    <x v="371"/>
    <n v="1004.8000000000001"/>
  </r>
  <r>
    <x v="70"/>
    <x v="4"/>
    <x v="0"/>
    <x v="6"/>
    <x v="52"/>
    <n v="108.8"/>
  </r>
  <r>
    <x v="70"/>
    <x v="6"/>
    <x v="0"/>
    <x v="19"/>
    <x v="63"/>
    <n v="1017.5999999999999"/>
  </r>
  <r>
    <x v="70"/>
    <x v="6"/>
    <x v="0"/>
    <x v="39"/>
    <x v="125"/>
    <n v="866.4"/>
  </r>
  <r>
    <x v="71"/>
    <x v="6"/>
    <x v="0"/>
    <x v="9"/>
    <x v="101"/>
    <n v="1248"/>
  </r>
  <r>
    <x v="71"/>
    <x v="3"/>
    <x v="0"/>
    <x v="26"/>
    <x v="210"/>
    <n v="166.6"/>
  </r>
  <r>
    <x v="71"/>
    <x v="7"/>
    <x v="0"/>
    <x v="43"/>
    <x v="372"/>
    <n v="360.4"/>
  </r>
  <r>
    <x v="71"/>
    <x v="3"/>
    <x v="0"/>
    <x v="31"/>
    <x v="226"/>
    <n v="316.2"/>
  </r>
  <r>
    <x v="71"/>
    <x v="5"/>
    <x v="0"/>
    <x v="40"/>
    <x v="373"/>
    <n v="2315.4"/>
  </r>
  <r>
    <x v="71"/>
    <x v="8"/>
    <x v="0"/>
    <x v="25"/>
    <x v="374"/>
    <n v="601.6"/>
  </r>
  <r>
    <x v="71"/>
    <x v="8"/>
    <x v="0"/>
    <x v="3"/>
    <x v="86"/>
    <n v="819.2"/>
  </r>
  <r>
    <x v="71"/>
    <x v="2"/>
    <x v="0"/>
    <x v="25"/>
    <x v="375"/>
    <n v="1374.6"/>
  </r>
  <r>
    <x v="71"/>
    <x v="8"/>
    <x v="0"/>
    <x v="9"/>
    <x v="376"/>
    <n v="691.2"/>
  </r>
  <r>
    <x v="72"/>
    <x v="8"/>
    <x v="0"/>
    <x v="33"/>
    <x v="377"/>
    <n v="1123.2"/>
  </r>
  <r>
    <x v="72"/>
    <x v="0"/>
    <x v="0"/>
    <x v="40"/>
    <x v="225"/>
    <n v="1693.2"/>
  </r>
  <r>
    <x v="72"/>
    <x v="5"/>
    <x v="0"/>
    <x v="34"/>
    <x v="263"/>
    <n v="2318.7999999999997"/>
  </r>
  <r>
    <x v="72"/>
    <x v="3"/>
    <x v="0"/>
    <x v="15"/>
    <x v="301"/>
    <n v="1118.5999999999999"/>
  </r>
  <r>
    <x v="72"/>
    <x v="7"/>
    <x v="0"/>
    <x v="17"/>
    <x v="122"/>
    <n v="795.6"/>
  </r>
  <r>
    <x v="72"/>
    <x v="4"/>
    <x v="0"/>
    <x v="28"/>
    <x v="209"/>
    <n v="1139"/>
  </r>
  <r>
    <x v="72"/>
    <x v="0"/>
    <x v="0"/>
    <x v="14"/>
    <x v="378"/>
    <n v="1836"/>
  </r>
  <r>
    <x v="72"/>
    <x v="6"/>
    <x v="0"/>
    <x v="27"/>
    <x v="379"/>
    <n v="1392"/>
  </r>
  <r>
    <x v="72"/>
    <x v="4"/>
    <x v="0"/>
    <x v="41"/>
    <x v="77"/>
    <n v="914.6"/>
  </r>
  <r>
    <x v="72"/>
    <x v="5"/>
    <x v="0"/>
    <x v="2"/>
    <x v="244"/>
    <n v="1615"/>
  </r>
  <r>
    <x v="72"/>
    <x v="1"/>
    <x v="0"/>
    <x v="8"/>
    <x v="297"/>
    <n v="1631"/>
  </r>
  <r>
    <x v="72"/>
    <x v="7"/>
    <x v="0"/>
    <x v="17"/>
    <x v="380"/>
    <n v="74.8"/>
  </r>
  <r>
    <x v="72"/>
    <x v="7"/>
    <x v="0"/>
    <x v="20"/>
    <x v="135"/>
    <n v="1383.8"/>
  </r>
  <r>
    <x v="72"/>
    <x v="7"/>
    <x v="0"/>
    <x v="18"/>
    <x v="141"/>
    <n v="1417.8"/>
  </r>
  <r>
    <x v="73"/>
    <x v="6"/>
    <x v="0"/>
    <x v="23"/>
    <x v="184"/>
    <n v="1159.2"/>
  </r>
  <r>
    <x v="73"/>
    <x v="1"/>
    <x v="0"/>
    <x v="35"/>
    <x v="381"/>
    <n v="1018.5"/>
  </r>
  <r>
    <x v="73"/>
    <x v="7"/>
    <x v="0"/>
    <x v="24"/>
    <x v="175"/>
    <n v="982.6"/>
  </r>
  <r>
    <x v="73"/>
    <x v="2"/>
    <x v="0"/>
    <x v="6"/>
    <x v="168"/>
    <n v="52.199999999999996"/>
  </r>
  <r>
    <x v="73"/>
    <x v="8"/>
    <x v="0"/>
    <x v="19"/>
    <x v="297"/>
    <n v="1491.2"/>
  </r>
  <r>
    <x v="73"/>
    <x v="5"/>
    <x v="0"/>
    <x v="43"/>
    <x v="382"/>
    <n v="2454.7999999999997"/>
  </r>
  <r>
    <x v="73"/>
    <x v="1"/>
    <x v="0"/>
    <x v="37"/>
    <x v="60"/>
    <n v="2432.5"/>
  </r>
  <r>
    <x v="73"/>
    <x v="8"/>
    <x v="0"/>
    <x v="26"/>
    <x v="383"/>
    <n v="873.6"/>
  </r>
  <r>
    <x v="73"/>
    <x v="1"/>
    <x v="0"/>
    <x v="33"/>
    <x v="384"/>
    <n v="2075.5"/>
  </r>
  <r>
    <x v="73"/>
    <x v="1"/>
    <x v="0"/>
    <x v="44"/>
    <x v="385"/>
    <n v="1767.5"/>
  </r>
  <r>
    <x v="73"/>
    <x v="5"/>
    <x v="0"/>
    <x v="38"/>
    <x v="386"/>
    <n v="1819"/>
  </r>
  <r>
    <x v="73"/>
    <x v="1"/>
    <x v="0"/>
    <x v="48"/>
    <x v="387"/>
    <n v="801.5"/>
  </r>
  <r>
    <x v="73"/>
    <x v="0"/>
    <x v="0"/>
    <x v="31"/>
    <x v="388"/>
    <n v="2301.7999999999997"/>
  </r>
  <r>
    <x v="74"/>
    <x v="5"/>
    <x v="0"/>
    <x v="4"/>
    <x v="253"/>
    <n v="1305.5999999999999"/>
  </r>
  <r>
    <x v="74"/>
    <x v="3"/>
    <x v="0"/>
    <x v="32"/>
    <x v="39"/>
    <n v="1098.2"/>
  </r>
  <r>
    <x v="74"/>
    <x v="8"/>
    <x v="0"/>
    <x v="9"/>
    <x v="389"/>
    <n v="697.6"/>
  </r>
  <r>
    <x v="74"/>
    <x v="7"/>
    <x v="0"/>
    <x v="13"/>
    <x v="389"/>
    <n v="741.19999999999993"/>
  </r>
  <r>
    <x v="75"/>
    <x v="3"/>
    <x v="0"/>
    <x v="33"/>
    <x v="235"/>
    <n v="554.19999999999993"/>
  </r>
  <r>
    <x v="75"/>
    <x v="2"/>
    <x v="0"/>
    <x v="8"/>
    <x v="390"/>
    <n v="240.7"/>
  </r>
  <r>
    <x v="75"/>
    <x v="5"/>
    <x v="0"/>
    <x v="46"/>
    <x v="125"/>
    <n v="1227.3999999999999"/>
  </r>
  <r>
    <x v="75"/>
    <x v="2"/>
    <x v="0"/>
    <x v="40"/>
    <x v="218"/>
    <n v="553.9"/>
  </r>
  <r>
    <x v="75"/>
    <x v="8"/>
    <x v="0"/>
    <x v="32"/>
    <x v="391"/>
    <n v="1081.6000000000001"/>
  </r>
  <r>
    <x v="75"/>
    <x v="7"/>
    <x v="0"/>
    <x v="48"/>
    <x v="392"/>
    <n v="1356.6"/>
  </r>
  <r>
    <x v="75"/>
    <x v="4"/>
    <x v="0"/>
    <x v="5"/>
    <x v="247"/>
    <n v="999.6"/>
  </r>
  <r>
    <x v="75"/>
    <x v="0"/>
    <x v="0"/>
    <x v="12"/>
    <x v="358"/>
    <n v="2155.6"/>
  </r>
  <r>
    <x v="75"/>
    <x v="1"/>
    <x v="0"/>
    <x v="24"/>
    <x v="393"/>
    <n v="2156"/>
  </r>
  <r>
    <x v="76"/>
    <x v="5"/>
    <x v="0"/>
    <x v="9"/>
    <x v="328"/>
    <n v="1428"/>
  </r>
  <r>
    <x v="76"/>
    <x v="0"/>
    <x v="0"/>
    <x v="1"/>
    <x v="6"/>
    <n v="965.6"/>
  </r>
  <r>
    <x v="76"/>
    <x v="7"/>
    <x v="0"/>
    <x v="43"/>
    <x v="157"/>
    <n v="438.59999999999997"/>
  </r>
  <r>
    <x v="76"/>
    <x v="3"/>
    <x v="0"/>
    <x v="46"/>
    <x v="394"/>
    <n v="1166.2"/>
  </r>
  <r>
    <x v="76"/>
    <x v="3"/>
    <x v="0"/>
    <x v="35"/>
    <x v="143"/>
    <n v="1390.6"/>
  </r>
  <r>
    <x v="76"/>
    <x v="5"/>
    <x v="0"/>
    <x v="5"/>
    <x v="8"/>
    <n v="2070.6"/>
  </r>
  <r>
    <x v="76"/>
    <x v="0"/>
    <x v="0"/>
    <x v="18"/>
    <x v="150"/>
    <n v="1322.6"/>
  </r>
  <r>
    <x v="76"/>
    <x v="5"/>
    <x v="0"/>
    <x v="25"/>
    <x v="395"/>
    <n v="2638.4"/>
  </r>
  <r>
    <x v="76"/>
    <x v="7"/>
    <x v="0"/>
    <x v="8"/>
    <x v="392"/>
    <n v="1356.6"/>
  </r>
  <r>
    <x v="76"/>
    <x v="2"/>
    <x v="0"/>
    <x v="36"/>
    <x v="329"/>
    <n v="49.3"/>
  </r>
  <r>
    <x v="77"/>
    <x v="6"/>
    <x v="0"/>
    <x v="46"/>
    <x v="396"/>
    <n v="528"/>
  </r>
  <r>
    <x v="77"/>
    <x v="2"/>
    <x v="0"/>
    <x v="29"/>
    <x v="48"/>
    <n v="748.19999999999993"/>
  </r>
  <r>
    <x v="77"/>
    <x v="5"/>
    <x v="0"/>
    <x v="8"/>
    <x v="397"/>
    <n v="1380.3999999999999"/>
  </r>
  <r>
    <x v="77"/>
    <x v="5"/>
    <x v="0"/>
    <x v="11"/>
    <x v="123"/>
    <n v="1366.8"/>
  </r>
  <r>
    <x v="77"/>
    <x v="3"/>
    <x v="0"/>
    <x v="40"/>
    <x v="321"/>
    <n v="897.6"/>
  </r>
  <r>
    <x v="77"/>
    <x v="7"/>
    <x v="0"/>
    <x v="46"/>
    <x v="189"/>
    <n v="1472.2"/>
  </r>
  <r>
    <x v="77"/>
    <x v="7"/>
    <x v="0"/>
    <x v="36"/>
    <x v="357"/>
    <n v="547.4"/>
  </r>
  <r>
    <x v="77"/>
    <x v="1"/>
    <x v="0"/>
    <x v="9"/>
    <x v="398"/>
    <n v="2142"/>
  </r>
  <r>
    <x v="77"/>
    <x v="1"/>
    <x v="0"/>
    <x v="27"/>
    <x v="55"/>
    <n v="1302"/>
  </r>
  <r>
    <x v="78"/>
    <x v="1"/>
    <x v="0"/>
    <x v="18"/>
    <x v="82"/>
    <n v="871.5"/>
  </r>
  <r>
    <x v="78"/>
    <x v="8"/>
    <x v="0"/>
    <x v="25"/>
    <x v="222"/>
    <n v="1065.6000000000001"/>
  </r>
  <r>
    <x v="78"/>
    <x v="7"/>
    <x v="0"/>
    <x v="25"/>
    <x v="305"/>
    <n v="1659.2"/>
  </r>
  <r>
    <x v="78"/>
    <x v="2"/>
    <x v="0"/>
    <x v="7"/>
    <x v="399"/>
    <n v="620.6"/>
  </r>
  <r>
    <x v="78"/>
    <x v="5"/>
    <x v="0"/>
    <x v="3"/>
    <x v="141"/>
    <n v="1417.8"/>
  </r>
  <r>
    <x v="78"/>
    <x v="0"/>
    <x v="0"/>
    <x v="1"/>
    <x v="17"/>
    <n v="1815.6"/>
  </r>
  <r>
    <x v="78"/>
    <x v="2"/>
    <x v="0"/>
    <x v="32"/>
    <x v="214"/>
    <n v="1383.3"/>
  </r>
  <r>
    <x v="78"/>
    <x v="2"/>
    <x v="0"/>
    <x v="3"/>
    <x v="218"/>
    <n v="553.9"/>
  </r>
  <r>
    <x v="78"/>
    <x v="1"/>
    <x v="0"/>
    <x v="29"/>
    <x v="400"/>
    <n v="1253"/>
  </r>
  <r>
    <x v="78"/>
    <x v="1"/>
    <x v="0"/>
    <x v="34"/>
    <x v="401"/>
    <n v="1809.5"/>
  </r>
  <r>
    <x v="78"/>
    <x v="3"/>
    <x v="0"/>
    <x v="9"/>
    <x v="402"/>
    <n v="1502.8"/>
  </r>
  <r>
    <x v="78"/>
    <x v="3"/>
    <x v="0"/>
    <x v="6"/>
    <x v="403"/>
    <n v="112.2"/>
  </r>
  <r>
    <x v="78"/>
    <x v="3"/>
    <x v="0"/>
    <x v="36"/>
    <x v="404"/>
    <n v="190.4"/>
  </r>
  <r>
    <x v="78"/>
    <x v="7"/>
    <x v="0"/>
    <x v="43"/>
    <x v="405"/>
    <n v="204"/>
  </r>
  <r>
    <x v="78"/>
    <x v="4"/>
    <x v="0"/>
    <x v="9"/>
    <x v="357"/>
    <n v="547.4"/>
  </r>
  <r>
    <x v="78"/>
    <x v="5"/>
    <x v="0"/>
    <x v="48"/>
    <x v="406"/>
    <n v="2121.6"/>
  </r>
  <r>
    <x v="79"/>
    <x v="1"/>
    <x v="0"/>
    <x v="11"/>
    <x v="407"/>
    <n v="1039.5"/>
  </r>
  <r>
    <x v="79"/>
    <x v="5"/>
    <x v="0"/>
    <x v="10"/>
    <x v="261"/>
    <n v="1162.8"/>
  </r>
  <r>
    <x v="79"/>
    <x v="8"/>
    <x v="0"/>
    <x v="28"/>
    <x v="408"/>
    <n v="1254.4000000000001"/>
  </r>
  <r>
    <x v="79"/>
    <x v="2"/>
    <x v="0"/>
    <x v="13"/>
    <x v="409"/>
    <n v="516.19999999999993"/>
  </r>
  <r>
    <x v="79"/>
    <x v="4"/>
    <x v="0"/>
    <x v="24"/>
    <x v="142"/>
    <n v="1057.3999999999999"/>
  </r>
  <r>
    <x v="79"/>
    <x v="1"/>
    <x v="0"/>
    <x v="35"/>
    <x v="238"/>
    <n v="1025.5"/>
  </r>
  <r>
    <x v="79"/>
    <x v="5"/>
    <x v="0"/>
    <x v="11"/>
    <x v="318"/>
    <n v="1683"/>
  </r>
  <r>
    <x v="79"/>
    <x v="3"/>
    <x v="0"/>
    <x v="0"/>
    <x v="93"/>
    <n v="1271.5999999999999"/>
  </r>
  <r>
    <x v="79"/>
    <x v="8"/>
    <x v="0"/>
    <x v="14"/>
    <x v="225"/>
    <n v="1593.6000000000001"/>
  </r>
  <r>
    <x v="79"/>
    <x v="0"/>
    <x v="0"/>
    <x v="6"/>
    <x v="103"/>
    <n v="1360"/>
  </r>
  <r>
    <x v="80"/>
    <x v="1"/>
    <x v="0"/>
    <x v="36"/>
    <x v="410"/>
    <n v="1998.5"/>
  </r>
  <r>
    <x v="80"/>
    <x v="3"/>
    <x v="0"/>
    <x v="9"/>
    <x v="140"/>
    <n v="462.4"/>
  </r>
  <r>
    <x v="80"/>
    <x v="2"/>
    <x v="0"/>
    <x v="12"/>
    <x v="411"/>
    <n v="1307.8999999999999"/>
  </r>
  <r>
    <x v="80"/>
    <x v="8"/>
    <x v="0"/>
    <x v="21"/>
    <x v="412"/>
    <n v="694.40000000000009"/>
  </r>
  <r>
    <x v="80"/>
    <x v="8"/>
    <x v="0"/>
    <x v="45"/>
    <x v="413"/>
    <n v="624"/>
  </r>
  <r>
    <x v="80"/>
    <x v="2"/>
    <x v="0"/>
    <x v="28"/>
    <x v="392"/>
    <n v="1157.0999999999999"/>
  </r>
  <r>
    <x v="80"/>
    <x v="1"/>
    <x v="0"/>
    <x v="6"/>
    <x v="414"/>
    <n v="805"/>
  </r>
  <r>
    <x v="80"/>
    <x v="2"/>
    <x v="0"/>
    <x v="44"/>
    <x v="415"/>
    <n v="1110.7"/>
  </r>
  <r>
    <x v="81"/>
    <x v="2"/>
    <x v="0"/>
    <x v="11"/>
    <x v="156"/>
    <n v="34.799999999999997"/>
  </r>
  <r>
    <x v="81"/>
    <x v="3"/>
    <x v="0"/>
    <x v="30"/>
    <x v="277"/>
    <n v="1343"/>
  </r>
  <r>
    <x v="81"/>
    <x v="5"/>
    <x v="0"/>
    <x v="23"/>
    <x v="416"/>
    <n v="2414"/>
  </r>
  <r>
    <x v="81"/>
    <x v="2"/>
    <x v="0"/>
    <x v="10"/>
    <x v="212"/>
    <n v="690.19999999999993"/>
  </r>
  <r>
    <x v="81"/>
    <x v="2"/>
    <x v="0"/>
    <x v="41"/>
    <x v="225"/>
    <n v="1444.2"/>
  </r>
  <r>
    <x v="81"/>
    <x v="0"/>
    <x v="0"/>
    <x v="12"/>
    <x v="387"/>
    <n v="778.6"/>
  </r>
  <r>
    <x v="81"/>
    <x v="3"/>
    <x v="0"/>
    <x v="46"/>
    <x v="417"/>
    <n v="68"/>
  </r>
  <r>
    <x v="81"/>
    <x v="5"/>
    <x v="0"/>
    <x v="15"/>
    <x v="418"/>
    <n v="2482"/>
  </r>
  <r>
    <x v="81"/>
    <x v="0"/>
    <x v="0"/>
    <x v="43"/>
    <x v="419"/>
    <n v="2339.1999999999998"/>
  </r>
  <r>
    <x v="82"/>
    <x v="6"/>
    <x v="0"/>
    <x v="22"/>
    <x v="420"/>
    <n v="909.6"/>
  </r>
  <r>
    <x v="82"/>
    <x v="5"/>
    <x v="0"/>
    <x v="28"/>
    <x v="421"/>
    <n v="1978.8"/>
  </r>
  <r>
    <x v="82"/>
    <x v="8"/>
    <x v="0"/>
    <x v="35"/>
    <x v="232"/>
    <n v="316.8"/>
  </r>
  <r>
    <x v="82"/>
    <x v="2"/>
    <x v="0"/>
    <x v="6"/>
    <x v="0"/>
    <n v="1363"/>
  </r>
  <r>
    <x v="82"/>
    <x v="5"/>
    <x v="0"/>
    <x v="34"/>
    <x v="422"/>
    <n v="2108"/>
  </r>
  <r>
    <x v="82"/>
    <x v="3"/>
    <x v="0"/>
    <x v="17"/>
    <x v="423"/>
    <n v="1540.2"/>
  </r>
  <r>
    <x v="82"/>
    <x v="2"/>
    <x v="0"/>
    <x v="35"/>
    <x v="43"/>
    <n v="783"/>
  </r>
  <r>
    <x v="82"/>
    <x v="2"/>
    <x v="0"/>
    <x v="10"/>
    <x v="208"/>
    <n v="310.3"/>
  </r>
  <r>
    <x v="82"/>
    <x v="4"/>
    <x v="0"/>
    <x v="38"/>
    <x v="424"/>
    <n v="343.4"/>
  </r>
  <r>
    <x v="82"/>
    <x v="6"/>
    <x v="0"/>
    <x v="36"/>
    <x v="260"/>
    <n v="422.4"/>
  </r>
  <r>
    <x v="83"/>
    <x v="3"/>
    <x v="0"/>
    <x v="23"/>
    <x v="425"/>
    <n v="1553.8"/>
  </r>
  <r>
    <x v="83"/>
    <x v="8"/>
    <x v="0"/>
    <x v="10"/>
    <x v="186"/>
    <n v="1100.8"/>
  </r>
  <r>
    <x v="83"/>
    <x v="8"/>
    <x v="0"/>
    <x v="10"/>
    <x v="247"/>
    <n v="940.80000000000007"/>
  </r>
  <r>
    <x v="83"/>
    <x v="0"/>
    <x v="0"/>
    <x v="20"/>
    <x v="426"/>
    <n v="1839.3999999999999"/>
  </r>
  <r>
    <x v="83"/>
    <x v="5"/>
    <x v="0"/>
    <x v="23"/>
    <x v="266"/>
    <n v="1543.6"/>
  </r>
  <r>
    <x v="83"/>
    <x v="8"/>
    <x v="0"/>
    <x v="24"/>
    <x v="427"/>
    <n v="1510.4"/>
  </r>
  <r>
    <x v="83"/>
    <x v="8"/>
    <x v="0"/>
    <x v="3"/>
    <x v="317"/>
    <n v="681.6"/>
  </r>
  <r>
    <x v="84"/>
    <x v="0"/>
    <x v="0"/>
    <x v="4"/>
    <x v="428"/>
    <n v="2077.4"/>
  </r>
  <r>
    <x v="84"/>
    <x v="5"/>
    <x v="0"/>
    <x v="45"/>
    <x v="429"/>
    <n v="2621.4"/>
  </r>
  <r>
    <x v="84"/>
    <x v="8"/>
    <x v="0"/>
    <x v="26"/>
    <x v="430"/>
    <n v="166.4"/>
  </r>
  <r>
    <x v="84"/>
    <x v="3"/>
    <x v="0"/>
    <x v="40"/>
    <x v="293"/>
    <n v="122.39999999999999"/>
  </r>
  <r>
    <x v="84"/>
    <x v="0"/>
    <x v="0"/>
    <x v="39"/>
    <x v="431"/>
    <n v="1917.6"/>
  </r>
  <r>
    <x v="84"/>
    <x v="6"/>
    <x v="0"/>
    <x v="14"/>
    <x v="432"/>
    <n v="1027.2"/>
  </r>
  <r>
    <x v="84"/>
    <x v="2"/>
    <x v="0"/>
    <x v="16"/>
    <x v="145"/>
    <n v="1334"/>
  </r>
  <r>
    <x v="84"/>
    <x v="1"/>
    <x v="0"/>
    <x v="7"/>
    <x v="433"/>
    <n v="2215.5"/>
  </r>
  <r>
    <x v="84"/>
    <x v="8"/>
    <x v="0"/>
    <x v="23"/>
    <x v="87"/>
    <n v="300.8"/>
  </r>
  <r>
    <x v="84"/>
    <x v="2"/>
    <x v="0"/>
    <x v="42"/>
    <x v="434"/>
    <n v="890.3"/>
  </r>
  <r>
    <x v="84"/>
    <x v="2"/>
    <x v="0"/>
    <x v="46"/>
    <x v="284"/>
    <n v="385.7"/>
  </r>
  <r>
    <x v="84"/>
    <x v="3"/>
    <x v="0"/>
    <x v="5"/>
    <x v="75"/>
    <n v="1370.2"/>
  </r>
  <r>
    <x v="84"/>
    <x v="4"/>
    <x v="0"/>
    <x v="24"/>
    <x v="412"/>
    <n v="737.8"/>
  </r>
  <r>
    <x v="85"/>
    <x v="7"/>
    <x v="0"/>
    <x v="46"/>
    <x v="434"/>
    <n v="1043.8"/>
  </r>
  <r>
    <x v="85"/>
    <x v="8"/>
    <x v="0"/>
    <x v="35"/>
    <x v="435"/>
    <n v="809.6"/>
  </r>
  <r>
    <x v="85"/>
    <x v="1"/>
    <x v="0"/>
    <x v="9"/>
    <x v="436"/>
    <n v="1169"/>
  </r>
  <r>
    <x v="85"/>
    <x v="8"/>
    <x v="0"/>
    <x v="3"/>
    <x v="437"/>
    <n v="304"/>
  </r>
  <r>
    <x v="85"/>
    <x v="5"/>
    <x v="0"/>
    <x v="9"/>
    <x v="438"/>
    <n v="1859.8"/>
  </r>
  <r>
    <x v="85"/>
    <x v="5"/>
    <x v="0"/>
    <x v="20"/>
    <x v="236"/>
    <n v="1662.6"/>
  </r>
  <r>
    <x v="85"/>
    <x v="1"/>
    <x v="0"/>
    <x v="36"/>
    <x v="439"/>
    <n v="2233"/>
  </r>
  <r>
    <x v="86"/>
    <x v="1"/>
    <x v="0"/>
    <x v="21"/>
    <x v="73"/>
    <n v="2026.5"/>
  </r>
  <r>
    <x v="86"/>
    <x v="5"/>
    <x v="0"/>
    <x v="16"/>
    <x v="215"/>
    <n v="1404.2"/>
  </r>
  <r>
    <x v="86"/>
    <x v="3"/>
    <x v="0"/>
    <x v="5"/>
    <x v="440"/>
    <n v="680"/>
  </r>
  <r>
    <x v="86"/>
    <x v="8"/>
    <x v="0"/>
    <x v="11"/>
    <x v="278"/>
    <n v="1433.6000000000001"/>
  </r>
  <r>
    <x v="86"/>
    <x v="6"/>
    <x v="0"/>
    <x v="5"/>
    <x v="314"/>
    <n v="657.6"/>
  </r>
  <r>
    <x v="87"/>
    <x v="1"/>
    <x v="0"/>
    <x v="16"/>
    <x v="441"/>
    <n v="2093"/>
  </r>
  <r>
    <x v="87"/>
    <x v="6"/>
    <x v="0"/>
    <x v="12"/>
    <x v="341"/>
    <n v="1214.3999999999999"/>
  </r>
  <r>
    <x v="87"/>
    <x v="7"/>
    <x v="0"/>
    <x v="6"/>
    <x v="442"/>
    <n v="1451.8"/>
  </r>
  <r>
    <x v="87"/>
    <x v="1"/>
    <x v="0"/>
    <x v="36"/>
    <x v="138"/>
    <n v="2173.5"/>
  </r>
  <r>
    <x v="87"/>
    <x v="8"/>
    <x v="0"/>
    <x v="18"/>
    <x v="337"/>
    <n v="1270.4000000000001"/>
  </r>
  <r>
    <x v="87"/>
    <x v="4"/>
    <x v="0"/>
    <x v="6"/>
    <x v="275"/>
    <n v="527"/>
  </r>
  <r>
    <x v="88"/>
    <x v="6"/>
    <x v="0"/>
    <x v="8"/>
    <x v="443"/>
    <n v="1320"/>
  </r>
  <r>
    <x v="88"/>
    <x v="7"/>
    <x v="0"/>
    <x v="36"/>
    <x v="444"/>
    <n v="948.6"/>
  </r>
  <r>
    <x v="88"/>
    <x v="7"/>
    <x v="0"/>
    <x v="42"/>
    <x v="284"/>
    <n v="452.2"/>
  </r>
  <r>
    <x v="88"/>
    <x v="1"/>
    <x v="0"/>
    <x v="18"/>
    <x v="89"/>
    <n v="1620.5"/>
  </r>
  <r>
    <x v="88"/>
    <x v="0"/>
    <x v="0"/>
    <x v="16"/>
    <x v="375"/>
    <n v="1611.6"/>
  </r>
  <r>
    <x v="88"/>
    <x v="0"/>
    <x v="0"/>
    <x v="40"/>
    <x v="146"/>
    <n v="1931.2"/>
  </r>
  <r>
    <x v="88"/>
    <x v="8"/>
    <x v="0"/>
    <x v="15"/>
    <x v="271"/>
    <n v="656"/>
  </r>
  <r>
    <x v="88"/>
    <x v="8"/>
    <x v="0"/>
    <x v="8"/>
    <x v="74"/>
    <n v="1318.4"/>
  </r>
  <r>
    <x v="88"/>
    <x v="6"/>
    <x v="0"/>
    <x v="8"/>
    <x v="284"/>
    <n v="319.2"/>
  </r>
  <r>
    <x v="88"/>
    <x v="7"/>
    <x v="0"/>
    <x v="15"/>
    <x v="445"/>
    <n v="1557.2"/>
  </r>
  <r>
    <x v="88"/>
    <x v="7"/>
    <x v="0"/>
    <x v="2"/>
    <x v="242"/>
    <n v="894.19999999999993"/>
  </r>
  <r>
    <x v="88"/>
    <x v="0"/>
    <x v="0"/>
    <x v="21"/>
    <x v="263"/>
    <n v="2318.7999999999997"/>
  </r>
  <r>
    <x v="89"/>
    <x v="5"/>
    <x v="0"/>
    <x v="39"/>
    <x v="446"/>
    <n v="2230.4"/>
  </r>
  <r>
    <x v="89"/>
    <x v="3"/>
    <x v="0"/>
    <x v="26"/>
    <x v="241"/>
    <n v="1581"/>
  </r>
  <r>
    <x v="89"/>
    <x v="8"/>
    <x v="0"/>
    <x v="43"/>
    <x v="151"/>
    <n v="252.8"/>
  </r>
  <r>
    <x v="89"/>
    <x v="5"/>
    <x v="0"/>
    <x v="25"/>
    <x v="171"/>
    <n v="1077.8"/>
  </r>
  <r>
    <x v="89"/>
    <x v="7"/>
    <x v="0"/>
    <x v="15"/>
    <x v="447"/>
    <n v="1278.3999999999999"/>
  </r>
  <r>
    <x v="89"/>
    <x v="4"/>
    <x v="0"/>
    <x v="27"/>
    <x v="448"/>
    <n v="404.59999999999997"/>
  </r>
  <r>
    <x v="89"/>
    <x v="7"/>
    <x v="0"/>
    <x v="16"/>
    <x v="137"/>
    <n v="1037"/>
  </r>
  <r>
    <x v="89"/>
    <x v="7"/>
    <x v="0"/>
    <x v="43"/>
    <x v="449"/>
    <n v="261.8"/>
  </r>
  <r>
    <x v="90"/>
    <x v="5"/>
    <x v="0"/>
    <x v="33"/>
    <x v="450"/>
    <n v="2703"/>
  </r>
  <r>
    <x v="90"/>
    <x v="5"/>
    <x v="0"/>
    <x v="14"/>
    <x v="259"/>
    <n v="1353.2"/>
  </r>
  <r>
    <x v="90"/>
    <x v="5"/>
    <x v="0"/>
    <x v="47"/>
    <x v="423"/>
    <n v="1540.2"/>
  </r>
  <r>
    <x v="90"/>
    <x v="1"/>
    <x v="0"/>
    <x v="35"/>
    <x v="389"/>
    <n v="763"/>
  </r>
  <r>
    <x v="90"/>
    <x v="0"/>
    <x v="0"/>
    <x v="45"/>
    <x v="127"/>
    <n v="2006"/>
  </r>
  <r>
    <x v="90"/>
    <x v="5"/>
    <x v="0"/>
    <x v="48"/>
    <x v="308"/>
    <n v="1448.3999999999999"/>
  </r>
  <r>
    <x v="90"/>
    <x v="0"/>
    <x v="0"/>
    <x v="27"/>
    <x v="289"/>
    <n v="2291.6"/>
  </r>
  <r>
    <x v="90"/>
    <x v="8"/>
    <x v="0"/>
    <x v="4"/>
    <x v="451"/>
    <n v="1600"/>
  </r>
  <r>
    <x v="90"/>
    <x v="1"/>
    <x v="0"/>
    <x v="39"/>
    <x v="11"/>
    <n v="777"/>
  </r>
  <r>
    <x v="90"/>
    <x v="2"/>
    <x v="0"/>
    <x v="5"/>
    <x v="178"/>
    <n v="1276"/>
  </r>
  <r>
    <x v="90"/>
    <x v="6"/>
    <x v="0"/>
    <x v="29"/>
    <x v="452"/>
    <n v="496.79999999999995"/>
  </r>
  <r>
    <x v="90"/>
    <x v="1"/>
    <x v="0"/>
    <x v="29"/>
    <x v="185"/>
    <n v="1683.5"/>
  </r>
  <r>
    <x v="90"/>
    <x v="6"/>
    <x v="0"/>
    <x v="49"/>
    <x v="378"/>
    <n v="1296"/>
  </r>
  <r>
    <x v="90"/>
    <x v="5"/>
    <x v="0"/>
    <x v="1"/>
    <x v="393"/>
    <n v="2094.4"/>
  </r>
  <r>
    <x v="90"/>
    <x v="7"/>
    <x v="0"/>
    <x v="9"/>
    <x v="453"/>
    <n v="1033.5999999999999"/>
  </r>
  <r>
    <x v="90"/>
    <x v="5"/>
    <x v="0"/>
    <x v="6"/>
    <x v="336"/>
    <n v="1220.5999999999999"/>
  </r>
  <r>
    <x v="90"/>
    <x v="8"/>
    <x v="0"/>
    <x v="21"/>
    <x v="90"/>
    <n v="540.80000000000007"/>
  </r>
  <r>
    <x v="90"/>
    <x v="2"/>
    <x v="0"/>
    <x v="17"/>
    <x v="327"/>
    <n v="803.3"/>
  </r>
  <r>
    <x v="90"/>
    <x v="8"/>
    <x v="0"/>
    <x v="30"/>
    <x v="454"/>
    <n v="867.2"/>
  </r>
  <r>
    <x v="91"/>
    <x v="4"/>
    <x v="0"/>
    <x v="9"/>
    <x v="375"/>
    <n v="1611.6"/>
  </r>
  <r>
    <x v="91"/>
    <x v="2"/>
    <x v="0"/>
    <x v="12"/>
    <x v="321"/>
    <n v="765.6"/>
  </r>
  <r>
    <x v="91"/>
    <x v="5"/>
    <x v="0"/>
    <x v="24"/>
    <x v="355"/>
    <n v="1475.6"/>
  </r>
  <r>
    <x v="91"/>
    <x v="5"/>
    <x v="0"/>
    <x v="34"/>
    <x v="139"/>
    <n v="2009.3999999999999"/>
  </r>
  <r>
    <x v="91"/>
    <x v="2"/>
    <x v="0"/>
    <x v="43"/>
    <x v="46"/>
    <n v="835.19999999999993"/>
  </r>
  <r>
    <x v="91"/>
    <x v="1"/>
    <x v="0"/>
    <x v="44"/>
    <x v="343"/>
    <n v="1641.5"/>
  </r>
  <r>
    <x v="91"/>
    <x v="6"/>
    <x v="0"/>
    <x v="7"/>
    <x v="37"/>
    <n v="936"/>
  </r>
  <r>
    <x v="91"/>
    <x v="2"/>
    <x v="0"/>
    <x v="44"/>
    <x v="72"/>
    <n v="258.09999999999997"/>
  </r>
  <r>
    <x v="91"/>
    <x v="3"/>
    <x v="0"/>
    <x v="30"/>
    <x v="404"/>
    <n v="190.4"/>
  </r>
  <r>
    <x v="92"/>
    <x v="7"/>
    <x v="0"/>
    <x v="7"/>
    <x v="159"/>
    <n v="1203.5999999999999"/>
  </r>
  <r>
    <x v="92"/>
    <x v="4"/>
    <x v="0"/>
    <x v="32"/>
    <x v="455"/>
    <n v="642.6"/>
  </r>
  <r>
    <x v="92"/>
    <x v="4"/>
    <x v="0"/>
    <x v="44"/>
    <x v="456"/>
    <n v="1186.5999999999999"/>
  </r>
  <r>
    <x v="92"/>
    <x v="2"/>
    <x v="0"/>
    <x v="29"/>
    <x v="221"/>
    <n v="1139.7"/>
  </r>
  <r>
    <x v="92"/>
    <x v="7"/>
    <x v="0"/>
    <x v="22"/>
    <x v="457"/>
    <n v="564.4"/>
  </r>
  <r>
    <x v="93"/>
    <x v="6"/>
    <x v="0"/>
    <x v="6"/>
    <x v="356"/>
    <n v="1012.8"/>
  </r>
  <r>
    <x v="93"/>
    <x v="3"/>
    <x v="0"/>
    <x v="22"/>
    <x v="173"/>
    <n v="503.2"/>
  </r>
  <r>
    <x v="93"/>
    <x v="3"/>
    <x v="0"/>
    <x v="35"/>
    <x v="186"/>
    <n v="1169.5999999999999"/>
  </r>
  <r>
    <x v="93"/>
    <x v="8"/>
    <x v="0"/>
    <x v="23"/>
    <x v="458"/>
    <n v="86.4"/>
  </r>
  <r>
    <x v="93"/>
    <x v="1"/>
    <x v="0"/>
    <x v="19"/>
    <x v="56"/>
    <n v="2019.5"/>
  </r>
  <r>
    <x v="94"/>
    <x v="3"/>
    <x v="0"/>
    <x v="49"/>
    <x v="47"/>
    <n v="1040.3999999999999"/>
  </r>
  <r>
    <x v="94"/>
    <x v="0"/>
    <x v="0"/>
    <x v="44"/>
    <x v="58"/>
    <n v="904.4"/>
  </r>
  <r>
    <x v="94"/>
    <x v="3"/>
    <x v="0"/>
    <x v="22"/>
    <x v="264"/>
    <n v="992.8"/>
  </r>
  <r>
    <x v="94"/>
    <x v="8"/>
    <x v="0"/>
    <x v="41"/>
    <x v="415"/>
    <n v="1225.6000000000001"/>
  </r>
  <r>
    <x v="94"/>
    <x v="7"/>
    <x v="0"/>
    <x v="5"/>
    <x v="67"/>
    <n v="1210.3999999999999"/>
  </r>
  <r>
    <x v="94"/>
    <x v="7"/>
    <x v="0"/>
    <x v="13"/>
    <x v="201"/>
    <n v="1319.2"/>
  </r>
  <r>
    <x v="95"/>
    <x v="2"/>
    <x v="0"/>
    <x v="7"/>
    <x v="459"/>
    <n v="713.4"/>
  </r>
  <r>
    <x v="95"/>
    <x v="5"/>
    <x v="0"/>
    <x v="48"/>
    <x v="416"/>
    <n v="2414"/>
  </r>
  <r>
    <x v="95"/>
    <x v="5"/>
    <x v="0"/>
    <x v="19"/>
    <x v="460"/>
    <n v="1866.6"/>
  </r>
  <r>
    <x v="95"/>
    <x v="1"/>
    <x v="0"/>
    <x v="6"/>
    <x v="379"/>
    <n v="2030"/>
  </r>
  <r>
    <x v="95"/>
    <x v="4"/>
    <x v="0"/>
    <x v="7"/>
    <x v="461"/>
    <n v="805.8"/>
  </r>
  <r>
    <x v="96"/>
    <x v="1"/>
    <x v="0"/>
    <x v="5"/>
    <x v="75"/>
    <n v="1410.5"/>
  </r>
  <r>
    <x v="96"/>
    <x v="8"/>
    <x v="0"/>
    <x v="48"/>
    <x v="69"/>
    <n v="1328"/>
  </r>
  <r>
    <x v="96"/>
    <x v="2"/>
    <x v="0"/>
    <x v="19"/>
    <x v="462"/>
    <n v="925.1"/>
  </r>
  <r>
    <x v="96"/>
    <x v="7"/>
    <x v="0"/>
    <x v="15"/>
    <x v="455"/>
    <n v="642.6"/>
  </r>
  <r>
    <x v="96"/>
    <x v="7"/>
    <x v="0"/>
    <x v="4"/>
    <x v="59"/>
    <n v="289"/>
  </r>
  <r>
    <x v="96"/>
    <x v="0"/>
    <x v="0"/>
    <x v="25"/>
    <x v="278"/>
    <n v="1523.2"/>
  </r>
  <r>
    <x v="96"/>
    <x v="6"/>
    <x v="0"/>
    <x v="15"/>
    <x v="150"/>
    <n v="933.59999999999991"/>
  </r>
  <r>
    <x v="96"/>
    <x v="5"/>
    <x v="0"/>
    <x v="10"/>
    <x v="463"/>
    <n v="2118.1999999999998"/>
  </r>
  <r>
    <x v="96"/>
    <x v="5"/>
    <x v="0"/>
    <x v="11"/>
    <x v="313"/>
    <n v="2271.1999999999998"/>
  </r>
  <r>
    <x v="96"/>
    <x v="6"/>
    <x v="0"/>
    <x v="46"/>
    <x v="409"/>
    <n v="427.2"/>
  </r>
  <r>
    <x v="97"/>
    <x v="7"/>
    <x v="0"/>
    <x v="5"/>
    <x v="391"/>
    <n v="1149.2"/>
  </r>
  <r>
    <x v="97"/>
    <x v="4"/>
    <x v="0"/>
    <x v="4"/>
    <x v="186"/>
    <n v="1169.5999999999999"/>
  </r>
  <r>
    <x v="97"/>
    <x v="0"/>
    <x v="0"/>
    <x v="33"/>
    <x v="69"/>
    <n v="1411"/>
  </r>
  <r>
    <x v="98"/>
    <x v="0"/>
    <x v="0"/>
    <x v="23"/>
    <x v="133"/>
    <n v="867"/>
  </r>
  <r>
    <x v="98"/>
    <x v="8"/>
    <x v="0"/>
    <x v="47"/>
    <x v="240"/>
    <n v="480"/>
  </r>
  <r>
    <x v="98"/>
    <x v="6"/>
    <x v="0"/>
    <x v="5"/>
    <x v="415"/>
    <n v="919.19999999999993"/>
  </r>
  <r>
    <x v="98"/>
    <x v="8"/>
    <x v="0"/>
    <x v="45"/>
    <x v="464"/>
    <n v="1292.8000000000002"/>
  </r>
  <r>
    <x v="98"/>
    <x v="3"/>
    <x v="0"/>
    <x v="6"/>
    <x v="291"/>
    <n v="601.79999999999995"/>
  </r>
  <r>
    <x v="98"/>
    <x v="6"/>
    <x v="0"/>
    <x v="33"/>
    <x v="69"/>
    <n v="996"/>
  </r>
  <r>
    <x v="98"/>
    <x v="0"/>
    <x v="0"/>
    <x v="45"/>
    <x v="244"/>
    <n v="1615"/>
  </r>
  <r>
    <x v="98"/>
    <x v="5"/>
    <x v="0"/>
    <x v="16"/>
    <x v="465"/>
    <n v="1438.2"/>
  </r>
  <r>
    <x v="98"/>
    <x v="6"/>
    <x v="0"/>
    <x v="40"/>
    <x v="233"/>
    <n v="1168.8"/>
  </r>
  <r>
    <x v="98"/>
    <x v="6"/>
    <x v="0"/>
    <x v="47"/>
    <x v="435"/>
    <n v="607.19999999999993"/>
  </r>
  <r>
    <x v="98"/>
    <x v="8"/>
    <x v="0"/>
    <x v="13"/>
    <x v="154"/>
    <n v="259.2"/>
  </r>
  <r>
    <x v="98"/>
    <x v="0"/>
    <x v="0"/>
    <x v="44"/>
    <x v="466"/>
    <n v="1587.8"/>
  </r>
  <r>
    <x v="99"/>
    <x v="7"/>
    <x v="0"/>
    <x v="26"/>
    <x v="354"/>
    <n v="530.4"/>
  </r>
  <r>
    <x v="99"/>
    <x v="1"/>
    <x v="0"/>
    <x v="13"/>
    <x v="467"/>
    <n v="1060.5"/>
  </r>
  <r>
    <x v="99"/>
    <x v="8"/>
    <x v="0"/>
    <x v="0"/>
    <x v="468"/>
    <n v="390.40000000000003"/>
  </r>
  <r>
    <x v="99"/>
    <x v="2"/>
    <x v="0"/>
    <x v="40"/>
    <x v="469"/>
    <n v="220.4"/>
  </r>
  <r>
    <x v="99"/>
    <x v="0"/>
    <x v="0"/>
    <x v="26"/>
    <x v="470"/>
    <n v="2203.1999999999998"/>
  </r>
  <r>
    <x v="99"/>
    <x v="1"/>
    <x v="0"/>
    <x v="4"/>
    <x v="92"/>
    <n v="2040.5"/>
  </r>
  <r>
    <x v="99"/>
    <x v="4"/>
    <x v="0"/>
    <x v="4"/>
    <x v="130"/>
    <n v="448.8"/>
  </r>
  <r>
    <x v="99"/>
    <x v="7"/>
    <x v="0"/>
    <x v="1"/>
    <x v="424"/>
    <n v="343.4"/>
  </r>
  <r>
    <x v="99"/>
    <x v="8"/>
    <x v="0"/>
    <x v="35"/>
    <x v="407"/>
    <n v="950.40000000000009"/>
  </r>
  <r>
    <x v="99"/>
    <x v="8"/>
    <x v="0"/>
    <x v="45"/>
    <x v="37"/>
    <n v="1248"/>
  </r>
  <r>
    <x v="99"/>
    <x v="4"/>
    <x v="0"/>
    <x v="43"/>
    <x v="471"/>
    <n v="1397.3999999999999"/>
  </r>
  <r>
    <x v="100"/>
    <x v="3"/>
    <x v="0"/>
    <x v="15"/>
    <x v="472"/>
    <n v="1003"/>
  </r>
  <r>
    <x v="100"/>
    <x v="3"/>
    <x v="0"/>
    <x v="25"/>
    <x v="336"/>
    <n v="1220.5999999999999"/>
  </r>
  <r>
    <x v="100"/>
    <x v="5"/>
    <x v="0"/>
    <x v="27"/>
    <x v="431"/>
    <n v="1917.6"/>
  </r>
  <r>
    <x v="100"/>
    <x v="5"/>
    <x v="0"/>
    <x v="27"/>
    <x v="473"/>
    <n v="1893.8"/>
  </r>
  <r>
    <x v="100"/>
    <x v="3"/>
    <x v="0"/>
    <x v="28"/>
    <x v="361"/>
    <n v="173.4"/>
  </r>
  <r>
    <x v="100"/>
    <x v="3"/>
    <x v="0"/>
    <x v="13"/>
    <x v="474"/>
    <n v="1060.8"/>
  </r>
  <r>
    <x v="100"/>
    <x v="2"/>
    <x v="0"/>
    <x v="15"/>
    <x v="475"/>
    <n v="609"/>
  </r>
  <r>
    <x v="100"/>
    <x v="6"/>
    <x v="0"/>
    <x v="19"/>
    <x v="454"/>
    <n v="650.4"/>
  </r>
  <r>
    <x v="100"/>
    <x v="2"/>
    <x v="0"/>
    <x v="48"/>
    <x v="400"/>
    <n v="1038.2"/>
  </r>
  <r>
    <x v="101"/>
    <x v="2"/>
    <x v="0"/>
    <x v="1"/>
    <x v="476"/>
    <n v="379.9"/>
  </r>
  <r>
    <x v="101"/>
    <x v="2"/>
    <x v="0"/>
    <x v="37"/>
    <x v="189"/>
    <n v="1255.7"/>
  </r>
  <r>
    <x v="101"/>
    <x v="2"/>
    <x v="0"/>
    <x v="27"/>
    <x v="15"/>
    <n v="1067.2"/>
  </r>
  <r>
    <x v="101"/>
    <x v="5"/>
    <x v="0"/>
    <x v="1"/>
    <x v="445"/>
    <n v="1557.2"/>
  </r>
  <r>
    <x v="101"/>
    <x v="2"/>
    <x v="0"/>
    <x v="0"/>
    <x v="133"/>
    <n v="739.5"/>
  </r>
  <r>
    <x v="101"/>
    <x v="0"/>
    <x v="0"/>
    <x v="39"/>
    <x v="381"/>
    <n v="989.4"/>
  </r>
  <r>
    <x v="102"/>
    <x v="3"/>
    <x v="0"/>
    <x v="31"/>
    <x v="367"/>
    <n v="1666"/>
  </r>
  <r>
    <x v="102"/>
    <x v="1"/>
    <x v="0"/>
    <x v="34"/>
    <x v="477"/>
    <n v="1806"/>
  </r>
  <r>
    <x v="102"/>
    <x v="5"/>
    <x v="0"/>
    <x v="37"/>
    <x v="147"/>
    <n v="1190"/>
  </r>
  <r>
    <x v="102"/>
    <x v="6"/>
    <x v="0"/>
    <x v="0"/>
    <x v="89"/>
    <n v="1111.2"/>
  </r>
  <r>
    <x v="102"/>
    <x v="2"/>
    <x v="0"/>
    <x v="48"/>
    <x v="216"/>
    <n v="1220.8999999999999"/>
  </r>
  <r>
    <x v="102"/>
    <x v="5"/>
    <x v="0"/>
    <x v="43"/>
    <x v="478"/>
    <n v="2709.7999999999997"/>
  </r>
  <r>
    <x v="102"/>
    <x v="1"/>
    <x v="0"/>
    <x v="10"/>
    <x v="386"/>
    <n v="1872.5"/>
  </r>
  <r>
    <x v="102"/>
    <x v="3"/>
    <x v="0"/>
    <x v="25"/>
    <x v="277"/>
    <n v="1343"/>
  </r>
  <r>
    <x v="102"/>
    <x v="6"/>
    <x v="0"/>
    <x v="1"/>
    <x v="15"/>
    <n v="883.19999999999993"/>
  </r>
  <r>
    <x v="102"/>
    <x v="8"/>
    <x v="0"/>
    <x v="18"/>
    <x v="430"/>
    <n v="166.4"/>
  </r>
  <r>
    <x v="102"/>
    <x v="7"/>
    <x v="0"/>
    <x v="14"/>
    <x v="479"/>
    <n v="496.4"/>
  </r>
  <r>
    <x v="102"/>
    <x v="7"/>
    <x v="0"/>
    <x v="2"/>
    <x v="413"/>
    <n v="663"/>
  </r>
  <r>
    <x v="103"/>
    <x v="5"/>
    <x v="0"/>
    <x v="43"/>
    <x v="480"/>
    <n v="1744.2"/>
  </r>
  <r>
    <x v="103"/>
    <x v="6"/>
    <x v="0"/>
    <x v="13"/>
    <x v="481"/>
    <n v="525.6"/>
  </r>
  <r>
    <x v="103"/>
    <x v="5"/>
    <x v="0"/>
    <x v="10"/>
    <x v="425"/>
    <n v="1553.8"/>
  </r>
  <r>
    <x v="103"/>
    <x v="8"/>
    <x v="0"/>
    <x v="0"/>
    <x v="58"/>
    <n v="851.2"/>
  </r>
  <r>
    <x v="103"/>
    <x v="2"/>
    <x v="0"/>
    <x v="48"/>
    <x v="1"/>
    <n v="1189"/>
  </r>
  <r>
    <x v="103"/>
    <x v="0"/>
    <x v="0"/>
    <x v="26"/>
    <x v="136"/>
    <n v="1152.5999999999999"/>
  </r>
  <r>
    <x v="104"/>
    <x v="7"/>
    <x v="0"/>
    <x v="23"/>
    <x v="482"/>
    <n v="486.2"/>
  </r>
  <r>
    <x v="104"/>
    <x v="5"/>
    <x v="0"/>
    <x v="10"/>
    <x v="483"/>
    <n v="2533"/>
  </r>
  <r>
    <x v="104"/>
    <x v="0"/>
    <x v="0"/>
    <x v="24"/>
    <x v="58"/>
    <n v="904.4"/>
  </r>
  <r>
    <x v="104"/>
    <x v="1"/>
    <x v="0"/>
    <x v="39"/>
    <x v="484"/>
    <n v="1764"/>
  </r>
  <r>
    <x v="105"/>
    <x v="2"/>
    <x v="0"/>
    <x v="2"/>
    <x v="339"/>
    <n v="153.69999999999999"/>
  </r>
  <r>
    <x v="105"/>
    <x v="3"/>
    <x v="0"/>
    <x v="12"/>
    <x v="485"/>
    <n v="295.8"/>
  </r>
  <r>
    <x v="105"/>
    <x v="2"/>
    <x v="0"/>
    <x v="7"/>
    <x v="465"/>
    <n v="1226.7"/>
  </r>
  <r>
    <x v="105"/>
    <x v="6"/>
    <x v="0"/>
    <x v="14"/>
    <x v="486"/>
    <n v="604.79999999999995"/>
  </r>
  <r>
    <x v="105"/>
    <x v="3"/>
    <x v="0"/>
    <x v="20"/>
    <x v="18"/>
    <n v="1489.2"/>
  </r>
  <r>
    <x v="105"/>
    <x v="0"/>
    <x v="0"/>
    <x v="36"/>
    <x v="463"/>
    <n v="2118.1999999999998"/>
  </r>
  <r>
    <x v="105"/>
    <x v="5"/>
    <x v="0"/>
    <x v="44"/>
    <x v="487"/>
    <n v="1863.2"/>
  </r>
  <r>
    <x v="106"/>
    <x v="4"/>
    <x v="0"/>
    <x v="17"/>
    <x v="81"/>
    <n v="159.79999999999998"/>
  </r>
  <r>
    <x v="106"/>
    <x v="6"/>
    <x v="0"/>
    <x v="36"/>
    <x v="488"/>
    <n v="559.19999999999993"/>
  </r>
  <r>
    <x v="106"/>
    <x v="8"/>
    <x v="0"/>
    <x v="4"/>
    <x v="259"/>
    <n v="1273.6000000000001"/>
  </r>
  <r>
    <x v="106"/>
    <x v="3"/>
    <x v="0"/>
    <x v="46"/>
    <x v="54"/>
    <n v="408"/>
  </r>
  <r>
    <x v="107"/>
    <x v="4"/>
    <x v="0"/>
    <x v="28"/>
    <x v="157"/>
    <n v="438.59999999999997"/>
  </r>
  <r>
    <x v="107"/>
    <x v="3"/>
    <x v="0"/>
    <x v="47"/>
    <x v="360"/>
    <n v="248.2"/>
  </r>
  <r>
    <x v="107"/>
    <x v="7"/>
    <x v="0"/>
    <x v="37"/>
    <x v="156"/>
    <n v="40.799999999999997"/>
  </r>
  <r>
    <x v="107"/>
    <x v="2"/>
    <x v="0"/>
    <x v="44"/>
    <x v="54"/>
    <n v="348"/>
  </r>
  <r>
    <x v="108"/>
    <x v="7"/>
    <x v="0"/>
    <x v="32"/>
    <x v="206"/>
    <n v="149.6"/>
  </r>
  <r>
    <x v="108"/>
    <x v="4"/>
    <x v="0"/>
    <x v="0"/>
    <x v="309"/>
    <n v="272"/>
  </r>
  <r>
    <x v="108"/>
    <x v="3"/>
    <x v="0"/>
    <x v="23"/>
    <x v="489"/>
    <n v="581.4"/>
  </r>
  <r>
    <x v="108"/>
    <x v="8"/>
    <x v="0"/>
    <x v="35"/>
    <x v="130"/>
    <n v="422.40000000000003"/>
  </r>
  <r>
    <x v="108"/>
    <x v="8"/>
    <x v="0"/>
    <x v="19"/>
    <x v="489"/>
    <n v="547.20000000000005"/>
  </r>
  <r>
    <x v="108"/>
    <x v="0"/>
    <x v="0"/>
    <x v="46"/>
    <x v="490"/>
    <n v="1791.8"/>
  </r>
  <r>
    <x v="108"/>
    <x v="1"/>
    <x v="0"/>
    <x v="16"/>
    <x v="3"/>
    <n v="1865.5"/>
  </r>
  <r>
    <x v="108"/>
    <x v="3"/>
    <x v="0"/>
    <x v="47"/>
    <x v="491"/>
    <n v="1363.3999999999999"/>
  </r>
  <r>
    <x v="108"/>
    <x v="1"/>
    <x v="0"/>
    <x v="19"/>
    <x v="153"/>
    <n v="2187.5"/>
  </r>
  <r>
    <x v="108"/>
    <x v="8"/>
    <x v="0"/>
    <x v="17"/>
    <x v="413"/>
    <n v="624"/>
  </r>
  <r>
    <x v="108"/>
    <x v="1"/>
    <x v="0"/>
    <x v="7"/>
    <x v="447"/>
    <n v="1316"/>
  </r>
  <r>
    <x v="108"/>
    <x v="6"/>
    <x v="0"/>
    <x v="37"/>
    <x v="492"/>
    <n v="1260"/>
  </r>
  <r>
    <x v="108"/>
    <x v="1"/>
    <x v="0"/>
    <x v="24"/>
    <x v="493"/>
    <n v="2243.5"/>
  </r>
  <r>
    <x v="108"/>
    <x v="5"/>
    <x v="0"/>
    <x v="24"/>
    <x v="3"/>
    <n v="1812.2"/>
  </r>
  <r>
    <x v="108"/>
    <x v="5"/>
    <x v="0"/>
    <x v="2"/>
    <x v="494"/>
    <n v="1897.2"/>
  </r>
  <r>
    <x v="108"/>
    <x v="8"/>
    <x v="0"/>
    <x v="11"/>
    <x v="322"/>
    <n v="528"/>
  </r>
  <r>
    <x v="108"/>
    <x v="4"/>
    <x v="0"/>
    <x v="31"/>
    <x v="169"/>
    <n v="153"/>
  </r>
  <r>
    <x v="108"/>
    <x v="7"/>
    <x v="0"/>
    <x v="1"/>
    <x v="495"/>
    <n v="187"/>
  </r>
  <r>
    <x v="108"/>
    <x v="3"/>
    <x v="0"/>
    <x v="6"/>
    <x v="81"/>
    <n v="159.79999999999998"/>
  </r>
  <r>
    <x v="109"/>
    <x v="5"/>
    <x v="0"/>
    <x v="30"/>
    <x v="301"/>
    <n v="1118.5999999999999"/>
  </r>
  <r>
    <x v="109"/>
    <x v="3"/>
    <x v="0"/>
    <x v="47"/>
    <x v="496"/>
    <n v="1179.8"/>
  </r>
  <r>
    <x v="109"/>
    <x v="1"/>
    <x v="0"/>
    <x v="7"/>
    <x v="497"/>
    <n v="1823.5"/>
  </r>
  <r>
    <x v="109"/>
    <x v="6"/>
    <x v="0"/>
    <x v="6"/>
    <x v="288"/>
    <n v="412.8"/>
  </r>
  <r>
    <x v="109"/>
    <x v="0"/>
    <x v="0"/>
    <x v="31"/>
    <x v="1"/>
    <n v="1394"/>
  </r>
  <r>
    <x v="110"/>
    <x v="5"/>
    <x v="0"/>
    <x v="17"/>
    <x v="338"/>
    <n v="1485.8"/>
  </r>
  <r>
    <x v="110"/>
    <x v="4"/>
    <x v="0"/>
    <x v="40"/>
    <x v="36"/>
    <n v="1516.3999999999999"/>
  </r>
  <r>
    <x v="110"/>
    <x v="2"/>
    <x v="0"/>
    <x v="24"/>
    <x v="315"/>
    <n v="649.6"/>
  </r>
  <r>
    <x v="110"/>
    <x v="0"/>
    <x v="0"/>
    <x v="0"/>
    <x v="123"/>
    <n v="1366.8"/>
  </r>
  <r>
    <x v="110"/>
    <x v="6"/>
    <x v="0"/>
    <x v="20"/>
    <x v="223"/>
    <n v="621.6"/>
  </r>
  <r>
    <x v="110"/>
    <x v="3"/>
    <x v="0"/>
    <x v="0"/>
    <x v="221"/>
    <n v="1336.2"/>
  </r>
  <r>
    <x v="110"/>
    <x v="5"/>
    <x v="0"/>
    <x v="40"/>
    <x v="112"/>
    <n v="1519.8"/>
  </r>
  <r>
    <x v="111"/>
    <x v="7"/>
    <x v="0"/>
    <x v="17"/>
    <x v="489"/>
    <n v="581.4"/>
  </r>
  <r>
    <x v="111"/>
    <x v="4"/>
    <x v="0"/>
    <x v="28"/>
    <x v="217"/>
    <n v="1156"/>
  </r>
  <r>
    <x v="111"/>
    <x v="8"/>
    <x v="0"/>
    <x v="4"/>
    <x v="461"/>
    <n v="758.40000000000009"/>
  </r>
  <r>
    <x v="111"/>
    <x v="5"/>
    <x v="0"/>
    <x v="28"/>
    <x v="498"/>
    <n v="2699.6"/>
  </r>
  <r>
    <x v="112"/>
    <x v="1"/>
    <x v="0"/>
    <x v="49"/>
    <x v="461"/>
    <n v="829.5"/>
  </r>
  <r>
    <x v="112"/>
    <x v="1"/>
    <x v="0"/>
    <x v="17"/>
    <x v="21"/>
    <n v="1942.5"/>
  </r>
  <r>
    <x v="112"/>
    <x v="2"/>
    <x v="0"/>
    <x v="1"/>
    <x v="467"/>
    <n v="878.69999999999993"/>
  </r>
  <r>
    <x v="112"/>
    <x v="0"/>
    <x v="0"/>
    <x v="5"/>
    <x v="310"/>
    <n v="1339.6"/>
  </r>
  <r>
    <x v="112"/>
    <x v="4"/>
    <x v="0"/>
    <x v="37"/>
    <x v="499"/>
    <n v="1329.3999999999999"/>
  </r>
  <r>
    <x v="112"/>
    <x v="4"/>
    <x v="0"/>
    <x v="31"/>
    <x v="323"/>
    <n v="309.39999999999998"/>
  </r>
  <r>
    <x v="112"/>
    <x v="8"/>
    <x v="0"/>
    <x v="45"/>
    <x v="299"/>
    <n v="713.6"/>
  </r>
  <r>
    <x v="113"/>
    <x v="0"/>
    <x v="0"/>
    <x v="10"/>
    <x v="443"/>
    <n v="1870"/>
  </r>
  <r>
    <x v="113"/>
    <x v="4"/>
    <x v="0"/>
    <x v="45"/>
    <x v="500"/>
    <n v="329.8"/>
  </r>
  <r>
    <x v="113"/>
    <x v="8"/>
    <x v="0"/>
    <x v="5"/>
    <x v="501"/>
    <n v="608"/>
  </r>
  <r>
    <x v="113"/>
    <x v="5"/>
    <x v="0"/>
    <x v="29"/>
    <x v="187"/>
    <n v="2210"/>
  </r>
  <r>
    <x v="113"/>
    <x v="6"/>
    <x v="0"/>
    <x v="42"/>
    <x v="39"/>
    <n v="775.19999999999993"/>
  </r>
  <r>
    <x v="113"/>
    <x v="7"/>
    <x v="0"/>
    <x v="15"/>
    <x v="444"/>
    <n v="948.6"/>
  </r>
  <r>
    <x v="113"/>
    <x v="1"/>
    <x v="0"/>
    <x v="34"/>
    <x v="106"/>
    <n v="1211"/>
  </r>
  <r>
    <x v="113"/>
    <x v="8"/>
    <x v="0"/>
    <x v="46"/>
    <x v="400"/>
    <n v="1145.6000000000001"/>
  </r>
  <r>
    <x v="113"/>
    <x v="4"/>
    <x v="0"/>
    <x v="15"/>
    <x v="329"/>
    <n v="57.8"/>
  </r>
  <r>
    <x v="114"/>
    <x v="0"/>
    <x v="0"/>
    <x v="4"/>
    <x v="502"/>
    <n v="2019.6"/>
  </r>
  <r>
    <x v="114"/>
    <x v="5"/>
    <x v="0"/>
    <x v="30"/>
    <x v="503"/>
    <n v="2618"/>
  </r>
  <r>
    <x v="114"/>
    <x v="5"/>
    <x v="0"/>
    <x v="47"/>
    <x v="337"/>
    <n v="1349.8"/>
  </r>
  <r>
    <x v="114"/>
    <x v="8"/>
    <x v="0"/>
    <x v="36"/>
    <x v="64"/>
    <n v="617.6"/>
  </r>
  <r>
    <x v="114"/>
    <x v="3"/>
    <x v="0"/>
    <x v="33"/>
    <x v="330"/>
    <n v="1295.3999999999999"/>
  </r>
  <r>
    <x v="114"/>
    <x v="7"/>
    <x v="0"/>
    <x v="42"/>
    <x v="270"/>
    <n v="251.6"/>
  </r>
  <r>
    <x v="114"/>
    <x v="7"/>
    <x v="0"/>
    <x v="6"/>
    <x v="445"/>
    <n v="1557.2"/>
  </r>
  <r>
    <x v="114"/>
    <x v="6"/>
    <x v="0"/>
    <x v="39"/>
    <x v="283"/>
    <n v="302.39999999999998"/>
  </r>
  <r>
    <x v="114"/>
    <x v="4"/>
    <x v="0"/>
    <x v="12"/>
    <x v="504"/>
    <n v="197.2"/>
  </r>
  <r>
    <x v="114"/>
    <x v="6"/>
    <x v="0"/>
    <x v="27"/>
    <x v="26"/>
    <n v="494.4"/>
  </r>
  <r>
    <x v="114"/>
    <x v="1"/>
    <x v="0"/>
    <x v="11"/>
    <x v="505"/>
    <n v="1330"/>
  </r>
  <r>
    <x v="114"/>
    <x v="4"/>
    <x v="0"/>
    <x v="12"/>
    <x v="432"/>
    <n v="1455.2"/>
  </r>
  <r>
    <x v="115"/>
    <x v="7"/>
    <x v="0"/>
    <x v="38"/>
    <x v="506"/>
    <n v="146.19999999999999"/>
  </r>
  <r>
    <x v="115"/>
    <x v="0"/>
    <x v="0"/>
    <x v="24"/>
    <x v="507"/>
    <n v="1213.8"/>
  </r>
  <r>
    <x v="115"/>
    <x v="0"/>
    <x v="0"/>
    <x v="20"/>
    <x v="367"/>
    <n v="1666"/>
  </r>
  <r>
    <x v="115"/>
    <x v="5"/>
    <x v="0"/>
    <x v="24"/>
    <x v="508"/>
    <n v="2012.8"/>
  </r>
  <r>
    <x v="116"/>
    <x v="5"/>
    <x v="0"/>
    <x v="32"/>
    <x v="282"/>
    <n v="2329"/>
  </r>
  <r>
    <x v="116"/>
    <x v="8"/>
    <x v="0"/>
    <x v="15"/>
    <x v="464"/>
    <n v="1292.8000000000002"/>
  </r>
  <r>
    <x v="116"/>
    <x v="8"/>
    <x v="0"/>
    <x v="39"/>
    <x v="509"/>
    <n v="348.8"/>
  </r>
  <r>
    <x v="116"/>
    <x v="4"/>
    <x v="0"/>
    <x v="45"/>
    <x v="266"/>
    <n v="1543.6"/>
  </r>
  <r>
    <x v="116"/>
    <x v="3"/>
    <x v="0"/>
    <x v="16"/>
    <x v="26"/>
    <n v="700.4"/>
  </r>
  <r>
    <x v="116"/>
    <x v="6"/>
    <x v="0"/>
    <x v="20"/>
    <x v="510"/>
    <n v="1404"/>
  </r>
  <r>
    <x v="116"/>
    <x v="5"/>
    <x v="0"/>
    <x v="43"/>
    <x v="194"/>
    <n v="2369.7999999999997"/>
  </r>
  <r>
    <x v="116"/>
    <x v="7"/>
    <x v="0"/>
    <x v="34"/>
    <x v="260"/>
    <n v="598.4"/>
  </r>
  <r>
    <x v="117"/>
    <x v="0"/>
    <x v="0"/>
    <x v="29"/>
    <x v="415"/>
    <n v="1302.2"/>
  </r>
  <r>
    <x v="117"/>
    <x v="4"/>
    <x v="0"/>
    <x v="18"/>
    <x v="511"/>
    <n v="765"/>
  </r>
  <r>
    <x v="117"/>
    <x v="6"/>
    <x v="0"/>
    <x v="38"/>
    <x v="512"/>
    <n v="1348.8"/>
  </r>
  <r>
    <x v="117"/>
    <x v="5"/>
    <x v="0"/>
    <x v="26"/>
    <x v="245"/>
    <n v="1315.8"/>
  </r>
  <r>
    <x v="118"/>
    <x v="0"/>
    <x v="0"/>
    <x v="47"/>
    <x v="136"/>
    <n v="1152.5999999999999"/>
  </r>
  <r>
    <x v="118"/>
    <x v="7"/>
    <x v="0"/>
    <x v="26"/>
    <x v="262"/>
    <n v="1550.3999999999999"/>
  </r>
  <r>
    <x v="118"/>
    <x v="5"/>
    <x v="0"/>
    <x v="23"/>
    <x v="367"/>
    <n v="1666"/>
  </r>
  <r>
    <x v="118"/>
    <x v="1"/>
    <x v="0"/>
    <x v="22"/>
    <x v="273"/>
    <n v="2096.5"/>
  </r>
  <r>
    <x v="118"/>
    <x v="7"/>
    <x v="0"/>
    <x v="24"/>
    <x v="203"/>
    <n v="629"/>
  </r>
  <r>
    <x v="118"/>
    <x v="5"/>
    <x v="0"/>
    <x v="37"/>
    <x v="513"/>
    <n v="2278"/>
  </r>
  <r>
    <x v="118"/>
    <x v="3"/>
    <x v="0"/>
    <x v="28"/>
    <x v="514"/>
    <n v="952"/>
  </r>
  <r>
    <x v="118"/>
    <x v="7"/>
    <x v="0"/>
    <x v="46"/>
    <x v="108"/>
    <n v="717.4"/>
  </r>
  <r>
    <x v="119"/>
    <x v="6"/>
    <x v="0"/>
    <x v="31"/>
    <x v="140"/>
    <n v="326.39999999999998"/>
  </r>
  <r>
    <x v="119"/>
    <x v="5"/>
    <x v="0"/>
    <x v="42"/>
    <x v="141"/>
    <n v="1417.8"/>
  </r>
  <r>
    <x v="119"/>
    <x v="6"/>
    <x v="0"/>
    <x v="6"/>
    <x v="330"/>
    <n v="914.4"/>
  </r>
  <r>
    <x v="119"/>
    <x v="5"/>
    <x v="0"/>
    <x v="19"/>
    <x v="344"/>
    <n v="1856.3999999999999"/>
  </r>
  <r>
    <x v="119"/>
    <x v="2"/>
    <x v="0"/>
    <x v="48"/>
    <x v="515"/>
    <n v="1029.5"/>
  </r>
  <r>
    <x v="120"/>
    <x v="5"/>
    <x v="0"/>
    <x v="17"/>
    <x v="508"/>
    <n v="2012.8"/>
  </r>
  <r>
    <x v="120"/>
    <x v="5"/>
    <x v="0"/>
    <x v="17"/>
    <x v="516"/>
    <n v="1764.6"/>
  </r>
  <r>
    <x v="120"/>
    <x v="1"/>
    <x v="0"/>
    <x v="48"/>
    <x v="517"/>
    <n v="1543.5"/>
  </r>
  <r>
    <x v="120"/>
    <x v="6"/>
    <x v="0"/>
    <x v="4"/>
    <x v="518"/>
    <n v="864"/>
  </r>
  <r>
    <x v="120"/>
    <x v="1"/>
    <x v="0"/>
    <x v="27"/>
    <x v="213"/>
    <n v="2362.5"/>
  </r>
  <r>
    <x v="120"/>
    <x v="1"/>
    <x v="0"/>
    <x v="33"/>
    <x v="519"/>
    <n v="1984.5"/>
  </r>
  <r>
    <x v="120"/>
    <x v="6"/>
    <x v="0"/>
    <x v="23"/>
    <x v="147"/>
    <n v="840"/>
  </r>
  <r>
    <x v="120"/>
    <x v="5"/>
    <x v="0"/>
    <x v="21"/>
    <x v="420"/>
    <n v="1288.5999999999999"/>
  </r>
  <r>
    <x v="120"/>
    <x v="4"/>
    <x v="0"/>
    <x v="44"/>
    <x v="121"/>
    <n v="459"/>
  </r>
  <r>
    <x v="120"/>
    <x v="6"/>
    <x v="0"/>
    <x v="14"/>
    <x v="520"/>
    <n v="1204.8"/>
  </r>
  <r>
    <x v="121"/>
    <x v="2"/>
    <x v="0"/>
    <x v="28"/>
    <x v="396"/>
    <n v="638"/>
  </r>
  <r>
    <x v="121"/>
    <x v="8"/>
    <x v="0"/>
    <x v="35"/>
    <x v="233"/>
    <n v="1558.4"/>
  </r>
  <r>
    <x v="121"/>
    <x v="5"/>
    <x v="0"/>
    <x v="26"/>
    <x v="211"/>
    <n v="1965.2"/>
  </r>
  <r>
    <x v="121"/>
    <x v="1"/>
    <x v="0"/>
    <x v="14"/>
    <x v="49"/>
    <n v="910"/>
  </r>
  <r>
    <x v="122"/>
    <x v="2"/>
    <x v="0"/>
    <x v="15"/>
    <x v="7"/>
    <n v="461.09999999999997"/>
  </r>
  <r>
    <x v="122"/>
    <x v="4"/>
    <x v="0"/>
    <x v="16"/>
    <x v="36"/>
    <n v="1516.3999999999999"/>
  </r>
  <r>
    <x v="122"/>
    <x v="3"/>
    <x v="0"/>
    <x v="5"/>
    <x v="521"/>
    <n v="1064.2"/>
  </r>
  <r>
    <x v="122"/>
    <x v="7"/>
    <x v="0"/>
    <x v="31"/>
    <x v="154"/>
    <n v="275.39999999999998"/>
  </r>
  <r>
    <x v="122"/>
    <x v="1"/>
    <x v="0"/>
    <x v="14"/>
    <x v="522"/>
    <n v="791"/>
  </r>
  <r>
    <x v="123"/>
    <x v="5"/>
    <x v="0"/>
    <x v="11"/>
    <x v="119"/>
    <n v="1309"/>
  </r>
  <r>
    <x v="123"/>
    <x v="4"/>
    <x v="0"/>
    <x v="9"/>
    <x v="94"/>
    <n v="1047.2"/>
  </r>
  <r>
    <x v="123"/>
    <x v="7"/>
    <x v="0"/>
    <x v="19"/>
    <x v="346"/>
    <n v="231.2"/>
  </r>
  <r>
    <x v="123"/>
    <x v="1"/>
    <x v="0"/>
    <x v="32"/>
    <x v="466"/>
    <n v="1634.5"/>
  </r>
  <r>
    <x v="123"/>
    <x v="2"/>
    <x v="0"/>
    <x v="15"/>
    <x v="241"/>
    <n v="1348.5"/>
  </r>
  <r>
    <x v="123"/>
    <x v="2"/>
    <x v="0"/>
    <x v="24"/>
    <x v="523"/>
    <n v="1403.6"/>
  </r>
  <r>
    <x v="124"/>
    <x v="6"/>
    <x v="0"/>
    <x v="49"/>
    <x v="253"/>
    <n v="921.59999999999991"/>
  </r>
  <r>
    <x v="124"/>
    <x v="1"/>
    <x v="0"/>
    <x v="11"/>
    <x v="102"/>
    <n v="1036"/>
  </r>
  <r>
    <x v="124"/>
    <x v="1"/>
    <x v="0"/>
    <x v="37"/>
    <x v="100"/>
    <n v="1386"/>
  </r>
  <r>
    <x v="124"/>
    <x v="3"/>
    <x v="0"/>
    <x v="3"/>
    <x v="524"/>
    <n v="125.8"/>
  </r>
  <r>
    <x v="124"/>
    <x v="0"/>
    <x v="0"/>
    <x v="35"/>
    <x v="256"/>
    <n v="1071"/>
  </r>
  <r>
    <x v="124"/>
    <x v="6"/>
    <x v="0"/>
    <x v="46"/>
    <x v="525"/>
    <n v="1262.3999999999999"/>
  </r>
  <r>
    <x v="124"/>
    <x v="4"/>
    <x v="0"/>
    <x v="0"/>
    <x v="189"/>
    <n v="1472.2"/>
  </r>
  <r>
    <x v="124"/>
    <x v="2"/>
    <x v="0"/>
    <x v="30"/>
    <x v="526"/>
    <n v="1310.8"/>
  </r>
  <r>
    <x v="124"/>
    <x v="3"/>
    <x v="0"/>
    <x v="31"/>
    <x v="370"/>
    <n v="397.8"/>
  </r>
  <r>
    <x v="124"/>
    <x v="1"/>
    <x v="0"/>
    <x v="35"/>
    <x v="515"/>
    <n v="1242.5"/>
  </r>
  <r>
    <x v="125"/>
    <x v="4"/>
    <x v="0"/>
    <x v="33"/>
    <x v="527"/>
    <n v="775.19999999999993"/>
  </r>
  <r>
    <x v="125"/>
    <x v="6"/>
    <x v="0"/>
    <x v="27"/>
    <x v="214"/>
    <n v="1144.8"/>
  </r>
  <r>
    <x v="125"/>
    <x v="1"/>
    <x v="0"/>
    <x v="30"/>
    <x v="528"/>
    <n v="2226"/>
  </r>
  <r>
    <x v="125"/>
    <x v="1"/>
    <x v="0"/>
    <x v="10"/>
    <x v="462"/>
    <n v="1116.5"/>
  </r>
  <r>
    <x v="125"/>
    <x v="8"/>
    <x v="0"/>
    <x v="30"/>
    <x v="168"/>
    <n v="57.6"/>
  </r>
  <r>
    <x v="125"/>
    <x v="6"/>
    <x v="0"/>
    <x v="32"/>
    <x v="251"/>
    <n v="1300.8"/>
  </r>
  <r>
    <x v="126"/>
    <x v="4"/>
    <x v="0"/>
    <x v="29"/>
    <x v="167"/>
    <n v="1091.3999999999999"/>
  </r>
  <r>
    <x v="126"/>
    <x v="5"/>
    <x v="0"/>
    <x v="25"/>
    <x v="336"/>
    <n v="1220.5999999999999"/>
  </r>
  <r>
    <x v="126"/>
    <x v="6"/>
    <x v="0"/>
    <x v="26"/>
    <x v="529"/>
    <n v="393.59999999999997"/>
  </r>
  <r>
    <x v="126"/>
    <x v="4"/>
    <x v="0"/>
    <x v="27"/>
    <x v="85"/>
    <n v="1567.3999999999999"/>
  </r>
  <r>
    <x v="126"/>
    <x v="8"/>
    <x v="0"/>
    <x v="13"/>
    <x v="530"/>
    <n v="553.6"/>
  </r>
  <r>
    <x v="126"/>
    <x v="7"/>
    <x v="0"/>
    <x v="30"/>
    <x v="89"/>
    <n v="1574.2"/>
  </r>
  <r>
    <x v="126"/>
    <x v="8"/>
    <x v="0"/>
    <x v="33"/>
    <x v="482"/>
    <n v="457.6"/>
  </r>
  <r>
    <x v="126"/>
    <x v="4"/>
    <x v="0"/>
    <x v="24"/>
    <x v="320"/>
    <n v="1377"/>
  </r>
  <r>
    <x v="126"/>
    <x v="2"/>
    <x v="0"/>
    <x v="4"/>
    <x v="232"/>
    <n v="287.09999999999997"/>
  </r>
  <r>
    <x v="126"/>
    <x v="6"/>
    <x v="0"/>
    <x v="30"/>
    <x v="122"/>
    <n v="561.6"/>
  </r>
  <r>
    <x v="126"/>
    <x v="0"/>
    <x v="0"/>
    <x v="42"/>
    <x v="99"/>
    <n v="1808.8"/>
  </r>
  <r>
    <x v="126"/>
    <x v="4"/>
    <x v="0"/>
    <x v="0"/>
    <x v="247"/>
    <n v="999.6"/>
  </r>
  <r>
    <x v="126"/>
    <x v="0"/>
    <x v="0"/>
    <x v="2"/>
    <x v="531"/>
    <n v="2165.7999999999997"/>
  </r>
  <r>
    <x v="126"/>
    <x v="3"/>
    <x v="0"/>
    <x v="26"/>
    <x v="48"/>
    <n v="877.19999999999993"/>
  </r>
  <r>
    <x v="126"/>
    <x v="1"/>
    <x v="0"/>
    <x v="22"/>
    <x v="289"/>
    <n v="2359"/>
  </r>
  <r>
    <x v="126"/>
    <x v="1"/>
    <x v="0"/>
    <x v="19"/>
    <x v="532"/>
    <n v="1571.5"/>
  </r>
  <r>
    <x v="127"/>
    <x v="1"/>
    <x v="0"/>
    <x v="28"/>
    <x v="215"/>
    <n v="1445.5"/>
  </r>
  <r>
    <x v="127"/>
    <x v="1"/>
    <x v="0"/>
    <x v="24"/>
    <x v="533"/>
    <n v="2366"/>
  </r>
  <r>
    <x v="127"/>
    <x v="5"/>
    <x v="0"/>
    <x v="21"/>
    <x v="143"/>
    <n v="1390.6"/>
  </r>
  <r>
    <x v="127"/>
    <x v="5"/>
    <x v="0"/>
    <x v="45"/>
    <x v="534"/>
    <n v="2641.7999999999997"/>
  </r>
  <r>
    <x v="127"/>
    <x v="8"/>
    <x v="0"/>
    <x v="38"/>
    <x v="210"/>
    <n v="156.80000000000001"/>
  </r>
  <r>
    <x v="127"/>
    <x v="5"/>
    <x v="0"/>
    <x v="46"/>
    <x v="535"/>
    <n v="1955"/>
  </r>
  <r>
    <x v="127"/>
    <x v="2"/>
    <x v="0"/>
    <x v="35"/>
    <x v="481"/>
    <n v="635.1"/>
  </r>
  <r>
    <x v="128"/>
    <x v="9"/>
    <x v="1"/>
    <x v="0"/>
    <x v="261"/>
    <n v="1197"/>
  </r>
  <r>
    <x v="128"/>
    <x v="10"/>
    <x v="2"/>
    <x v="14"/>
    <x v="112"/>
    <n v="1206.9000000000001"/>
  </r>
  <r>
    <x v="128"/>
    <x v="11"/>
    <x v="2"/>
    <x v="12"/>
    <x v="122"/>
    <n v="748.80000000000007"/>
  </r>
  <r>
    <x v="128"/>
    <x v="11"/>
    <x v="2"/>
    <x v="1"/>
    <x v="355"/>
    <n v="1388.8000000000002"/>
  </r>
  <r>
    <x v="128"/>
    <x v="11"/>
    <x v="2"/>
    <x v="33"/>
    <x v="432"/>
    <n v="1369.6000000000001"/>
  </r>
  <r>
    <x v="128"/>
    <x v="9"/>
    <x v="1"/>
    <x v="49"/>
    <x v="505"/>
    <n v="1330"/>
  </r>
  <r>
    <x v="128"/>
    <x v="11"/>
    <x v="2"/>
    <x v="7"/>
    <x v="159"/>
    <n v="1132.8"/>
  </r>
  <r>
    <x v="128"/>
    <x v="9"/>
    <x v="1"/>
    <x v="14"/>
    <x v="536"/>
    <n v="108.5"/>
  </r>
  <r>
    <x v="128"/>
    <x v="10"/>
    <x v="2"/>
    <x v="4"/>
    <x v="524"/>
    <n v="99.9"/>
  </r>
  <r>
    <x v="128"/>
    <x v="10"/>
    <x v="2"/>
    <x v="16"/>
    <x v="89"/>
    <n v="1250.1000000000001"/>
  </r>
  <r>
    <x v="129"/>
    <x v="10"/>
    <x v="2"/>
    <x v="25"/>
    <x v="537"/>
    <n v="1347.3000000000002"/>
  </r>
  <r>
    <x v="129"/>
    <x v="11"/>
    <x v="2"/>
    <x v="42"/>
    <x v="185"/>
    <n v="1539.2"/>
  </r>
  <r>
    <x v="129"/>
    <x v="10"/>
    <x v="2"/>
    <x v="1"/>
    <x v="538"/>
    <n v="469.8"/>
  </r>
  <r>
    <x v="129"/>
    <x v="9"/>
    <x v="1"/>
    <x v="19"/>
    <x v="169"/>
    <n v="157.5"/>
  </r>
  <r>
    <x v="129"/>
    <x v="10"/>
    <x v="2"/>
    <x v="49"/>
    <x v="333"/>
    <n v="874.80000000000007"/>
  </r>
  <r>
    <x v="129"/>
    <x v="10"/>
    <x v="2"/>
    <x v="13"/>
    <x v="87"/>
    <n v="253.8"/>
  </r>
  <r>
    <x v="129"/>
    <x v="9"/>
    <x v="1"/>
    <x v="36"/>
    <x v="423"/>
    <n v="1585.5"/>
  </r>
  <r>
    <x v="129"/>
    <x v="11"/>
    <x v="2"/>
    <x v="15"/>
    <x v="1"/>
    <n v="1312"/>
  </r>
  <r>
    <x v="130"/>
    <x v="9"/>
    <x v="1"/>
    <x v="27"/>
    <x v="539"/>
    <n v="633.5"/>
  </r>
  <r>
    <x v="130"/>
    <x v="11"/>
    <x v="2"/>
    <x v="20"/>
    <x v="467"/>
    <n v="969.6"/>
  </r>
  <r>
    <x v="130"/>
    <x v="11"/>
    <x v="2"/>
    <x v="41"/>
    <x v="86"/>
    <n v="819.2"/>
  </r>
  <r>
    <x v="130"/>
    <x v="11"/>
    <x v="2"/>
    <x v="15"/>
    <x v="540"/>
    <n v="643.20000000000005"/>
  </r>
  <r>
    <x v="130"/>
    <x v="9"/>
    <x v="1"/>
    <x v="39"/>
    <x v="541"/>
    <n v="1655.5"/>
  </r>
  <r>
    <x v="130"/>
    <x v="10"/>
    <x v="2"/>
    <x v="1"/>
    <x v="175"/>
    <n v="780.30000000000007"/>
  </r>
  <r>
    <x v="131"/>
    <x v="11"/>
    <x v="2"/>
    <x v="23"/>
    <x v="44"/>
    <n v="1206.4000000000001"/>
  </r>
  <r>
    <x v="131"/>
    <x v="10"/>
    <x v="2"/>
    <x v="6"/>
    <x v="542"/>
    <n v="810"/>
  </r>
  <r>
    <x v="131"/>
    <x v="10"/>
    <x v="2"/>
    <x v="49"/>
    <x v="543"/>
    <n v="534.6"/>
  </r>
  <r>
    <x v="131"/>
    <x v="10"/>
    <x v="2"/>
    <x v="13"/>
    <x v="307"/>
    <n v="232.20000000000002"/>
  </r>
  <r>
    <x v="131"/>
    <x v="10"/>
    <x v="2"/>
    <x v="5"/>
    <x v="424"/>
    <n v="272.70000000000005"/>
  </r>
  <r>
    <x v="131"/>
    <x v="10"/>
    <x v="2"/>
    <x v="43"/>
    <x v="274"/>
    <n v="634.5"/>
  </r>
  <r>
    <x v="132"/>
    <x v="10"/>
    <x v="2"/>
    <x v="0"/>
    <x v="345"/>
    <n v="661.5"/>
  </r>
  <r>
    <x v="132"/>
    <x v="9"/>
    <x v="1"/>
    <x v="21"/>
    <x v="14"/>
    <n v="714"/>
  </r>
  <r>
    <x v="132"/>
    <x v="9"/>
    <x v="1"/>
    <x v="25"/>
    <x v="544"/>
    <n v="105"/>
  </r>
  <r>
    <x v="132"/>
    <x v="10"/>
    <x v="2"/>
    <x v="10"/>
    <x v="545"/>
    <n v="135"/>
  </r>
  <r>
    <x v="132"/>
    <x v="11"/>
    <x v="2"/>
    <x v="3"/>
    <x v="504"/>
    <n v="185.60000000000002"/>
  </r>
  <r>
    <x v="132"/>
    <x v="11"/>
    <x v="2"/>
    <x v="33"/>
    <x v="546"/>
    <n v="928"/>
  </r>
  <r>
    <x v="132"/>
    <x v="9"/>
    <x v="1"/>
    <x v="22"/>
    <x v="308"/>
    <n v="1491"/>
  </r>
  <r>
    <x v="132"/>
    <x v="10"/>
    <x v="2"/>
    <x v="34"/>
    <x v="253"/>
    <n v="1036.8000000000002"/>
  </r>
  <r>
    <x v="132"/>
    <x v="10"/>
    <x v="2"/>
    <x v="37"/>
    <x v="547"/>
    <n v="275.40000000000003"/>
  </r>
  <r>
    <x v="132"/>
    <x v="10"/>
    <x v="2"/>
    <x v="28"/>
    <x v="278"/>
    <n v="1209.6000000000001"/>
  </r>
  <r>
    <x v="132"/>
    <x v="11"/>
    <x v="2"/>
    <x v="8"/>
    <x v="204"/>
    <n v="1523.2"/>
  </r>
  <r>
    <x v="132"/>
    <x v="10"/>
    <x v="2"/>
    <x v="19"/>
    <x v="548"/>
    <n v="774.90000000000009"/>
  </r>
  <r>
    <x v="132"/>
    <x v="9"/>
    <x v="1"/>
    <x v="16"/>
    <x v="117"/>
    <n v="1687"/>
  </r>
  <r>
    <x v="132"/>
    <x v="10"/>
    <x v="2"/>
    <x v="20"/>
    <x v="48"/>
    <n v="696.6"/>
  </r>
  <r>
    <x v="132"/>
    <x v="10"/>
    <x v="2"/>
    <x v="31"/>
    <x v="167"/>
    <n v="866.7"/>
  </r>
  <r>
    <x v="132"/>
    <x v="11"/>
    <x v="2"/>
    <x v="27"/>
    <x v="136"/>
    <n v="1084.8"/>
  </r>
  <r>
    <x v="133"/>
    <x v="9"/>
    <x v="1"/>
    <x v="44"/>
    <x v="297"/>
    <n v="1631"/>
  </r>
  <r>
    <x v="134"/>
    <x v="11"/>
    <x v="2"/>
    <x v="49"/>
    <x v="44"/>
    <n v="1206.4000000000001"/>
  </r>
  <r>
    <x v="134"/>
    <x v="11"/>
    <x v="2"/>
    <x v="47"/>
    <x v="540"/>
    <n v="643.20000000000005"/>
  </r>
  <r>
    <x v="134"/>
    <x v="9"/>
    <x v="1"/>
    <x v="30"/>
    <x v="500"/>
    <n v="339.5"/>
  </r>
  <r>
    <x v="134"/>
    <x v="11"/>
    <x v="2"/>
    <x v="27"/>
    <x v="86"/>
    <n v="819.2"/>
  </r>
  <r>
    <x v="134"/>
    <x v="9"/>
    <x v="1"/>
    <x v="35"/>
    <x v="123"/>
    <n v="1407"/>
  </r>
  <r>
    <x v="134"/>
    <x v="10"/>
    <x v="2"/>
    <x v="47"/>
    <x v="90"/>
    <n v="456.3"/>
  </r>
  <r>
    <x v="134"/>
    <x v="10"/>
    <x v="2"/>
    <x v="17"/>
    <x v="88"/>
    <n v="494.1"/>
  </r>
  <r>
    <x v="134"/>
    <x v="11"/>
    <x v="2"/>
    <x v="40"/>
    <x v="440"/>
    <n v="640"/>
  </r>
  <r>
    <x v="134"/>
    <x v="11"/>
    <x v="2"/>
    <x v="18"/>
    <x v="549"/>
    <n v="1040"/>
  </r>
  <r>
    <x v="135"/>
    <x v="9"/>
    <x v="1"/>
    <x v="49"/>
    <x v="550"/>
    <n v="1001"/>
  </r>
  <r>
    <x v="135"/>
    <x v="9"/>
    <x v="1"/>
    <x v="9"/>
    <x v="196"/>
    <n v="1281"/>
  </r>
  <r>
    <x v="135"/>
    <x v="9"/>
    <x v="1"/>
    <x v="47"/>
    <x v="184"/>
    <n v="1690.5"/>
  </r>
  <r>
    <x v="135"/>
    <x v="9"/>
    <x v="1"/>
    <x v="18"/>
    <x v="430"/>
    <n v="182"/>
  </r>
  <r>
    <x v="135"/>
    <x v="11"/>
    <x v="2"/>
    <x v="2"/>
    <x v="266"/>
    <n v="1452.8000000000002"/>
  </r>
  <r>
    <x v="136"/>
    <x v="10"/>
    <x v="2"/>
    <x v="4"/>
    <x v="184"/>
    <n v="1304.1000000000001"/>
  </r>
  <r>
    <x v="136"/>
    <x v="10"/>
    <x v="2"/>
    <x v="37"/>
    <x v="495"/>
    <n v="148.5"/>
  </r>
  <r>
    <x v="136"/>
    <x v="11"/>
    <x v="2"/>
    <x v="28"/>
    <x v="134"/>
    <n v="361.6"/>
  </r>
  <r>
    <x v="136"/>
    <x v="10"/>
    <x v="2"/>
    <x v="43"/>
    <x v="167"/>
    <n v="866.7"/>
  </r>
  <r>
    <x v="136"/>
    <x v="11"/>
    <x v="2"/>
    <x v="43"/>
    <x v="338"/>
    <n v="1398.4"/>
  </r>
  <r>
    <x v="137"/>
    <x v="10"/>
    <x v="2"/>
    <x v="3"/>
    <x v="365"/>
    <n v="980.1"/>
  </r>
  <r>
    <x v="137"/>
    <x v="9"/>
    <x v="1"/>
    <x v="12"/>
    <x v="254"/>
    <n v="136.5"/>
  </r>
  <r>
    <x v="137"/>
    <x v="9"/>
    <x v="1"/>
    <x v="20"/>
    <x v="104"/>
    <n v="773.5"/>
  </r>
  <r>
    <x v="138"/>
    <x v="11"/>
    <x v="2"/>
    <x v="38"/>
    <x v="458"/>
    <n v="86.4"/>
  </r>
  <r>
    <x v="138"/>
    <x v="11"/>
    <x v="2"/>
    <x v="14"/>
    <x v="297"/>
    <n v="1491.2"/>
  </r>
  <r>
    <x v="138"/>
    <x v="9"/>
    <x v="1"/>
    <x v="12"/>
    <x v="72"/>
    <n v="311.5"/>
  </r>
  <r>
    <x v="138"/>
    <x v="10"/>
    <x v="2"/>
    <x v="1"/>
    <x v="347"/>
    <n v="491.40000000000003"/>
  </r>
  <r>
    <x v="138"/>
    <x v="10"/>
    <x v="2"/>
    <x v="43"/>
    <x v="551"/>
    <n v="378"/>
  </r>
  <r>
    <x v="138"/>
    <x v="9"/>
    <x v="1"/>
    <x v="35"/>
    <x v="208"/>
    <n v="374.5"/>
  </r>
  <r>
    <x v="138"/>
    <x v="10"/>
    <x v="2"/>
    <x v="48"/>
    <x v="408"/>
    <n v="1058.4000000000001"/>
  </r>
  <r>
    <x v="138"/>
    <x v="9"/>
    <x v="1"/>
    <x v="4"/>
    <x v="104"/>
    <n v="773.5"/>
  </r>
  <r>
    <x v="138"/>
    <x v="11"/>
    <x v="2"/>
    <x v="25"/>
    <x v="414"/>
    <n v="736"/>
  </r>
  <r>
    <x v="138"/>
    <x v="11"/>
    <x v="2"/>
    <x v="15"/>
    <x v="158"/>
    <n v="963.2"/>
  </r>
  <r>
    <x v="138"/>
    <x v="10"/>
    <x v="2"/>
    <x v="36"/>
    <x v="196"/>
    <n v="988.2"/>
  </r>
  <r>
    <x v="138"/>
    <x v="9"/>
    <x v="1"/>
    <x v="7"/>
    <x v="360"/>
    <n v="255.5"/>
  </r>
  <r>
    <x v="138"/>
    <x v="10"/>
    <x v="2"/>
    <x v="7"/>
    <x v="298"/>
    <n v="815.40000000000009"/>
  </r>
  <r>
    <x v="138"/>
    <x v="10"/>
    <x v="2"/>
    <x v="11"/>
    <x v="532"/>
    <n v="1212.3000000000002"/>
  </r>
  <r>
    <x v="139"/>
    <x v="9"/>
    <x v="1"/>
    <x v="2"/>
    <x v="432"/>
    <n v="1498"/>
  </r>
  <r>
    <x v="139"/>
    <x v="10"/>
    <x v="2"/>
    <x v="24"/>
    <x v="552"/>
    <n v="769.5"/>
  </r>
  <r>
    <x v="139"/>
    <x v="9"/>
    <x v="1"/>
    <x v="24"/>
    <x v="103"/>
    <n v="1400"/>
  </r>
  <r>
    <x v="139"/>
    <x v="10"/>
    <x v="2"/>
    <x v="23"/>
    <x v="307"/>
    <n v="232.20000000000002"/>
  </r>
  <r>
    <x v="139"/>
    <x v="9"/>
    <x v="1"/>
    <x v="45"/>
    <x v="517"/>
    <n v="1543.5"/>
  </r>
  <r>
    <x v="140"/>
    <x v="11"/>
    <x v="2"/>
    <x v="19"/>
    <x v="360"/>
    <n v="233.60000000000002"/>
  </r>
  <r>
    <x v="140"/>
    <x v="11"/>
    <x v="2"/>
    <x v="21"/>
    <x v="553"/>
    <n v="112"/>
  </r>
  <r>
    <x v="140"/>
    <x v="11"/>
    <x v="2"/>
    <x v="28"/>
    <x v="26"/>
    <n v="659.2"/>
  </r>
  <r>
    <x v="140"/>
    <x v="10"/>
    <x v="2"/>
    <x v="45"/>
    <x v="182"/>
    <n v="270"/>
  </r>
  <r>
    <x v="140"/>
    <x v="9"/>
    <x v="1"/>
    <x v="38"/>
    <x v="32"/>
    <n v="241.5"/>
  </r>
  <r>
    <x v="140"/>
    <x v="9"/>
    <x v="1"/>
    <x v="8"/>
    <x v="55"/>
    <n v="1302"/>
  </r>
  <r>
    <x v="140"/>
    <x v="9"/>
    <x v="1"/>
    <x v="0"/>
    <x v="128"/>
    <n v="206.5"/>
  </r>
  <r>
    <x v="141"/>
    <x v="11"/>
    <x v="2"/>
    <x v="17"/>
    <x v="304"/>
    <n v="1104"/>
  </r>
  <r>
    <x v="141"/>
    <x v="10"/>
    <x v="2"/>
    <x v="29"/>
    <x v="554"/>
    <n v="75.600000000000009"/>
  </r>
  <r>
    <x v="141"/>
    <x v="11"/>
    <x v="2"/>
    <x v="42"/>
    <x v="394"/>
    <n v="1097.6000000000001"/>
  </r>
  <r>
    <x v="141"/>
    <x v="9"/>
    <x v="1"/>
    <x v="25"/>
    <x v="225"/>
    <n v="1743"/>
  </r>
  <r>
    <x v="142"/>
    <x v="11"/>
    <x v="2"/>
    <x v="38"/>
    <x v="555"/>
    <n v="512"/>
  </r>
  <r>
    <x v="142"/>
    <x v="10"/>
    <x v="2"/>
    <x v="24"/>
    <x v="77"/>
    <n v="726.30000000000007"/>
  </r>
  <r>
    <x v="142"/>
    <x v="11"/>
    <x v="2"/>
    <x v="46"/>
    <x v="371"/>
    <n v="1004.8000000000001"/>
  </r>
  <r>
    <x v="142"/>
    <x v="11"/>
    <x v="2"/>
    <x v="32"/>
    <x v="411"/>
    <n v="1443.2"/>
  </r>
  <r>
    <x v="142"/>
    <x v="9"/>
    <x v="1"/>
    <x v="32"/>
    <x v="556"/>
    <n v="1449"/>
  </r>
  <r>
    <x v="142"/>
    <x v="10"/>
    <x v="2"/>
    <x v="35"/>
    <x v="226"/>
    <n v="251.10000000000002"/>
  </r>
  <r>
    <x v="142"/>
    <x v="10"/>
    <x v="2"/>
    <x v="41"/>
    <x v="368"/>
    <n v="761.40000000000009"/>
  </r>
  <r>
    <x v="142"/>
    <x v="11"/>
    <x v="2"/>
    <x v="42"/>
    <x v="557"/>
    <n v="438.40000000000003"/>
  </r>
  <r>
    <x v="142"/>
    <x v="9"/>
    <x v="1"/>
    <x v="31"/>
    <x v="285"/>
    <n v="1718.5"/>
  </r>
  <r>
    <x v="142"/>
    <x v="9"/>
    <x v="1"/>
    <x v="39"/>
    <x v="52"/>
    <n v="112"/>
  </r>
  <r>
    <x v="143"/>
    <x v="11"/>
    <x v="2"/>
    <x v="31"/>
    <x v="256"/>
    <n v="1008"/>
  </r>
  <r>
    <x v="143"/>
    <x v="10"/>
    <x v="2"/>
    <x v="40"/>
    <x v="506"/>
    <n v="116.10000000000001"/>
  </r>
  <r>
    <x v="143"/>
    <x v="11"/>
    <x v="2"/>
    <x v="43"/>
    <x v="86"/>
    <n v="819.2"/>
  </r>
  <r>
    <x v="143"/>
    <x v="11"/>
    <x v="2"/>
    <x v="29"/>
    <x v="558"/>
    <n v="121.60000000000001"/>
  </r>
  <r>
    <x v="143"/>
    <x v="10"/>
    <x v="2"/>
    <x v="27"/>
    <x v="559"/>
    <n v="1328.4"/>
  </r>
  <r>
    <x v="143"/>
    <x v="9"/>
    <x v="1"/>
    <x v="40"/>
    <x v="26"/>
    <n v="721"/>
  </r>
  <r>
    <x v="143"/>
    <x v="9"/>
    <x v="1"/>
    <x v="29"/>
    <x v="486"/>
    <n v="882"/>
  </r>
  <r>
    <x v="143"/>
    <x v="9"/>
    <x v="1"/>
    <x v="29"/>
    <x v="337"/>
    <n v="1389.5"/>
  </r>
  <r>
    <x v="143"/>
    <x v="10"/>
    <x v="2"/>
    <x v="29"/>
    <x v="472"/>
    <n v="796.5"/>
  </r>
  <r>
    <x v="144"/>
    <x v="10"/>
    <x v="2"/>
    <x v="29"/>
    <x v="156"/>
    <n v="32.400000000000006"/>
  </r>
  <r>
    <x v="144"/>
    <x v="10"/>
    <x v="2"/>
    <x v="47"/>
    <x v="292"/>
    <n v="37.800000000000004"/>
  </r>
  <r>
    <x v="144"/>
    <x v="11"/>
    <x v="2"/>
    <x v="46"/>
    <x v="291"/>
    <n v="566.4"/>
  </r>
  <r>
    <x v="144"/>
    <x v="11"/>
    <x v="2"/>
    <x v="19"/>
    <x v="50"/>
    <n v="329.6"/>
  </r>
  <r>
    <x v="145"/>
    <x v="9"/>
    <x v="1"/>
    <x v="33"/>
    <x v="178"/>
    <n v="1540"/>
  </r>
  <r>
    <x v="145"/>
    <x v="9"/>
    <x v="1"/>
    <x v="27"/>
    <x v="548"/>
    <n v="1004.5"/>
  </r>
  <r>
    <x v="145"/>
    <x v="11"/>
    <x v="2"/>
    <x v="7"/>
    <x v="495"/>
    <n v="176"/>
  </r>
  <r>
    <x v="145"/>
    <x v="11"/>
    <x v="2"/>
    <x v="26"/>
    <x v="390"/>
    <n v="265.60000000000002"/>
  </r>
  <r>
    <x v="145"/>
    <x v="11"/>
    <x v="2"/>
    <x v="42"/>
    <x v="369"/>
    <n v="240"/>
  </r>
  <r>
    <x v="145"/>
    <x v="11"/>
    <x v="2"/>
    <x v="2"/>
    <x v="400"/>
    <n v="1145.6000000000001"/>
  </r>
  <r>
    <x v="146"/>
    <x v="10"/>
    <x v="2"/>
    <x v="3"/>
    <x v="46"/>
    <n v="777.6"/>
  </r>
  <r>
    <x v="146"/>
    <x v="11"/>
    <x v="2"/>
    <x v="22"/>
    <x v="58"/>
    <n v="851.2"/>
  </r>
  <r>
    <x v="146"/>
    <x v="9"/>
    <x v="1"/>
    <x v="19"/>
    <x v="294"/>
    <n v="1680"/>
  </r>
  <r>
    <x v="146"/>
    <x v="9"/>
    <x v="1"/>
    <x v="34"/>
    <x v="538"/>
    <n v="609"/>
  </r>
  <r>
    <x v="146"/>
    <x v="9"/>
    <x v="1"/>
    <x v="11"/>
    <x v="126"/>
    <n v="864.5"/>
  </r>
  <r>
    <x v="147"/>
    <x v="11"/>
    <x v="2"/>
    <x v="4"/>
    <x v="85"/>
    <n v="1475.2"/>
  </r>
  <r>
    <x v="147"/>
    <x v="10"/>
    <x v="2"/>
    <x v="11"/>
    <x v="414"/>
    <n v="621"/>
  </r>
  <r>
    <x v="147"/>
    <x v="9"/>
    <x v="1"/>
    <x v="14"/>
    <x v="136"/>
    <n v="1186.5"/>
  </r>
  <r>
    <x v="147"/>
    <x v="11"/>
    <x v="2"/>
    <x v="46"/>
    <x v="268"/>
    <n v="1392"/>
  </r>
  <r>
    <x v="147"/>
    <x v="9"/>
    <x v="1"/>
    <x v="17"/>
    <x v="560"/>
    <n v="1232"/>
  </r>
  <r>
    <x v="147"/>
    <x v="10"/>
    <x v="2"/>
    <x v="6"/>
    <x v="304"/>
    <n v="931.50000000000011"/>
  </r>
  <r>
    <x v="147"/>
    <x v="10"/>
    <x v="2"/>
    <x v="19"/>
    <x v="561"/>
    <n v="334.8"/>
  </r>
  <r>
    <x v="147"/>
    <x v="9"/>
    <x v="1"/>
    <x v="29"/>
    <x v="455"/>
    <n v="661.5"/>
  </r>
  <r>
    <x v="147"/>
    <x v="11"/>
    <x v="2"/>
    <x v="12"/>
    <x v="40"/>
    <n v="368"/>
  </r>
  <r>
    <x v="148"/>
    <x v="9"/>
    <x v="1"/>
    <x v="30"/>
    <x v="562"/>
    <n v="1697.5"/>
  </r>
  <r>
    <x v="148"/>
    <x v="9"/>
    <x v="1"/>
    <x v="4"/>
    <x v="205"/>
    <n v="1155"/>
  </r>
  <r>
    <x v="148"/>
    <x v="11"/>
    <x v="2"/>
    <x v="10"/>
    <x v="339"/>
    <n v="169.60000000000002"/>
  </r>
  <r>
    <x v="148"/>
    <x v="10"/>
    <x v="2"/>
    <x v="36"/>
    <x v="321"/>
    <n v="712.80000000000007"/>
  </r>
  <r>
    <x v="148"/>
    <x v="9"/>
    <x v="1"/>
    <x v="27"/>
    <x v="457"/>
    <n v="581"/>
  </r>
  <r>
    <x v="148"/>
    <x v="10"/>
    <x v="2"/>
    <x v="34"/>
    <x v="327"/>
    <n v="747.90000000000009"/>
  </r>
  <r>
    <x v="148"/>
    <x v="9"/>
    <x v="1"/>
    <x v="22"/>
    <x v="82"/>
    <n v="871.5"/>
  </r>
  <r>
    <x v="148"/>
    <x v="9"/>
    <x v="1"/>
    <x v="13"/>
    <x v="509"/>
    <n v="381.5"/>
  </r>
  <r>
    <x v="148"/>
    <x v="9"/>
    <x v="1"/>
    <x v="3"/>
    <x v="155"/>
    <n v="1179.5"/>
  </r>
  <r>
    <x v="148"/>
    <x v="10"/>
    <x v="2"/>
    <x v="1"/>
    <x v="504"/>
    <n v="156.60000000000002"/>
  </r>
  <r>
    <x v="148"/>
    <x v="10"/>
    <x v="2"/>
    <x v="47"/>
    <x v="541"/>
    <n v="1277.1000000000001"/>
  </r>
  <r>
    <x v="148"/>
    <x v="10"/>
    <x v="2"/>
    <x v="3"/>
    <x v="77"/>
    <n v="726.30000000000007"/>
  </r>
  <r>
    <x v="148"/>
    <x v="11"/>
    <x v="2"/>
    <x v="27"/>
    <x v="430"/>
    <n v="166.4"/>
  </r>
  <r>
    <x v="148"/>
    <x v="11"/>
    <x v="2"/>
    <x v="32"/>
    <x v="253"/>
    <n v="1228.8000000000002"/>
  </r>
  <r>
    <x v="149"/>
    <x v="11"/>
    <x v="2"/>
    <x v="37"/>
    <x v="300"/>
    <n v="1024"/>
  </r>
  <r>
    <x v="149"/>
    <x v="9"/>
    <x v="1"/>
    <x v="45"/>
    <x v="77"/>
    <n v="941.5"/>
  </r>
  <r>
    <x v="149"/>
    <x v="9"/>
    <x v="1"/>
    <x v="47"/>
    <x v="245"/>
    <n v="1354.5"/>
  </r>
  <r>
    <x v="149"/>
    <x v="11"/>
    <x v="2"/>
    <x v="36"/>
    <x v="526"/>
    <n v="1446.4"/>
  </r>
  <r>
    <x v="149"/>
    <x v="10"/>
    <x v="2"/>
    <x v="28"/>
    <x v="563"/>
    <n v="164.70000000000002"/>
  </r>
  <r>
    <x v="149"/>
    <x v="9"/>
    <x v="1"/>
    <x v="43"/>
    <x v="430"/>
    <n v="182"/>
  </r>
  <r>
    <x v="149"/>
    <x v="11"/>
    <x v="2"/>
    <x v="25"/>
    <x v="347"/>
    <n v="582.4"/>
  </r>
  <r>
    <x v="149"/>
    <x v="11"/>
    <x v="2"/>
    <x v="15"/>
    <x v="545"/>
    <n v="160"/>
  </r>
  <r>
    <x v="150"/>
    <x v="10"/>
    <x v="2"/>
    <x v="2"/>
    <x v="440"/>
    <n v="540"/>
  </r>
  <r>
    <x v="150"/>
    <x v="11"/>
    <x v="2"/>
    <x v="14"/>
    <x v="130"/>
    <n v="422.40000000000003"/>
  </r>
  <r>
    <x v="150"/>
    <x v="9"/>
    <x v="1"/>
    <x v="15"/>
    <x v="206"/>
    <n v="154"/>
  </r>
  <r>
    <x v="150"/>
    <x v="10"/>
    <x v="2"/>
    <x v="29"/>
    <x v="295"/>
    <n v="175.5"/>
  </r>
  <r>
    <x v="150"/>
    <x v="10"/>
    <x v="2"/>
    <x v="42"/>
    <x v="88"/>
    <n v="494.1"/>
  </r>
  <r>
    <x v="150"/>
    <x v="10"/>
    <x v="2"/>
    <x v="14"/>
    <x v="75"/>
    <n v="1088.1000000000001"/>
  </r>
  <r>
    <x v="150"/>
    <x v="11"/>
    <x v="2"/>
    <x v="5"/>
    <x v="130"/>
    <n v="422.40000000000003"/>
  </r>
  <r>
    <x v="150"/>
    <x v="10"/>
    <x v="2"/>
    <x v="46"/>
    <x v="291"/>
    <n v="477.90000000000003"/>
  </r>
  <r>
    <x v="150"/>
    <x v="11"/>
    <x v="2"/>
    <x v="31"/>
    <x v="537"/>
    <n v="1596.8000000000002"/>
  </r>
  <r>
    <x v="150"/>
    <x v="10"/>
    <x v="2"/>
    <x v="21"/>
    <x v="417"/>
    <n v="54"/>
  </r>
  <r>
    <x v="150"/>
    <x v="9"/>
    <x v="1"/>
    <x v="5"/>
    <x v="539"/>
    <n v="633.5"/>
  </r>
  <r>
    <x v="150"/>
    <x v="9"/>
    <x v="1"/>
    <x v="45"/>
    <x v="256"/>
    <n v="1102.5"/>
  </r>
  <r>
    <x v="150"/>
    <x v="10"/>
    <x v="2"/>
    <x v="42"/>
    <x v="283"/>
    <n v="340.20000000000005"/>
  </r>
  <r>
    <x v="151"/>
    <x v="9"/>
    <x v="1"/>
    <x v="49"/>
    <x v="171"/>
    <n v="1109.5"/>
  </r>
  <r>
    <x v="151"/>
    <x v="9"/>
    <x v="1"/>
    <x v="7"/>
    <x v="318"/>
    <n v="1732.5"/>
  </r>
  <r>
    <x v="151"/>
    <x v="11"/>
    <x v="2"/>
    <x v="15"/>
    <x v="485"/>
    <n v="278.40000000000003"/>
  </r>
  <r>
    <x v="151"/>
    <x v="9"/>
    <x v="1"/>
    <x v="49"/>
    <x v="283"/>
    <n v="441"/>
  </r>
  <r>
    <x v="151"/>
    <x v="10"/>
    <x v="2"/>
    <x v="4"/>
    <x v="291"/>
    <n v="477.90000000000003"/>
  </r>
  <r>
    <x v="151"/>
    <x v="11"/>
    <x v="2"/>
    <x v="3"/>
    <x v="564"/>
    <n v="1404.8000000000002"/>
  </r>
  <r>
    <x v="151"/>
    <x v="9"/>
    <x v="1"/>
    <x v="7"/>
    <x v="58"/>
    <n v="931"/>
  </r>
  <r>
    <x v="151"/>
    <x v="11"/>
    <x v="2"/>
    <x v="45"/>
    <x v="205"/>
    <n v="1056"/>
  </r>
  <r>
    <x v="151"/>
    <x v="10"/>
    <x v="2"/>
    <x v="10"/>
    <x v="565"/>
    <n v="78.300000000000011"/>
  </r>
  <r>
    <x v="151"/>
    <x v="10"/>
    <x v="2"/>
    <x v="42"/>
    <x v="82"/>
    <n v="672.30000000000007"/>
  </r>
  <r>
    <x v="151"/>
    <x v="9"/>
    <x v="1"/>
    <x v="11"/>
    <x v="84"/>
    <n v="1274"/>
  </r>
  <r>
    <x v="151"/>
    <x v="9"/>
    <x v="1"/>
    <x v="30"/>
    <x v="566"/>
    <n v="728"/>
  </r>
  <r>
    <x v="151"/>
    <x v="11"/>
    <x v="2"/>
    <x v="31"/>
    <x v="30"/>
    <n v="444.8"/>
  </r>
  <r>
    <x v="151"/>
    <x v="9"/>
    <x v="1"/>
    <x v="12"/>
    <x v="44"/>
    <n v="1319.5"/>
  </r>
  <r>
    <x v="152"/>
    <x v="9"/>
    <x v="1"/>
    <x v="37"/>
    <x v="179"/>
    <n v="87.5"/>
  </r>
  <r>
    <x v="152"/>
    <x v="10"/>
    <x v="2"/>
    <x v="49"/>
    <x v="459"/>
    <n v="664.2"/>
  </r>
  <r>
    <x v="152"/>
    <x v="11"/>
    <x v="2"/>
    <x v="0"/>
    <x v="475"/>
    <n v="672"/>
  </r>
  <r>
    <x v="152"/>
    <x v="10"/>
    <x v="2"/>
    <x v="21"/>
    <x v="205"/>
    <n v="891.00000000000011"/>
  </r>
  <r>
    <x v="152"/>
    <x v="11"/>
    <x v="2"/>
    <x v="49"/>
    <x v="166"/>
    <n v="1577.6000000000001"/>
  </r>
  <r>
    <x v="152"/>
    <x v="9"/>
    <x v="1"/>
    <x v="3"/>
    <x v="85"/>
    <n v="1613.5"/>
  </r>
  <r>
    <x v="152"/>
    <x v="11"/>
    <x v="2"/>
    <x v="12"/>
    <x v="173"/>
    <n v="473.6"/>
  </r>
  <r>
    <x v="152"/>
    <x v="11"/>
    <x v="2"/>
    <x v="17"/>
    <x v="105"/>
    <n v="60.800000000000004"/>
  </r>
  <r>
    <x v="152"/>
    <x v="9"/>
    <x v="1"/>
    <x v="8"/>
    <x v="262"/>
    <n v="1596"/>
  </r>
  <r>
    <x v="153"/>
    <x v="11"/>
    <x v="2"/>
    <x v="41"/>
    <x v="540"/>
    <n v="643.20000000000005"/>
  </r>
  <r>
    <x v="153"/>
    <x v="10"/>
    <x v="2"/>
    <x v="36"/>
    <x v="359"/>
    <n v="745.2"/>
  </r>
  <r>
    <x v="153"/>
    <x v="9"/>
    <x v="1"/>
    <x v="36"/>
    <x v="283"/>
    <n v="441"/>
  </r>
  <r>
    <x v="153"/>
    <x v="10"/>
    <x v="2"/>
    <x v="16"/>
    <x v="179"/>
    <n v="67.5"/>
  </r>
  <r>
    <x v="153"/>
    <x v="10"/>
    <x v="2"/>
    <x v="49"/>
    <x v="514"/>
    <n v="756"/>
  </r>
  <r>
    <x v="153"/>
    <x v="10"/>
    <x v="2"/>
    <x v="7"/>
    <x v="567"/>
    <n v="178.20000000000002"/>
  </r>
  <r>
    <x v="153"/>
    <x v="11"/>
    <x v="2"/>
    <x v="3"/>
    <x v="371"/>
    <n v="1004.8000000000001"/>
  </r>
  <r>
    <x v="154"/>
    <x v="10"/>
    <x v="2"/>
    <x v="23"/>
    <x v="96"/>
    <n v="804.6"/>
  </r>
  <r>
    <x v="154"/>
    <x v="9"/>
    <x v="1"/>
    <x v="8"/>
    <x v="218"/>
    <n v="668.5"/>
  </r>
  <r>
    <x v="154"/>
    <x v="10"/>
    <x v="2"/>
    <x v="44"/>
    <x v="74"/>
    <n v="1112.4000000000001"/>
  </r>
  <r>
    <x v="154"/>
    <x v="10"/>
    <x v="2"/>
    <x v="34"/>
    <x v="283"/>
    <n v="340.20000000000005"/>
  </r>
  <r>
    <x v="154"/>
    <x v="9"/>
    <x v="1"/>
    <x v="42"/>
    <x v="297"/>
    <n v="1631"/>
  </r>
  <r>
    <x v="154"/>
    <x v="11"/>
    <x v="2"/>
    <x v="45"/>
    <x v="370"/>
    <n v="374.40000000000003"/>
  </r>
  <r>
    <x v="154"/>
    <x v="9"/>
    <x v="1"/>
    <x v="37"/>
    <x v="237"/>
    <n v="56"/>
  </r>
  <r>
    <x v="154"/>
    <x v="10"/>
    <x v="2"/>
    <x v="11"/>
    <x v="430"/>
    <n v="140.4"/>
  </r>
  <r>
    <x v="154"/>
    <x v="9"/>
    <x v="1"/>
    <x v="48"/>
    <x v="391"/>
    <n v="1183"/>
  </r>
  <r>
    <x v="154"/>
    <x v="9"/>
    <x v="1"/>
    <x v="33"/>
    <x v="427"/>
    <n v="1652"/>
  </r>
  <r>
    <x v="154"/>
    <x v="11"/>
    <x v="2"/>
    <x v="27"/>
    <x v="18"/>
    <n v="1401.6000000000001"/>
  </r>
  <r>
    <x v="155"/>
    <x v="10"/>
    <x v="2"/>
    <x v="28"/>
    <x v="408"/>
    <n v="1058.4000000000001"/>
  </r>
  <r>
    <x v="155"/>
    <x v="11"/>
    <x v="2"/>
    <x v="34"/>
    <x v="239"/>
    <n v="409.6"/>
  </r>
  <r>
    <x v="155"/>
    <x v="9"/>
    <x v="1"/>
    <x v="34"/>
    <x v="458"/>
    <n v="94.5"/>
  </r>
  <r>
    <x v="155"/>
    <x v="11"/>
    <x v="2"/>
    <x v="34"/>
    <x v="365"/>
    <n v="1161.6000000000001"/>
  </r>
  <r>
    <x v="155"/>
    <x v="10"/>
    <x v="2"/>
    <x v="30"/>
    <x v="568"/>
    <n v="283.5"/>
  </r>
  <r>
    <x v="155"/>
    <x v="9"/>
    <x v="1"/>
    <x v="29"/>
    <x v="44"/>
    <n v="1319.5"/>
  </r>
  <r>
    <x v="155"/>
    <x v="11"/>
    <x v="2"/>
    <x v="13"/>
    <x v="327"/>
    <n v="886.40000000000009"/>
  </r>
  <r>
    <x v="156"/>
    <x v="10"/>
    <x v="2"/>
    <x v="31"/>
    <x v="423"/>
    <n v="1223.1000000000001"/>
  </r>
  <r>
    <x v="156"/>
    <x v="10"/>
    <x v="2"/>
    <x v="4"/>
    <x v="403"/>
    <n v="89.100000000000009"/>
  </r>
  <r>
    <x v="156"/>
    <x v="11"/>
    <x v="2"/>
    <x v="13"/>
    <x v="322"/>
    <n v="528"/>
  </r>
  <r>
    <x v="156"/>
    <x v="11"/>
    <x v="2"/>
    <x v="3"/>
    <x v="569"/>
    <n v="848"/>
  </r>
  <r>
    <x v="156"/>
    <x v="9"/>
    <x v="1"/>
    <x v="13"/>
    <x v="570"/>
    <n v="626.5"/>
  </r>
  <r>
    <x v="156"/>
    <x v="11"/>
    <x v="2"/>
    <x v="19"/>
    <x v="409"/>
    <n v="569.6"/>
  </r>
  <r>
    <x v="156"/>
    <x v="10"/>
    <x v="2"/>
    <x v="19"/>
    <x v="571"/>
    <n v="880.2"/>
  </r>
  <r>
    <x v="156"/>
    <x v="9"/>
    <x v="1"/>
    <x v="22"/>
    <x v="572"/>
    <n v="836.5"/>
  </r>
  <r>
    <x v="156"/>
    <x v="9"/>
    <x v="1"/>
    <x v="34"/>
    <x v="88"/>
    <n v="640.5"/>
  </r>
  <r>
    <x v="156"/>
    <x v="9"/>
    <x v="1"/>
    <x v="44"/>
    <x v="561"/>
    <n v="434"/>
  </r>
  <r>
    <x v="156"/>
    <x v="10"/>
    <x v="2"/>
    <x v="35"/>
    <x v="224"/>
    <n v="612.90000000000009"/>
  </r>
  <r>
    <x v="156"/>
    <x v="10"/>
    <x v="2"/>
    <x v="45"/>
    <x v="573"/>
    <n v="1201.5"/>
  </r>
  <r>
    <x v="156"/>
    <x v="10"/>
    <x v="2"/>
    <x v="44"/>
    <x v="135"/>
    <n v="1098.9000000000001"/>
  </r>
  <r>
    <x v="156"/>
    <x v="9"/>
    <x v="1"/>
    <x v="25"/>
    <x v="434"/>
    <n v="1074.5"/>
  </r>
  <r>
    <x v="157"/>
    <x v="11"/>
    <x v="2"/>
    <x v="34"/>
    <x v="390"/>
    <n v="265.60000000000002"/>
  </r>
  <r>
    <x v="157"/>
    <x v="10"/>
    <x v="2"/>
    <x v="21"/>
    <x v="574"/>
    <n v="407.70000000000005"/>
  </r>
  <r>
    <x v="157"/>
    <x v="11"/>
    <x v="2"/>
    <x v="36"/>
    <x v="93"/>
    <n v="1196.8"/>
  </r>
  <r>
    <x v="157"/>
    <x v="11"/>
    <x v="2"/>
    <x v="45"/>
    <x v="143"/>
    <n v="1308.8000000000002"/>
  </r>
  <r>
    <x v="157"/>
    <x v="10"/>
    <x v="2"/>
    <x v="3"/>
    <x v="570"/>
    <n v="483.3"/>
  </r>
  <r>
    <x v="157"/>
    <x v="11"/>
    <x v="2"/>
    <x v="0"/>
    <x v="50"/>
    <n v="329.6"/>
  </r>
  <r>
    <x v="157"/>
    <x v="10"/>
    <x v="2"/>
    <x v="11"/>
    <x v="575"/>
    <n v="410.40000000000003"/>
  </r>
  <r>
    <x v="157"/>
    <x v="9"/>
    <x v="1"/>
    <x v="19"/>
    <x v="270"/>
    <n v="259"/>
  </r>
  <r>
    <x v="158"/>
    <x v="9"/>
    <x v="1"/>
    <x v="2"/>
    <x v="119"/>
    <n v="1347.5"/>
  </r>
  <r>
    <x v="158"/>
    <x v="9"/>
    <x v="1"/>
    <x v="11"/>
    <x v="333"/>
    <n v="1134"/>
  </r>
  <r>
    <x v="158"/>
    <x v="10"/>
    <x v="2"/>
    <x v="11"/>
    <x v="486"/>
    <n v="680.40000000000009"/>
  </r>
  <r>
    <x v="158"/>
    <x v="11"/>
    <x v="2"/>
    <x v="20"/>
    <x v="301"/>
    <n v="1052.8"/>
  </r>
  <r>
    <x v="158"/>
    <x v="11"/>
    <x v="2"/>
    <x v="49"/>
    <x v="572"/>
    <n v="764.80000000000007"/>
  </r>
  <r>
    <x v="158"/>
    <x v="11"/>
    <x v="2"/>
    <x v="1"/>
    <x v="189"/>
    <n v="1385.6000000000001"/>
  </r>
  <r>
    <x v="158"/>
    <x v="10"/>
    <x v="2"/>
    <x v="27"/>
    <x v="95"/>
    <n v="648"/>
  </r>
  <r>
    <x v="158"/>
    <x v="9"/>
    <x v="1"/>
    <x v="47"/>
    <x v="405"/>
    <n v="210"/>
  </r>
  <r>
    <x v="159"/>
    <x v="9"/>
    <x v="1"/>
    <x v="6"/>
    <x v="347"/>
    <n v="637"/>
  </r>
  <r>
    <x v="159"/>
    <x v="10"/>
    <x v="2"/>
    <x v="38"/>
    <x v="317"/>
    <n v="575.1"/>
  </r>
  <r>
    <x v="159"/>
    <x v="10"/>
    <x v="2"/>
    <x v="23"/>
    <x v="301"/>
    <n v="888.30000000000007"/>
  </r>
  <r>
    <x v="159"/>
    <x v="10"/>
    <x v="2"/>
    <x v="45"/>
    <x v="402"/>
    <n v="1193.4000000000001"/>
  </r>
  <r>
    <x v="160"/>
    <x v="9"/>
    <x v="1"/>
    <x v="25"/>
    <x v="171"/>
    <n v="1109.5"/>
  </r>
  <r>
    <x v="160"/>
    <x v="10"/>
    <x v="2"/>
    <x v="38"/>
    <x v="517"/>
    <n v="1190.7"/>
  </r>
  <r>
    <x v="160"/>
    <x v="9"/>
    <x v="1"/>
    <x v="9"/>
    <x v="527"/>
    <n v="798"/>
  </r>
  <r>
    <x v="160"/>
    <x v="9"/>
    <x v="1"/>
    <x v="27"/>
    <x v="488"/>
    <n v="815.5"/>
  </r>
  <r>
    <x v="160"/>
    <x v="11"/>
    <x v="2"/>
    <x v="29"/>
    <x v="59"/>
    <n v="272"/>
  </r>
  <r>
    <x v="161"/>
    <x v="9"/>
    <x v="1"/>
    <x v="47"/>
    <x v="576"/>
    <n v="752.5"/>
  </r>
  <r>
    <x v="161"/>
    <x v="10"/>
    <x v="2"/>
    <x v="40"/>
    <x v="504"/>
    <n v="156.60000000000002"/>
  </r>
  <r>
    <x v="161"/>
    <x v="9"/>
    <x v="1"/>
    <x v="13"/>
    <x v="357"/>
    <n v="563.5"/>
  </r>
  <r>
    <x v="161"/>
    <x v="9"/>
    <x v="1"/>
    <x v="3"/>
    <x v="577"/>
    <n v="1676.5"/>
  </r>
  <r>
    <x v="162"/>
    <x v="9"/>
    <x v="1"/>
    <x v="0"/>
    <x v="578"/>
    <n v="514.5"/>
  </r>
  <r>
    <x v="162"/>
    <x v="9"/>
    <x v="1"/>
    <x v="33"/>
    <x v="299"/>
    <n v="780.5"/>
  </r>
  <r>
    <x v="162"/>
    <x v="11"/>
    <x v="2"/>
    <x v="12"/>
    <x v="579"/>
    <n v="198.4"/>
  </r>
  <r>
    <x v="162"/>
    <x v="9"/>
    <x v="1"/>
    <x v="39"/>
    <x v="235"/>
    <n v="570.5"/>
  </r>
  <r>
    <x v="162"/>
    <x v="9"/>
    <x v="1"/>
    <x v="39"/>
    <x v="89"/>
    <n v="1620.5"/>
  </r>
  <r>
    <x v="162"/>
    <x v="11"/>
    <x v="2"/>
    <x v="43"/>
    <x v="202"/>
    <n v="1129.6000000000001"/>
  </r>
  <r>
    <x v="162"/>
    <x v="10"/>
    <x v="2"/>
    <x v="17"/>
    <x v="442"/>
    <n v="1152.9000000000001"/>
  </r>
  <r>
    <x v="162"/>
    <x v="11"/>
    <x v="2"/>
    <x v="38"/>
    <x v="193"/>
    <n v="476.8"/>
  </r>
  <r>
    <x v="162"/>
    <x v="9"/>
    <x v="1"/>
    <x v="20"/>
    <x v="32"/>
    <n v="241.5"/>
  </r>
  <r>
    <x v="162"/>
    <x v="11"/>
    <x v="2"/>
    <x v="40"/>
    <x v="177"/>
    <n v="992"/>
  </r>
  <r>
    <x v="162"/>
    <x v="10"/>
    <x v="2"/>
    <x v="44"/>
    <x v="275"/>
    <n v="418.5"/>
  </r>
  <r>
    <x v="162"/>
    <x v="10"/>
    <x v="2"/>
    <x v="1"/>
    <x v="191"/>
    <n v="623.70000000000005"/>
  </r>
  <r>
    <x v="162"/>
    <x v="10"/>
    <x v="2"/>
    <x v="47"/>
    <x v="219"/>
    <n v="459.00000000000006"/>
  </r>
  <r>
    <x v="163"/>
    <x v="11"/>
    <x v="2"/>
    <x v="23"/>
    <x v="261"/>
    <n v="1094.4000000000001"/>
  </r>
  <r>
    <x v="163"/>
    <x v="10"/>
    <x v="2"/>
    <x v="13"/>
    <x v="394"/>
    <n v="926.1"/>
  </r>
  <r>
    <x v="163"/>
    <x v="10"/>
    <x v="2"/>
    <x v="31"/>
    <x v="104"/>
    <n v="596.70000000000005"/>
  </r>
  <r>
    <x v="163"/>
    <x v="11"/>
    <x v="2"/>
    <x v="45"/>
    <x v="320"/>
    <n v="1296"/>
  </r>
  <r>
    <x v="163"/>
    <x v="9"/>
    <x v="1"/>
    <x v="26"/>
    <x v="212"/>
    <n v="833"/>
  </r>
  <r>
    <x v="163"/>
    <x v="9"/>
    <x v="1"/>
    <x v="23"/>
    <x v="115"/>
    <n v="1739.5"/>
  </r>
  <r>
    <x v="164"/>
    <x v="10"/>
    <x v="2"/>
    <x v="42"/>
    <x v="18"/>
    <n v="1182.6000000000001"/>
  </r>
  <r>
    <x v="164"/>
    <x v="10"/>
    <x v="2"/>
    <x v="32"/>
    <x v="240"/>
    <n v="405"/>
  </r>
  <r>
    <x v="164"/>
    <x v="9"/>
    <x v="1"/>
    <x v="30"/>
    <x v="100"/>
    <n v="1386"/>
  </r>
  <r>
    <x v="164"/>
    <x v="9"/>
    <x v="1"/>
    <x v="48"/>
    <x v="488"/>
    <n v="815.5"/>
  </r>
  <r>
    <x v="164"/>
    <x v="9"/>
    <x v="1"/>
    <x v="15"/>
    <x v="580"/>
    <n v="364"/>
  </r>
  <r>
    <x v="164"/>
    <x v="9"/>
    <x v="1"/>
    <x v="35"/>
    <x v="581"/>
    <n v="826"/>
  </r>
  <r>
    <x v="164"/>
    <x v="11"/>
    <x v="2"/>
    <x v="31"/>
    <x v="359"/>
    <n v="883.2"/>
  </r>
  <r>
    <x v="165"/>
    <x v="11"/>
    <x v="2"/>
    <x v="47"/>
    <x v="269"/>
    <n v="416"/>
  </r>
  <r>
    <x v="165"/>
    <x v="10"/>
    <x v="2"/>
    <x v="12"/>
    <x v="582"/>
    <n v="742.5"/>
  </r>
  <r>
    <x v="165"/>
    <x v="10"/>
    <x v="2"/>
    <x v="5"/>
    <x v="583"/>
    <n v="1007.1"/>
  </r>
  <r>
    <x v="165"/>
    <x v="9"/>
    <x v="1"/>
    <x v="34"/>
    <x v="79"/>
    <n v="1428"/>
  </r>
  <r>
    <x v="166"/>
    <x v="11"/>
    <x v="2"/>
    <x v="44"/>
    <x v="556"/>
    <n v="1324.8000000000002"/>
  </r>
  <r>
    <x v="166"/>
    <x v="10"/>
    <x v="2"/>
    <x v="19"/>
    <x v="521"/>
    <n v="845.1"/>
  </r>
  <r>
    <x v="166"/>
    <x v="9"/>
    <x v="1"/>
    <x v="32"/>
    <x v="224"/>
    <n v="794.5"/>
  </r>
  <r>
    <x v="166"/>
    <x v="10"/>
    <x v="2"/>
    <x v="2"/>
    <x v="174"/>
    <n v="388.8"/>
  </r>
  <r>
    <x v="166"/>
    <x v="10"/>
    <x v="2"/>
    <x v="13"/>
    <x v="414"/>
    <n v="621"/>
  </r>
  <r>
    <x v="166"/>
    <x v="10"/>
    <x v="2"/>
    <x v="45"/>
    <x v="82"/>
    <n v="672.30000000000007"/>
  </r>
  <r>
    <x v="166"/>
    <x v="11"/>
    <x v="2"/>
    <x v="25"/>
    <x v="216"/>
    <n v="1347.2"/>
  </r>
  <r>
    <x v="167"/>
    <x v="11"/>
    <x v="2"/>
    <x v="30"/>
    <x v="102"/>
    <n v="947.2"/>
  </r>
  <r>
    <x v="167"/>
    <x v="11"/>
    <x v="2"/>
    <x v="43"/>
    <x v="544"/>
    <n v="96"/>
  </r>
  <r>
    <x v="167"/>
    <x v="10"/>
    <x v="2"/>
    <x v="17"/>
    <x v="584"/>
    <n v="437.40000000000003"/>
  </r>
  <r>
    <x v="167"/>
    <x v="9"/>
    <x v="1"/>
    <x v="29"/>
    <x v="571"/>
    <n v="1141"/>
  </r>
  <r>
    <x v="167"/>
    <x v="10"/>
    <x v="2"/>
    <x v="40"/>
    <x v="298"/>
    <n v="815.40000000000009"/>
  </r>
  <r>
    <x v="167"/>
    <x v="10"/>
    <x v="2"/>
    <x v="7"/>
    <x v="515"/>
    <n v="958.50000000000011"/>
  </r>
  <r>
    <x v="168"/>
    <x v="10"/>
    <x v="2"/>
    <x v="31"/>
    <x v="75"/>
    <n v="1088.1000000000001"/>
  </r>
  <r>
    <x v="168"/>
    <x v="9"/>
    <x v="1"/>
    <x v="8"/>
    <x v="449"/>
    <n v="269.5"/>
  </r>
  <r>
    <x v="168"/>
    <x v="10"/>
    <x v="2"/>
    <x v="19"/>
    <x v="585"/>
    <n v="985.50000000000011"/>
  </r>
  <r>
    <x v="168"/>
    <x v="10"/>
    <x v="2"/>
    <x v="40"/>
    <x v="506"/>
    <n v="116.10000000000001"/>
  </r>
  <r>
    <x v="168"/>
    <x v="10"/>
    <x v="2"/>
    <x v="40"/>
    <x v="414"/>
    <n v="621"/>
  </r>
  <r>
    <x v="168"/>
    <x v="9"/>
    <x v="1"/>
    <x v="0"/>
    <x v="232"/>
    <n v="346.5"/>
  </r>
  <r>
    <x v="168"/>
    <x v="10"/>
    <x v="2"/>
    <x v="34"/>
    <x v="315"/>
    <n v="604.80000000000007"/>
  </r>
  <r>
    <x v="168"/>
    <x v="10"/>
    <x v="2"/>
    <x v="38"/>
    <x v="29"/>
    <n v="853.2"/>
  </r>
  <r>
    <x v="168"/>
    <x v="10"/>
    <x v="2"/>
    <x v="46"/>
    <x v="238"/>
    <n v="791.1"/>
  </r>
  <r>
    <x v="168"/>
    <x v="10"/>
    <x v="2"/>
    <x v="26"/>
    <x v="554"/>
    <n v="75.600000000000009"/>
  </r>
  <r>
    <x v="168"/>
    <x v="11"/>
    <x v="2"/>
    <x v="26"/>
    <x v="586"/>
    <n v="67.2"/>
  </r>
  <r>
    <x v="168"/>
    <x v="10"/>
    <x v="2"/>
    <x v="34"/>
    <x v="16"/>
    <n v="297"/>
  </r>
  <r>
    <x v="168"/>
    <x v="10"/>
    <x v="2"/>
    <x v="28"/>
    <x v="414"/>
    <n v="621"/>
  </r>
  <r>
    <x v="168"/>
    <x v="10"/>
    <x v="2"/>
    <x v="33"/>
    <x v="135"/>
    <n v="1098.9000000000001"/>
  </r>
  <r>
    <x v="168"/>
    <x v="9"/>
    <x v="1"/>
    <x v="18"/>
    <x v="394"/>
    <n v="1200.5"/>
  </r>
  <r>
    <x v="168"/>
    <x v="11"/>
    <x v="2"/>
    <x v="10"/>
    <x v="54"/>
    <n v="384"/>
  </r>
  <r>
    <x v="168"/>
    <x v="9"/>
    <x v="1"/>
    <x v="27"/>
    <x v="524"/>
    <n v="129.5"/>
  </r>
  <r>
    <x v="169"/>
    <x v="9"/>
    <x v="1"/>
    <x v="46"/>
    <x v="540"/>
    <n v="703.5"/>
  </r>
  <r>
    <x v="169"/>
    <x v="11"/>
    <x v="2"/>
    <x v="12"/>
    <x v="150"/>
    <n v="1244.8000000000002"/>
  </r>
  <r>
    <x v="169"/>
    <x v="11"/>
    <x v="2"/>
    <x v="13"/>
    <x v="562"/>
    <n v="1552"/>
  </r>
  <r>
    <x v="169"/>
    <x v="10"/>
    <x v="2"/>
    <x v="37"/>
    <x v="430"/>
    <n v="140.4"/>
  </r>
  <r>
    <x v="170"/>
    <x v="11"/>
    <x v="2"/>
    <x v="34"/>
    <x v="403"/>
    <n v="105.60000000000001"/>
  </r>
  <r>
    <x v="170"/>
    <x v="11"/>
    <x v="2"/>
    <x v="33"/>
    <x v="448"/>
    <n v="380.8"/>
  </r>
  <r>
    <x v="170"/>
    <x v="11"/>
    <x v="2"/>
    <x v="4"/>
    <x v="38"/>
    <n v="1456"/>
  </r>
  <r>
    <x v="170"/>
    <x v="11"/>
    <x v="2"/>
    <x v="43"/>
    <x v="225"/>
    <n v="1593.6000000000001"/>
  </r>
  <r>
    <x v="170"/>
    <x v="11"/>
    <x v="2"/>
    <x v="1"/>
    <x v="514"/>
    <n v="896"/>
  </r>
  <r>
    <x v="170"/>
    <x v="9"/>
    <x v="1"/>
    <x v="8"/>
    <x v="249"/>
    <n v="539"/>
  </r>
  <r>
    <x v="170"/>
    <x v="10"/>
    <x v="2"/>
    <x v="19"/>
    <x v="337"/>
    <n v="1071.9000000000001"/>
  </r>
  <r>
    <x v="170"/>
    <x v="11"/>
    <x v="2"/>
    <x v="5"/>
    <x v="560"/>
    <n v="1126.4000000000001"/>
  </r>
  <r>
    <x v="170"/>
    <x v="11"/>
    <x v="2"/>
    <x v="2"/>
    <x v="578"/>
    <n v="470.40000000000003"/>
  </r>
  <r>
    <x v="170"/>
    <x v="9"/>
    <x v="1"/>
    <x v="35"/>
    <x v="467"/>
    <n v="1060.5"/>
  </r>
  <r>
    <x v="171"/>
    <x v="11"/>
    <x v="2"/>
    <x v="41"/>
    <x v="587"/>
    <n v="489.6"/>
  </r>
  <r>
    <x v="171"/>
    <x v="9"/>
    <x v="1"/>
    <x v="10"/>
    <x v="360"/>
    <n v="255.5"/>
  </r>
  <r>
    <x v="171"/>
    <x v="9"/>
    <x v="1"/>
    <x v="45"/>
    <x v="500"/>
    <n v="339.5"/>
  </r>
  <r>
    <x v="171"/>
    <x v="10"/>
    <x v="2"/>
    <x v="9"/>
    <x v="302"/>
    <n v="332.1"/>
  </r>
  <r>
    <x v="172"/>
    <x v="11"/>
    <x v="2"/>
    <x v="5"/>
    <x v="588"/>
    <n v="838.40000000000009"/>
  </r>
  <r>
    <x v="172"/>
    <x v="10"/>
    <x v="2"/>
    <x v="11"/>
    <x v="304"/>
    <n v="931.50000000000011"/>
  </r>
  <r>
    <x v="172"/>
    <x v="11"/>
    <x v="2"/>
    <x v="2"/>
    <x v="185"/>
    <n v="1539.2"/>
  </r>
  <r>
    <x v="172"/>
    <x v="9"/>
    <x v="1"/>
    <x v="19"/>
    <x v="298"/>
    <n v="1057"/>
  </r>
  <r>
    <x v="172"/>
    <x v="11"/>
    <x v="2"/>
    <x v="40"/>
    <x v="507"/>
    <n v="1142.4000000000001"/>
  </r>
  <r>
    <x v="172"/>
    <x v="10"/>
    <x v="2"/>
    <x v="26"/>
    <x v="589"/>
    <n v="518.40000000000009"/>
  </r>
  <r>
    <x v="172"/>
    <x v="9"/>
    <x v="1"/>
    <x v="3"/>
    <x v="408"/>
    <n v="1372"/>
  </r>
  <r>
    <x v="172"/>
    <x v="10"/>
    <x v="2"/>
    <x v="11"/>
    <x v="578"/>
    <n v="396.90000000000003"/>
  </r>
  <r>
    <x v="172"/>
    <x v="10"/>
    <x v="2"/>
    <x v="11"/>
    <x v="107"/>
    <n v="1131.3000000000002"/>
  </r>
  <r>
    <x v="173"/>
    <x v="9"/>
    <x v="1"/>
    <x v="39"/>
    <x v="496"/>
    <n v="1214.5"/>
  </r>
  <r>
    <x v="173"/>
    <x v="10"/>
    <x v="2"/>
    <x v="21"/>
    <x v="451"/>
    <n v="1350"/>
  </r>
  <r>
    <x v="173"/>
    <x v="11"/>
    <x v="2"/>
    <x v="44"/>
    <x v="283"/>
    <n v="403.20000000000005"/>
  </r>
  <r>
    <x v="173"/>
    <x v="10"/>
    <x v="2"/>
    <x v="9"/>
    <x v="425"/>
    <n v="1233.9000000000001"/>
  </r>
  <r>
    <x v="173"/>
    <x v="9"/>
    <x v="1"/>
    <x v="18"/>
    <x v="532"/>
    <n v="1571.5"/>
  </r>
  <r>
    <x v="173"/>
    <x v="10"/>
    <x v="2"/>
    <x v="14"/>
    <x v="177"/>
    <n v="837"/>
  </r>
  <r>
    <x v="174"/>
    <x v="9"/>
    <x v="1"/>
    <x v="27"/>
    <x v="399"/>
    <n v="749"/>
  </r>
  <r>
    <x v="174"/>
    <x v="10"/>
    <x v="2"/>
    <x v="32"/>
    <x v="590"/>
    <n v="1166.4000000000001"/>
  </r>
  <r>
    <x v="174"/>
    <x v="10"/>
    <x v="2"/>
    <x v="28"/>
    <x v="154"/>
    <n v="218.70000000000002"/>
  </r>
  <r>
    <x v="174"/>
    <x v="10"/>
    <x v="2"/>
    <x v="0"/>
    <x v="190"/>
    <n v="486.00000000000006"/>
  </r>
  <r>
    <x v="174"/>
    <x v="11"/>
    <x v="2"/>
    <x v="27"/>
    <x v="346"/>
    <n v="217.60000000000002"/>
  </r>
  <r>
    <x v="174"/>
    <x v="9"/>
    <x v="1"/>
    <x v="33"/>
    <x v="222"/>
    <n v="1165.5"/>
  </r>
  <r>
    <x v="174"/>
    <x v="11"/>
    <x v="2"/>
    <x v="3"/>
    <x v="160"/>
    <n v="358.40000000000003"/>
  </r>
  <r>
    <x v="174"/>
    <x v="10"/>
    <x v="2"/>
    <x v="38"/>
    <x v="591"/>
    <n v="145.80000000000001"/>
  </r>
  <r>
    <x v="174"/>
    <x v="9"/>
    <x v="1"/>
    <x v="32"/>
    <x v="29"/>
    <n v="1106"/>
  </r>
  <r>
    <x v="174"/>
    <x v="10"/>
    <x v="2"/>
    <x v="2"/>
    <x v="115"/>
    <n v="1341.9"/>
  </r>
  <r>
    <x v="174"/>
    <x v="10"/>
    <x v="2"/>
    <x v="45"/>
    <x v="224"/>
    <n v="612.90000000000009"/>
  </r>
  <r>
    <x v="174"/>
    <x v="9"/>
    <x v="1"/>
    <x v="15"/>
    <x v="107"/>
    <n v="1466.5"/>
  </r>
  <r>
    <x v="174"/>
    <x v="11"/>
    <x v="2"/>
    <x v="41"/>
    <x v="505"/>
    <n v="1216"/>
  </r>
  <r>
    <x v="174"/>
    <x v="11"/>
    <x v="2"/>
    <x v="39"/>
    <x v="371"/>
    <n v="1004.8000000000001"/>
  </r>
  <r>
    <x v="175"/>
    <x v="11"/>
    <x v="2"/>
    <x v="47"/>
    <x v="31"/>
    <n v="812.80000000000007"/>
  </r>
  <r>
    <x v="175"/>
    <x v="11"/>
    <x v="2"/>
    <x v="40"/>
    <x v="423"/>
    <n v="1449.6000000000001"/>
  </r>
  <r>
    <x v="175"/>
    <x v="9"/>
    <x v="1"/>
    <x v="35"/>
    <x v="486"/>
    <n v="882"/>
  </r>
  <r>
    <x v="175"/>
    <x v="11"/>
    <x v="2"/>
    <x v="13"/>
    <x v="258"/>
    <n v="777.6"/>
  </r>
  <r>
    <x v="176"/>
    <x v="11"/>
    <x v="2"/>
    <x v="24"/>
    <x v="98"/>
    <n v="1376"/>
  </r>
  <r>
    <x v="176"/>
    <x v="10"/>
    <x v="2"/>
    <x v="30"/>
    <x v="268"/>
    <n v="1174.5"/>
  </r>
  <r>
    <x v="176"/>
    <x v="11"/>
    <x v="2"/>
    <x v="19"/>
    <x v="432"/>
    <n v="1369.6000000000001"/>
  </r>
  <r>
    <x v="176"/>
    <x v="10"/>
    <x v="2"/>
    <x v="23"/>
    <x v="79"/>
    <n v="1101.6000000000001"/>
  </r>
  <r>
    <x v="176"/>
    <x v="9"/>
    <x v="1"/>
    <x v="5"/>
    <x v="350"/>
    <n v="140"/>
  </r>
  <r>
    <x v="176"/>
    <x v="11"/>
    <x v="2"/>
    <x v="8"/>
    <x v="576"/>
    <n v="688"/>
  </r>
  <r>
    <x v="176"/>
    <x v="9"/>
    <x v="1"/>
    <x v="24"/>
    <x v="375"/>
    <n v="1659"/>
  </r>
  <r>
    <x v="176"/>
    <x v="10"/>
    <x v="2"/>
    <x v="43"/>
    <x v="500"/>
    <n v="261.90000000000003"/>
  </r>
  <r>
    <x v="176"/>
    <x v="9"/>
    <x v="1"/>
    <x v="36"/>
    <x v="275"/>
    <n v="542.5"/>
  </r>
  <r>
    <x v="177"/>
    <x v="9"/>
    <x v="1"/>
    <x v="27"/>
    <x v="592"/>
    <n v="644"/>
  </r>
  <r>
    <x v="177"/>
    <x v="11"/>
    <x v="2"/>
    <x v="40"/>
    <x v="425"/>
    <n v="1462.4"/>
  </r>
  <r>
    <x v="177"/>
    <x v="9"/>
    <x v="1"/>
    <x v="12"/>
    <x v="203"/>
    <n v="647.5"/>
  </r>
  <r>
    <x v="177"/>
    <x v="10"/>
    <x v="2"/>
    <x v="0"/>
    <x v="88"/>
    <n v="494.1"/>
  </r>
  <r>
    <x v="177"/>
    <x v="11"/>
    <x v="2"/>
    <x v="42"/>
    <x v="51"/>
    <n v="406.40000000000003"/>
  </r>
  <r>
    <x v="177"/>
    <x v="10"/>
    <x v="2"/>
    <x v="19"/>
    <x v="223"/>
    <n v="699.30000000000007"/>
  </r>
  <r>
    <x v="177"/>
    <x v="11"/>
    <x v="2"/>
    <x v="39"/>
    <x v="436"/>
    <n v="1068.8"/>
  </r>
  <r>
    <x v="178"/>
    <x v="10"/>
    <x v="2"/>
    <x v="36"/>
    <x v="291"/>
    <n v="477.90000000000003"/>
  </r>
  <r>
    <x v="178"/>
    <x v="9"/>
    <x v="1"/>
    <x v="12"/>
    <x v="18"/>
    <n v="1533"/>
  </r>
  <r>
    <x v="178"/>
    <x v="10"/>
    <x v="2"/>
    <x v="10"/>
    <x v="593"/>
    <n v="221.4"/>
  </r>
  <r>
    <x v="178"/>
    <x v="10"/>
    <x v="2"/>
    <x v="6"/>
    <x v="168"/>
    <n v="48.6"/>
  </r>
  <r>
    <x v="178"/>
    <x v="10"/>
    <x v="2"/>
    <x v="18"/>
    <x v="355"/>
    <n v="1171.8000000000002"/>
  </r>
  <r>
    <x v="178"/>
    <x v="9"/>
    <x v="1"/>
    <x v="45"/>
    <x v="562"/>
    <n v="1697.5"/>
  </r>
  <r>
    <x v="178"/>
    <x v="10"/>
    <x v="2"/>
    <x v="20"/>
    <x v="328"/>
    <n v="1134"/>
  </r>
  <r>
    <x v="178"/>
    <x v="11"/>
    <x v="2"/>
    <x v="26"/>
    <x v="202"/>
    <n v="1129.6000000000001"/>
  </r>
  <r>
    <x v="179"/>
    <x v="11"/>
    <x v="2"/>
    <x v="8"/>
    <x v="594"/>
    <n v="502.40000000000003"/>
  </r>
  <r>
    <x v="179"/>
    <x v="11"/>
    <x v="2"/>
    <x v="33"/>
    <x v="98"/>
    <n v="1376"/>
  </r>
  <r>
    <x v="179"/>
    <x v="10"/>
    <x v="2"/>
    <x v="30"/>
    <x v="517"/>
    <n v="1190.7"/>
  </r>
  <r>
    <x v="179"/>
    <x v="9"/>
    <x v="1"/>
    <x v="40"/>
    <x v="595"/>
    <n v="868"/>
  </r>
  <r>
    <x v="179"/>
    <x v="9"/>
    <x v="1"/>
    <x v="28"/>
    <x v="567"/>
    <n v="231"/>
  </r>
  <r>
    <x v="179"/>
    <x v="10"/>
    <x v="2"/>
    <x v="31"/>
    <x v="307"/>
    <n v="232.20000000000002"/>
  </r>
  <r>
    <x v="179"/>
    <x v="10"/>
    <x v="2"/>
    <x v="37"/>
    <x v="596"/>
    <n v="720.90000000000009"/>
  </r>
  <r>
    <x v="179"/>
    <x v="10"/>
    <x v="2"/>
    <x v="45"/>
    <x v="350"/>
    <n v="108"/>
  </r>
  <r>
    <x v="179"/>
    <x v="11"/>
    <x v="2"/>
    <x v="15"/>
    <x v="489"/>
    <n v="547.20000000000005"/>
  </r>
  <r>
    <x v="179"/>
    <x v="10"/>
    <x v="2"/>
    <x v="41"/>
    <x v="501"/>
    <n v="513"/>
  </r>
  <r>
    <x v="179"/>
    <x v="11"/>
    <x v="2"/>
    <x v="44"/>
    <x v="597"/>
    <n v="400"/>
  </r>
  <r>
    <x v="179"/>
    <x v="10"/>
    <x v="2"/>
    <x v="10"/>
    <x v="106"/>
    <n v="934.2"/>
  </r>
  <r>
    <x v="179"/>
    <x v="11"/>
    <x v="2"/>
    <x v="36"/>
    <x v="106"/>
    <n v="1107.2"/>
  </r>
  <r>
    <x v="179"/>
    <x v="11"/>
    <x v="2"/>
    <x v="30"/>
    <x v="380"/>
    <n v="70.400000000000006"/>
  </r>
  <r>
    <x v="180"/>
    <x v="10"/>
    <x v="2"/>
    <x v="21"/>
    <x v="66"/>
    <n v="1215"/>
  </r>
  <r>
    <x v="180"/>
    <x v="11"/>
    <x v="2"/>
    <x v="17"/>
    <x v="168"/>
    <n v="57.6"/>
  </r>
  <r>
    <x v="180"/>
    <x v="11"/>
    <x v="2"/>
    <x v="10"/>
    <x v="366"/>
    <n v="345.6"/>
  </r>
  <r>
    <x v="180"/>
    <x v="11"/>
    <x v="2"/>
    <x v="9"/>
    <x v="167"/>
    <n v="1027.2"/>
  </r>
  <r>
    <x v="180"/>
    <x v="10"/>
    <x v="2"/>
    <x v="19"/>
    <x v="322"/>
    <n v="445.50000000000006"/>
  </r>
  <r>
    <x v="180"/>
    <x v="11"/>
    <x v="2"/>
    <x v="16"/>
    <x v="279"/>
    <n v="1337.6000000000001"/>
  </r>
  <r>
    <x v="180"/>
    <x v="11"/>
    <x v="2"/>
    <x v="27"/>
    <x v="509"/>
    <n v="348.8"/>
  </r>
  <r>
    <x v="180"/>
    <x v="9"/>
    <x v="1"/>
    <x v="41"/>
    <x v="407"/>
    <n v="1039.5"/>
  </r>
  <r>
    <x v="180"/>
    <x v="9"/>
    <x v="1"/>
    <x v="28"/>
    <x v="6"/>
    <n v="994"/>
  </r>
  <r>
    <x v="180"/>
    <x v="9"/>
    <x v="1"/>
    <x v="49"/>
    <x v="330"/>
    <n v="1333.5"/>
  </r>
  <r>
    <x v="180"/>
    <x v="11"/>
    <x v="2"/>
    <x v="5"/>
    <x v="171"/>
    <n v="1014.4000000000001"/>
  </r>
  <r>
    <x v="180"/>
    <x v="9"/>
    <x v="1"/>
    <x v="3"/>
    <x v="181"/>
    <n v="1501.5"/>
  </r>
  <r>
    <x v="180"/>
    <x v="11"/>
    <x v="2"/>
    <x v="9"/>
    <x v="598"/>
    <n v="649.6"/>
  </r>
  <r>
    <x v="181"/>
    <x v="9"/>
    <x v="1"/>
    <x v="31"/>
    <x v="457"/>
    <n v="581"/>
  </r>
  <r>
    <x v="181"/>
    <x v="11"/>
    <x v="2"/>
    <x v="34"/>
    <x v="474"/>
    <n v="998.40000000000009"/>
  </r>
  <r>
    <x v="181"/>
    <x v="9"/>
    <x v="1"/>
    <x v="49"/>
    <x v="599"/>
    <n v="413"/>
  </r>
  <r>
    <x v="181"/>
    <x v="9"/>
    <x v="1"/>
    <x v="37"/>
    <x v="40"/>
    <n v="402.5"/>
  </r>
  <r>
    <x v="181"/>
    <x v="11"/>
    <x v="2"/>
    <x v="44"/>
    <x v="222"/>
    <n v="1065.6000000000001"/>
  </r>
  <r>
    <x v="181"/>
    <x v="9"/>
    <x v="1"/>
    <x v="42"/>
    <x v="584"/>
    <n v="567"/>
  </r>
  <r>
    <x v="181"/>
    <x v="9"/>
    <x v="1"/>
    <x v="34"/>
    <x v="600"/>
    <n v="245"/>
  </r>
  <r>
    <x v="181"/>
    <x v="11"/>
    <x v="2"/>
    <x v="17"/>
    <x v="61"/>
    <n v="742.40000000000009"/>
  </r>
  <r>
    <x v="181"/>
    <x v="11"/>
    <x v="2"/>
    <x v="3"/>
    <x v="254"/>
    <n v="124.80000000000001"/>
  </r>
  <r>
    <x v="181"/>
    <x v="11"/>
    <x v="2"/>
    <x v="33"/>
    <x v="506"/>
    <n v="137.6"/>
  </r>
  <r>
    <x v="181"/>
    <x v="10"/>
    <x v="2"/>
    <x v="13"/>
    <x v="259"/>
    <n v="1074.6000000000001"/>
  </r>
  <r>
    <x v="182"/>
    <x v="10"/>
    <x v="2"/>
    <x v="37"/>
    <x v="134"/>
    <n v="305.10000000000002"/>
  </r>
  <r>
    <x v="182"/>
    <x v="11"/>
    <x v="2"/>
    <x v="47"/>
    <x v="239"/>
    <n v="409.6"/>
  </r>
  <r>
    <x v="182"/>
    <x v="9"/>
    <x v="1"/>
    <x v="15"/>
    <x v="592"/>
    <n v="644"/>
  </r>
  <r>
    <x v="182"/>
    <x v="9"/>
    <x v="1"/>
    <x v="34"/>
    <x v="338"/>
    <n v="1529.5"/>
  </r>
  <r>
    <x v="183"/>
    <x v="10"/>
    <x v="2"/>
    <x v="20"/>
    <x v="241"/>
    <n v="1255.5"/>
  </r>
  <r>
    <x v="183"/>
    <x v="11"/>
    <x v="2"/>
    <x v="44"/>
    <x v="482"/>
    <n v="457.6"/>
  </r>
  <r>
    <x v="183"/>
    <x v="11"/>
    <x v="2"/>
    <x v="38"/>
    <x v="292"/>
    <n v="44.800000000000004"/>
  </r>
  <r>
    <x v="183"/>
    <x v="9"/>
    <x v="1"/>
    <x v="34"/>
    <x v="240"/>
    <n v="525"/>
  </r>
  <r>
    <x v="183"/>
    <x v="10"/>
    <x v="2"/>
    <x v="4"/>
    <x v="461"/>
    <n v="639.90000000000009"/>
  </r>
  <r>
    <x v="183"/>
    <x v="11"/>
    <x v="2"/>
    <x v="40"/>
    <x v="396"/>
    <n v="704"/>
  </r>
  <r>
    <x v="183"/>
    <x v="9"/>
    <x v="1"/>
    <x v="5"/>
    <x v="13"/>
    <n v="990.5"/>
  </r>
  <r>
    <x v="183"/>
    <x v="11"/>
    <x v="2"/>
    <x v="33"/>
    <x v="168"/>
    <n v="57.6"/>
  </r>
  <r>
    <x v="184"/>
    <x v="11"/>
    <x v="2"/>
    <x v="38"/>
    <x v="591"/>
    <n v="172.8"/>
  </r>
  <r>
    <x v="184"/>
    <x v="10"/>
    <x v="2"/>
    <x v="40"/>
    <x v="25"/>
    <n v="1020.6"/>
  </r>
  <r>
    <x v="184"/>
    <x v="10"/>
    <x v="2"/>
    <x v="18"/>
    <x v="580"/>
    <n v="280.8"/>
  </r>
  <r>
    <x v="184"/>
    <x v="9"/>
    <x v="1"/>
    <x v="18"/>
    <x v="479"/>
    <n v="511"/>
  </r>
  <r>
    <x v="185"/>
    <x v="10"/>
    <x v="2"/>
    <x v="37"/>
    <x v="557"/>
    <n v="369.90000000000003"/>
  </r>
  <r>
    <x v="185"/>
    <x v="11"/>
    <x v="2"/>
    <x v="13"/>
    <x v="236"/>
    <n v="1564.8000000000002"/>
  </r>
  <r>
    <x v="185"/>
    <x v="9"/>
    <x v="1"/>
    <x v="30"/>
    <x v="223"/>
    <n v="906.5"/>
  </r>
  <r>
    <x v="185"/>
    <x v="10"/>
    <x v="2"/>
    <x v="4"/>
    <x v="568"/>
    <n v="283.5"/>
  </r>
  <r>
    <x v="185"/>
    <x v="9"/>
    <x v="1"/>
    <x v="47"/>
    <x v="155"/>
    <n v="1179.5"/>
  </r>
  <r>
    <x v="185"/>
    <x v="9"/>
    <x v="1"/>
    <x v="8"/>
    <x v="90"/>
    <n v="591.5"/>
  </r>
  <r>
    <x v="185"/>
    <x v="10"/>
    <x v="2"/>
    <x v="32"/>
    <x v="131"/>
    <n v="62.1"/>
  </r>
  <r>
    <x v="185"/>
    <x v="10"/>
    <x v="2"/>
    <x v="31"/>
    <x v="202"/>
    <n v="953.1"/>
  </r>
  <r>
    <x v="185"/>
    <x v="11"/>
    <x v="2"/>
    <x v="44"/>
    <x v="210"/>
    <n v="156.80000000000001"/>
  </r>
  <r>
    <x v="185"/>
    <x v="11"/>
    <x v="2"/>
    <x v="39"/>
    <x v="216"/>
    <n v="1347.2"/>
  </r>
  <r>
    <x v="186"/>
    <x v="11"/>
    <x v="2"/>
    <x v="0"/>
    <x v="583"/>
    <n v="1193.6000000000001"/>
  </r>
  <r>
    <x v="186"/>
    <x v="9"/>
    <x v="1"/>
    <x v="21"/>
    <x v="287"/>
    <n v="1606.5"/>
  </r>
  <r>
    <x v="186"/>
    <x v="9"/>
    <x v="1"/>
    <x v="49"/>
    <x v="30"/>
    <n v="486.5"/>
  </r>
  <r>
    <x v="186"/>
    <x v="10"/>
    <x v="2"/>
    <x v="33"/>
    <x v="495"/>
    <n v="148.5"/>
  </r>
  <r>
    <x v="186"/>
    <x v="11"/>
    <x v="2"/>
    <x v="39"/>
    <x v="414"/>
    <n v="736"/>
  </r>
  <r>
    <x v="186"/>
    <x v="9"/>
    <x v="1"/>
    <x v="9"/>
    <x v="291"/>
    <n v="619.5"/>
  </r>
  <r>
    <x v="186"/>
    <x v="10"/>
    <x v="2"/>
    <x v="20"/>
    <x v="537"/>
    <n v="1347.3000000000002"/>
  </r>
  <r>
    <x v="186"/>
    <x v="9"/>
    <x v="1"/>
    <x v="22"/>
    <x v="601"/>
    <n v="35"/>
  </r>
  <r>
    <x v="186"/>
    <x v="9"/>
    <x v="1"/>
    <x v="10"/>
    <x v="113"/>
    <n v="1144.5"/>
  </r>
  <r>
    <x v="186"/>
    <x v="9"/>
    <x v="1"/>
    <x v="47"/>
    <x v="63"/>
    <n v="1484"/>
  </r>
  <r>
    <x v="186"/>
    <x v="11"/>
    <x v="2"/>
    <x v="24"/>
    <x v="150"/>
    <n v="1244.8000000000002"/>
  </r>
  <r>
    <x v="186"/>
    <x v="9"/>
    <x v="1"/>
    <x v="37"/>
    <x v="546"/>
    <n v="1015"/>
  </r>
  <r>
    <x v="186"/>
    <x v="10"/>
    <x v="2"/>
    <x v="16"/>
    <x v="316"/>
    <n v="658.80000000000007"/>
  </r>
  <r>
    <x v="186"/>
    <x v="9"/>
    <x v="1"/>
    <x v="46"/>
    <x v="468"/>
    <n v="427"/>
  </r>
  <r>
    <x v="186"/>
    <x v="11"/>
    <x v="2"/>
    <x v="29"/>
    <x v="602"/>
    <n v="800"/>
  </r>
  <r>
    <x v="186"/>
    <x v="11"/>
    <x v="2"/>
    <x v="12"/>
    <x v="201"/>
    <n v="1241.6000000000001"/>
  </r>
  <r>
    <x v="186"/>
    <x v="10"/>
    <x v="2"/>
    <x v="14"/>
    <x v="495"/>
    <n v="148.5"/>
  </r>
  <r>
    <x v="186"/>
    <x v="11"/>
    <x v="2"/>
    <x v="6"/>
    <x v="530"/>
    <n v="553.6"/>
  </r>
  <r>
    <x v="186"/>
    <x v="11"/>
    <x v="2"/>
    <x v="0"/>
    <x v="430"/>
    <n v="166.4"/>
  </r>
  <r>
    <x v="186"/>
    <x v="10"/>
    <x v="2"/>
    <x v="45"/>
    <x v="284"/>
    <n v="359.1"/>
  </r>
  <r>
    <x v="186"/>
    <x v="9"/>
    <x v="1"/>
    <x v="45"/>
    <x v="380"/>
    <n v="77"/>
  </r>
  <r>
    <x v="187"/>
    <x v="10"/>
    <x v="2"/>
    <x v="25"/>
    <x v="361"/>
    <n v="137.70000000000002"/>
  </r>
  <r>
    <x v="187"/>
    <x v="9"/>
    <x v="1"/>
    <x v="8"/>
    <x v="507"/>
    <n v="1249.5"/>
  </r>
  <r>
    <x v="187"/>
    <x v="11"/>
    <x v="2"/>
    <x v="17"/>
    <x v="327"/>
    <n v="886.40000000000009"/>
  </r>
  <r>
    <x v="187"/>
    <x v="10"/>
    <x v="2"/>
    <x v="32"/>
    <x v="570"/>
    <n v="483.3"/>
  </r>
  <r>
    <x v="187"/>
    <x v="11"/>
    <x v="2"/>
    <x v="5"/>
    <x v="542"/>
    <n v="960"/>
  </r>
  <r>
    <x v="187"/>
    <x v="9"/>
    <x v="1"/>
    <x v="29"/>
    <x v="436"/>
    <n v="1169"/>
  </r>
  <r>
    <x v="187"/>
    <x v="10"/>
    <x v="2"/>
    <x v="14"/>
    <x v="603"/>
    <n v="472.50000000000006"/>
  </r>
  <r>
    <x v="187"/>
    <x v="11"/>
    <x v="2"/>
    <x v="48"/>
    <x v="591"/>
    <n v="172.8"/>
  </r>
  <r>
    <x v="187"/>
    <x v="10"/>
    <x v="2"/>
    <x v="12"/>
    <x v="604"/>
    <n v="129.60000000000002"/>
  </r>
  <r>
    <x v="188"/>
    <x v="10"/>
    <x v="2"/>
    <x v="40"/>
    <x v="19"/>
    <n v="91.800000000000011"/>
  </r>
  <r>
    <x v="188"/>
    <x v="10"/>
    <x v="2"/>
    <x v="24"/>
    <x v="71"/>
    <n v="996.30000000000007"/>
  </r>
  <r>
    <x v="188"/>
    <x v="9"/>
    <x v="1"/>
    <x v="30"/>
    <x v="381"/>
    <n v="1018.5"/>
  </r>
  <r>
    <x v="188"/>
    <x v="9"/>
    <x v="1"/>
    <x v="40"/>
    <x v="314"/>
    <n v="959"/>
  </r>
  <r>
    <x v="188"/>
    <x v="10"/>
    <x v="2"/>
    <x v="48"/>
    <x v="605"/>
    <n v="153.9"/>
  </r>
  <r>
    <x v="188"/>
    <x v="11"/>
    <x v="2"/>
    <x v="16"/>
    <x v="445"/>
    <n v="1465.6000000000001"/>
  </r>
  <r>
    <x v="188"/>
    <x v="10"/>
    <x v="2"/>
    <x v="14"/>
    <x v="524"/>
    <n v="99.9"/>
  </r>
  <r>
    <x v="188"/>
    <x v="10"/>
    <x v="2"/>
    <x v="44"/>
    <x v="107"/>
    <n v="1131.3000000000002"/>
  </r>
  <r>
    <x v="188"/>
    <x v="10"/>
    <x v="2"/>
    <x v="4"/>
    <x v="201"/>
    <n v="1047.6000000000001"/>
  </r>
  <r>
    <x v="189"/>
    <x v="11"/>
    <x v="2"/>
    <x v="28"/>
    <x v="454"/>
    <n v="867.2"/>
  </r>
  <r>
    <x v="189"/>
    <x v="9"/>
    <x v="1"/>
    <x v="1"/>
    <x v="53"/>
    <n v="686"/>
  </r>
  <r>
    <x v="189"/>
    <x v="10"/>
    <x v="2"/>
    <x v="38"/>
    <x v="547"/>
    <n v="275.40000000000003"/>
  </r>
  <r>
    <x v="189"/>
    <x v="11"/>
    <x v="2"/>
    <x v="25"/>
    <x v="606"/>
    <n v="988.80000000000007"/>
  </r>
  <r>
    <x v="189"/>
    <x v="10"/>
    <x v="2"/>
    <x v="18"/>
    <x v="19"/>
    <n v="91.800000000000011"/>
  </r>
  <r>
    <x v="189"/>
    <x v="9"/>
    <x v="1"/>
    <x v="29"/>
    <x v="397"/>
    <n v="1421"/>
  </r>
  <r>
    <x v="190"/>
    <x v="11"/>
    <x v="2"/>
    <x v="15"/>
    <x v="68"/>
    <n v="899.2"/>
  </r>
  <r>
    <x v="190"/>
    <x v="11"/>
    <x v="2"/>
    <x v="2"/>
    <x v="570"/>
    <n v="572.80000000000007"/>
  </r>
  <r>
    <x v="190"/>
    <x v="10"/>
    <x v="2"/>
    <x v="15"/>
    <x v="427"/>
    <n v="1274.4000000000001"/>
  </r>
  <r>
    <x v="190"/>
    <x v="9"/>
    <x v="1"/>
    <x v="32"/>
    <x v="215"/>
    <n v="1445.5"/>
  </r>
  <r>
    <x v="190"/>
    <x v="9"/>
    <x v="1"/>
    <x v="31"/>
    <x v="212"/>
    <n v="833"/>
  </r>
  <r>
    <x v="190"/>
    <x v="11"/>
    <x v="2"/>
    <x v="24"/>
    <x v="603"/>
    <n v="560"/>
  </r>
  <r>
    <x v="191"/>
    <x v="9"/>
    <x v="1"/>
    <x v="35"/>
    <x v="244"/>
    <n v="1662.5"/>
  </r>
  <r>
    <x v="191"/>
    <x v="9"/>
    <x v="1"/>
    <x v="28"/>
    <x v="404"/>
    <n v="196"/>
  </r>
  <r>
    <x v="191"/>
    <x v="9"/>
    <x v="1"/>
    <x v="29"/>
    <x v="6"/>
    <n v="994"/>
  </r>
  <r>
    <x v="191"/>
    <x v="10"/>
    <x v="2"/>
    <x v="47"/>
    <x v="454"/>
    <n v="731.7"/>
  </r>
  <r>
    <x v="191"/>
    <x v="11"/>
    <x v="2"/>
    <x v="44"/>
    <x v="361"/>
    <n v="163.20000000000002"/>
  </r>
  <r>
    <x v="192"/>
    <x v="9"/>
    <x v="1"/>
    <x v="42"/>
    <x v="278"/>
    <n v="1568"/>
  </r>
  <r>
    <x v="192"/>
    <x v="10"/>
    <x v="2"/>
    <x v="21"/>
    <x v="552"/>
    <n v="769.5"/>
  </r>
  <r>
    <x v="192"/>
    <x v="9"/>
    <x v="1"/>
    <x v="9"/>
    <x v="506"/>
    <n v="150.5"/>
  </r>
  <r>
    <x v="192"/>
    <x v="11"/>
    <x v="2"/>
    <x v="40"/>
    <x v="314"/>
    <n v="876.80000000000007"/>
  </r>
  <r>
    <x v="192"/>
    <x v="10"/>
    <x v="2"/>
    <x v="2"/>
    <x v="605"/>
    <n v="153.9"/>
  </r>
  <r>
    <x v="192"/>
    <x v="11"/>
    <x v="2"/>
    <x v="17"/>
    <x v="437"/>
    <n v="304"/>
  </r>
  <r>
    <x v="192"/>
    <x v="9"/>
    <x v="1"/>
    <x v="37"/>
    <x v="474"/>
    <n v="1092"/>
  </r>
  <r>
    <x v="192"/>
    <x v="11"/>
    <x v="2"/>
    <x v="16"/>
    <x v="43"/>
    <n v="864"/>
  </r>
  <r>
    <x v="192"/>
    <x v="10"/>
    <x v="2"/>
    <x v="16"/>
    <x v="264"/>
    <n v="788.40000000000009"/>
  </r>
  <r>
    <x v="192"/>
    <x v="9"/>
    <x v="1"/>
    <x v="42"/>
    <x v="607"/>
    <n v="343"/>
  </r>
  <r>
    <x v="192"/>
    <x v="10"/>
    <x v="2"/>
    <x v="49"/>
    <x v="442"/>
    <n v="1152.9000000000001"/>
  </r>
  <r>
    <x v="192"/>
    <x v="9"/>
    <x v="1"/>
    <x v="4"/>
    <x v="541"/>
    <n v="1655.5"/>
  </r>
  <r>
    <x v="192"/>
    <x v="11"/>
    <x v="2"/>
    <x v="0"/>
    <x v="241"/>
    <n v="1488"/>
  </r>
  <r>
    <x v="192"/>
    <x v="10"/>
    <x v="2"/>
    <x v="2"/>
    <x v="6"/>
    <n v="766.80000000000007"/>
  </r>
  <r>
    <x v="192"/>
    <x v="10"/>
    <x v="2"/>
    <x v="22"/>
    <x v="191"/>
    <n v="623.70000000000005"/>
  </r>
  <r>
    <x v="192"/>
    <x v="11"/>
    <x v="2"/>
    <x v="37"/>
    <x v="114"/>
    <n v="771.2"/>
  </r>
  <r>
    <x v="193"/>
    <x v="9"/>
    <x v="1"/>
    <x v="19"/>
    <x v="455"/>
    <n v="661.5"/>
  </r>
  <r>
    <x v="193"/>
    <x v="11"/>
    <x v="2"/>
    <x v="45"/>
    <x v="159"/>
    <n v="1132.8"/>
  </r>
  <r>
    <x v="193"/>
    <x v="9"/>
    <x v="1"/>
    <x v="26"/>
    <x v="297"/>
    <n v="1631"/>
  </r>
  <r>
    <x v="194"/>
    <x v="11"/>
    <x v="2"/>
    <x v="1"/>
    <x v="328"/>
    <n v="1344"/>
  </r>
  <r>
    <x v="194"/>
    <x v="10"/>
    <x v="2"/>
    <x v="27"/>
    <x v="481"/>
    <n v="591.30000000000007"/>
  </r>
  <r>
    <x v="194"/>
    <x v="11"/>
    <x v="2"/>
    <x v="38"/>
    <x v="544"/>
    <n v="96"/>
  </r>
  <r>
    <x v="194"/>
    <x v="11"/>
    <x v="2"/>
    <x v="0"/>
    <x v="314"/>
    <n v="876.80000000000007"/>
  </r>
  <r>
    <x v="195"/>
    <x v="9"/>
    <x v="1"/>
    <x v="9"/>
    <x v="427"/>
    <n v="1652"/>
  </r>
  <r>
    <x v="195"/>
    <x v="9"/>
    <x v="1"/>
    <x v="0"/>
    <x v="182"/>
    <n v="350"/>
  </r>
  <r>
    <x v="195"/>
    <x v="10"/>
    <x v="2"/>
    <x v="22"/>
    <x v="256"/>
    <n v="850.5"/>
  </r>
  <r>
    <x v="195"/>
    <x v="10"/>
    <x v="2"/>
    <x v="49"/>
    <x v="18"/>
    <n v="1182.6000000000001"/>
  </r>
  <r>
    <x v="195"/>
    <x v="11"/>
    <x v="2"/>
    <x v="43"/>
    <x v="209"/>
    <n v="1072"/>
  </r>
  <r>
    <x v="195"/>
    <x v="9"/>
    <x v="1"/>
    <x v="42"/>
    <x v="58"/>
    <n v="931"/>
  </r>
  <r>
    <x v="196"/>
    <x v="10"/>
    <x v="2"/>
    <x v="24"/>
    <x v="482"/>
    <n v="386.1"/>
  </r>
  <r>
    <x v="196"/>
    <x v="9"/>
    <x v="1"/>
    <x v="16"/>
    <x v="316"/>
    <n v="854"/>
  </r>
  <r>
    <x v="196"/>
    <x v="9"/>
    <x v="1"/>
    <x v="15"/>
    <x v="567"/>
    <n v="231"/>
  </r>
  <r>
    <x v="196"/>
    <x v="9"/>
    <x v="1"/>
    <x v="26"/>
    <x v="563"/>
    <n v="213.5"/>
  </r>
  <r>
    <x v="196"/>
    <x v="11"/>
    <x v="2"/>
    <x v="0"/>
    <x v="367"/>
    <n v="1568"/>
  </r>
  <r>
    <x v="196"/>
    <x v="11"/>
    <x v="2"/>
    <x v="31"/>
    <x v="176"/>
    <n v="214.4"/>
  </r>
  <r>
    <x v="196"/>
    <x v="9"/>
    <x v="1"/>
    <x v="21"/>
    <x v="567"/>
    <n v="231"/>
  </r>
  <r>
    <x v="197"/>
    <x v="10"/>
    <x v="2"/>
    <x v="7"/>
    <x v="415"/>
    <n v="1034.1000000000001"/>
  </r>
  <r>
    <x v="197"/>
    <x v="10"/>
    <x v="2"/>
    <x v="46"/>
    <x v="608"/>
    <n v="704.7"/>
  </r>
  <r>
    <x v="197"/>
    <x v="10"/>
    <x v="2"/>
    <x v="48"/>
    <x v="297"/>
    <n v="1258.2"/>
  </r>
  <r>
    <x v="197"/>
    <x v="10"/>
    <x v="2"/>
    <x v="33"/>
    <x v="137"/>
    <n v="823.5"/>
  </r>
  <r>
    <x v="197"/>
    <x v="9"/>
    <x v="1"/>
    <x v="4"/>
    <x v="299"/>
    <n v="780.5"/>
  </r>
  <r>
    <x v="197"/>
    <x v="10"/>
    <x v="2"/>
    <x v="8"/>
    <x v="308"/>
    <n v="1150.2"/>
  </r>
  <r>
    <x v="197"/>
    <x v="9"/>
    <x v="1"/>
    <x v="13"/>
    <x v="578"/>
    <n v="514.5"/>
  </r>
  <r>
    <x v="198"/>
    <x v="9"/>
    <x v="1"/>
    <x v="20"/>
    <x v="552"/>
    <n v="997.5"/>
  </r>
  <r>
    <x v="198"/>
    <x v="10"/>
    <x v="2"/>
    <x v="18"/>
    <x v="95"/>
    <n v="648"/>
  </r>
  <r>
    <x v="198"/>
    <x v="9"/>
    <x v="1"/>
    <x v="5"/>
    <x v="481"/>
    <n v="766.5"/>
  </r>
  <r>
    <x v="198"/>
    <x v="10"/>
    <x v="2"/>
    <x v="36"/>
    <x v="82"/>
    <n v="672.30000000000007"/>
  </r>
  <r>
    <x v="198"/>
    <x v="10"/>
    <x v="2"/>
    <x v="23"/>
    <x v="367"/>
    <n v="1323"/>
  </r>
  <r>
    <x v="198"/>
    <x v="11"/>
    <x v="2"/>
    <x v="15"/>
    <x v="572"/>
    <n v="764.80000000000007"/>
  </r>
  <r>
    <x v="198"/>
    <x v="11"/>
    <x v="2"/>
    <x v="49"/>
    <x v="140"/>
    <n v="435.20000000000005"/>
  </r>
  <r>
    <x v="198"/>
    <x v="9"/>
    <x v="1"/>
    <x v="5"/>
    <x v="540"/>
    <n v="703.5"/>
  </r>
  <r>
    <x v="198"/>
    <x v="10"/>
    <x v="2"/>
    <x v="5"/>
    <x v="245"/>
    <n v="1044.9000000000001"/>
  </r>
  <r>
    <x v="198"/>
    <x v="11"/>
    <x v="2"/>
    <x v="30"/>
    <x v="205"/>
    <n v="1056"/>
  </r>
  <r>
    <x v="198"/>
    <x v="9"/>
    <x v="1"/>
    <x v="7"/>
    <x v="415"/>
    <n v="1340.5"/>
  </r>
  <r>
    <x v="198"/>
    <x v="9"/>
    <x v="1"/>
    <x v="18"/>
    <x v="412"/>
    <n v="759.5"/>
  </r>
  <r>
    <x v="198"/>
    <x v="9"/>
    <x v="1"/>
    <x v="34"/>
    <x v="318"/>
    <n v="1732.5"/>
  </r>
  <r>
    <x v="199"/>
    <x v="10"/>
    <x v="2"/>
    <x v="12"/>
    <x v="427"/>
    <n v="1274.4000000000001"/>
  </r>
  <r>
    <x v="200"/>
    <x v="11"/>
    <x v="2"/>
    <x v="15"/>
    <x v="366"/>
    <n v="345.6"/>
  </r>
  <r>
    <x v="200"/>
    <x v="10"/>
    <x v="2"/>
    <x v="30"/>
    <x v="573"/>
    <n v="1201.5"/>
  </r>
  <r>
    <x v="200"/>
    <x v="11"/>
    <x v="2"/>
    <x v="47"/>
    <x v="327"/>
    <n v="886.40000000000009"/>
  </r>
  <r>
    <x v="200"/>
    <x v="11"/>
    <x v="2"/>
    <x v="16"/>
    <x v="67"/>
    <n v="1139.2"/>
  </r>
  <r>
    <x v="201"/>
    <x v="9"/>
    <x v="1"/>
    <x v="39"/>
    <x v="47"/>
    <n v="1071"/>
  </r>
  <r>
    <x v="201"/>
    <x v="9"/>
    <x v="1"/>
    <x v="21"/>
    <x v="268"/>
    <n v="1522.5"/>
  </r>
  <r>
    <x v="202"/>
    <x v="10"/>
    <x v="2"/>
    <x v="24"/>
    <x v="595"/>
    <n v="669.6"/>
  </r>
  <r>
    <x v="202"/>
    <x v="11"/>
    <x v="2"/>
    <x v="16"/>
    <x v="272"/>
    <n v="1062.4000000000001"/>
  </r>
  <r>
    <x v="202"/>
    <x v="10"/>
    <x v="2"/>
    <x v="14"/>
    <x v="198"/>
    <n v="259.20000000000005"/>
  </r>
  <r>
    <x v="202"/>
    <x v="10"/>
    <x v="2"/>
    <x v="0"/>
    <x v="218"/>
    <n v="515.70000000000005"/>
  </r>
  <r>
    <x v="202"/>
    <x v="11"/>
    <x v="2"/>
    <x v="6"/>
    <x v="209"/>
    <n v="1072"/>
  </r>
  <r>
    <x v="202"/>
    <x v="9"/>
    <x v="1"/>
    <x v="47"/>
    <x v="548"/>
    <n v="1004.5"/>
  </r>
  <r>
    <x v="202"/>
    <x v="9"/>
    <x v="1"/>
    <x v="10"/>
    <x v="408"/>
    <n v="1372"/>
  </r>
  <r>
    <x v="202"/>
    <x v="10"/>
    <x v="2"/>
    <x v="40"/>
    <x v="459"/>
    <n v="664.2"/>
  </r>
  <r>
    <x v="202"/>
    <x v="9"/>
    <x v="1"/>
    <x v="32"/>
    <x v="109"/>
    <n v="52.5"/>
  </r>
  <r>
    <x v="202"/>
    <x v="9"/>
    <x v="1"/>
    <x v="17"/>
    <x v="122"/>
    <n v="819"/>
  </r>
  <r>
    <x v="203"/>
    <x v="9"/>
    <x v="1"/>
    <x v="40"/>
    <x v="274"/>
    <n v="822.5"/>
  </r>
  <r>
    <x v="203"/>
    <x v="10"/>
    <x v="2"/>
    <x v="17"/>
    <x v="590"/>
    <n v="1166.4000000000001"/>
  </r>
  <r>
    <x v="203"/>
    <x v="9"/>
    <x v="1"/>
    <x v="49"/>
    <x v="499"/>
    <n v="1368.5"/>
  </r>
  <r>
    <x v="203"/>
    <x v="11"/>
    <x v="2"/>
    <x v="1"/>
    <x v="609"/>
    <n v="1507.2"/>
  </r>
  <r>
    <x v="204"/>
    <x v="11"/>
    <x v="2"/>
    <x v="32"/>
    <x v="471"/>
    <n v="1315.2"/>
  </r>
  <r>
    <x v="204"/>
    <x v="9"/>
    <x v="1"/>
    <x v="39"/>
    <x v="541"/>
    <n v="1655.5"/>
  </r>
  <r>
    <x v="204"/>
    <x v="10"/>
    <x v="2"/>
    <x v="4"/>
    <x v="444"/>
    <n v="753.30000000000007"/>
  </r>
  <r>
    <x v="204"/>
    <x v="9"/>
    <x v="1"/>
    <x v="10"/>
    <x v="298"/>
    <n v="1057"/>
  </r>
  <r>
    <x v="204"/>
    <x v="11"/>
    <x v="2"/>
    <x v="39"/>
    <x v="218"/>
    <n v="611.20000000000005"/>
  </r>
  <r>
    <x v="204"/>
    <x v="10"/>
    <x v="2"/>
    <x v="37"/>
    <x v="482"/>
    <n v="386.1"/>
  </r>
  <r>
    <x v="204"/>
    <x v="11"/>
    <x v="2"/>
    <x v="10"/>
    <x v="280"/>
    <n v="1049.6000000000001"/>
  </r>
  <r>
    <x v="204"/>
    <x v="10"/>
    <x v="2"/>
    <x v="16"/>
    <x v="181"/>
    <n v="1158.3000000000002"/>
  </r>
  <r>
    <x v="204"/>
    <x v="10"/>
    <x v="2"/>
    <x v="25"/>
    <x v="238"/>
    <n v="791.1"/>
  </r>
  <r>
    <x v="204"/>
    <x v="9"/>
    <x v="1"/>
    <x v="29"/>
    <x v="206"/>
    <n v="154"/>
  </r>
  <r>
    <x v="204"/>
    <x v="10"/>
    <x v="2"/>
    <x v="32"/>
    <x v="491"/>
    <n v="1082.7"/>
  </r>
  <r>
    <x v="204"/>
    <x v="11"/>
    <x v="2"/>
    <x v="4"/>
    <x v="278"/>
    <n v="1433.6000000000001"/>
  </r>
  <r>
    <x v="204"/>
    <x v="11"/>
    <x v="2"/>
    <x v="18"/>
    <x v="462"/>
    <n v="1020.8000000000001"/>
  </r>
  <r>
    <x v="204"/>
    <x v="10"/>
    <x v="2"/>
    <x v="13"/>
    <x v="579"/>
    <n v="167.4"/>
  </r>
  <r>
    <x v="204"/>
    <x v="11"/>
    <x v="2"/>
    <x v="43"/>
    <x v="147"/>
    <n v="1120"/>
  </r>
  <r>
    <x v="205"/>
    <x v="9"/>
    <x v="1"/>
    <x v="13"/>
    <x v="479"/>
    <n v="511"/>
  </r>
  <r>
    <x v="205"/>
    <x v="11"/>
    <x v="2"/>
    <x v="4"/>
    <x v="271"/>
    <n v="656"/>
  </r>
  <r>
    <x v="205"/>
    <x v="11"/>
    <x v="2"/>
    <x v="4"/>
    <x v="175"/>
    <n v="924.80000000000007"/>
  </r>
  <r>
    <x v="205"/>
    <x v="9"/>
    <x v="1"/>
    <x v="22"/>
    <x v="18"/>
    <n v="1533"/>
  </r>
  <r>
    <x v="205"/>
    <x v="10"/>
    <x v="2"/>
    <x v="40"/>
    <x v="112"/>
    <n v="1206.9000000000001"/>
  </r>
  <r>
    <x v="205"/>
    <x v="11"/>
    <x v="2"/>
    <x v="37"/>
    <x v="420"/>
    <n v="1212.8"/>
  </r>
  <r>
    <x v="205"/>
    <x v="10"/>
    <x v="2"/>
    <x v="38"/>
    <x v="270"/>
    <n v="199.8"/>
  </r>
  <r>
    <x v="205"/>
    <x v="9"/>
    <x v="1"/>
    <x v="10"/>
    <x v="216"/>
    <n v="1473.5"/>
  </r>
  <r>
    <x v="205"/>
    <x v="10"/>
    <x v="2"/>
    <x v="49"/>
    <x v="527"/>
    <n v="615.6"/>
  </r>
  <r>
    <x v="205"/>
    <x v="10"/>
    <x v="2"/>
    <x v="7"/>
    <x v="610"/>
    <n v="1198.8000000000002"/>
  </r>
  <r>
    <x v="205"/>
    <x v="9"/>
    <x v="1"/>
    <x v="43"/>
    <x v="190"/>
    <n v="630"/>
  </r>
  <r>
    <x v="206"/>
    <x v="10"/>
    <x v="2"/>
    <x v="30"/>
    <x v="475"/>
    <n v="567"/>
  </r>
  <r>
    <x v="206"/>
    <x v="10"/>
    <x v="2"/>
    <x v="41"/>
    <x v="119"/>
    <n v="1039.5"/>
  </r>
  <r>
    <x v="206"/>
    <x v="10"/>
    <x v="2"/>
    <x v="47"/>
    <x v="353"/>
    <n v="977.40000000000009"/>
  </r>
  <r>
    <x v="206"/>
    <x v="10"/>
    <x v="2"/>
    <x v="15"/>
    <x v="567"/>
    <n v="178.20000000000002"/>
  </r>
  <r>
    <x v="207"/>
    <x v="12"/>
    <x v="1"/>
    <x v="41"/>
    <x v="259"/>
    <n v="1273.6000000000001"/>
  </r>
  <r>
    <x v="207"/>
    <x v="12"/>
    <x v="1"/>
    <x v="33"/>
    <x v="299"/>
    <n v="713.6"/>
  </r>
  <r>
    <x v="207"/>
    <x v="13"/>
    <x v="1"/>
    <x v="14"/>
    <x v="596"/>
    <n v="667.5"/>
  </r>
  <r>
    <x v="207"/>
    <x v="9"/>
    <x v="1"/>
    <x v="36"/>
    <x v="232"/>
    <n v="346.5"/>
  </r>
  <r>
    <x v="207"/>
    <x v="14"/>
    <x v="1"/>
    <x v="43"/>
    <x v="158"/>
    <n v="963.2"/>
  </r>
  <r>
    <x v="207"/>
    <x v="9"/>
    <x v="1"/>
    <x v="0"/>
    <x v="272"/>
    <n v="1162"/>
  </r>
  <r>
    <x v="207"/>
    <x v="9"/>
    <x v="1"/>
    <x v="43"/>
    <x v="280"/>
    <n v="1148"/>
  </r>
  <r>
    <x v="208"/>
    <x v="12"/>
    <x v="1"/>
    <x v="9"/>
    <x v="412"/>
    <n v="694.40000000000009"/>
  </r>
  <r>
    <x v="208"/>
    <x v="12"/>
    <x v="1"/>
    <x v="3"/>
    <x v="226"/>
    <n v="297.60000000000002"/>
  </r>
  <r>
    <x v="208"/>
    <x v="9"/>
    <x v="1"/>
    <x v="35"/>
    <x v="570"/>
    <n v="626.5"/>
  </r>
  <r>
    <x v="208"/>
    <x v="14"/>
    <x v="1"/>
    <x v="22"/>
    <x v="375"/>
    <n v="1516.8000000000002"/>
  </r>
  <r>
    <x v="208"/>
    <x v="14"/>
    <x v="1"/>
    <x v="4"/>
    <x v="77"/>
    <n v="860.80000000000007"/>
  </r>
  <r>
    <x v="208"/>
    <x v="15"/>
    <x v="1"/>
    <x v="7"/>
    <x v="454"/>
    <n v="677.5"/>
  </r>
  <r>
    <x v="208"/>
    <x v="14"/>
    <x v="1"/>
    <x v="22"/>
    <x v="599"/>
    <n v="377.6"/>
  </r>
  <r>
    <x v="208"/>
    <x v="9"/>
    <x v="1"/>
    <x v="33"/>
    <x v="611"/>
    <n v="878.5"/>
  </r>
  <r>
    <x v="208"/>
    <x v="9"/>
    <x v="1"/>
    <x v="10"/>
    <x v="582"/>
    <n v="962.5"/>
  </r>
  <r>
    <x v="208"/>
    <x v="15"/>
    <x v="1"/>
    <x v="48"/>
    <x v="140"/>
    <n v="340"/>
  </r>
  <r>
    <x v="209"/>
    <x v="13"/>
    <x v="1"/>
    <x v="13"/>
    <x v="196"/>
    <n v="915"/>
  </r>
  <r>
    <x v="209"/>
    <x v="9"/>
    <x v="1"/>
    <x v="15"/>
    <x v="507"/>
    <n v="1249.5"/>
  </r>
  <r>
    <x v="209"/>
    <x v="12"/>
    <x v="1"/>
    <x v="44"/>
    <x v="608"/>
    <n v="835.2"/>
  </r>
  <r>
    <x v="209"/>
    <x v="12"/>
    <x v="1"/>
    <x v="9"/>
    <x v="260"/>
    <n v="563.20000000000005"/>
  </r>
  <r>
    <x v="209"/>
    <x v="12"/>
    <x v="1"/>
    <x v="22"/>
    <x v="504"/>
    <n v="185.60000000000002"/>
  </r>
  <r>
    <x v="209"/>
    <x v="9"/>
    <x v="1"/>
    <x v="28"/>
    <x v="232"/>
    <n v="346.5"/>
  </r>
  <r>
    <x v="210"/>
    <x v="13"/>
    <x v="1"/>
    <x v="9"/>
    <x v="482"/>
    <n v="357.5"/>
  </r>
  <r>
    <x v="210"/>
    <x v="13"/>
    <x v="1"/>
    <x v="16"/>
    <x v="0"/>
    <n v="1175"/>
  </r>
  <r>
    <x v="210"/>
    <x v="9"/>
    <x v="1"/>
    <x v="46"/>
    <x v="130"/>
    <n v="462"/>
  </r>
  <r>
    <x v="210"/>
    <x v="13"/>
    <x v="1"/>
    <x v="40"/>
    <x v="558"/>
    <n v="95"/>
  </r>
  <r>
    <x v="210"/>
    <x v="14"/>
    <x v="1"/>
    <x v="48"/>
    <x v="609"/>
    <n v="1507.2"/>
  </r>
  <r>
    <x v="210"/>
    <x v="14"/>
    <x v="1"/>
    <x v="15"/>
    <x v="217"/>
    <n v="1088"/>
  </r>
  <r>
    <x v="210"/>
    <x v="14"/>
    <x v="1"/>
    <x v="17"/>
    <x v="228"/>
    <n v="534.4"/>
  </r>
  <r>
    <x v="210"/>
    <x v="15"/>
    <x v="1"/>
    <x v="34"/>
    <x v="225"/>
    <n v="1245"/>
  </r>
  <r>
    <x v="210"/>
    <x v="12"/>
    <x v="1"/>
    <x v="6"/>
    <x v="85"/>
    <n v="1475.2"/>
  </r>
  <r>
    <x v="210"/>
    <x v="15"/>
    <x v="1"/>
    <x v="6"/>
    <x v="338"/>
    <n v="1092.5"/>
  </r>
  <r>
    <x v="210"/>
    <x v="9"/>
    <x v="1"/>
    <x v="33"/>
    <x v="181"/>
    <n v="1501.5"/>
  </r>
  <r>
    <x v="210"/>
    <x v="13"/>
    <x v="1"/>
    <x v="33"/>
    <x v="112"/>
    <n v="1117.5"/>
  </r>
  <r>
    <x v="210"/>
    <x v="14"/>
    <x v="1"/>
    <x v="6"/>
    <x v="108"/>
    <n v="675.2"/>
  </r>
  <r>
    <x v="210"/>
    <x v="9"/>
    <x v="1"/>
    <x v="3"/>
    <x v="452"/>
    <n v="724.5"/>
  </r>
  <r>
    <x v="211"/>
    <x v="9"/>
    <x v="1"/>
    <x v="33"/>
    <x v="475"/>
    <n v="735"/>
  </r>
  <r>
    <x v="211"/>
    <x v="14"/>
    <x v="1"/>
    <x v="19"/>
    <x v="19"/>
    <n v="108.80000000000001"/>
  </r>
  <r>
    <x v="211"/>
    <x v="15"/>
    <x v="1"/>
    <x v="2"/>
    <x v="11"/>
    <n v="555"/>
  </r>
  <r>
    <x v="211"/>
    <x v="15"/>
    <x v="1"/>
    <x v="18"/>
    <x v="417"/>
    <n v="50"/>
  </r>
  <r>
    <x v="211"/>
    <x v="9"/>
    <x v="1"/>
    <x v="42"/>
    <x v="130"/>
    <n v="462"/>
  </r>
  <r>
    <x v="211"/>
    <x v="12"/>
    <x v="1"/>
    <x v="10"/>
    <x v="565"/>
    <n v="92.800000000000011"/>
  </r>
  <r>
    <x v="211"/>
    <x v="15"/>
    <x v="1"/>
    <x v="42"/>
    <x v="459"/>
    <n v="615"/>
  </r>
  <r>
    <x v="211"/>
    <x v="14"/>
    <x v="1"/>
    <x v="18"/>
    <x v="23"/>
    <n v="1059.2"/>
  </r>
  <r>
    <x v="211"/>
    <x v="13"/>
    <x v="1"/>
    <x v="48"/>
    <x v="228"/>
    <n v="417.5"/>
  </r>
  <r>
    <x v="211"/>
    <x v="12"/>
    <x v="1"/>
    <x v="24"/>
    <x v="380"/>
    <n v="70.400000000000006"/>
  </r>
  <r>
    <x v="212"/>
    <x v="14"/>
    <x v="1"/>
    <x v="49"/>
    <x v="554"/>
    <n v="89.600000000000009"/>
  </r>
  <r>
    <x v="212"/>
    <x v="14"/>
    <x v="1"/>
    <x v="14"/>
    <x v="168"/>
    <n v="57.6"/>
  </r>
  <r>
    <x v="212"/>
    <x v="9"/>
    <x v="1"/>
    <x v="48"/>
    <x v="58"/>
    <n v="931"/>
  </r>
  <r>
    <x v="212"/>
    <x v="13"/>
    <x v="1"/>
    <x v="5"/>
    <x v="400"/>
    <n v="895"/>
  </r>
  <r>
    <x v="212"/>
    <x v="9"/>
    <x v="1"/>
    <x v="20"/>
    <x v="612"/>
    <n v="1456"/>
  </r>
  <r>
    <x v="212"/>
    <x v="9"/>
    <x v="1"/>
    <x v="7"/>
    <x v="329"/>
    <n v="59.5"/>
  </r>
  <r>
    <x v="212"/>
    <x v="15"/>
    <x v="1"/>
    <x v="4"/>
    <x v="387"/>
    <n v="572.5"/>
  </r>
  <r>
    <x v="212"/>
    <x v="13"/>
    <x v="1"/>
    <x v="23"/>
    <x v="381"/>
    <n v="727.5"/>
  </r>
  <r>
    <x v="213"/>
    <x v="15"/>
    <x v="1"/>
    <x v="39"/>
    <x v="613"/>
    <n v="870"/>
  </r>
  <r>
    <x v="213"/>
    <x v="12"/>
    <x v="1"/>
    <x v="29"/>
    <x v="280"/>
    <n v="1049.6000000000001"/>
  </r>
  <r>
    <x v="213"/>
    <x v="9"/>
    <x v="1"/>
    <x v="4"/>
    <x v="550"/>
    <n v="1001"/>
  </r>
  <r>
    <x v="213"/>
    <x v="9"/>
    <x v="1"/>
    <x v="25"/>
    <x v="436"/>
    <n v="1169"/>
  </r>
  <r>
    <x v="213"/>
    <x v="15"/>
    <x v="1"/>
    <x v="45"/>
    <x v="334"/>
    <n v="965"/>
  </r>
  <r>
    <x v="213"/>
    <x v="13"/>
    <x v="1"/>
    <x v="42"/>
    <x v="320"/>
    <n v="1012.5"/>
  </r>
  <r>
    <x v="213"/>
    <x v="13"/>
    <x v="1"/>
    <x v="28"/>
    <x v="339"/>
    <n v="132.5"/>
  </r>
  <r>
    <x v="213"/>
    <x v="9"/>
    <x v="1"/>
    <x v="47"/>
    <x v="190"/>
    <n v="630"/>
  </r>
  <r>
    <x v="213"/>
    <x v="15"/>
    <x v="1"/>
    <x v="36"/>
    <x v="87"/>
    <n v="235"/>
  </r>
  <r>
    <x v="213"/>
    <x v="14"/>
    <x v="1"/>
    <x v="38"/>
    <x v="106"/>
    <n v="1107.2"/>
  </r>
  <r>
    <x v="213"/>
    <x v="15"/>
    <x v="1"/>
    <x v="1"/>
    <x v="100"/>
    <n v="990"/>
  </r>
  <r>
    <x v="213"/>
    <x v="13"/>
    <x v="1"/>
    <x v="7"/>
    <x v="337"/>
    <n v="992.5"/>
  </r>
  <r>
    <x v="214"/>
    <x v="9"/>
    <x v="1"/>
    <x v="19"/>
    <x v="355"/>
    <n v="1519"/>
  </r>
  <r>
    <x v="214"/>
    <x v="9"/>
    <x v="1"/>
    <x v="45"/>
    <x v="559"/>
    <n v="1722"/>
  </r>
  <r>
    <x v="214"/>
    <x v="9"/>
    <x v="1"/>
    <x v="18"/>
    <x v="259"/>
    <n v="1393"/>
  </r>
  <r>
    <x v="214"/>
    <x v="15"/>
    <x v="1"/>
    <x v="11"/>
    <x v="159"/>
    <n v="885"/>
  </r>
  <r>
    <x v="214"/>
    <x v="14"/>
    <x v="1"/>
    <x v="1"/>
    <x v="499"/>
    <n v="1251.2"/>
  </r>
  <r>
    <x v="214"/>
    <x v="15"/>
    <x v="1"/>
    <x v="2"/>
    <x v="614"/>
    <n v="670"/>
  </r>
  <r>
    <x v="214"/>
    <x v="15"/>
    <x v="1"/>
    <x v="20"/>
    <x v="598"/>
    <n v="507.5"/>
  </r>
  <r>
    <x v="214"/>
    <x v="14"/>
    <x v="1"/>
    <x v="3"/>
    <x v="505"/>
    <n v="1216"/>
  </r>
  <r>
    <x v="214"/>
    <x v="9"/>
    <x v="1"/>
    <x v="34"/>
    <x v="185"/>
    <n v="1683.5"/>
  </r>
  <r>
    <x v="215"/>
    <x v="9"/>
    <x v="1"/>
    <x v="49"/>
    <x v="357"/>
    <n v="563.5"/>
  </r>
  <r>
    <x v="215"/>
    <x v="9"/>
    <x v="1"/>
    <x v="33"/>
    <x v="1"/>
    <n v="1435"/>
  </r>
  <r>
    <x v="215"/>
    <x v="13"/>
    <x v="1"/>
    <x v="1"/>
    <x v="366"/>
    <n v="270"/>
  </r>
  <r>
    <x v="215"/>
    <x v="9"/>
    <x v="1"/>
    <x v="24"/>
    <x v="445"/>
    <n v="1603"/>
  </r>
  <r>
    <x v="215"/>
    <x v="12"/>
    <x v="1"/>
    <x v="12"/>
    <x v="157"/>
    <n v="412.8"/>
  </r>
  <r>
    <x v="216"/>
    <x v="12"/>
    <x v="1"/>
    <x v="7"/>
    <x v="224"/>
    <n v="726.40000000000009"/>
  </r>
  <r>
    <x v="216"/>
    <x v="13"/>
    <x v="1"/>
    <x v="32"/>
    <x v="615"/>
    <n v="925"/>
  </r>
  <r>
    <x v="216"/>
    <x v="12"/>
    <x v="1"/>
    <x v="16"/>
    <x v="168"/>
    <n v="57.6"/>
  </r>
  <r>
    <x v="216"/>
    <x v="9"/>
    <x v="1"/>
    <x v="39"/>
    <x v="259"/>
    <n v="1393"/>
  </r>
  <r>
    <x v="216"/>
    <x v="9"/>
    <x v="1"/>
    <x v="5"/>
    <x v="491"/>
    <n v="1403.5"/>
  </r>
  <r>
    <x v="216"/>
    <x v="14"/>
    <x v="1"/>
    <x v="16"/>
    <x v="616"/>
    <n v="1417.6000000000001"/>
  </r>
  <r>
    <x v="216"/>
    <x v="9"/>
    <x v="1"/>
    <x v="42"/>
    <x v="565"/>
    <n v="101.5"/>
  </r>
  <r>
    <x v="216"/>
    <x v="9"/>
    <x v="1"/>
    <x v="34"/>
    <x v="189"/>
    <n v="1515.5"/>
  </r>
  <r>
    <x v="216"/>
    <x v="14"/>
    <x v="1"/>
    <x v="43"/>
    <x v="309"/>
    <n v="256"/>
  </r>
  <r>
    <x v="216"/>
    <x v="14"/>
    <x v="1"/>
    <x v="16"/>
    <x v="390"/>
    <n v="265.60000000000002"/>
  </r>
  <r>
    <x v="217"/>
    <x v="9"/>
    <x v="1"/>
    <x v="11"/>
    <x v="328"/>
    <n v="1470"/>
  </r>
  <r>
    <x v="217"/>
    <x v="9"/>
    <x v="1"/>
    <x v="0"/>
    <x v="464"/>
    <n v="1414"/>
  </r>
  <r>
    <x v="217"/>
    <x v="9"/>
    <x v="1"/>
    <x v="38"/>
    <x v="491"/>
    <n v="1403.5"/>
  </r>
  <r>
    <x v="217"/>
    <x v="12"/>
    <x v="1"/>
    <x v="22"/>
    <x v="465"/>
    <n v="1353.6000000000001"/>
  </r>
  <r>
    <x v="217"/>
    <x v="13"/>
    <x v="1"/>
    <x v="42"/>
    <x v="540"/>
    <n v="502.5"/>
  </r>
  <r>
    <x v="218"/>
    <x v="14"/>
    <x v="1"/>
    <x v="19"/>
    <x v="221"/>
    <n v="1257.6000000000001"/>
  </r>
  <r>
    <x v="218"/>
    <x v="12"/>
    <x v="1"/>
    <x v="47"/>
    <x v="38"/>
    <n v="1456"/>
  </r>
  <r>
    <x v="219"/>
    <x v="13"/>
    <x v="1"/>
    <x v="6"/>
    <x v="304"/>
    <n v="862.5"/>
  </r>
  <r>
    <x v="219"/>
    <x v="13"/>
    <x v="1"/>
    <x v="28"/>
    <x v="49"/>
    <n v="650"/>
  </r>
  <r>
    <x v="219"/>
    <x v="15"/>
    <x v="1"/>
    <x v="9"/>
    <x v="598"/>
    <n v="507.5"/>
  </r>
  <r>
    <x v="219"/>
    <x v="15"/>
    <x v="1"/>
    <x v="27"/>
    <x v="436"/>
    <n v="835"/>
  </r>
  <r>
    <x v="219"/>
    <x v="15"/>
    <x v="1"/>
    <x v="4"/>
    <x v="6"/>
    <n v="710"/>
  </r>
  <r>
    <x v="219"/>
    <x v="9"/>
    <x v="1"/>
    <x v="48"/>
    <x v="233"/>
    <n v="1704.5"/>
  </r>
  <r>
    <x v="219"/>
    <x v="14"/>
    <x v="1"/>
    <x v="27"/>
    <x v="351"/>
    <n v="441.6"/>
  </r>
  <r>
    <x v="219"/>
    <x v="15"/>
    <x v="1"/>
    <x v="29"/>
    <x v="53"/>
    <n v="490"/>
  </r>
  <r>
    <x v="220"/>
    <x v="14"/>
    <x v="1"/>
    <x v="25"/>
    <x v="515"/>
    <n v="1136"/>
  </r>
  <r>
    <x v="220"/>
    <x v="14"/>
    <x v="1"/>
    <x v="23"/>
    <x v="613"/>
    <n v="1113.6000000000001"/>
  </r>
  <r>
    <x v="220"/>
    <x v="9"/>
    <x v="1"/>
    <x v="34"/>
    <x v="109"/>
    <n v="52.5"/>
  </r>
  <r>
    <x v="220"/>
    <x v="12"/>
    <x v="1"/>
    <x v="38"/>
    <x v="244"/>
    <n v="1520"/>
  </r>
  <r>
    <x v="220"/>
    <x v="9"/>
    <x v="1"/>
    <x v="11"/>
    <x v="122"/>
    <n v="819"/>
  </r>
  <r>
    <x v="220"/>
    <x v="9"/>
    <x v="1"/>
    <x v="39"/>
    <x v="543"/>
    <n v="693"/>
  </r>
  <r>
    <x v="221"/>
    <x v="9"/>
    <x v="1"/>
    <x v="16"/>
    <x v="287"/>
    <n v="1606.5"/>
  </r>
  <r>
    <x v="221"/>
    <x v="9"/>
    <x v="1"/>
    <x v="6"/>
    <x v="162"/>
    <n v="1046.5"/>
  </r>
  <r>
    <x v="221"/>
    <x v="15"/>
    <x v="1"/>
    <x v="25"/>
    <x v="351"/>
    <n v="345"/>
  </r>
  <r>
    <x v="221"/>
    <x v="13"/>
    <x v="1"/>
    <x v="8"/>
    <x v="530"/>
    <n v="432.5"/>
  </r>
  <r>
    <x v="221"/>
    <x v="9"/>
    <x v="1"/>
    <x v="6"/>
    <x v="283"/>
    <n v="441"/>
  </r>
  <r>
    <x v="221"/>
    <x v="9"/>
    <x v="1"/>
    <x v="18"/>
    <x v="57"/>
    <n v="308"/>
  </r>
  <r>
    <x v="221"/>
    <x v="15"/>
    <x v="1"/>
    <x v="38"/>
    <x v="157"/>
    <n v="322.5"/>
  </r>
  <r>
    <x v="221"/>
    <x v="14"/>
    <x v="1"/>
    <x v="39"/>
    <x v="549"/>
    <n v="1040"/>
  </r>
  <r>
    <x v="221"/>
    <x v="9"/>
    <x v="1"/>
    <x v="34"/>
    <x v="333"/>
    <n v="1134"/>
  </r>
  <r>
    <x v="221"/>
    <x v="9"/>
    <x v="1"/>
    <x v="34"/>
    <x v="115"/>
    <n v="1739.5"/>
  </r>
  <r>
    <x v="222"/>
    <x v="14"/>
    <x v="1"/>
    <x v="43"/>
    <x v="579"/>
    <n v="198.4"/>
  </r>
  <r>
    <x v="222"/>
    <x v="13"/>
    <x v="1"/>
    <x v="28"/>
    <x v="529"/>
    <n v="410"/>
  </r>
  <r>
    <x v="222"/>
    <x v="12"/>
    <x v="1"/>
    <x v="17"/>
    <x v="424"/>
    <n v="323.20000000000005"/>
  </r>
  <r>
    <x v="222"/>
    <x v="13"/>
    <x v="1"/>
    <x v="7"/>
    <x v="524"/>
    <n v="92.5"/>
  </r>
  <r>
    <x v="222"/>
    <x v="9"/>
    <x v="1"/>
    <x v="39"/>
    <x v="440"/>
    <n v="700"/>
  </r>
  <r>
    <x v="222"/>
    <x v="9"/>
    <x v="1"/>
    <x v="6"/>
    <x v="467"/>
    <n v="1060.5"/>
  </r>
  <r>
    <x v="222"/>
    <x v="15"/>
    <x v="1"/>
    <x v="9"/>
    <x v="549"/>
    <n v="812.5"/>
  </r>
  <r>
    <x v="222"/>
    <x v="15"/>
    <x v="1"/>
    <x v="20"/>
    <x v="310"/>
    <n v="985"/>
  </r>
  <r>
    <x v="222"/>
    <x v="13"/>
    <x v="1"/>
    <x v="39"/>
    <x v="202"/>
    <n v="882.5"/>
  </r>
  <r>
    <x v="222"/>
    <x v="9"/>
    <x v="1"/>
    <x v="3"/>
    <x v="590"/>
    <n v="1512"/>
  </r>
  <r>
    <x v="222"/>
    <x v="14"/>
    <x v="1"/>
    <x v="49"/>
    <x v="47"/>
    <n v="979.2"/>
  </r>
  <r>
    <x v="222"/>
    <x v="9"/>
    <x v="1"/>
    <x v="4"/>
    <x v="593"/>
    <n v="287"/>
  </r>
  <r>
    <x v="223"/>
    <x v="15"/>
    <x v="1"/>
    <x v="28"/>
    <x v="225"/>
    <n v="1245"/>
  </r>
  <r>
    <x v="223"/>
    <x v="13"/>
    <x v="1"/>
    <x v="44"/>
    <x v="593"/>
    <n v="205"/>
  </r>
  <r>
    <x v="224"/>
    <x v="12"/>
    <x v="1"/>
    <x v="30"/>
    <x v="576"/>
    <n v="688"/>
  </r>
  <r>
    <x v="224"/>
    <x v="13"/>
    <x v="1"/>
    <x v="38"/>
    <x v="208"/>
    <n v="267.5"/>
  </r>
  <r>
    <x v="224"/>
    <x v="13"/>
    <x v="1"/>
    <x v="15"/>
    <x v="392"/>
    <n v="997.5"/>
  </r>
  <r>
    <x v="224"/>
    <x v="12"/>
    <x v="1"/>
    <x v="28"/>
    <x v="434"/>
    <n v="982.40000000000009"/>
  </r>
  <r>
    <x v="224"/>
    <x v="14"/>
    <x v="1"/>
    <x v="40"/>
    <x v="108"/>
    <n v="675.2"/>
  </r>
  <r>
    <x v="224"/>
    <x v="12"/>
    <x v="1"/>
    <x v="29"/>
    <x v="491"/>
    <n v="1283.2"/>
  </r>
  <r>
    <x v="224"/>
    <x v="14"/>
    <x v="1"/>
    <x v="12"/>
    <x v="529"/>
    <n v="524.80000000000007"/>
  </r>
  <r>
    <x v="224"/>
    <x v="9"/>
    <x v="1"/>
    <x v="37"/>
    <x v="68"/>
    <n v="983.5"/>
  </r>
  <r>
    <x v="224"/>
    <x v="9"/>
    <x v="1"/>
    <x v="43"/>
    <x v="581"/>
    <n v="826"/>
  </r>
  <r>
    <x v="224"/>
    <x v="13"/>
    <x v="1"/>
    <x v="9"/>
    <x v="445"/>
    <n v="1145"/>
  </r>
  <r>
    <x v="224"/>
    <x v="14"/>
    <x v="1"/>
    <x v="3"/>
    <x v="140"/>
    <n v="435.20000000000005"/>
  </r>
  <r>
    <x v="224"/>
    <x v="9"/>
    <x v="1"/>
    <x v="29"/>
    <x v="240"/>
    <n v="525"/>
  </r>
  <r>
    <x v="225"/>
    <x v="14"/>
    <x v="1"/>
    <x v="2"/>
    <x v="242"/>
    <n v="841.6"/>
  </r>
  <r>
    <x v="225"/>
    <x v="14"/>
    <x v="1"/>
    <x v="43"/>
    <x v="617"/>
    <n v="76.800000000000011"/>
  </r>
  <r>
    <x v="225"/>
    <x v="12"/>
    <x v="1"/>
    <x v="14"/>
    <x v="93"/>
    <n v="1196.8"/>
  </r>
  <r>
    <x v="225"/>
    <x v="12"/>
    <x v="1"/>
    <x v="39"/>
    <x v="424"/>
    <n v="323.20000000000005"/>
  </r>
  <r>
    <x v="225"/>
    <x v="12"/>
    <x v="1"/>
    <x v="0"/>
    <x v="354"/>
    <n v="499.20000000000005"/>
  </r>
  <r>
    <x v="225"/>
    <x v="9"/>
    <x v="1"/>
    <x v="33"/>
    <x v="185"/>
    <n v="1683.5"/>
  </r>
  <r>
    <x v="225"/>
    <x v="9"/>
    <x v="1"/>
    <x v="40"/>
    <x v="9"/>
    <n v="1624"/>
  </r>
  <r>
    <x v="225"/>
    <x v="15"/>
    <x v="1"/>
    <x v="30"/>
    <x v="532"/>
    <n v="1122.5"/>
  </r>
  <r>
    <x v="225"/>
    <x v="13"/>
    <x v="1"/>
    <x v="37"/>
    <x v="546"/>
    <n v="725"/>
  </r>
  <r>
    <x v="225"/>
    <x v="13"/>
    <x v="1"/>
    <x v="1"/>
    <x v="322"/>
    <n v="412.5"/>
  </r>
  <r>
    <x v="225"/>
    <x v="9"/>
    <x v="1"/>
    <x v="23"/>
    <x v="36"/>
    <n v="1561"/>
  </r>
  <r>
    <x v="226"/>
    <x v="14"/>
    <x v="1"/>
    <x v="49"/>
    <x v="193"/>
    <n v="476.8"/>
  </r>
  <r>
    <x v="226"/>
    <x v="9"/>
    <x v="1"/>
    <x v="19"/>
    <x v="2"/>
    <n v="847"/>
  </r>
  <r>
    <x v="226"/>
    <x v="14"/>
    <x v="1"/>
    <x v="18"/>
    <x v="615"/>
    <n v="1184"/>
  </r>
  <r>
    <x v="226"/>
    <x v="9"/>
    <x v="1"/>
    <x v="20"/>
    <x v="84"/>
    <n v="1274"/>
  </r>
  <r>
    <x v="226"/>
    <x v="9"/>
    <x v="1"/>
    <x v="41"/>
    <x v="404"/>
    <n v="196"/>
  </r>
  <r>
    <x v="226"/>
    <x v="13"/>
    <x v="1"/>
    <x v="43"/>
    <x v="247"/>
    <n v="735"/>
  </r>
  <r>
    <x v="226"/>
    <x v="9"/>
    <x v="1"/>
    <x v="2"/>
    <x v="137"/>
    <n v="1067.5"/>
  </r>
  <r>
    <x v="226"/>
    <x v="9"/>
    <x v="1"/>
    <x v="4"/>
    <x v="222"/>
    <n v="1165.5"/>
  </r>
  <r>
    <x v="226"/>
    <x v="14"/>
    <x v="1"/>
    <x v="29"/>
    <x v="543"/>
    <n v="633.6"/>
  </r>
  <r>
    <x v="226"/>
    <x v="14"/>
    <x v="1"/>
    <x v="35"/>
    <x v="214"/>
    <n v="1526.4"/>
  </r>
  <r>
    <x v="226"/>
    <x v="15"/>
    <x v="1"/>
    <x v="48"/>
    <x v="52"/>
    <n v="80"/>
  </r>
  <r>
    <x v="227"/>
    <x v="9"/>
    <x v="1"/>
    <x v="34"/>
    <x v="141"/>
    <n v="1459.5"/>
  </r>
  <r>
    <x v="227"/>
    <x v="14"/>
    <x v="1"/>
    <x v="46"/>
    <x v="261"/>
    <n v="1094.4000000000001"/>
  </r>
  <r>
    <x v="227"/>
    <x v="12"/>
    <x v="1"/>
    <x v="6"/>
    <x v="562"/>
    <n v="1552"/>
  </r>
  <r>
    <x v="227"/>
    <x v="14"/>
    <x v="1"/>
    <x v="4"/>
    <x v="72"/>
    <n v="284.8"/>
  </r>
  <r>
    <x v="227"/>
    <x v="13"/>
    <x v="1"/>
    <x v="15"/>
    <x v="618"/>
    <n v="65"/>
  </r>
  <r>
    <x v="227"/>
    <x v="14"/>
    <x v="1"/>
    <x v="18"/>
    <x v="96"/>
    <n v="953.6"/>
  </r>
  <r>
    <x v="228"/>
    <x v="12"/>
    <x v="1"/>
    <x v="4"/>
    <x v="605"/>
    <n v="182.4"/>
  </r>
  <r>
    <x v="228"/>
    <x v="13"/>
    <x v="1"/>
    <x v="48"/>
    <x v="586"/>
    <n v="52.5"/>
  </r>
  <r>
    <x v="228"/>
    <x v="14"/>
    <x v="1"/>
    <x v="32"/>
    <x v="610"/>
    <n v="1420.8000000000002"/>
  </r>
  <r>
    <x v="228"/>
    <x v="9"/>
    <x v="1"/>
    <x v="1"/>
    <x v="417"/>
    <n v="70"/>
  </r>
  <r>
    <x v="228"/>
    <x v="14"/>
    <x v="1"/>
    <x v="48"/>
    <x v="580"/>
    <n v="332.8"/>
  </r>
  <r>
    <x v="228"/>
    <x v="9"/>
    <x v="1"/>
    <x v="36"/>
    <x v="343"/>
    <n v="1641.5"/>
  </r>
  <r>
    <x v="228"/>
    <x v="14"/>
    <x v="1"/>
    <x v="45"/>
    <x v="557"/>
    <n v="438.40000000000003"/>
  </r>
  <r>
    <x v="228"/>
    <x v="13"/>
    <x v="1"/>
    <x v="18"/>
    <x v="318"/>
    <n v="1237.5"/>
  </r>
  <r>
    <x v="228"/>
    <x v="12"/>
    <x v="1"/>
    <x v="36"/>
    <x v="126"/>
    <n v="790.40000000000009"/>
  </r>
  <r>
    <x v="228"/>
    <x v="14"/>
    <x v="1"/>
    <x v="35"/>
    <x v="105"/>
    <n v="60.800000000000004"/>
  </r>
  <r>
    <x v="229"/>
    <x v="12"/>
    <x v="1"/>
    <x v="38"/>
    <x v="57"/>
    <n v="281.60000000000002"/>
  </r>
  <r>
    <x v="229"/>
    <x v="12"/>
    <x v="1"/>
    <x v="36"/>
    <x v="77"/>
    <n v="860.80000000000007"/>
  </r>
  <r>
    <x v="229"/>
    <x v="12"/>
    <x v="1"/>
    <x v="42"/>
    <x v="58"/>
    <n v="851.2"/>
  </r>
  <r>
    <x v="229"/>
    <x v="9"/>
    <x v="1"/>
    <x v="16"/>
    <x v="148"/>
    <n v="1284.5"/>
  </r>
  <r>
    <x v="229"/>
    <x v="9"/>
    <x v="1"/>
    <x v="48"/>
    <x v="523"/>
    <n v="1694"/>
  </r>
  <r>
    <x v="229"/>
    <x v="9"/>
    <x v="1"/>
    <x v="49"/>
    <x v="7"/>
    <n v="556.5"/>
  </r>
  <r>
    <x v="229"/>
    <x v="12"/>
    <x v="1"/>
    <x v="32"/>
    <x v="576"/>
    <n v="688"/>
  </r>
  <r>
    <x v="230"/>
    <x v="12"/>
    <x v="1"/>
    <x v="22"/>
    <x v="279"/>
    <n v="1337.6000000000001"/>
  </r>
  <r>
    <x v="230"/>
    <x v="14"/>
    <x v="1"/>
    <x v="17"/>
    <x v="217"/>
    <n v="1088"/>
  </r>
  <r>
    <x v="230"/>
    <x v="13"/>
    <x v="1"/>
    <x v="5"/>
    <x v="175"/>
    <n v="722.5"/>
  </r>
  <r>
    <x v="231"/>
    <x v="15"/>
    <x v="1"/>
    <x v="19"/>
    <x v="84"/>
    <n v="910"/>
  </r>
  <r>
    <x v="231"/>
    <x v="9"/>
    <x v="1"/>
    <x v="5"/>
    <x v="619"/>
    <n v="1729"/>
  </r>
  <r>
    <x v="231"/>
    <x v="9"/>
    <x v="1"/>
    <x v="17"/>
    <x v="522"/>
    <n v="791"/>
  </r>
  <r>
    <x v="231"/>
    <x v="14"/>
    <x v="1"/>
    <x v="48"/>
    <x v="565"/>
    <n v="92.800000000000011"/>
  </r>
  <r>
    <x v="231"/>
    <x v="9"/>
    <x v="1"/>
    <x v="49"/>
    <x v="511"/>
    <n v="787.5"/>
  </r>
  <r>
    <x v="232"/>
    <x v="9"/>
    <x v="1"/>
    <x v="37"/>
    <x v="239"/>
    <n v="448"/>
  </r>
  <r>
    <x v="232"/>
    <x v="12"/>
    <x v="1"/>
    <x v="3"/>
    <x v="222"/>
    <n v="1065.6000000000001"/>
  </r>
  <r>
    <x v="232"/>
    <x v="9"/>
    <x v="1"/>
    <x v="22"/>
    <x v="381"/>
    <n v="1018.5"/>
  </r>
  <r>
    <x v="232"/>
    <x v="9"/>
    <x v="1"/>
    <x v="34"/>
    <x v="337"/>
    <n v="1389.5"/>
  </r>
  <r>
    <x v="232"/>
    <x v="9"/>
    <x v="1"/>
    <x v="13"/>
    <x v="435"/>
    <n v="885.5"/>
  </r>
  <r>
    <x v="233"/>
    <x v="9"/>
    <x v="1"/>
    <x v="48"/>
    <x v="557"/>
    <n v="479.5"/>
  </r>
  <r>
    <x v="233"/>
    <x v="9"/>
    <x v="1"/>
    <x v="45"/>
    <x v="543"/>
    <n v="693"/>
  </r>
  <r>
    <x v="233"/>
    <x v="9"/>
    <x v="1"/>
    <x v="11"/>
    <x v="391"/>
    <n v="1183"/>
  </r>
  <r>
    <x v="233"/>
    <x v="12"/>
    <x v="1"/>
    <x v="49"/>
    <x v="522"/>
    <n v="723.2"/>
  </r>
  <r>
    <x v="233"/>
    <x v="12"/>
    <x v="1"/>
    <x v="16"/>
    <x v="514"/>
    <n v="896"/>
  </r>
  <r>
    <x v="233"/>
    <x v="14"/>
    <x v="1"/>
    <x v="48"/>
    <x v="69"/>
    <n v="1328"/>
  </r>
  <r>
    <x v="233"/>
    <x v="14"/>
    <x v="1"/>
    <x v="14"/>
    <x v="188"/>
    <n v="598.4"/>
  </r>
  <r>
    <x v="233"/>
    <x v="9"/>
    <x v="1"/>
    <x v="38"/>
    <x v="538"/>
    <n v="609"/>
  </r>
  <r>
    <x v="233"/>
    <x v="14"/>
    <x v="1"/>
    <x v="25"/>
    <x v="609"/>
    <n v="1507.2"/>
  </r>
  <r>
    <x v="233"/>
    <x v="14"/>
    <x v="1"/>
    <x v="26"/>
    <x v="476"/>
    <n v="419.20000000000005"/>
  </r>
  <r>
    <x v="234"/>
    <x v="13"/>
    <x v="1"/>
    <x v="3"/>
    <x v="212"/>
    <n v="595"/>
  </r>
  <r>
    <x v="234"/>
    <x v="12"/>
    <x v="1"/>
    <x v="39"/>
    <x v="189"/>
    <n v="1385.6000000000001"/>
  </r>
  <r>
    <x v="234"/>
    <x v="9"/>
    <x v="1"/>
    <x v="19"/>
    <x v="371"/>
    <n v="1099"/>
  </r>
  <r>
    <x v="234"/>
    <x v="12"/>
    <x v="1"/>
    <x v="6"/>
    <x v="197"/>
    <n v="288"/>
  </r>
  <r>
    <x v="234"/>
    <x v="12"/>
    <x v="1"/>
    <x v="42"/>
    <x v="437"/>
    <n v="304"/>
  </r>
  <r>
    <x v="234"/>
    <x v="14"/>
    <x v="1"/>
    <x v="16"/>
    <x v="79"/>
    <n v="1305.6000000000001"/>
  </r>
  <r>
    <x v="234"/>
    <x v="9"/>
    <x v="1"/>
    <x v="30"/>
    <x v="465"/>
    <n v="1480.5"/>
  </r>
  <r>
    <x v="234"/>
    <x v="14"/>
    <x v="1"/>
    <x v="39"/>
    <x v="570"/>
    <n v="572.80000000000007"/>
  </r>
  <r>
    <x v="234"/>
    <x v="14"/>
    <x v="1"/>
    <x v="41"/>
    <x v="103"/>
    <n v="1280"/>
  </r>
  <r>
    <x v="234"/>
    <x v="12"/>
    <x v="1"/>
    <x v="12"/>
    <x v="412"/>
    <n v="694.40000000000009"/>
  </r>
  <r>
    <x v="234"/>
    <x v="13"/>
    <x v="1"/>
    <x v="32"/>
    <x v="118"/>
    <n v="115"/>
  </r>
  <r>
    <x v="234"/>
    <x v="14"/>
    <x v="1"/>
    <x v="34"/>
    <x v="30"/>
    <n v="444.8"/>
  </r>
  <r>
    <x v="234"/>
    <x v="14"/>
    <x v="1"/>
    <x v="42"/>
    <x v="489"/>
    <n v="547.20000000000005"/>
  </r>
  <r>
    <x v="234"/>
    <x v="9"/>
    <x v="1"/>
    <x v="4"/>
    <x v="253"/>
    <n v="1344"/>
  </r>
  <r>
    <x v="234"/>
    <x v="14"/>
    <x v="1"/>
    <x v="15"/>
    <x v="93"/>
    <n v="1196.8"/>
  </r>
  <r>
    <x v="234"/>
    <x v="13"/>
    <x v="1"/>
    <x v="2"/>
    <x v="309"/>
    <n v="200"/>
  </r>
  <r>
    <x v="234"/>
    <x v="12"/>
    <x v="1"/>
    <x v="24"/>
    <x v="258"/>
    <n v="777.6"/>
  </r>
  <r>
    <x v="235"/>
    <x v="12"/>
    <x v="1"/>
    <x v="37"/>
    <x v="200"/>
    <n v="268.8"/>
  </r>
  <r>
    <x v="235"/>
    <x v="9"/>
    <x v="1"/>
    <x v="18"/>
    <x v="553"/>
    <n v="122.5"/>
  </r>
  <r>
    <x v="235"/>
    <x v="9"/>
    <x v="1"/>
    <x v="26"/>
    <x v="155"/>
    <n v="1179.5"/>
  </r>
  <r>
    <x v="235"/>
    <x v="9"/>
    <x v="1"/>
    <x v="25"/>
    <x v="474"/>
    <n v="1092"/>
  </r>
  <r>
    <x v="236"/>
    <x v="14"/>
    <x v="1"/>
    <x v="13"/>
    <x v="208"/>
    <n v="342.40000000000003"/>
  </r>
  <r>
    <x v="236"/>
    <x v="14"/>
    <x v="1"/>
    <x v="23"/>
    <x v="159"/>
    <n v="1132.8"/>
  </r>
  <r>
    <x v="236"/>
    <x v="14"/>
    <x v="1"/>
    <x v="17"/>
    <x v="55"/>
    <n v="1190.4000000000001"/>
  </r>
  <r>
    <x v="236"/>
    <x v="9"/>
    <x v="1"/>
    <x v="34"/>
    <x v="198"/>
    <n v="336"/>
  </r>
  <r>
    <x v="236"/>
    <x v="9"/>
    <x v="1"/>
    <x v="22"/>
    <x v="312"/>
    <n v="1526"/>
  </r>
  <r>
    <x v="236"/>
    <x v="12"/>
    <x v="1"/>
    <x v="33"/>
    <x v="539"/>
    <n v="579.20000000000005"/>
  </r>
  <r>
    <x v="236"/>
    <x v="13"/>
    <x v="1"/>
    <x v="6"/>
    <x v="219"/>
    <n v="425"/>
  </r>
  <r>
    <x v="236"/>
    <x v="12"/>
    <x v="1"/>
    <x v="39"/>
    <x v="130"/>
    <n v="422.40000000000003"/>
  </r>
  <r>
    <x v="236"/>
    <x v="12"/>
    <x v="1"/>
    <x v="7"/>
    <x v="121"/>
    <n v="432"/>
  </r>
  <r>
    <x v="236"/>
    <x v="15"/>
    <x v="1"/>
    <x v="18"/>
    <x v="291"/>
    <n v="442.5"/>
  </r>
  <r>
    <x v="236"/>
    <x v="9"/>
    <x v="1"/>
    <x v="15"/>
    <x v="223"/>
    <n v="906.5"/>
  </r>
  <r>
    <x v="237"/>
    <x v="9"/>
    <x v="1"/>
    <x v="26"/>
    <x v="235"/>
    <n v="570.5"/>
  </r>
  <r>
    <x v="237"/>
    <x v="9"/>
    <x v="1"/>
    <x v="32"/>
    <x v="241"/>
    <n v="1627.5"/>
  </r>
  <r>
    <x v="238"/>
    <x v="12"/>
    <x v="1"/>
    <x v="12"/>
    <x v="486"/>
    <n v="806.40000000000009"/>
  </r>
  <r>
    <x v="238"/>
    <x v="13"/>
    <x v="1"/>
    <x v="40"/>
    <x v="620"/>
    <n v="1062.5"/>
  </r>
  <r>
    <x v="238"/>
    <x v="14"/>
    <x v="1"/>
    <x v="34"/>
    <x v="561"/>
    <n v="396.8"/>
  </r>
  <r>
    <x v="239"/>
    <x v="9"/>
    <x v="1"/>
    <x v="39"/>
    <x v="614"/>
    <n v="938"/>
  </r>
  <r>
    <x v="239"/>
    <x v="13"/>
    <x v="1"/>
    <x v="49"/>
    <x v="145"/>
    <n v="1150"/>
  </r>
  <r>
    <x v="239"/>
    <x v="14"/>
    <x v="1"/>
    <x v="37"/>
    <x v="617"/>
    <n v="76.800000000000011"/>
  </r>
  <r>
    <x v="239"/>
    <x v="13"/>
    <x v="1"/>
    <x v="6"/>
    <x v="297"/>
    <n v="1165"/>
  </r>
  <r>
    <x v="239"/>
    <x v="15"/>
    <x v="1"/>
    <x v="29"/>
    <x v="49"/>
    <n v="650"/>
  </r>
  <r>
    <x v="239"/>
    <x v="15"/>
    <x v="1"/>
    <x v="47"/>
    <x v="394"/>
    <n v="857.5"/>
  </r>
  <r>
    <x v="239"/>
    <x v="9"/>
    <x v="1"/>
    <x v="31"/>
    <x v="98"/>
    <n v="1505"/>
  </r>
  <r>
    <x v="240"/>
    <x v="13"/>
    <x v="1"/>
    <x v="9"/>
    <x v="479"/>
    <n v="365"/>
  </r>
  <r>
    <x v="240"/>
    <x v="12"/>
    <x v="1"/>
    <x v="2"/>
    <x v="103"/>
    <n v="1280"/>
  </r>
  <r>
    <x v="240"/>
    <x v="14"/>
    <x v="1"/>
    <x v="27"/>
    <x v="47"/>
    <n v="979.2"/>
  </r>
  <r>
    <x v="240"/>
    <x v="14"/>
    <x v="1"/>
    <x v="36"/>
    <x v="217"/>
    <n v="1088"/>
  </r>
  <r>
    <x v="240"/>
    <x v="13"/>
    <x v="1"/>
    <x v="40"/>
    <x v="119"/>
    <n v="962.5"/>
  </r>
  <r>
    <x v="240"/>
    <x v="12"/>
    <x v="1"/>
    <x v="31"/>
    <x v="215"/>
    <n v="1321.6000000000001"/>
  </r>
  <r>
    <x v="240"/>
    <x v="12"/>
    <x v="1"/>
    <x v="49"/>
    <x v="394"/>
    <n v="1097.6000000000001"/>
  </r>
  <r>
    <x v="240"/>
    <x v="9"/>
    <x v="1"/>
    <x v="46"/>
    <x v="409"/>
    <n v="623"/>
  </r>
  <r>
    <x v="240"/>
    <x v="9"/>
    <x v="1"/>
    <x v="6"/>
    <x v="559"/>
    <n v="1722"/>
  </r>
  <r>
    <x v="240"/>
    <x v="12"/>
    <x v="1"/>
    <x v="9"/>
    <x v="621"/>
    <n v="1497.6000000000001"/>
  </r>
  <r>
    <x v="240"/>
    <x v="9"/>
    <x v="1"/>
    <x v="33"/>
    <x v="455"/>
    <n v="661.5"/>
  </r>
  <r>
    <x v="241"/>
    <x v="15"/>
    <x v="1"/>
    <x v="12"/>
    <x v="18"/>
    <n v="1095"/>
  </r>
  <r>
    <x v="241"/>
    <x v="15"/>
    <x v="1"/>
    <x v="49"/>
    <x v="137"/>
    <n v="762.5"/>
  </r>
  <r>
    <x v="242"/>
    <x v="9"/>
    <x v="1"/>
    <x v="4"/>
    <x v="33"/>
    <n v="493.5"/>
  </r>
  <r>
    <x v="242"/>
    <x v="9"/>
    <x v="1"/>
    <x v="24"/>
    <x v="212"/>
    <n v="833"/>
  </r>
  <r>
    <x v="242"/>
    <x v="15"/>
    <x v="1"/>
    <x v="13"/>
    <x v="620"/>
    <n v="1062.5"/>
  </r>
  <r>
    <x v="242"/>
    <x v="15"/>
    <x v="1"/>
    <x v="34"/>
    <x v="612"/>
    <n v="1040"/>
  </r>
  <r>
    <x v="242"/>
    <x v="14"/>
    <x v="1"/>
    <x v="47"/>
    <x v="52"/>
    <n v="102.4"/>
  </r>
  <r>
    <x v="242"/>
    <x v="14"/>
    <x v="1"/>
    <x v="46"/>
    <x v="264"/>
    <n v="934.40000000000009"/>
  </r>
  <r>
    <x v="242"/>
    <x v="9"/>
    <x v="1"/>
    <x v="3"/>
    <x v="244"/>
    <n v="1662.5"/>
  </r>
  <r>
    <x v="243"/>
    <x v="13"/>
    <x v="1"/>
    <x v="27"/>
    <x v="124"/>
    <n v="1195"/>
  </r>
  <r>
    <x v="243"/>
    <x v="9"/>
    <x v="1"/>
    <x v="29"/>
    <x v="277"/>
    <n v="1382.5"/>
  </r>
  <r>
    <x v="243"/>
    <x v="13"/>
    <x v="1"/>
    <x v="21"/>
    <x v="122"/>
    <n v="585"/>
  </r>
  <r>
    <x v="243"/>
    <x v="13"/>
    <x v="1"/>
    <x v="20"/>
    <x v="266"/>
    <n v="1135"/>
  </r>
  <r>
    <x v="243"/>
    <x v="13"/>
    <x v="1"/>
    <x v="12"/>
    <x v="420"/>
    <n v="947.5"/>
  </r>
  <r>
    <x v="243"/>
    <x v="15"/>
    <x v="1"/>
    <x v="34"/>
    <x v="329"/>
    <n v="42.5"/>
  </r>
  <r>
    <x v="244"/>
    <x v="13"/>
    <x v="1"/>
    <x v="3"/>
    <x v="61"/>
    <n v="580"/>
  </r>
  <r>
    <x v="244"/>
    <x v="9"/>
    <x v="1"/>
    <x v="26"/>
    <x v="537"/>
    <n v="1746.5"/>
  </r>
  <r>
    <x v="244"/>
    <x v="9"/>
    <x v="1"/>
    <x v="5"/>
    <x v="445"/>
    <n v="1603"/>
  </r>
  <r>
    <x v="244"/>
    <x v="12"/>
    <x v="1"/>
    <x v="31"/>
    <x v="16"/>
    <n v="352"/>
  </r>
  <r>
    <x v="244"/>
    <x v="15"/>
    <x v="1"/>
    <x v="37"/>
    <x v="31"/>
    <n v="635"/>
  </r>
  <r>
    <x v="245"/>
    <x v="13"/>
    <x v="1"/>
    <x v="6"/>
    <x v="106"/>
    <n v="865"/>
  </r>
  <r>
    <x v="245"/>
    <x v="13"/>
    <x v="1"/>
    <x v="31"/>
    <x v="465"/>
    <n v="1057.5"/>
  </r>
  <r>
    <x v="245"/>
    <x v="9"/>
    <x v="1"/>
    <x v="19"/>
    <x v="334"/>
    <n v="1351"/>
  </r>
  <r>
    <x v="245"/>
    <x v="9"/>
    <x v="1"/>
    <x v="32"/>
    <x v="233"/>
    <n v="1704.5"/>
  </r>
  <r>
    <x v="245"/>
    <x v="9"/>
    <x v="1"/>
    <x v="29"/>
    <x v="201"/>
    <n v="1358"/>
  </r>
  <r>
    <x v="245"/>
    <x v="9"/>
    <x v="1"/>
    <x v="12"/>
    <x v="622"/>
    <n v="588"/>
  </r>
  <r>
    <x v="245"/>
    <x v="9"/>
    <x v="1"/>
    <x v="49"/>
    <x v="67"/>
    <n v="1246"/>
  </r>
  <r>
    <x v="246"/>
    <x v="9"/>
    <x v="1"/>
    <x v="24"/>
    <x v="391"/>
    <n v="1183"/>
  </r>
  <r>
    <x v="246"/>
    <x v="12"/>
    <x v="1"/>
    <x v="26"/>
    <x v="307"/>
    <n v="275.2"/>
  </r>
  <r>
    <x v="246"/>
    <x v="14"/>
    <x v="1"/>
    <x v="40"/>
    <x v="611"/>
    <n v="803.2"/>
  </r>
  <r>
    <x v="246"/>
    <x v="15"/>
    <x v="1"/>
    <x v="35"/>
    <x v="544"/>
    <n v="75"/>
  </r>
  <r>
    <x v="246"/>
    <x v="15"/>
    <x v="1"/>
    <x v="13"/>
    <x v="84"/>
    <n v="910"/>
  </r>
  <r>
    <x v="246"/>
    <x v="9"/>
    <x v="1"/>
    <x v="11"/>
    <x v="100"/>
    <n v="1386"/>
  </r>
  <r>
    <x v="246"/>
    <x v="9"/>
    <x v="1"/>
    <x v="5"/>
    <x v="558"/>
    <n v="133"/>
  </r>
  <r>
    <x v="246"/>
    <x v="9"/>
    <x v="1"/>
    <x v="25"/>
    <x v="147"/>
    <n v="1225"/>
  </r>
  <r>
    <x v="246"/>
    <x v="12"/>
    <x v="1"/>
    <x v="46"/>
    <x v="242"/>
    <n v="841.6"/>
  </r>
  <r>
    <x v="246"/>
    <x v="12"/>
    <x v="1"/>
    <x v="44"/>
    <x v="566"/>
    <n v="665.6"/>
  </r>
  <r>
    <x v="246"/>
    <x v="14"/>
    <x v="1"/>
    <x v="33"/>
    <x v="435"/>
    <n v="809.6"/>
  </r>
  <r>
    <x v="246"/>
    <x v="14"/>
    <x v="1"/>
    <x v="44"/>
    <x v="125"/>
    <n v="1155.2"/>
  </r>
  <r>
    <x v="246"/>
    <x v="15"/>
    <x v="1"/>
    <x v="30"/>
    <x v="583"/>
    <n v="932.5"/>
  </r>
  <r>
    <x v="246"/>
    <x v="15"/>
    <x v="1"/>
    <x v="6"/>
    <x v="605"/>
    <n v="142.5"/>
  </r>
  <r>
    <x v="247"/>
    <x v="13"/>
    <x v="1"/>
    <x v="3"/>
    <x v="109"/>
    <n v="37.5"/>
  </r>
  <r>
    <x v="247"/>
    <x v="13"/>
    <x v="1"/>
    <x v="27"/>
    <x v="623"/>
    <n v="180"/>
  </r>
  <r>
    <x v="247"/>
    <x v="14"/>
    <x v="1"/>
    <x v="33"/>
    <x v="77"/>
    <n v="860.80000000000007"/>
  </r>
  <r>
    <x v="247"/>
    <x v="13"/>
    <x v="1"/>
    <x v="37"/>
    <x v="261"/>
    <n v="855"/>
  </r>
  <r>
    <x v="247"/>
    <x v="9"/>
    <x v="1"/>
    <x v="9"/>
    <x v="452"/>
    <n v="724.5"/>
  </r>
  <r>
    <x v="247"/>
    <x v="12"/>
    <x v="1"/>
    <x v="5"/>
    <x v="94"/>
    <n v="985.6"/>
  </r>
  <r>
    <x v="247"/>
    <x v="13"/>
    <x v="1"/>
    <x v="8"/>
    <x v="314"/>
    <n v="685"/>
  </r>
  <r>
    <x v="248"/>
    <x v="12"/>
    <x v="1"/>
    <x v="30"/>
    <x v="618"/>
    <n v="83.2"/>
  </r>
  <r>
    <x v="248"/>
    <x v="9"/>
    <x v="1"/>
    <x v="28"/>
    <x v="367"/>
    <n v="1715"/>
  </r>
  <r>
    <x v="248"/>
    <x v="9"/>
    <x v="1"/>
    <x v="5"/>
    <x v="430"/>
    <n v="182"/>
  </r>
  <r>
    <x v="248"/>
    <x v="14"/>
    <x v="1"/>
    <x v="48"/>
    <x v="425"/>
    <n v="1462.4"/>
  </r>
  <r>
    <x v="248"/>
    <x v="12"/>
    <x v="1"/>
    <x v="30"/>
    <x v="496"/>
    <n v="1110.4000000000001"/>
  </r>
  <r>
    <x v="248"/>
    <x v="15"/>
    <x v="1"/>
    <x v="32"/>
    <x v="617"/>
    <n v="60"/>
  </r>
  <r>
    <x v="248"/>
    <x v="13"/>
    <x v="1"/>
    <x v="9"/>
    <x v="370"/>
    <n v="292.5"/>
  </r>
  <r>
    <x v="249"/>
    <x v="15"/>
    <x v="1"/>
    <x v="32"/>
    <x v="447"/>
    <n v="940"/>
  </r>
  <r>
    <x v="249"/>
    <x v="12"/>
    <x v="1"/>
    <x v="35"/>
    <x v="259"/>
    <n v="1273.6000000000001"/>
  </r>
  <r>
    <x v="250"/>
    <x v="13"/>
    <x v="1"/>
    <x v="44"/>
    <x v="216"/>
    <n v="1052.5"/>
  </r>
  <r>
    <x v="250"/>
    <x v="9"/>
    <x v="1"/>
    <x v="34"/>
    <x v="458"/>
    <n v="94.5"/>
  </r>
  <r>
    <x v="250"/>
    <x v="15"/>
    <x v="1"/>
    <x v="45"/>
    <x v="223"/>
    <n v="647.5"/>
  </r>
  <r>
    <x v="250"/>
    <x v="9"/>
    <x v="1"/>
    <x v="17"/>
    <x v="595"/>
    <n v="868"/>
  </r>
  <r>
    <x v="250"/>
    <x v="14"/>
    <x v="1"/>
    <x v="26"/>
    <x v="69"/>
    <n v="1328"/>
  </r>
  <r>
    <x v="250"/>
    <x v="14"/>
    <x v="1"/>
    <x v="5"/>
    <x v="485"/>
    <n v="278.40000000000003"/>
  </r>
  <r>
    <x v="251"/>
    <x v="14"/>
    <x v="1"/>
    <x v="1"/>
    <x v="624"/>
    <n v="454.40000000000003"/>
  </r>
  <r>
    <x v="251"/>
    <x v="14"/>
    <x v="1"/>
    <x v="7"/>
    <x v="66"/>
    <n v="1440"/>
  </r>
  <r>
    <x v="251"/>
    <x v="14"/>
    <x v="1"/>
    <x v="32"/>
    <x v="507"/>
    <n v="1142.4000000000001"/>
  </r>
  <r>
    <x v="251"/>
    <x v="13"/>
    <x v="1"/>
    <x v="11"/>
    <x v="339"/>
    <n v="132.5"/>
  </r>
  <r>
    <x v="251"/>
    <x v="9"/>
    <x v="1"/>
    <x v="18"/>
    <x v="389"/>
    <n v="763"/>
  </r>
  <r>
    <x v="251"/>
    <x v="9"/>
    <x v="1"/>
    <x v="31"/>
    <x v="100"/>
    <n v="1386"/>
  </r>
  <r>
    <x v="251"/>
    <x v="9"/>
    <x v="1"/>
    <x v="18"/>
    <x v="173"/>
    <n v="518"/>
  </r>
  <r>
    <x v="251"/>
    <x v="13"/>
    <x v="1"/>
    <x v="15"/>
    <x v="256"/>
    <n v="787.5"/>
  </r>
  <r>
    <x v="251"/>
    <x v="9"/>
    <x v="1"/>
    <x v="20"/>
    <x v="547"/>
    <n v="357"/>
  </r>
  <r>
    <x v="252"/>
    <x v="13"/>
    <x v="1"/>
    <x v="2"/>
    <x v="81"/>
    <n v="117.5"/>
  </r>
  <r>
    <x v="252"/>
    <x v="14"/>
    <x v="1"/>
    <x v="21"/>
    <x v="364"/>
    <n v="1075.2"/>
  </r>
  <r>
    <x v="252"/>
    <x v="15"/>
    <x v="1"/>
    <x v="26"/>
    <x v="52"/>
    <n v="80"/>
  </r>
  <r>
    <x v="252"/>
    <x v="13"/>
    <x v="1"/>
    <x v="41"/>
    <x v="131"/>
    <n v="57.5"/>
  </r>
  <r>
    <x v="252"/>
    <x v="12"/>
    <x v="1"/>
    <x v="2"/>
    <x v="412"/>
    <n v="694.40000000000009"/>
  </r>
  <r>
    <x v="252"/>
    <x v="9"/>
    <x v="1"/>
    <x v="12"/>
    <x v="284"/>
    <n v="465.5"/>
  </r>
  <r>
    <x v="252"/>
    <x v="9"/>
    <x v="1"/>
    <x v="6"/>
    <x v="124"/>
    <n v="1673"/>
  </r>
  <r>
    <x v="252"/>
    <x v="12"/>
    <x v="1"/>
    <x v="33"/>
    <x v="68"/>
    <n v="899.2"/>
  </r>
  <r>
    <x v="252"/>
    <x v="9"/>
    <x v="1"/>
    <x v="13"/>
    <x v="228"/>
    <n v="584.5"/>
  </r>
  <r>
    <x v="253"/>
    <x v="9"/>
    <x v="1"/>
    <x v="25"/>
    <x v="32"/>
    <n v="241.5"/>
  </r>
  <r>
    <x v="253"/>
    <x v="13"/>
    <x v="1"/>
    <x v="12"/>
    <x v="38"/>
    <n v="1137.5"/>
  </r>
  <r>
    <x v="253"/>
    <x v="13"/>
    <x v="1"/>
    <x v="39"/>
    <x v="559"/>
    <n v="1230"/>
  </r>
  <r>
    <x v="253"/>
    <x v="9"/>
    <x v="1"/>
    <x v="28"/>
    <x v="136"/>
    <n v="1186.5"/>
  </r>
  <r>
    <x v="254"/>
    <x v="13"/>
    <x v="1"/>
    <x v="30"/>
    <x v="589"/>
    <n v="480"/>
  </r>
  <r>
    <x v="254"/>
    <x v="12"/>
    <x v="1"/>
    <x v="46"/>
    <x v="236"/>
    <n v="1564.8000000000002"/>
  </r>
  <r>
    <x v="254"/>
    <x v="15"/>
    <x v="1"/>
    <x v="33"/>
    <x v="328"/>
    <n v="1050"/>
  </r>
  <r>
    <x v="254"/>
    <x v="9"/>
    <x v="1"/>
    <x v="10"/>
    <x v="71"/>
    <n v="1291.5"/>
  </r>
  <r>
    <x v="255"/>
    <x v="9"/>
    <x v="1"/>
    <x v="0"/>
    <x v="529"/>
    <n v="574"/>
  </r>
  <r>
    <x v="255"/>
    <x v="13"/>
    <x v="1"/>
    <x v="5"/>
    <x v="320"/>
    <n v="1012.5"/>
  </r>
  <r>
    <x v="255"/>
    <x v="9"/>
    <x v="1"/>
    <x v="28"/>
    <x v="611"/>
    <n v="878.5"/>
  </r>
  <r>
    <x v="255"/>
    <x v="12"/>
    <x v="1"/>
    <x v="19"/>
    <x v="29"/>
    <n v="1011.2"/>
  </r>
  <r>
    <x v="255"/>
    <x v="13"/>
    <x v="1"/>
    <x v="13"/>
    <x v="76"/>
    <n v="230"/>
  </r>
  <r>
    <x v="255"/>
    <x v="13"/>
    <x v="1"/>
    <x v="6"/>
    <x v="424"/>
    <n v="252.5"/>
  </r>
  <r>
    <x v="255"/>
    <x v="9"/>
    <x v="1"/>
    <x v="44"/>
    <x v="277"/>
    <n v="1382.5"/>
  </r>
  <r>
    <x v="255"/>
    <x v="14"/>
    <x v="1"/>
    <x v="12"/>
    <x v="585"/>
    <n v="1168"/>
  </r>
  <r>
    <x v="255"/>
    <x v="13"/>
    <x v="1"/>
    <x v="8"/>
    <x v="13"/>
    <n v="707.5"/>
  </r>
  <r>
    <x v="255"/>
    <x v="13"/>
    <x v="1"/>
    <x v="5"/>
    <x v="125"/>
    <n v="902.5"/>
  </r>
  <r>
    <x v="256"/>
    <x v="15"/>
    <x v="1"/>
    <x v="35"/>
    <x v="82"/>
    <n v="622.5"/>
  </r>
  <r>
    <x v="256"/>
    <x v="12"/>
    <x v="1"/>
    <x v="15"/>
    <x v="400"/>
    <n v="1145.6000000000001"/>
  </r>
  <r>
    <x v="256"/>
    <x v="15"/>
    <x v="1"/>
    <x v="37"/>
    <x v="301"/>
    <n v="822.5"/>
  </r>
  <r>
    <x v="256"/>
    <x v="9"/>
    <x v="1"/>
    <x v="40"/>
    <x v="176"/>
    <n v="234.5"/>
  </r>
  <r>
    <x v="256"/>
    <x v="15"/>
    <x v="1"/>
    <x v="3"/>
    <x v="547"/>
    <n v="255"/>
  </r>
  <r>
    <x v="256"/>
    <x v="15"/>
    <x v="1"/>
    <x v="34"/>
    <x v="137"/>
    <n v="762.5"/>
  </r>
  <r>
    <x v="257"/>
    <x v="9"/>
    <x v="1"/>
    <x v="6"/>
    <x v="527"/>
    <n v="798"/>
  </r>
  <r>
    <x v="257"/>
    <x v="12"/>
    <x v="1"/>
    <x v="47"/>
    <x v="307"/>
    <n v="275.2"/>
  </r>
  <r>
    <x v="257"/>
    <x v="9"/>
    <x v="1"/>
    <x v="3"/>
    <x v="284"/>
    <n v="465.5"/>
  </r>
  <r>
    <x v="257"/>
    <x v="9"/>
    <x v="1"/>
    <x v="15"/>
    <x v="522"/>
    <n v="791"/>
  </r>
  <r>
    <x v="257"/>
    <x v="9"/>
    <x v="1"/>
    <x v="45"/>
    <x v="567"/>
    <n v="231"/>
  </r>
  <r>
    <x v="257"/>
    <x v="14"/>
    <x v="1"/>
    <x v="23"/>
    <x v="601"/>
    <n v="32"/>
  </r>
  <r>
    <x v="257"/>
    <x v="15"/>
    <x v="1"/>
    <x v="2"/>
    <x v="309"/>
    <n v="200"/>
  </r>
  <r>
    <x v="257"/>
    <x v="15"/>
    <x v="1"/>
    <x v="39"/>
    <x v="105"/>
    <n v="47.5"/>
  </r>
  <r>
    <x v="257"/>
    <x v="13"/>
    <x v="1"/>
    <x v="44"/>
    <x v="2"/>
    <n v="605"/>
  </r>
  <r>
    <x v="257"/>
    <x v="14"/>
    <x v="1"/>
    <x v="36"/>
    <x v="214"/>
    <n v="1526.4"/>
  </r>
  <r>
    <x v="257"/>
    <x v="14"/>
    <x v="1"/>
    <x v="2"/>
    <x v="186"/>
    <n v="1100.8"/>
  </r>
  <r>
    <x v="257"/>
    <x v="9"/>
    <x v="1"/>
    <x v="11"/>
    <x v="548"/>
    <n v="1004.5"/>
  </r>
  <r>
    <x v="257"/>
    <x v="15"/>
    <x v="1"/>
    <x v="17"/>
    <x v="277"/>
    <n v="987.5"/>
  </r>
  <r>
    <x v="257"/>
    <x v="12"/>
    <x v="1"/>
    <x v="15"/>
    <x v="577"/>
    <n v="1532.8000000000002"/>
  </r>
  <r>
    <x v="257"/>
    <x v="14"/>
    <x v="1"/>
    <x v="48"/>
    <x v="75"/>
    <n v="1289.6000000000001"/>
  </r>
  <r>
    <x v="258"/>
    <x v="14"/>
    <x v="1"/>
    <x v="18"/>
    <x v="558"/>
    <n v="121.60000000000001"/>
  </r>
  <r>
    <x v="258"/>
    <x v="9"/>
    <x v="1"/>
    <x v="6"/>
    <x v="451"/>
    <n v="1750"/>
  </r>
  <r>
    <x v="258"/>
    <x v="15"/>
    <x v="1"/>
    <x v="15"/>
    <x v="538"/>
    <n v="435"/>
  </r>
  <r>
    <x v="258"/>
    <x v="12"/>
    <x v="1"/>
    <x v="32"/>
    <x v="258"/>
    <n v="777.6"/>
  </r>
  <r>
    <x v="258"/>
    <x v="9"/>
    <x v="1"/>
    <x v="12"/>
    <x v="6"/>
    <n v="994"/>
  </r>
  <r>
    <x v="258"/>
    <x v="15"/>
    <x v="1"/>
    <x v="8"/>
    <x v="223"/>
    <n v="647.5"/>
  </r>
  <r>
    <x v="258"/>
    <x v="15"/>
    <x v="1"/>
    <x v="0"/>
    <x v="69"/>
    <n v="1037.5"/>
  </r>
  <r>
    <x v="258"/>
    <x v="13"/>
    <x v="1"/>
    <x v="24"/>
    <x v="363"/>
    <n v="485"/>
  </r>
  <r>
    <x v="258"/>
    <x v="15"/>
    <x v="1"/>
    <x v="18"/>
    <x v="308"/>
    <n v="1065"/>
  </r>
  <r>
    <x v="258"/>
    <x v="14"/>
    <x v="1"/>
    <x v="46"/>
    <x v="625"/>
    <n v="131.20000000000002"/>
  </r>
  <r>
    <x v="258"/>
    <x v="9"/>
    <x v="1"/>
    <x v="45"/>
    <x v="514"/>
    <n v="980"/>
  </r>
  <r>
    <x v="258"/>
    <x v="13"/>
    <x v="1"/>
    <x v="35"/>
    <x v="596"/>
    <n v="667.5"/>
  </r>
  <r>
    <x v="258"/>
    <x v="12"/>
    <x v="1"/>
    <x v="43"/>
    <x v="615"/>
    <n v="1184"/>
  </r>
  <r>
    <x v="258"/>
    <x v="14"/>
    <x v="1"/>
    <x v="32"/>
    <x v="40"/>
    <n v="368"/>
  </r>
  <r>
    <x v="258"/>
    <x v="12"/>
    <x v="1"/>
    <x v="19"/>
    <x v="36"/>
    <n v="1427.2"/>
  </r>
  <r>
    <x v="258"/>
    <x v="13"/>
    <x v="1"/>
    <x v="37"/>
    <x v="51"/>
    <n v="317.5"/>
  </r>
  <r>
    <x v="258"/>
    <x v="13"/>
    <x v="1"/>
    <x v="23"/>
    <x v="459"/>
    <n v="615"/>
  </r>
  <r>
    <x v="258"/>
    <x v="13"/>
    <x v="1"/>
    <x v="38"/>
    <x v="607"/>
    <n v="245"/>
  </r>
  <r>
    <x v="258"/>
    <x v="15"/>
    <x v="1"/>
    <x v="20"/>
    <x v="244"/>
    <n v="1187.5"/>
  </r>
  <r>
    <x v="259"/>
    <x v="9"/>
    <x v="1"/>
    <x v="44"/>
    <x v="610"/>
    <n v="1554"/>
  </r>
  <r>
    <x v="259"/>
    <x v="9"/>
    <x v="1"/>
    <x v="25"/>
    <x v="316"/>
    <n v="854"/>
  </r>
  <r>
    <x v="259"/>
    <x v="15"/>
    <x v="1"/>
    <x v="38"/>
    <x v="63"/>
    <n v="1060"/>
  </r>
  <r>
    <x v="259"/>
    <x v="15"/>
    <x v="1"/>
    <x v="15"/>
    <x v="37"/>
    <n v="975"/>
  </r>
  <r>
    <x v="259"/>
    <x v="12"/>
    <x v="1"/>
    <x v="36"/>
    <x v="239"/>
    <n v="409.6"/>
  </r>
  <r>
    <x v="260"/>
    <x v="14"/>
    <x v="1"/>
    <x v="11"/>
    <x v="501"/>
    <n v="608"/>
  </r>
  <r>
    <x v="260"/>
    <x v="14"/>
    <x v="1"/>
    <x v="37"/>
    <x v="96"/>
    <n v="953.6"/>
  </r>
  <r>
    <x v="260"/>
    <x v="12"/>
    <x v="1"/>
    <x v="27"/>
    <x v="368"/>
    <n v="902.40000000000009"/>
  </r>
  <r>
    <x v="260"/>
    <x v="15"/>
    <x v="1"/>
    <x v="45"/>
    <x v="75"/>
    <n v="1007.5"/>
  </r>
  <r>
    <x v="260"/>
    <x v="12"/>
    <x v="1"/>
    <x v="24"/>
    <x v="113"/>
    <n v="1046.4000000000001"/>
  </r>
  <r>
    <x v="260"/>
    <x v="13"/>
    <x v="1"/>
    <x v="34"/>
    <x v="581"/>
    <n v="590"/>
  </r>
  <r>
    <x v="261"/>
    <x v="12"/>
    <x v="1"/>
    <x v="9"/>
    <x v="215"/>
    <n v="1321.6000000000001"/>
  </r>
  <r>
    <x v="261"/>
    <x v="13"/>
    <x v="1"/>
    <x v="2"/>
    <x v="452"/>
    <n v="517.5"/>
  </r>
  <r>
    <x v="261"/>
    <x v="14"/>
    <x v="1"/>
    <x v="48"/>
    <x v="346"/>
    <n v="217.60000000000002"/>
  </r>
  <r>
    <x v="261"/>
    <x v="9"/>
    <x v="1"/>
    <x v="38"/>
    <x v="90"/>
    <n v="591.5"/>
  </r>
  <r>
    <x v="262"/>
    <x v="14"/>
    <x v="1"/>
    <x v="46"/>
    <x v="570"/>
    <n v="572.80000000000007"/>
  </r>
  <r>
    <x v="262"/>
    <x v="12"/>
    <x v="1"/>
    <x v="19"/>
    <x v="466"/>
    <n v="1494.4"/>
  </r>
  <r>
    <x v="262"/>
    <x v="13"/>
    <x v="1"/>
    <x v="14"/>
    <x v="179"/>
    <n v="62.5"/>
  </r>
  <r>
    <x v="262"/>
    <x v="9"/>
    <x v="1"/>
    <x v="15"/>
    <x v="399"/>
    <n v="749"/>
  </r>
  <r>
    <x v="262"/>
    <x v="9"/>
    <x v="1"/>
    <x v="42"/>
    <x v="491"/>
    <n v="1403.5"/>
  </r>
  <r>
    <x v="262"/>
    <x v="13"/>
    <x v="1"/>
    <x v="25"/>
    <x v="315"/>
    <n v="560"/>
  </r>
  <r>
    <x v="262"/>
    <x v="15"/>
    <x v="1"/>
    <x v="30"/>
    <x v="308"/>
    <n v="1065"/>
  </r>
  <r>
    <x v="262"/>
    <x v="13"/>
    <x v="1"/>
    <x v="6"/>
    <x v="221"/>
    <n v="982.5"/>
  </r>
  <r>
    <x v="262"/>
    <x v="14"/>
    <x v="1"/>
    <x v="41"/>
    <x v="448"/>
    <n v="380.8"/>
  </r>
  <r>
    <x v="262"/>
    <x v="9"/>
    <x v="1"/>
    <x v="32"/>
    <x v="602"/>
    <n v="875"/>
  </r>
  <r>
    <x v="262"/>
    <x v="14"/>
    <x v="1"/>
    <x v="48"/>
    <x v="409"/>
    <n v="569.6"/>
  </r>
  <r>
    <x v="263"/>
    <x v="14"/>
    <x v="1"/>
    <x v="10"/>
    <x v="541"/>
    <n v="1513.6000000000001"/>
  </r>
  <r>
    <x v="263"/>
    <x v="12"/>
    <x v="1"/>
    <x v="3"/>
    <x v="287"/>
    <n v="1468.8000000000002"/>
  </r>
  <r>
    <x v="263"/>
    <x v="9"/>
    <x v="1"/>
    <x v="47"/>
    <x v="222"/>
    <n v="1165.5"/>
  </r>
  <r>
    <x v="263"/>
    <x v="14"/>
    <x v="1"/>
    <x v="12"/>
    <x v="409"/>
    <n v="569.6"/>
  </r>
  <r>
    <x v="263"/>
    <x v="9"/>
    <x v="1"/>
    <x v="9"/>
    <x v="117"/>
    <n v="1687"/>
  </r>
  <r>
    <x v="263"/>
    <x v="12"/>
    <x v="1"/>
    <x v="16"/>
    <x v="616"/>
    <n v="1417.6000000000001"/>
  </r>
  <r>
    <x v="263"/>
    <x v="14"/>
    <x v="1"/>
    <x v="3"/>
    <x v="407"/>
    <n v="950.40000000000009"/>
  </r>
  <r>
    <x v="263"/>
    <x v="14"/>
    <x v="1"/>
    <x v="34"/>
    <x v="444"/>
    <n v="892.80000000000007"/>
  </r>
  <r>
    <x v="264"/>
    <x v="14"/>
    <x v="1"/>
    <x v="25"/>
    <x v="71"/>
    <n v="1180.8"/>
  </r>
  <r>
    <x v="264"/>
    <x v="9"/>
    <x v="1"/>
    <x v="2"/>
    <x v="140"/>
    <n v="476"/>
  </r>
  <r>
    <x v="264"/>
    <x v="12"/>
    <x v="1"/>
    <x v="28"/>
    <x v="131"/>
    <n v="73.600000000000009"/>
  </r>
  <r>
    <x v="264"/>
    <x v="9"/>
    <x v="1"/>
    <x v="33"/>
    <x v="215"/>
    <n v="1445.5"/>
  </r>
  <r>
    <x v="264"/>
    <x v="12"/>
    <x v="1"/>
    <x v="0"/>
    <x v="409"/>
    <n v="569.6"/>
  </r>
  <r>
    <x v="264"/>
    <x v="14"/>
    <x v="1"/>
    <x v="42"/>
    <x v="549"/>
    <n v="1040"/>
  </r>
  <r>
    <x v="264"/>
    <x v="15"/>
    <x v="1"/>
    <x v="48"/>
    <x v="268"/>
    <n v="1087.5"/>
  </r>
  <r>
    <x v="264"/>
    <x v="9"/>
    <x v="1"/>
    <x v="49"/>
    <x v="608"/>
    <n v="913.5"/>
  </r>
  <r>
    <x v="264"/>
    <x v="13"/>
    <x v="1"/>
    <x v="26"/>
    <x v="572"/>
    <n v="597.5"/>
  </r>
  <r>
    <x v="264"/>
    <x v="13"/>
    <x v="1"/>
    <x v="20"/>
    <x v="600"/>
    <n v="175"/>
  </r>
  <r>
    <x v="264"/>
    <x v="13"/>
    <x v="1"/>
    <x v="16"/>
    <x v="266"/>
    <n v="1135"/>
  </r>
  <r>
    <x v="264"/>
    <x v="12"/>
    <x v="1"/>
    <x v="42"/>
    <x v="529"/>
    <n v="524.80000000000007"/>
  </r>
  <r>
    <x v="264"/>
    <x v="12"/>
    <x v="1"/>
    <x v="5"/>
    <x v="305"/>
    <n v="1561.6000000000001"/>
  </r>
  <r>
    <x v="265"/>
    <x v="9"/>
    <x v="1"/>
    <x v="1"/>
    <x v="357"/>
    <n v="563.5"/>
  </r>
  <r>
    <x v="265"/>
    <x v="9"/>
    <x v="1"/>
    <x v="46"/>
    <x v="142"/>
    <n v="1088.5"/>
  </r>
  <r>
    <x v="265"/>
    <x v="14"/>
    <x v="1"/>
    <x v="0"/>
    <x v="377"/>
    <n v="1123.2"/>
  </r>
  <r>
    <x v="265"/>
    <x v="14"/>
    <x v="1"/>
    <x v="41"/>
    <x v="51"/>
    <n v="406.40000000000003"/>
  </r>
  <r>
    <x v="266"/>
    <x v="9"/>
    <x v="1"/>
    <x v="32"/>
    <x v="456"/>
    <n v="1221.5"/>
  </r>
  <r>
    <x v="266"/>
    <x v="15"/>
    <x v="1"/>
    <x v="5"/>
    <x v="316"/>
    <n v="610"/>
  </r>
  <r>
    <x v="266"/>
    <x v="12"/>
    <x v="1"/>
    <x v="14"/>
    <x v="449"/>
    <n v="246.4"/>
  </r>
  <r>
    <x v="266"/>
    <x v="13"/>
    <x v="1"/>
    <x v="26"/>
    <x v="228"/>
    <n v="417.5"/>
  </r>
  <r>
    <x v="266"/>
    <x v="14"/>
    <x v="1"/>
    <x v="39"/>
    <x v="27"/>
    <n v="1017.6"/>
  </r>
  <r>
    <x v="266"/>
    <x v="13"/>
    <x v="1"/>
    <x v="4"/>
    <x v="241"/>
    <n v="1162.5"/>
  </r>
  <r>
    <x v="266"/>
    <x v="9"/>
    <x v="1"/>
    <x v="13"/>
    <x v="87"/>
    <n v="329"/>
  </r>
  <r>
    <x v="267"/>
    <x v="9"/>
    <x v="1"/>
    <x v="18"/>
    <x v="338"/>
    <n v="1529.5"/>
  </r>
  <r>
    <x v="267"/>
    <x v="13"/>
    <x v="1"/>
    <x v="49"/>
    <x v="507"/>
    <n v="892.5"/>
  </r>
  <r>
    <x v="267"/>
    <x v="9"/>
    <x v="1"/>
    <x v="4"/>
    <x v="456"/>
    <n v="1221.5"/>
  </r>
  <r>
    <x v="267"/>
    <x v="15"/>
    <x v="1"/>
    <x v="25"/>
    <x v="135"/>
    <n v="1017.5"/>
  </r>
  <r>
    <x v="267"/>
    <x v="14"/>
    <x v="1"/>
    <x v="33"/>
    <x v="567"/>
    <n v="211.20000000000002"/>
  </r>
  <r>
    <x v="267"/>
    <x v="15"/>
    <x v="1"/>
    <x v="17"/>
    <x v="550"/>
    <n v="715"/>
  </r>
  <r>
    <x v="268"/>
    <x v="13"/>
    <x v="1"/>
    <x v="0"/>
    <x v="69"/>
    <n v="1037.5"/>
  </r>
  <r>
    <x v="268"/>
    <x v="13"/>
    <x v="1"/>
    <x v="36"/>
    <x v="601"/>
    <n v="25"/>
  </r>
  <r>
    <x v="268"/>
    <x v="15"/>
    <x v="1"/>
    <x v="8"/>
    <x v="2"/>
    <n v="605"/>
  </r>
  <r>
    <x v="269"/>
    <x v="12"/>
    <x v="1"/>
    <x v="2"/>
    <x v="233"/>
    <n v="1558.4"/>
  </r>
  <r>
    <x v="269"/>
    <x v="14"/>
    <x v="1"/>
    <x v="4"/>
    <x v="588"/>
    <n v="838.40000000000009"/>
  </r>
  <r>
    <x v="269"/>
    <x v="14"/>
    <x v="1"/>
    <x v="49"/>
    <x v="397"/>
    <n v="1299.2"/>
  </r>
  <r>
    <x v="269"/>
    <x v="14"/>
    <x v="1"/>
    <x v="44"/>
    <x v="288"/>
    <n v="550.4"/>
  </r>
  <r>
    <x v="269"/>
    <x v="12"/>
    <x v="1"/>
    <x v="10"/>
    <x v="430"/>
    <n v="166.4"/>
  </r>
  <r>
    <x v="270"/>
    <x v="9"/>
    <x v="1"/>
    <x v="47"/>
    <x v="299"/>
    <n v="780.5"/>
  </r>
  <r>
    <x v="270"/>
    <x v="9"/>
    <x v="1"/>
    <x v="0"/>
    <x v="295"/>
    <n v="227.5"/>
  </r>
  <r>
    <x v="270"/>
    <x v="9"/>
    <x v="1"/>
    <x v="42"/>
    <x v="320"/>
    <n v="1417.5"/>
  </r>
  <r>
    <x v="270"/>
    <x v="13"/>
    <x v="1"/>
    <x v="2"/>
    <x v="197"/>
    <n v="225"/>
  </r>
  <r>
    <x v="270"/>
    <x v="13"/>
    <x v="1"/>
    <x v="6"/>
    <x v="612"/>
    <n v="1040"/>
  </r>
  <r>
    <x v="270"/>
    <x v="9"/>
    <x v="1"/>
    <x v="22"/>
    <x v="506"/>
    <n v="150.5"/>
  </r>
  <r>
    <x v="270"/>
    <x v="12"/>
    <x v="1"/>
    <x v="26"/>
    <x v="465"/>
    <n v="1353.6000000000001"/>
  </r>
  <r>
    <x v="270"/>
    <x v="9"/>
    <x v="1"/>
    <x v="27"/>
    <x v="288"/>
    <n v="602"/>
  </r>
  <r>
    <x v="270"/>
    <x v="9"/>
    <x v="1"/>
    <x v="24"/>
    <x v="523"/>
    <n v="1694"/>
  </r>
  <r>
    <x v="270"/>
    <x v="14"/>
    <x v="1"/>
    <x v="13"/>
    <x v="491"/>
    <n v="1283.2"/>
  </r>
  <r>
    <x v="270"/>
    <x v="9"/>
    <x v="1"/>
    <x v="35"/>
    <x v="414"/>
    <n v="805"/>
  </r>
  <r>
    <x v="270"/>
    <x v="9"/>
    <x v="1"/>
    <x v="25"/>
    <x v="315"/>
    <n v="784"/>
  </r>
  <r>
    <x v="271"/>
    <x v="12"/>
    <x v="1"/>
    <x v="44"/>
    <x v="321"/>
    <n v="844.80000000000007"/>
  </r>
  <r>
    <x v="271"/>
    <x v="9"/>
    <x v="1"/>
    <x v="9"/>
    <x v="359"/>
    <n v="966"/>
  </r>
  <r>
    <x v="271"/>
    <x v="14"/>
    <x v="1"/>
    <x v="49"/>
    <x v="623"/>
    <n v="230.4"/>
  </r>
  <r>
    <x v="271"/>
    <x v="15"/>
    <x v="1"/>
    <x v="47"/>
    <x v="447"/>
    <n v="940"/>
  </r>
  <r>
    <x v="271"/>
    <x v="15"/>
    <x v="1"/>
    <x v="47"/>
    <x v="619"/>
    <n v="1235"/>
  </r>
  <r>
    <x v="271"/>
    <x v="15"/>
    <x v="1"/>
    <x v="31"/>
    <x v="585"/>
    <n v="912.5"/>
  </r>
  <r>
    <x v="271"/>
    <x v="9"/>
    <x v="1"/>
    <x v="45"/>
    <x v="412"/>
    <n v="759.5"/>
  </r>
  <r>
    <x v="271"/>
    <x v="12"/>
    <x v="1"/>
    <x v="8"/>
    <x v="626"/>
    <n v="1478.4"/>
  </r>
  <r>
    <x v="271"/>
    <x v="15"/>
    <x v="1"/>
    <x v="27"/>
    <x v="241"/>
    <n v="1162.5"/>
  </r>
  <r>
    <x v="272"/>
    <x v="14"/>
    <x v="1"/>
    <x v="32"/>
    <x v="202"/>
    <n v="1129.6000000000001"/>
  </r>
  <r>
    <x v="272"/>
    <x v="9"/>
    <x v="1"/>
    <x v="0"/>
    <x v="447"/>
    <n v="1316"/>
  </r>
  <r>
    <x v="272"/>
    <x v="9"/>
    <x v="1"/>
    <x v="35"/>
    <x v="178"/>
    <n v="1540"/>
  </r>
  <r>
    <x v="272"/>
    <x v="13"/>
    <x v="1"/>
    <x v="29"/>
    <x v="220"/>
    <n v="105"/>
  </r>
  <r>
    <x v="272"/>
    <x v="9"/>
    <x v="1"/>
    <x v="27"/>
    <x v="67"/>
    <n v="1246"/>
  </r>
  <r>
    <x v="272"/>
    <x v="13"/>
    <x v="1"/>
    <x v="37"/>
    <x v="509"/>
    <n v="272.5"/>
  </r>
  <r>
    <x v="272"/>
    <x v="13"/>
    <x v="1"/>
    <x v="45"/>
    <x v="55"/>
    <n v="930"/>
  </r>
  <r>
    <x v="273"/>
    <x v="13"/>
    <x v="1"/>
    <x v="28"/>
    <x v="316"/>
    <n v="610"/>
  </r>
  <r>
    <x v="273"/>
    <x v="14"/>
    <x v="1"/>
    <x v="5"/>
    <x v="343"/>
    <n v="1500.8000000000002"/>
  </r>
  <r>
    <x v="273"/>
    <x v="9"/>
    <x v="1"/>
    <x v="44"/>
    <x v="288"/>
    <n v="602"/>
  </r>
  <r>
    <x v="273"/>
    <x v="9"/>
    <x v="1"/>
    <x v="7"/>
    <x v="526"/>
    <n v="1582"/>
  </r>
  <r>
    <x v="273"/>
    <x v="15"/>
    <x v="1"/>
    <x v="25"/>
    <x v="118"/>
    <n v="115"/>
  </r>
  <r>
    <x v="273"/>
    <x v="9"/>
    <x v="1"/>
    <x v="32"/>
    <x v="46"/>
    <n v="1008"/>
  </r>
  <r>
    <x v="274"/>
    <x v="15"/>
    <x v="1"/>
    <x v="40"/>
    <x v="572"/>
    <n v="597.5"/>
  </r>
  <r>
    <x v="274"/>
    <x v="15"/>
    <x v="1"/>
    <x v="26"/>
    <x v="459"/>
    <n v="615"/>
  </r>
  <r>
    <x v="274"/>
    <x v="15"/>
    <x v="1"/>
    <x v="48"/>
    <x v="212"/>
    <n v="595"/>
  </r>
  <r>
    <x v="274"/>
    <x v="9"/>
    <x v="1"/>
    <x v="46"/>
    <x v="237"/>
    <n v="56"/>
  </r>
  <r>
    <x v="274"/>
    <x v="12"/>
    <x v="1"/>
    <x v="24"/>
    <x v="63"/>
    <n v="1356.8000000000002"/>
  </r>
  <r>
    <x v="274"/>
    <x v="9"/>
    <x v="1"/>
    <x v="40"/>
    <x v="201"/>
    <n v="1358"/>
  </r>
  <r>
    <x v="274"/>
    <x v="14"/>
    <x v="1"/>
    <x v="11"/>
    <x v="626"/>
    <n v="1478.4"/>
  </r>
  <r>
    <x v="274"/>
    <x v="12"/>
    <x v="1"/>
    <x v="3"/>
    <x v="623"/>
    <n v="230.4"/>
  </r>
  <r>
    <x v="274"/>
    <x v="12"/>
    <x v="1"/>
    <x v="38"/>
    <x v="549"/>
    <n v="1040"/>
  </r>
  <r>
    <x v="274"/>
    <x v="15"/>
    <x v="1"/>
    <x v="46"/>
    <x v="141"/>
    <n v="1042.5"/>
  </r>
  <r>
    <x v="275"/>
    <x v="9"/>
    <x v="1"/>
    <x v="33"/>
    <x v="1"/>
    <n v="1435"/>
  </r>
  <r>
    <x v="275"/>
    <x v="9"/>
    <x v="1"/>
    <x v="29"/>
    <x v="5"/>
    <n v="1193.5"/>
  </r>
  <r>
    <x v="275"/>
    <x v="15"/>
    <x v="1"/>
    <x v="30"/>
    <x v="217"/>
    <n v="850"/>
  </r>
  <r>
    <x v="275"/>
    <x v="9"/>
    <x v="1"/>
    <x v="35"/>
    <x v="200"/>
    <n v="294"/>
  </r>
  <r>
    <x v="275"/>
    <x v="15"/>
    <x v="1"/>
    <x v="5"/>
    <x v="100"/>
    <n v="990"/>
  </r>
  <r>
    <x v="275"/>
    <x v="9"/>
    <x v="1"/>
    <x v="33"/>
    <x v="300"/>
    <n v="1120"/>
  </r>
  <r>
    <x v="275"/>
    <x v="9"/>
    <x v="1"/>
    <x v="36"/>
    <x v="455"/>
    <n v="661.5"/>
  </r>
  <r>
    <x v="275"/>
    <x v="15"/>
    <x v="1"/>
    <x v="35"/>
    <x v="237"/>
    <n v="40"/>
  </r>
  <r>
    <x v="275"/>
    <x v="9"/>
    <x v="1"/>
    <x v="47"/>
    <x v="587"/>
    <n v="535.5"/>
  </r>
  <r>
    <x v="275"/>
    <x v="9"/>
    <x v="1"/>
    <x v="10"/>
    <x v="242"/>
    <n v="920.5"/>
  </r>
  <r>
    <x v="275"/>
    <x v="12"/>
    <x v="1"/>
    <x v="6"/>
    <x v="97"/>
    <n v="870.40000000000009"/>
  </r>
  <r>
    <x v="276"/>
    <x v="9"/>
    <x v="1"/>
    <x v="12"/>
    <x v="292"/>
    <n v="49"/>
  </r>
  <r>
    <x v="276"/>
    <x v="9"/>
    <x v="1"/>
    <x v="12"/>
    <x v="13"/>
    <n v="990.5"/>
  </r>
  <r>
    <x v="276"/>
    <x v="9"/>
    <x v="1"/>
    <x v="38"/>
    <x v="63"/>
    <n v="1484"/>
  </r>
  <r>
    <x v="276"/>
    <x v="13"/>
    <x v="1"/>
    <x v="14"/>
    <x v="179"/>
    <n v="62.5"/>
  </r>
  <r>
    <x v="276"/>
    <x v="9"/>
    <x v="1"/>
    <x v="8"/>
    <x v="348"/>
    <n v="406"/>
  </r>
  <r>
    <x v="276"/>
    <x v="9"/>
    <x v="1"/>
    <x v="33"/>
    <x v="561"/>
    <n v="434"/>
  </r>
  <r>
    <x v="276"/>
    <x v="9"/>
    <x v="1"/>
    <x v="21"/>
    <x v="245"/>
    <n v="1354.5"/>
  </r>
  <r>
    <x v="276"/>
    <x v="15"/>
    <x v="1"/>
    <x v="45"/>
    <x v="455"/>
    <n v="472.5"/>
  </r>
  <r>
    <x v="276"/>
    <x v="14"/>
    <x v="1"/>
    <x v="26"/>
    <x v="511"/>
    <n v="720"/>
  </r>
  <r>
    <x v="276"/>
    <x v="14"/>
    <x v="1"/>
    <x v="20"/>
    <x v="268"/>
    <n v="1392"/>
  </r>
  <r>
    <x v="276"/>
    <x v="9"/>
    <x v="1"/>
    <x v="18"/>
    <x v="104"/>
    <n v="773.5"/>
  </r>
  <r>
    <x v="276"/>
    <x v="9"/>
    <x v="1"/>
    <x v="36"/>
    <x v="50"/>
    <n v="360.5"/>
  </r>
  <r>
    <x v="277"/>
    <x v="13"/>
    <x v="1"/>
    <x v="31"/>
    <x v="361"/>
    <n v="127.5"/>
  </r>
  <r>
    <x v="277"/>
    <x v="15"/>
    <x v="1"/>
    <x v="47"/>
    <x v="366"/>
    <n v="270"/>
  </r>
  <r>
    <x v="277"/>
    <x v="12"/>
    <x v="1"/>
    <x v="35"/>
    <x v="530"/>
    <n v="553.6"/>
  </r>
  <r>
    <x v="277"/>
    <x v="15"/>
    <x v="1"/>
    <x v="47"/>
    <x v="177"/>
    <n v="775"/>
  </r>
  <r>
    <x v="277"/>
    <x v="14"/>
    <x v="1"/>
    <x v="44"/>
    <x v="16"/>
    <n v="352"/>
  </r>
  <r>
    <x v="277"/>
    <x v="9"/>
    <x v="1"/>
    <x v="26"/>
    <x v="434"/>
    <n v="1074.5"/>
  </r>
  <r>
    <x v="277"/>
    <x v="13"/>
    <x v="1"/>
    <x v="8"/>
    <x v="423"/>
    <n v="1132.5"/>
  </r>
  <r>
    <x v="277"/>
    <x v="13"/>
    <x v="1"/>
    <x v="12"/>
    <x v="601"/>
    <n v="25"/>
  </r>
  <r>
    <x v="277"/>
    <x v="9"/>
    <x v="1"/>
    <x v="21"/>
    <x v="423"/>
    <n v="1585.5"/>
  </r>
  <r>
    <x v="277"/>
    <x v="12"/>
    <x v="1"/>
    <x v="37"/>
    <x v="366"/>
    <n v="345.6"/>
  </r>
  <r>
    <x v="277"/>
    <x v="14"/>
    <x v="1"/>
    <x v="46"/>
    <x v="317"/>
    <n v="681.6"/>
  </r>
  <r>
    <x v="278"/>
    <x v="15"/>
    <x v="1"/>
    <x v="28"/>
    <x v="266"/>
    <n v="1135"/>
  </r>
  <r>
    <x v="278"/>
    <x v="9"/>
    <x v="1"/>
    <x v="45"/>
    <x v="158"/>
    <n v="1053.5"/>
  </r>
  <r>
    <x v="278"/>
    <x v="9"/>
    <x v="1"/>
    <x v="37"/>
    <x v="471"/>
    <n v="1438.5"/>
  </r>
  <r>
    <x v="278"/>
    <x v="14"/>
    <x v="1"/>
    <x v="34"/>
    <x v="279"/>
    <n v="1337.6000000000001"/>
  </r>
  <r>
    <x v="278"/>
    <x v="12"/>
    <x v="1"/>
    <x v="20"/>
    <x v="193"/>
    <n v="476.8"/>
  </r>
  <r>
    <x v="278"/>
    <x v="15"/>
    <x v="1"/>
    <x v="42"/>
    <x v="191"/>
    <n v="577.5"/>
  </r>
  <r>
    <x v="278"/>
    <x v="14"/>
    <x v="1"/>
    <x v="44"/>
    <x v="318"/>
    <n v="1584"/>
  </r>
  <r>
    <x v="278"/>
    <x v="14"/>
    <x v="1"/>
    <x v="32"/>
    <x v="208"/>
    <n v="342.40000000000003"/>
  </r>
  <r>
    <x v="279"/>
    <x v="14"/>
    <x v="1"/>
    <x v="48"/>
    <x v="240"/>
    <n v="480"/>
  </r>
  <r>
    <x v="279"/>
    <x v="9"/>
    <x v="1"/>
    <x v="25"/>
    <x v="365"/>
    <n v="1270.5"/>
  </r>
  <r>
    <x v="279"/>
    <x v="9"/>
    <x v="1"/>
    <x v="31"/>
    <x v="604"/>
    <n v="168"/>
  </r>
  <r>
    <x v="279"/>
    <x v="15"/>
    <x v="1"/>
    <x v="11"/>
    <x v="577"/>
    <n v="1197.5"/>
  </r>
  <r>
    <x v="279"/>
    <x v="9"/>
    <x v="1"/>
    <x v="40"/>
    <x v="576"/>
    <n v="752.5"/>
  </r>
  <r>
    <x v="279"/>
    <x v="14"/>
    <x v="1"/>
    <x v="1"/>
    <x v="522"/>
    <n v="723.2"/>
  </r>
  <r>
    <x v="279"/>
    <x v="9"/>
    <x v="1"/>
    <x v="5"/>
    <x v="152"/>
    <n v="899.5"/>
  </r>
  <r>
    <x v="280"/>
    <x v="9"/>
    <x v="1"/>
    <x v="4"/>
    <x v="206"/>
    <n v="154"/>
  </r>
  <r>
    <x v="280"/>
    <x v="9"/>
    <x v="1"/>
    <x v="15"/>
    <x v="308"/>
    <n v="1491"/>
  </r>
  <r>
    <x v="280"/>
    <x v="9"/>
    <x v="1"/>
    <x v="26"/>
    <x v="118"/>
    <n v="161"/>
  </r>
  <r>
    <x v="280"/>
    <x v="13"/>
    <x v="1"/>
    <x v="32"/>
    <x v="360"/>
    <n v="182.5"/>
  </r>
  <r>
    <x v="280"/>
    <x v="12"/>
    <x v="1"/>
    <x v="29"/>
    <x v="130"/>
    <n v="422.40000000000003"/>
  </r>
  <r>
    <x v="280"/>
    <x v="9"/>
    <x v="1"/>
    <x v="36"/>
    <x v="85"/>
    <n v="1613.5"/>
  </r>
  <r>
    <x v="280"/>
    <x v="12"/>
    <x v="1"/>
    <x v="34"/>
    <x v="475"/>
    <n v="672"/>
  </r>
  <r>
    <x v="280"/>
    <x v="14"/>
    <x v="1"/>
    <x v="13"/>
    <x v="48"/>
    <n v="825.6"/>
  </r>
  <r>
    <x v="280"/>
    <x v="14"/>
    <x v="1"/>
    <x v="43"/>
    <x v="71"/>
    <n v="1180.8"/>
  </r>
  <r>
    <x v="280"/>
    <x v="13"/>
    <x v="1"/>
    <x v="32"/>
    <x v="42"/>
    <n v="27.5"/>
  </r>
  <r>
    <x v="281"/>
    <x v="9"/>
    <x v="1"/>
    <x v="40"/>
    <x v="595"/>
    <n v="868"/>
  </r>
  <r>
    <x v="281"/>
    <x v="15"/>
    <x v="1"/>
    <x v="21"/>
    <x v="530"/>
    <n v="432.5"/>
  </r>
  <r>
    <x v="281"/>
    <x v="13"/>
    <x v="1"/>
    <x v="3"/>
    <x v="59"/>
    <n v="212.5"/>
  </r>
  <r>
    <x v="281"/>
    <x v="15"/>
    <x v="1"/>
    <x v="19"/>
    <x v="147"/>
    <n v="875"/>
  </r>
  <r>
    <x v="281"/>
    <x v="9"/>
    <x v="1"/>
    <x v="14"/>
    <x v="59"/>
    <n v="297.5"/>
  </r>
  <r>
    <x v="282"/>
    <x v="9"/>
    <x v="1"/>
    <x v="32"/>
    <x v="588"/>
    <n v="917"/>
  </r>
  <r>
    <x v="282"/>
    <x v="13"/>
    <x v="1"/>
    <x v="8"/>
    <x v="150"/>
    <n v="972.5"/>
  </r>
  <r>
    <x v="282"/>
    <x v="9"/>
    <x v="1"/>
    <x v="24"/>
    <x v="391"/>
    <n v="1183"/>
  </r>
  <r>
    <x v="282"/>
    <x v="9"/>
    <x v="1"/>
    <x v="6"/>
    <x v="115"/>
    <n v="1739.5"/>
  </r>
  <r>
    <x v="282"/>
    <x v="12"/>
    <x v="1"/>
    <x v="19"/>
    <x v="555"/>
    <n v="512"/>
  </r>
  <r>
    <x v="282"/>
    <x v="15"/>
    <x v="1"/>
    <x v="38"/>
    <x v="204"/>
    <n v="1190"/>
  </r>
  <r>
    <x v="282"/>
    <x v="14"/>
    <x v="1"/>
    <x v="40"/>
    <x v="304"/>
    <n v="1104"/>
  </r>
  <r>
    <x v="282"/>
    <x v="9"/>
    <x v="1"/>
    <x v="6"/>
    <x v="221"/>
    <n v="1375.5"/>
  </r>
  <r>
    <x v="282"/>
    <x v="14"/>
    <x v="1"/>
    <x v="4"/>
    <x v="627"/>
    <n v="505.6"/>
  </r>
  <r>
    <x v="282"/>
    <x v="14"/>
    <x v="1"/>
    <x v="13"/>
    <x v="307"/>
    <n v="275.2"/>
  </r>
  <r>
    <x v="282"/>
    <x v="14"/>
    <x v="1"/>
    <x v="25"/>
    <x v="182"/>
    <n v="320"/>
  </r>
  <r>
    <x v="282"/>
    <x v="9"/>
    <x v="1"/>
    <x v="48"/>
    <x v="271"/>
    <n v="717.5"/>
  </r>
  <r>
    <x v="282"/>
    <x v="12"/>
    <x v="1"/>
    <x v="38"/>
    <x v="93"/>
    <n v="1196.8"/>
  </r>
  <r>
    <x v="282"/>
    <x v="13"/>
    <x v="1"/>
    <x v="5"/>
    <x v="599"/>
    <n v="295"/>
  </r>
  <r>
    <x v="282"/>
    <x v="15"/>
    <x v="1"/>
    <x v="41"/>
    <x v="615"/>
    <n v="925"/>
  </r>
  <r>
    <x v="282"/>
    <x v="14"/>
    <x v="1"/>
    <x v="30"/>
    <x v="353"/>
    <n v="1158.4000000000001"/>
  </r>
  <r>
    <x v="282"/>
    <x v="9"/>
    <x v="1"/>
    <x v="11"/>
    <x v="71"/>
    <n v="1291.5"/>
  </r>
  <r>
    <x v="283"/>
    <x v="9"/>
    <x v="1"/>
    <x v="31"/>
    <x v="136"/>
    <n v="1186.5"/>
  </r>
  <r>
    <x v="283"/>
    <x v="12"/>
    <x v="1"/>
    <x v="44"/>
    <x v="329"/>
    <n v="54.400000000000006"/>
  </r>
  <r>
    <x v="283"/>
    <x v="12"/>
    <x v="1"/>
    <x v="38"/>
    <x v="454"/>
    <n v="867.2"/>
  </r>
  <r>
    <x v="284"/>
    <x v="9"/>
    <x v="1"/>
    <x v="49"/>
    <x v="296"/>
    <n v="1127"/>
  </r>
  <r>
    <x v="284"/>
    <x v="9"/>
    <x v="1"/>
    <x v="10"/>
    <x v="504"/>
    <n v="203"/>
  </r>
  <r>
    <x v="284"/>
    <x v="14"/>
    <x v="1"/>
    <x v="41"/>
    <x v="55"/>
    <n v="1190.4000000000001"/>
  </r>
  <r>
    <x v="284"/>
    <x v="15"/>
    <x v="1"/>
    <x v="27"/>
    <x v="158"/>
    <n v="752.5"/>
  </r>
  <r>
    <x v="285"/>
    <x v="3"/>
    <x v="0"/>
    <x v="14"/>
    <x v="539"/>
    <n v="615.4"/>
  </r>
  <r>
    <x v="285"/>
    <x v="6"/>
    <x v="0"/>
    <x v="37"/>
    <x v="555"/>
    <n v="384"/>
  </r>
  <r>
    <x v="285"/>
    <x v="3"/>
    <x v="0"/>
    <x v="42"/>
    <x v="481"/>
    <n v="744.6"/>
  </r>
  <r>
    <x v="285"/>
    <x v="2"/>
    <x v="0"/>
    <x v="41"/>
    <x v="102"/>
    <n v="858.4"/>
  </r>
  <r>
    <x v="285"/>
    <x v="7"/>
    <x v="0"/>
    <x v="5"/>
    <x v="445"/>
    <n v="1557.2"/>
  </r>
  <r>
    <x v="285"/>
    <x v="3"/>
    <x v="0"/>
    <x v="38"/>
    <x v="36"/>
    <n v="1516.3999999999999"/>
  </r>
  <r>
    <x v="285"/>
    <x v="7"/>
    <x v="0"/>
    <x v="21"/>
    <x v="44"/>
    <n v="1281.8"/>
  </r>
  <r>
    <x v="285"/>
    <x v="8"/>
    <x v="0"/>
    <x v="23"/>
    <x v="294"/>
    <n v="1536"/>
  </r>
  <r>
    <x v="285"/>
    <x v="6"/>
    <x v="0"/>
    <x v="3"/>
    <x v="337"/>
    <n v="952.8"/>
  </r>
  <r>
    <x v="285"/>
    <x v="0"/>
    <x v="0"/>
    <x v="17"/>
    <x v="470"/>
    <n v="2203.1999999999998"/>
  </r>
  <r>
    <x v="286"/>
    <x v="4"/>
    <x v="0"/>
    <x v="44"/>
    <x v="445"/>
    <n v="1557.2"/>
  </r>
  <r>
    <x v="286"/>
    <x v="5"/>
    <x v="0"/>
    <x v="18"/>
    <x v="628"/>
    <n v="2427.6"/>
  </r>
  <r>
    <x v="286"/>
    <x v="7"/>
    <x v="0"/>
    <x v="3"/>
    <x v="452"/>
    <n v="703.8"/>
  </r>
  <r>
    <x v="286"/>
    <x v="8"/>
    <x v="0"/>
    <x v="6"/>
    <x v="327"/>
    <n v="886.40000000000009"/>
  </r>
  <r>
    <x v="286"/>
    <x v="7"/>
    <x v="0"/>
    <x v="17"/>
    <x v="310"/>
    <n v="1339.6"/>
  </r>
  <r>
    <x v="286"/>
    <x v="1"/>
    <x v="0"/>
    <x v="30"/>
    <x v="279"/>
    <n v="1463"/>
  </r>
  <r>
    <x v="286"/>
    <x v="0"/>
    <x v="0"/>
    <x v="39"/>
    <x v="259"/>
    <n v="1353.2"/>
  </r>
  <r>
    <x v="286"/>
    <x v="1"/>
    <x v="0"/>
    <x v="9"/>
    <x v="299"/>
    <n v="780.5"/>
  </r>
  <r>
    <x v="286"/>
    <x v="7"/>
    <x v="0"/>
    <x v="13"/>
    <x v="197"/>
    <n v="306"/>
  </r>
  <r>
    <x v="287"/>
    <x v="5"/>
    <x v="0"/>
    <x v="49"/>
    <x v="629"/>
    <n v="2645.2"/>
  </r>
  <r>
    <x v="287"/>
    <x v="0"/>
    <x v="0"/>
    <x v="10"/>
    <x v="421"/>
    <n v="1978.8"/>
  </r>
  <r>
    <x v="287"/>
    <x v="7"/>
    <x v="0"/>
    <x v="15"/>
    <x v="389"/>
    <n v="741.19999999999993"/>
  </r>
  <r>
    <x v="287"/>
    <x v="7"/>
    <x v="0"/>
    <x v="9"/>
    <x v="546"/>
    <n v="986"/>
  </r>
  <r>
    <x v="287"/>
    <x v="3"/>
    <x v="0"/>
    <x v="19"/>
    <x v="338"/>
    <n v="1485.8"/>
  </r>
  <r>
    <x v="288"/>
    <x v="1"/>
    <x v="0"/>
    <x v="12"/>
    <x v="343"/>
    <n v="1641.5"/>
  </r>
  <r>
    <x v="288"/>
    <x v="2"/>
    <x v="0"/>
    <x v="46"/>
    <x v="403"/>
    <n v="95.7"/>
  </r>
  <r>
    <x v="288"/>
    <x v="3"/>
    <x v="0"/>
    <x v="38"/>
    <x v="151"/>
    <n v="268.59999999999997"/>
  </r>
  <r>
    <x v="288"/>
    <x v="1"/>
    <x v="0"/>
    <x v="17"/>
    <x v="272"/>
    <n v="1162"/>
  </r>
  <r>
    <x v="288"/>
    <x v="6"/>
    <x v="0"/>
    <x v="32"/>
    <x v="130"/>
    <n v="316.8"/>
  </r>
  <r>
    <x v="288"/>
    <x v="1"/>
    <x v="0"/>
    <x v="9"/>
    <x v="438"/>
    <n v="1914.5"/>
  </r>
  <r>
    <x v="288"/>
    <x v="3"/>
    <x v="0"/>
    <x v="18"/>
    <x v="472"/>
    <n v="1003"/>
  </r>
  <r>
    <x v="288"/>
    <x v="0"/>
    <x v="0"/>
    <x v="5"/>
    <x v="378"/>
    <n v="1836"/>
  </r>
  <r>
    <x v="288"/>
    <x v="0"/>
    <x v="0"/>
    <x v="20"/>
    <x v="11"/>
    <n v="754.8"/>
  </r>
  <r>
    <x v="288"/>
    <x v="3"/>
    <x v="0"/>
    <x v="13"/>
    <x v="310"/>
    <n v="1339.6"/>
  </r>
  <r>
    <x v="288"/>
    <x v="2"/>
    <x v="0"/>
    <x v="45"/>
    <x v="549"/>
    <n v="942.5"/>
  </r>
  <r>
    <x v="289"/>
    <x v="6"/>
    <x v="0"/>
    <x v="10"/>
    <x v="425"/>
    <n v="1096.8"/>
  </r>
  <r>
    <x v="289"/>
    <x v="4"/>
    <x v="0"/>
    <x v="34"/>
    <x v="20"/>
    <n v="217.6"/>
  </r>
  <r>
    <x v="289"/>
    <x v="0"/>
    <x v="0"/>
    <x v="7"/>
    <x v="96"/>
    <n v="1013.1999999999999"/>
  </r>
  <r>
    <x v="289"/>
    <x v="0"/>
    <x v="0"/>
    <x v="11"/>
    <x v="630"/>
    <n v="2060.4"/>
  </r>
  <r>
    <x v="289"/>
    <x v="1"/>
    <x v="0"/>
    <x v="11"/>
    <x v="359"/>
    <n v="966"/>
  </r>
  <r>
    <x v="289"/>
    <x v="6"/>
    <x v="0"/>
    <x v="44"/>
    <x v="624"/>
    <n v="340.8"/>
  </r>
  <r>
    <x v="289"/>
    <x v="2"/>
    <x v="0"/>
    <x v="6"/>
    <x v="242"/>
    <n v="762.69999999999993"/>
  </r>
  <r>
    <x v="289"/>
    <x v="7"/>
    <x v="0"/>
    <x v="49"/>
    <x v="154"/>
    <n v="275.39999999999998"/>
  </r>
  <r>
    <x v="289"/>
    <x v="3"/>
    <x v="0"/>
    <x v="46"/>
    <x v="496"/>
    <n v="1179.8"/>
  </r>
  <r>
    <x v="289"/>
    <x v="1"/>
    <x v="0"/>
    <x v="27"/>
    <x v="616"/>
    <n v="1550.5"/>
  </r>
  <r>
    <x v="289"/>
    <x v="8"/>
    <x v="0"/>
    <x v="33"/>
    <x v="608"/>
    <n v="835.2"/>
  </r>
  <r>
    <x v="290"/>
    <x v="1"/>
    <x v="0"/>
    <x v="11"/>
    <x v="150"/>
    <n v="1361.5"/>
  </r>
  <r>
    <x v="290"/>
    <x v="8"/>
    <x v="0"/>
    <x v="48"/>
    <x v="444"/>
    <n v="892.80000000000007"/>
  </r>
  <r>
    <x v="290"/>
    <x v="7"/>
    <x v="0"/>
    <x v="43"/>
    <x v="123"/>
    <n v="1366.8"/>
  </r>
  <r>
    <x v="290"/>
    <x v="8"/>
    <x v="0"/>
    <x v="27"/>
    <x v="394"/>
    <n v="1097.6000000000001"/>
  </r>
  <r>
    <x v="290"/>
    <x v="4"/>
    <x v="0"/>
    <x v="48"/>
    <x v="293"/>
    <n v="122.39999999999999"/>
  </r>
  <r>
    <x v="290"/>
    <x v="0"/>
    <x v="0"/>
    <x v="32"/>
    <x v="266"/>
    <n v="1543.6"/>
  </r>
  <r>
    <x v="290"/>
    <x v="7"/>
    <x v="0"/>
    <x v="13"/>
    <x v="68"/>
    <n v="955.4"/>
  </r>
  <r>
    <x v="290"/>
    <x v="0"/>
    <x v="0"/>
    <x v="3"/>
    <x v="631"/>
    <n v="1703.3999999999999"/>
  </r>
  <r>
    <x v="290"/>
    <x v="4"/>
    <x v="0"/>
    <x v="29"/>
    <x v="380"/>
    <n v="74.8"/>
  </r>
  <r>
    <x v="290"/>
    <x v="7"/>
    <x v="0"/>
    <x v="4"/>
    <x v="126"/>
    <n v="839.8"/>
  </r>
  <r>
    <x v="291"/>
    <x v="5"/>
    <x v="0"/>
    <x v="18"/>
    <x v="397"/>
    <n v="1380.3999999999999"/>
  </r>
  <r>
    <x v="291"/>
    <x v="7"/>
    <x v="0"/>
    <x v="44"/>
    <x v="632"/>
    <n v="1298.8"/>
  </r>
  <r>
    <x v="291"/>
    <x v="7"/>
    <x v="0"/>
    <x v="5"/>
    <x v="296"/>
    <n v="1094.8"/>
  </r>
  <r>
    <x v="291"/>
    <x v="4"/>
    <x v="0"/>
    <x v="20"/>
    <x v="221"/>
    <n v="1336.2"/>
  </r>
  <r>
    <x v="291"/>
    <x v="7"/>
    <x v="0"/>
    <x v="33"/>
    <x v="509"/>
    <n v="370.59999999999997"/>
  </r>
  <r>
    <x v="291"/>
    <x v="1"/>
    <x v="0"/>
    <x v="24"/>
    <x v="216"/>
    <n v="1473.5"/>
  </r>
  <r>
    <x v="292"/>
    <x v="2"/>
    <x v="0"/>
    <x v="30"/>
    <x v="626"/>
    <n v="1339.8"/>
  </r>
  <r>
    <x v="292"/>
    <x v="2"/>
    <x v="0"/>
    <x v="12"/>
    <x v="242"/>
    <n v="762.69999999999993"/>
  </r>
  <r>
    <x v="292"/>
    <x v="7"/>
    <x v="0"/>
    <x v="13"/>
    <x v="295"/>
    <n v="221"/>
  </r>
  <r>
    <x v="292"/>
    <x v="6"/>
    <x v="0"/>
    <x v="17"/>
    <x v="173"/>
    <n v="355.2"/>
  </r>
  <r>
    <x v="293"/>
    <x v="3"/>
    <x v="0"/>
    <x v="0"/>
    <x v="236"/>
    <n v="1662.6"/>
  </r>
  <r>
    <x v="293"/>
    <x v="1"/>
    <x v="0"/>
    <x v="31"/>
    <x v="367"/>
    <n v="1715"/>
  </r>
  <r>
    <x v="293"/>
    <x v="0"/>
    <x v="0"/>
    <x v="33"/>
    <x v="633"/>
    <n v="1907.3999999999999"/>
  </r>
  <r>
    <x v="293"/>
    <x v="5"/>
    <x v="0"/>
    <x v="43"/>
    <x v="241"/>
    <n v="1581"/>
  </r>
  <r>
    <x v="293"/>
    <x v="6"/>
    <x v="0"/>
    <x v="43"/>
    <x v="510"/>
    <n v="1404"/>
  </r>
  <r>
    <x v="293"/>
    <x v="6"/>
    <x v="0"/>
    <x v="17"/>
    <x v="73"/>
    <n v="1389.6"/>
  </r>
  <r>
    <x v="293"/>
    <x v="6"/>
    <x v="0"/>
    <x v="5"/>
    <x v="632"/>
    <n v="916.8"/>
  </r>
  <r>
    <x v="294"/>
    <x v="0"/>
    <x v="0"/>
    <x v="0"/>
    <x v="315"/>
    <n v="761.6"/>
  </r>
  <r>
    <x v="294"/>
    <x v="6"/>
    <x v="0"/>
    <x v="19"/>
    <x v="467"/>
    <n v="727.19999999999993"/>
  </r>
  <r>
    <x v="294"/>
    <x v="7"/>
    <x v="0"/>
    <x v="37"/>
    <x v="212"/>
    <n v="809.19999999999993"/>
  </r>
  <r>
    <x v="294"/>
    <x v="6"/>
    <x v="0"/>
    <x v="6"/>
    <x v="9"/>
    <n v="1113.5999999999999"/>
  </r>
  <r>
    <x v="294"/>
    <x v="5"/>
    <x v="0"/>
    <x v="19"/>
    <x v="73"/>
    <n v="1968.6"/>
  </r>
  <r>
    <x v="294"/>
    <x v="4"/>
    <x v="0"/>
    <x v="43"/>
    <x v="600"/>
    <n v="238"/>
  </r>
  <r>
    <x v="294"/>
    <x v="1"/>
    <x v="0"/>
    <x v="25"/>
    <x v="634"/>
    <n v="2289"/>
  </r>
  <r>
    <x v="294"/>
    <x v="0"/>
    <x v="0"/>
    <x v="29"/>
    <x v="84"/>
    <n v="1237.5999999999999"/>
  </r>
  <r>
    <x v="294"/>
    <x v="1"/>
    <x v="0"/>
    <x v="27"/>
    <x v="513"/>
    <n v="2345"/>
  </r>
  <r>
    <x v="294"/>
    <x v="6"/>
    <x v="0"/>
    <x v="22"/>
    <x v="107"/>
    <n v="1005.5999999999999"/>
  </r>
  <r>
    <x v="294"/>
    <x v="2"/>
    <x v="0"/>
    <x v="21"/>
    <x v="357"/>
    <n v="466.9"/>
  </r>
  <r>
    <x v="294"/>
    <x v="0"/>
    <x v="0"/>
    <x v="37"/>
    <x v="171"/>
    <n v="1077.8"/>
  </r>
  <r>
    <x v="294"/>
    <x v="8"/>
    <x v="0"/>
    <x v="14"/>
    <x v="464"/>
    <n v="1292.8000000000002"/>
  </r>
  <r>
    <x v="295"/>
    <x v="6"/>
    <x v="0"/>
    <x v="2"/>
    <x v="287"/>
    <n v="1101.5999999999999"/>
  </r>
  <r>
    <x v="295"/>
    <x v="2"/>
    <x v="0"/>
    <x v="12"/>
    <x v="618"/>
    <n v="75.399999999999991"/>
  </r>
  <r>
    <x v="295"/>
    <x v="1"/>
    <x v="0"/>
    <x v="30"/>
    <x v="150"/>
    <n v="1361.5"/>
  </r>
  <r>
    <x v="295"/>
    <x v="7"/>
    <x v="0"/>
    <x v="24"/>
    <x v="27"/>
    <n v="1081.2"/>
  </r>
  <r>
    <x v="295"/>
    <x v="2"/>
    <x v="0"/>
    <x v="48"/>
    <x v="222"/>
    <n v="965.69999999999993"/>
  </r>
  <r>
    <x v="295"/>
    <x v="5"/>
    <x v="0"/>
    <x v="30"/>
    <x v="214"/>
    <n v="1621.8"/>
  </r>
  <r>
    <x v="295"/>
    <x v="5"/>
    <x v="0"/>
    <x v="13"/>
    <x v="519"/>
    <n v="1927.8"/>
  </r>
  <r>
    <x v="295"/>
    <x v="3"/>
    <x v="0"/>
    <x v="8"/>
    <x v="86"/>
    <n v="870.4"/>
  </r>
  <r>
    <x v="295"/>
    <x v="2"/>
    <x v="0"/>
    <x v="29"/>
    <x v="44"/>
    <n v="1093.3"/>
  </r>
  <r>
    <x v="295"/>
    <x v="4"/>
    <x v="0"/>
    <x v="17"/>
    <x v="582"/>
    <n v="935"/>
  </r>
  <r>
    <x v="296"/>
    <x v="3"/>
    <x v="0"/>
    <x v="4"/>
    <x v="271"/>
    <n v="697"/>
  </r>
  <r>
    <x v="296"/>
    <x v="8"/>
    <x v="0"/>
    <x v="0"/>
    <x v="106"/>
    <n v="1107.2"/>
  </r>
  <r>
    <x v="296"/>
    <x v="5"/>
    <x v="0"/>
    <x v="29"/>
    <x v="590"/>
    <n v="1468.8"/>
  </r>
  <r>
    <x v="296"/>
    <x v="6"/>
    <x v="0"/>
    <x v="35"/>
    <x v="587"/>
    <n v="367.2"/>
  </r>
  <r>
    <x v="296"/>
    <x v="0"/>
    <x v="0"/>
    <x v="31"/>
    <x v="310"/>
    <n v="1339.6"/>
  </r>
  <r>
    <x v="297"/>
    <x v="8"/>
    <x v="0"/>
    <x v="27"/>
    <x v="372"/>
    <n v="339.20000000000005"/>
  </r>
  <r>
    <x v="297"/>
    <x v="6"/>
    <x v="0"/>
    <x v="6"/>
    <x v="211"/>
    <n v="1387.2"/>
  </r>
  <r>
    <x v="297"/>
    <x v="1"/>
    <x v="0"/>
    <x v="33"/>
    <x v="155"/>
    <n v="1179.5"/>
  </r>
  <r>
    <x v="297"/>
    <x v="4"/>
    <x v="0"/>
    <x v="43"/>
    <x v="299"/>
    <n v="758.19999999999993"/>
  </r>
  <r>
    <x v="297"/>
    <x v="3"/>
    <x v="0"/>
    <x v="17"/>
    <x v="31"/>
    <n v="863.6"/>
  </r>
  <r>
    <x v="297"/>
    <x v="3"/>
    <x v="0"/>
    <x v="38"/>
    <x v="209"/>
    <n v="1139"/>
  </r>
  <r>
    <x v="297"/>
    <x v="4"/>
    <x v="0"/>
    <x v="46"/>
    <x v="228"/>
    <n v="567.79999999999995"/>
  </r>
  <r>
    <x v="297"/>
    <x v="3"/>
    <x v="0"/>
    <x v="45"/>
    <x v="612"/>
    <n v="1414.3999999999999"/>
  </r>
  <r>
    <x v="298"/>
    <x v="8"/>
    <x v="0"/>
    <x v="30"/>
    <x v="179"/>
    <n v="80"/>
  </r>
  <r>
    <x v="298"/>
    <x v="4"/>
    <x v="0"/>
    <x v="22"/>
    <x v="158"/>
    <n v="1023.4"/>
  </r>
  <r>
    <x v="298"/>
    <x v="1"/>
    <x v="0"/>
    <x v="11"/>
    <x v="373"/>
    <n v="2383.5"/>
  </r>
  <r>
    <x v="298"/>
    <x v="1"/>
    <x v="0"/>
    <x v="33"/>
    <x v="635"/>
    <n v="2401"/>
  </r>
  <r>
    <x v="298"/>
    <x v="6"/>
    <x v="0"/>
    <x v="45"/>
    <x v="336"/>
    <n v="861.6"/>
  </r>
  <r>
    <x v="298"/>
    <x v="4"/>
    <x v="0"/>
    <x v="18"/>
    <x v="623"/>
    <n v="244.79999999999998"/>
  </r>
  <r>
    <x v="298"/>
    <x v="6"/>
    <x v="0"/>
    <x v="33"/>
    <x v="402"/>
    <n v="1060.8"/>
  </r>
  <r>
    <x v="298"/>
    <x v="5"/>
    <x v="0"/>
    <x v="38"/>
    <x v="636"/>
    <n v="2193"/>
  </r>
  <r>
    <x v="298"/>
    <x v="6"/>
    <x v="0"/>
    <x v="6"/>
    <x v="141"/>
    <n v="1000.8"/>
  </r>
  <r>
    <x v="298"/>
    <x v="0"/>
    <x v="0"/>
    <x v="29"/>
    <x v="9"/>
    <n v="1577.6"/>
  </r>
  <r>
    <x v="299"/>
    <x v="2"/>
    <x v="0"/>
    <x v="34"/>
    <x v="0"/>
    <n v="1363"/>
  </r>
  <r>
    <x v="299"/>
    <x v="2"/>
    <x v="0"/>
    <x v="13"/>
    <x v="254"/>
    <n v="113.1"/>
  </r>
  <r>
    <x v="299"/>
    <x v="8"/>
    <x v="0"/>
    <x v="29"/>
    <x v="198"/>
    <n v="307.20000000000005"/>
  </r>
  <r>
    <x v="299"/>
    <x v="4"/>
    <x v="0"/>
    <x v="12"/>
    <x v="18"/>
    <n v="1489.2"/>
  </r>
  <r>
    <x v="299"/>
    <x v="1"/>
    <x v="0"/>
    <x v="22"/>
    <x v="215"/>
    <n v="1445.5"/>
  </r>
  <r>
    <x v="299"/>
    <x v="2"/>
    <x v="0"/>
    <x v="34"/>
    <x v="587"/>
    <n v="443.7"/>
  </r>
  <r>
    <x v="300"/>
    <x v="3"/>
    <x v="0"/>
    <x v="19"/>
    <x v="279"/>
    <n v="1421.2"/>
  </r>
  <r>
    <x v="300"/>
    <x v="3"/>
    <x v="0"/>
    <x v="10"/>
    <x v="217"/>
    <n v="1156"/>
  </r>
  <r>
    <x v="300"/>
    <x v="4"/>
    <x v="0"/>
    <x v="24"/>
    <x v="526"/>
    <n v="1536.8"/>
  </r>
  <r>
    <x v="300"/>
    <x v="8"/>
    <x v="0"/>
    <x v="47"/>
    <x v="117"/>
    <n v="1542.4"/>
  </r>
  <r>
    <x v="300"/>
    <x v="0"/>
    <x v="0"/>
    <x v="26"/>
    <x v="13"/>
    <n v="962.19999999999993"/>
  </r>
  <r>
    <x v="300"/>
    <x v="3"/>
    <x v="0"/>
    <x v="19"/>
    <x v="97"/>
    <n v="924.8"/>
  </r>
  <r>
    <x v="300"/>
    <x v="2"/>
    <x v="0"/>
    <x v="6"/>
    <x v="219"/>
    <n v="493"/>
  </r>
  <r>
    <x v="300"/>
    <x v="2"/>
    <x v="0"/>
    <x v="48"/>
    <x v="141"/>
    <n v="1209.3"/>
  </r>
  <r>
    <x v="300"/>
    <x v="1"/>
    <x v="0"/>
    <x v="21"/>
    <x v="349"/>
    <n v="1792"/>
  </r>
  <r>
    <x v="300"/>
    <x v="2"/>
    <x v="0"/>
    <x v="33"/>
    <x v="608"/>
    <n v="756.9"/>
  </r>
  <r>
    <x v="300"/>
    <x v="2"/>
    <x v="0"/>
    <x v="21"/>
    <x v="557"/>
    <n v="397.3"/>
  </r>
  <r>
    <x v="300"/>
    <x v="4"/>
    <x v="0"/>
    <x v="36"/>
    <x v="391"/>
    <n v="1149.2"/>
  </r>
  <r>
    <x v="300"/>
    <x v="1"/>
    <x v="0"/>
    <x v="29"/>
    <x v="104"/>
    <n v="773.5"/>
  </r>
  <r>
    <x v="300"/>
    <x v="3"/>
    <x v="0"/>
    <x v="21"/>
    <x v="14"/>
    <n v="693.6"/>
  </r>
  <r>
    <x v="300"/>
    <x v="8"/>
    <x v="0"/>
    <x v="47"/>
    <x v="258"/>
    <n v="777.6"/>
  </r>
  <r>
    <x v="300"/>
    <x v="0"/>
    <x v="0"/>
    <x v="21"/>
    <x v="98"/>
    <n v="1462"/>
  </r>
  <r>
    <x v="301"/>
    <x v="8"/>
    <x v="0"/>
    <x v="44"/>
    <x v="155"/>
    <n v="1078.4000000000001"/>
  </r>
  <r>
    <x v="301"/>
    <x v="5"/>
    <x v="0"/>
    <x v="36"/>
    <x v="637"/>
    <n v="2342.6"/>
  </r>
  <r>
    <x v="301"/>
    <x v="8"/>
    <x v="0"/>
    <x v="34"/>
    <x v="26"/>
    <n v="659.2"/>
  </r>
  <r>
    <x v="301"/>
    <x v="7"/>
    <x v="0"/>
    <x v="10"/>
    <x v="71"/>
    <n v="1254.5999999999999"/>
  </r>
  <r>
    <x v="301"/>
    <x v="0"/>
    <x v="0"/>
    <x v="33"/>
    <x v="127"/>
    <n v="2006"/>
  </r>
  <r>
    <x v="301"/>
    <x v="7"/>
    <x v="0"/>
    <x v="18"/>
    <x v="67"/>
    <n v="1210.3999999999999"/>
  </r>
  <r>
    <x v="301"/>
    <x v="5"/>
    <x v="0"/>
    <x v="11"/>
    <x v="196"/>
    <n v="1244.3999999999999"/>
  </r>
  <r>
    <x v="302"/>
    <x v="2"/>
    <x v="0"/>
    <x v="26"/>
    <x v="376"/>
    <n v="626.4"/>
  </r>
  <r>
    <x v="302"/>
    <x v="1"/>
    <x v="0"/>
    <x v="30"/>
    <x v="300"/>
    <n v="1120"/>
  </r>
  <r>
    <x v="302"/>
    <x v="8"/>
    <x v="0"/>
    <x v="24"/>
    <x v="322"/>
    <n v="528"/>
  </r>
  <r>
    <x v="302"/>
    <x v="3"/>
    <x v="0"/>
    <x v="22"/>
    <x v="346"/>
    <n v="231.2"/>
  </r>
  <r>
    <x v="302"/>
    <x v="4"/>
    <x v="0"/>
    <x v="41"/>
    <x v="96"/>
    <n v="1013.1999999999999"/>
  </r>
  <r>
    <x v="302"/>
    <x v="0"/>
    <x v="0"/>
    <x v="22"/>
    <x v="233"/>
    <n v="1655.8"/>
  </r>
  <r>
    <x v="303"/>
    <x v="0"/>
    <x v="0"/>
    <x v="9"/>
    <x v="619"/>
    <n v="1679.6"/>
  </r>
  <r>
    <x v="303"/>
    <x v="1"/>
    <x v="0"/>
    <x v="45"/>
    <x v="328"/>
    <n v="1470"/>
  </r>
  <r>
    <x v="303"/>
    <x v="7"/>
    <x v="0"/>
    <x v="34"/>
    <x v="32"/>
    <n v="234.6"/>
  </r>
  <r>
    <x v="303"/>
    <x v="4"/>
    <x v="0"/>
    <x v="4"/>
    <x v="266"/>
    <n v="1543.6"/>
  </r>
  <r>
    <x v="304"/>
    <x v="5"/>
    <x v="0"/>
    <x v="44"/>
    <x v="460"/>
    <n v="1866.6"/>
  </r>
  <r>
    <x v="304"/>
    <x v="5"/>
    <x v="0"/>
    <x v="8"/>
    <x v="638"/>
    <n v="2261"/>
  </r>
  <r>
    <x v="304"/>
    <x v="7"/>
    <x v="0"/>
    <x v="28"/>
    <x v="548"/>
    <n v="975.8"/>
  </r>
  <r>
    <x v="304"/>
    <x v="0"/>
    <x v="0"/>
    <x v="25"/>
    <x v="74"/>
    <n v="1400.8"/>
  </r>
  <r>
    <x v="304"/>
    <x v="6"/>
    <x v="0"/>
    <x v="28"/>
    <x v="96"/>
    <n v="715.19999999999993"/>
  </r>
  <r>
    <x v="304"/>
    <x v="1"/>
    <x v="0"/>
    <x v="46"/>
    <x v="639"/>
    <n v="2002"/>
  </r>
  <r>
    <x v="305"/>
    <x v="5"/>
    <x v="0"/>
    <x v="31"/>
    <x v="252"/>
    <n v="1734"/>
  </r>
  <r>
    <x v="305"/>
    <x v="8"/>
    <x v="0"/>
    <x v="37"/>
    <x v="15"/>
    <n v="1177.6000000000001"/>
  </r>
  <r>
    <x v="305"/>
    <x v="7"/>
    <x v="0"/>
    <x v="20"/>
    <x v="323"/>
    <n v="309.39999999999998"/>
  </r>
  <r>
    <x v="305"/>
    <x v="1"/>
    <x v="0"/>
    <x v="31"/>
    <x v="148"/>
    <n v="1284.5"/>
  </r>
  <r>
    <x v="306"/>
    <x v="3"/>
    <x v="0"/>
    <x v="45"/>
    <x v="505"/>
    <n v="1292"/>
  </r>
  <r>
    <x v="306"/>
    <x v="1"/>
    <x v="0"/>
    <x v="4"/>
    <x v="349"/>
    <n v="1792"/>
  </r>
  <r>
    <x v="306"/>
    <x v="1"/>
    <x v="0"/>
    <x v="31"/>
    <x v="532"/>
    <n v="1571.5"/>
  </r>
  <r>
    <x v="306"/>
    <x v="5"/>
    <x v="0"/>
    <x v="48"/>
    <x v="640"/>
    <n v="2250.7999999999997"/>
  </r>
  <r>
    <x v="306"/>
    <x v="3"/>
    <x v="0"/>
    <x v="20"/>
    <x v="474"/>
    <n v="1060.8"/>
  </r>
  <r>
    <x v="306"/>
    <x v="3"/>
    <x v="0"/>
    <x v="24"/>
    <x v="271"/>
    <n v="697"/>
  </r>
  <r>
    <x v="306"/>
    <x v="1"/>
    <x v="0"/>
    <x v="27"/>
    <x v="167"/>
    <n v="1123.5"/>
  </r>
  <r>
    <x v="306"/>
    <x v="1"/>
    <x v="0"/>
    <x v="3"/>
    <x v="481"/>
    <n v="766.5"/>
  </r>
  <r>
    <x v="306"/>
    <x v="7"/>
    <x v="0"/>
    <x v="47"/>
    <x v="288"/>
    <n v="584.79999999999995"/>
  </r>
  <r>
    <x v="306"/>
    <x v="4"/>
    <x v="0"/>
    <x v="35"/>
    <x v="63"/>
    <n v="1441.6"/>
  </r>
  <r>
    <x v="306"/>
    <x v="8"/>
    <x v="0"/>
    <x v="46"/>
    <x v="491"/>
    <n v="1283.2"/>
  </r>
  <r>
    <x v="306"/>
    <x v="4"/>
    <x v="0"/>
    <x v="49"/>
    <x v="143"/>
    <n v="1390.6"/>
  </r>
  <r>
    <x v="306"/>
    <x v="3"/>
    <x v="0"/>
    <x v="29"/>
    <x v="142"/>
    <n v="1057.3999999999999"/>
  </r>
  <r>
    <x v="306"/>
    <x v="4"/>
    <x v="0"/>
    <x v="38"/>
    <x v="369"/>
    <n v="255"/>
  </r>
  <r>
    <x v="306"/>
    <x v="6"/>
    <x v="0"/>
    <x v="7"/>
    <x v="550"/>
    <n v="686.4"/>
  </r>
  <r>
    <x v="306"/>
    <x v="4"/>
    <x v="0"/>
    <x v="45"/>
    <x v="641"/>
    <n v="265.2"/>
  </r>
  <r>
    <x v="306"/>
    <x v="1"/>
    <x v="0"/>
    <x v="41"/>
    <x v="436"/>
    <n v="1169"/>
  </r>
  <r>
    <x v="306"/>
    <x v="0"/>
    <x v="0"/>
    <x v="46"/>
    <x v="470"/>
    <n v="2203.1999999999998"/>
  </r>
  <r>
    <x v="306"/>
    <x v="8"/>
    <x v="0"/>
    <x v="13"/>
    <x v="476"/>
    <n v="419.20000000000005"/>
  </r>
  <r>
    <x v="306"/>
    <x v="3"/>
    <x v="0"/>
    <x v="39"/>
    <x v="372"/>
    <n v="360.4"/>
  </r>
  <r>
    <x v="306"/>
    <x v="0"/>
    <x v="0"/>
    <x v="23"/>
    <x v="642"/>
    <n v="1880.2"/>
  </r>
  <r>
    <x v="306"/>
    <x v="5"/>
    <x v="0"/>
    <x v="32"/>
    <x v="512"/>
    <n v="1910.8"/>
  </r>
  <r>
    <x v="307"/>
    <x v="3"/>
    <x v="0"/>
    <x v="23"/>
    <x v="610"/>
    <n v="1509.6"/>
  </r>
  <r>
    <x v="307"/>
    <x v="4"/>
    <x v="0"/>
    <x v="41"/>
    <x v="584"/>
    <n v="550.79999999999995"/>
  </r>
  <r>
    <x v="307"/>
    <x v="3"/>
    <x v="0"/>
    <x v="23"/>
    <x v="600"/>
    <n v="238"/>
  </r>
  <r>
    <x v="307"/>
    <x v="8"/>
    <x v="0"/>
    <x v="28"/>
    <x v="643"/>
    <n v="1587.2"/>
  </r>
  <r>
    <x v="307"/>
    <x v="8"/>
    <x v="0"/>
    <x v="28"/>
    <x v="548"/>
    <n v="918.40000000000009"/>
  </r>
  <r>
    <x v="307"/>
    <x v="3"/>
    <x v="0"/>
    <x v="29"/>
    <x v="135"/>
    <n v="1383.8"/>
  </r>
  <r>
    <x v="308"/>
    <x v="3"/>
    <x v="0"/>
    <x v="45"/>
    <x v="125"/>
    <n v="1227.3999999999999"/>
  </r>
  <r>
    <x v="308"/>
    <x v="6"/>
    <x v="0"/>
    <x v="13"/>
    <x v="249"/>
    <n v="369.59999999999997"/>
  </r>
  <r>
    <x v="308"/>
    <x v="1"/>
    <x v="0"/>
    <x v="36"/>
    <x v="277"/>
    <n v="1382.5"/>
  </r>
  <r>
    <x v="308"/>
    <x v="3"/>
    <x v="0"/>
    <x v="31"/>
    <x v="294"/>
    <n v="1632"/>
  </r>
  <r>
    <x v="308"/>
    <x v="5"/>
    <x v="0"/>
    <x v="23"/>
    <x v="112"/>
    <n v="1519.8"/>
  </r>
  <r>
    <x v="308"/>
    <x v="3"/>
    <x v="0"/>
    <x v="37"/>
    <x v="521"/>
    <n v="1064.2"/>
  </r>
  <r>
    <x v="308"/>
    <x v="2"/>
    <x v="0"/>
    <x v="20"/>
    <x v="403"/>
    <n v="95.7"/>
  </r>
  <r>
    <x v="309"/>
    <x v="1"/>
    <x v="0"/>
    <x v="30"/>
    <x v="644"/>
    <n v="1781.5"/>
  </r>
  <r>
    <x v="309"/>
    <x v="4"/>
    <x v="0"/>
    <x v="1"/>
    <x v="573"/>
    <n v="1513"/>
  </r>
  <r>
    <x v="309"/>
    <x v="8"/>
    <x v="0"/>
    <x v="24"/>
    <x v="481"/>
    <n v="700.80000000000007"/>
  </r>
  <r>
    <x v="309"/>
    <x v="6"/>
    <x v="0"/>
    <x v="19"/>
    <x v="159"/>
    <n v="849.6"/>
  </r>
  <r>
    <x v="310"/>
    <x v="0"/>
    <x v="0"/>
    <x v="46"/>
    <x v="384"/>
    <n v="2016.2"/>
  </r>
  <r>
    <x v="310"/>
    <x v="2"/>
    <x v="0"/>
    <x v="24"/>
    <x v="475"/>
    <n v="609"/>
  </r>
  <r>
    <x v="310"/>
    <x v="4"/>
    <x v="0"/>
    <x v="9"/>
    <x v="440"/>
    <n v="680"/>
  </r>
  <r>
    <x v="310"/>
    <x v="5"/>
    <x v="0"/>
    <x v="15"/>
    <x v="75"/>
    <n v="1370.2"/>
  </r>
  <r>
    <x v="310"/>
    <x v="4"/>
    <x v="0"/>
    <x v="4"/>
    <x v="530"/>
    <n v="588.19999999999993"/>
  </r>
  <r>
    <x v="310"/>
    <x v="4"/>
    <x v="0"/>
    <x v="12"/>
    <x v="434"/>
    <n v="1043.8"/>
  </r>
  <r>
    <x v="310"/>
    <x v="7"/>
    <x v="0"/>
    <x v="21"/>
    <x v="150"/>
    <n v="1322.6"/>
  </r>
  <r>
    <x v="311"/>
    <x v="1"/>
    <x v="0"/>
    <x v="15"/>
    <x v="312"/>
    <n v="1526"/>
  </r>
  <r>
    <x v="311"/>
    <x v="8"/>
    <x v="0"/>
    <x v="6"/>
    <x v="151"/>
    <n v="252.8"/>
  </r>
  <r>
    <x v="311"/>
    <x v="0"/>
    <x v="0"/>
    <x v="37"/>
    <x v="114"/>
    <n v="819.4"/>
  </r>
  <r>
    <x v="311"/>
    <x v="2"/>
    <x v="0"/>
    <x v="8"/>
    <x v="599"/>
    <n v="342.2"/>
  </r>
  <r>
    <x v="311"/>
    <x v="4"/>
    <x v="0"/>
    <x v="18"/>
    <x v="415"/>
    <n v="1302.2"/>
  </r>
  <r>
    <x v="311"/>
    <x v="5"/>
    <x v="0"/>
    <x v="3"/>
    <x v="41"/>
    <n v="2138.6"/>
  </r>
  <r>
    <x v="311"/>
    <x v="2"/>
    <x v="0"/>
    <x v="42"/>
    <x v="123"/>
    <n v="1165.8"/>
  </r>
  <r>
    <x v="311"/>
    <x v="3"/>
    <x v="0"/>
    <x v="22"/>
    <x v="90"/>
    <n v="574.6"/>
  </r>
  <r>
    <x v="311"/>
    <x v="7"/>
    <x v="0"/>
    <x v="44"/>
    <x v="68"/>
    <n v="955.4"/>
  </r>
  <r>
    <x v="311"/>
    <x v="5"/>
    <x v="0"/>
    <x v="1"/>
    <x v="201"/>
    <n v="131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15197-9C1E-4C00-9622-3C180C6CC9CD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54" firstHeaderRow="1" firstDataRow="1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 sortType="ascending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dataField="1" showAll="0">
      <items count="646">
        <item x="601"/>
        <item x="42"/>
        <item x="156"/>
        <item x="65"/>
        <item x="292"/>
        <item x="109"/>
        <item x="237"/>
        <item x="329"/>
        <item x="168"/>
        <item x="105"/>
        <item x="417"/>
        <item x="586"/>
        <item x="380"/>
        <item x="131"/>
        <item x="617"/>
        <item x="179"/>
        <item x="618"/>
        <item x="458"/>
        <item x="554"/>
        <item x="565"/>
        <item x="544"/>
        <item x="536"/>
        <item x="52"/>
        <item x="403"/>
        <item x="19"/>
        <item x="553"/>
        <item x="293"/>
        <item x="524"/>
        <item x="558"/>
        <item x="254"/>
        <item x="350"/>
        <item x="625"/>
        <item x="220"/>
        <item x="506"/>
        <item x="206"/>
        <item x="169"/>
        <item x="118"/>
        <item x="81"/>
        <item x="604"/>
        <item x="210"/>
        <item x="545"/>
        <item x="361"/>
        <item x="430"/>
        <item x="339"/>
        <item x="591"/>
        <item x="495"/>
        <item x="404"/>
        <item x="605"/>
        <item x="504"/>
        <item x="128"/>
        <item x="405"/>
        <item x="563"/>
        <item x="579"/>
        <item x="20"/>
        <item x="295"/>
        <item x="567"/>
        <item x="176"/>
        <item x="346"/>
        <item x="32"/>
        <item x="600"/>
        <item x="229"/>
        <item x="623"/>
        <item x="360"/>
        <item x="270"/>
        <item x="369"/>
        <item x="469"/>
        <item x="449"/>
        <item x="641"/>
        <item x="151"/>
        <item x="309"/>
        <item x="154"/>
        <item x="593"/>
        <item x="390"/>
        <item x="200"/>
        <item x="59"/>
        <item x="307"/>
        <item x="485"/>
        <item x="57"/>
        <item x="72"/>
        <item x="197"/>
        <item x="323"/>
        <item x="76"/>
        <item x="226"/>
        <item x="87"/>
        <item x="437"/>
        <item x="198"/>
        <item x="500"/>
        <item x="607"/>
        <item x="232"/>
        <item x="182"/>
        <item x="424"/>
        <item x="547"/>
        <item x="50"/>
        <item x="580"/>
        <item x="568"/>
        <item x="372"/>
        <item x="208"/>
        <item x="366"/>
        <item x="509"/>
        <item x="16"/>
        <item x="116"/>
        <item x="160"/>
        <item x="134"/>
        <item x="24"/>
        <item x="40"/>
        <item x="348"/>
        <item x="370"/>
        <item x="599"/>
        <item x="448"/>
        <item x="54"/>
        <item x="468"/>
        <item x="302"/>
        <item x="561"/>
        <item x="597"/>
        <item x="283"/>
        <item x="51"/>
        <item x="239"/>
        <item x="157"/>
        <item x="269"/>
        <item x="476"/>
        <item x="130"/>
        <item x="284"/>
        <item x="121"/>
        <item x="140"/>
        <item x="557"/>
        <item x="351"/>
        <item x="30"/>
        <item x="551"/>
        <item x="33"/>
        <item x="624"/>
        <item x="482"/>
        <item x="174"/>
        <item x="163"/>
        <item x="479"/>
        <item x="578"/>
        <item x="173"/>
        <item x="193"/>
        <item x="240"/>
        <item x="574"/>
        <item x="575"/>
        <item x="587"/>
        <item x="249"/>
        <item x="275"/>
        <item x="354"/>
        <item x="594"/>
        <item x="627"/>
        <item x="7"/>
        <item x="555"/>
        <item x="357"/>
        <item x="584"/>
        <item x="235"/>
        <item x="529"/>
        <item x="322"/>
        <item x="457"/>
        <item x="228"/>
        <item x="622"/>
        <item x="90"/>
        <item x="219"/>
        <item x="489"/>
        <item x="288"/>
        <item x="530"/>
        <item x="538"/>
        <item x="603"/>
        <item x="260"/>
        <item x="291"/>
        <item x="409"/>
        <item x="570"/>
        <item x="190"/>
        <item x="539"/>
        <item x="347"/>
        <item x="88"/>
        <item x="592"/>
        <item x="203"/>
        <item x="132"/>
        <item x="188"/>
        <item x="374"/>
        <item x="455"/>
        <item x="501"/>
        <item x="218"/>
        <item x="589"/>
        <item x="64"/>
        <item x="363"/>
        <item x="413"/>
        <item x="53"/>
        <item x="165"/>
        <item x="543"/>
        <item x="440"/>
        <item x="540"/>
        <item x="598"/>
        <item x="14"/>
        <item x="271"/>
        <item x="26"/>
        <item x="452"/>
        <item x="566"/>
        <item x="290"/>
        <item x="475"/>
        <item x="108"/>
        <item x="110"/>
        <item x="317"/>
        <item x="399"/>
        <item x="576"/>
        <item x="376"/>
        <item x="412"/>
        <item x="389"/>
        <item x="481"/>
        <item x="396"/>
        <item x="104"/>
        <item x="11"/>
        <item x="299"/>
        <item x="315"/>
        <item x="511"/>
        <item x="522"/>
        <item x="224"/>
        <item x="527"/>
        <item x="387"/>
        <item x="414"/>
        <item x="191"/>
        <item x="61"/>
        <item x="488"/>
        <item x="122"/>
        <item x="274"/>
        <item x="581"/>
        <item x="461"/>
        <item x="212"/>
        <item x="572"/>
        <item x="95"/>
        <item x="114"/>
        <item x="2"/>
        <item x="258"/>
        <item x="316"/>
        <item x="345"/>
        <item x="459"/>
        <item x="126"/>
        <item x="595"/>
        <item x="82"/>
        <item x="602"/>
        <item x="611"/>
        <item x="486"/>
        <item x="435"/>
        <item x="31"/>
        <item x="133"/>
        <item x="86"/>
        <item x="152"/>
        <item x="48"/>
        <item x="223"/>
        <item x="49"/>
        <item x="608"/>
        <item x="588"/>
        <item x="242"/>
        <item x="321"/>
        <item x="569"/>
        <item x="58"/>
        <item x="596"/>
        <item x="614"/>
        <item x="77"/>
        <item x="43"/>
        <item x="454"/>
        <item x="97"/>
        <item x="383"/>
        <item x="314"/>
        <item x="582"/>
        <item x="359"/>
        <item x="327"/>
        <item x="335"/>
        <item x="444"/>
        <item x="514"/>
        <item x="68"/>
        <item x="368"/>
        <item x="13"/>
        <item x="6"/>
        <item x="552"/>
        <item x="550"/>
        <item x="548"/>
        <item x="46"/>
        <item x="175"/>
        <item x="546"/>
        <item x="381"/>
        <item x="264"/>
        <item x="238"/>
        <item x="247"/>
        <item x="472"/>
        <item x="102"/>
        <item x="407"/>
        <item x="96"/>
        <item x="162"/>
        <item x="542"/>
        <item x="158"/>
        <item x="298"/>
        <item x="467"/>
        <item x="453"/>
        <item x="137"/>
        <item x="47"/>
        <item x="434"/>
        <item x="94"/>
        <item x="606"/>
        <item x="177"/>
        <item x="142"/>
        <item x="474"/>
        <item x="521"/>
        <item x="371"/>
        <item x="256"/>
        <item x="29"/>
        <item x="171"/>
        <item x="27"/>
        <item x="462"/>
        <item x="300"/>
        <item x="167"/>
        <item x="296"/>
        <item x="39"/>
        <item x="333"/>
        <item x="549"/>
        <item x="571"/>
        <item x="113"/>
        <item x="280"/>
        <item x="301"/>
        <item x="205"/>
        <item x="23"/>
        <item x="272"/>
        <item x="222"/>
        <item x="436"/>
        <item x="209"/>
        <item x="364"/>
        <item x="155"/>
        <item x="391"/>
        <item x="136"/>
        <item x="217"/>
        <item x="5"/>
        <item x="261"/>
        <item x="394"/>
        <item x="186"/>
        <item x="304"/>
        <item x="106"/>
        <item x="496"/>
        <item x="613"/>
        <item x="456"/>
        <item x="147"/>
        <item x="377"/>
        <item x="560"/>
        <item x="202"/>
        <item x="159"/>
        <item x="515"/>
        <item x="67"/>
        <item x="507"/>
        <item x="400"/>
        <item x="336"/>
        <item x="518"/>
        <item x="125"/>
        <item x="353"/>
        <item x="365"/>
        <item x="84"/>
        <item x="585"/>
        <item x="196"/>
        <item x="148"/>
        <item x="15"/>
        <item x="71"/>
        <item x="615"/>
        <item x="45"/>
        <item x="55"/>
        <item x="583"/>
        <item x="93"/>
        <item x="234"/>
        <item x="447"/>
        <item x="44"/>
        <item x="25"/>
        <item x="420"/>
        <item x="505"/>
        <item x="330"/>
        <item x="632"/>
        <item x="415"/>
        <item x="253"/>
        <item x="119"/>
        <item x="334"/>
        <item x="245"/>
        <item x="201"/>
        <item x="150"/>
        <item x="37"/>
        <item x="499"/>
        <item x="408"/>
        <item x="221"/>
        <item x="310"/>
        <item x="277"/>
        <item x="100"/>
        <item x="337"/>
        <item x="259"/>
        <item x="392"/>
        <item x="103"/>
        <item x="491"/>
        <item x="123"/>
        <item x="75"/>
        <item x="464"/>
        <item x="320"/>
        <item x="397"/>
        <item x="135"/>
        <item x="79"/>
        <item x="143"/>
        <item x="1"/>
        <item x="471"/>
        <item x="74"/>
        <item x="215"/>
        <item x="556"/>
        <item x="69"/>
        <item x="612"/>
        <item x="141"/>
        <item x="279"/>
        <item x="107"/>
        <item x="328"/>
        <item x="216"/>
        <item x="356"/>
        <item x="465"/>
        <item x="63"/>
        <item x="620"/>
        <item x="308"/>
        <item x="442"/>
        <item x="432"/>
        <item x="181"/>
        <item x="98"/>
        <item x="149"/>
        <item x="590"/>
        <item x="189"/>
        <item x="355"/>
        <item x="268"/>
        <item x="312"/>
        <item x="338"/>
        <item x="18"/>
        <item x="564"/>
        <item x="178"/>
        <item x="517"/>
        <item x="402"/>
        <item x="616"/>
        <item x="610"/>
        <item x="573"/>
        <item x="36"/>
        <item x="112"/>
        <item x="278"/>
        <item x="532"/>
        <item x="66"/>
        <item x="411"/>
        <item x="526"/>
        <item x="423"/>
        <item x="266"/>
        <item x="38"/>
        <item x="262"/>
        <item x="425"/>
        <item x="445"/>
        <item x="287"/>
        <item x="145"/>
        <item x="85"/>
        <item x="626"/>
        <item x="89"/>
        <item x="9"/>
        <item x="241"/>
        <item x="297"/>
        <item x="466"/>
        <item x="621"/>
        <item x="343"/>
        <item x="0"/>
        <item x="609"/>
        <item x="427"/>
        <item x="541"/>
        <item x="375"/>
        <item x="244"/>
        <item x="204"/>
        <item x="214"/>
        <item x="124"/>
        <item x="577"/>
        <item x="294"/>
        <item x="185"/>
        <item x="117"/>
        <item x="184"/>
        <item x="523"/>
        <item x="562"/>
        <item x="233"/>
        <item x="305"/>
        <item x="236"/>
        <item x="367"/>
        <item x="285"/>
        <item x="559"/>
        <item x="166"/>
        <item x="619"/>
        <item x="318"/>
        <item x="643"/>
        <item x="115"/>
        <item x="225"/>
        <item x="537"/>
        <item x="451"/>
        <item x="631"/>
        <item x="520"/>
        <item x="484"/>
        <item x="385"/>
        <item x="341"/>
        <item x="180"/>
        <item x="644"/>
        <item x="252"/>
        <item x="111"/>
        <item x="349"/>
        <item x="480"/>
        <item x="477"/>
        <item x="401"/>
        <item x="516"/>
        <item x="101"/>
        <item x="497"/>
        <item x="255"/>
        <item x="199"/>
        <item x="492"/>
        <item x="525"/>
        <item x="490"/>
        <item x="324"/>
        <item x="99"/>
        <item x="3"/>
        <item x="17"/>
        <item x="386"/>
        <item x="80"/>
        <item x="306"/>
        <item x="227"/>
        <item x="378"/>
        <item x="426"/>
        <item x="251"/>
        <item x="4"/>
        <item x="344"/>
        <item x="438"/>
        <item x="487"/>
        <item x="460"/>
        <item x="443"/>
        <item x="192"/>
        <item x="642"/>
        <item x="21"/>
        <item x="91"/>
        <item x="473"/>
        <item x="494"/>
        <item x="183"/>
        <item x="303"/>
        <item x="633"/>
        <item x="512"/>
        <item x="311"/>
        <item x="431"/>
        <item x="83"/>
        <item x="519"/>
        <item x="146"/>
        <item x="10"/>
        <item x="410"/>
        <item x="639"/>
        <item x="230"/>
        <item x="246"/>
        <item x="535"/>
        <item x="276"/>
        <item x="56"/>
        <item x="211"/>
        <item x="73"/>
        <item x="379"/>
        <item x="164"/>
        <item x="421"/>
        <item x="92"/>
        <item x="510"/>
        <item x="127"/>
        <item x="139"/>
        <item x="508"/>
        <item x="384"/>
        <item x="502"/>
        <item x="441"/>
        <item x="273"/>
        <item x="207"/>
        <item x="243"/>
        <item x="172"/>
        <item x="630"/>
        <item x="8"/>
        <item x="257"/>
        <item x="428"/>
        <item x="398"/>
        <item x="331"/>
        <item x="393"/>
        <item x="422"/>
        <item x="138"/>
        <item x="463"/>
        <item x="406"/>
        <item x="153"/>
        <item x="70"/>
        <item x="286"/>
        <item x="41"/>
        <item x="433"/>
        <item x="358"/>
        <item x="528"/>
        <item x="531"/>
        <item x="439"/>
        <item x="22"/>
        <item x="493"/>
        <item x="636"/>
        <item x="144"/>
        <item x="470"/>
        <item x="187"/>
        <item x="634"/>
        <item x="446"/>
        <item x="28"/>
        <item x="325"/>
        <item x="340"/>
        <item x="640"/>
        <item x="638"/>
        <item x="342"/>
        <item x="313"/>
        <item x="513"/>
        <item x="289"/>
        <item x="213"/>
        <item x="533"/>
        <item x="388"/>
        <item x="281"/>
        <item x="265"/>
        <item x="373"/>
        <item x="263"/>
        <item x="362"/>
        <item x="282"/>
        <item x="635"/>
        <item x="419"/>
        <item x="637"/>
        <item x="267"/>
        <item x="60"/>
        <item x="194"/>
        <item x="352"/>
        <item x="416"/>
        <item x="170"/>
        <item x="628"/>
        <item x="35"/>
        <item x="120"/>
        <item x="12"/>
        <item x="382"/>
        <item x="231"/>
        <item x="418"/>
        <item x="62"/>
        <item x="195"/>
        <item x="34"/>
        <item x="319"/>
        <item x="483"/>
        <item x="332"/>
        <item x="78"/>
        <item x="248"/>
        <item x="326"/>
        <item x="503"/>
        <item x="429"/>
        <item x="395"/>
        <item x="534"/>
        <item x="629"/>
        <item x="250"/>
        <item x="129"/>
        <item x="161"/>
        <item x="498"/>
        <item x="450"/>
        <item x="478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a z kilogram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DDD76-4C0E-4D06-BC1F-639F7A8D4341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0" firstHeaderRow="1" firstDataRow="1" firstDataCol="1"/>
  <pivotFields count="8">
    <pivotField numFmtId="14" showAll="0">
      <items count="313">
        <item x="0"/>
        <item x="1"/>
        <item x="2"/>
        <item x="3"/>
        <item sd="0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przycho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3D343-A59E-48BD-ABE2-FC7529236DA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A3:R17" firstHeaderRow="1" firstDataRow="2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Col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dataField="1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numFmtId="165" showAll="0" defaultSubtotal="0">
      <items count="14">
        <item sd="0" x="0"/>
        <item n="styczeń"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a z kilogramy" fld="4" baseField="0" baseItem="0"/>
  </dataFields>
  <formats count="2">
    <format dxfId="14">
      <pivotArea dataOnly="0" labelOnly="1" fieldPosition="0">
        <references count="1">
          <reference field="7" count="1">
            <x v="1"/>
          </reference>
        </references>
      </pivotArea>
    </format>
    <format dxfId="13">
      <pivotArea dataOnly="0" labelOnly="1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7EDB-BAC4-4132-8550-4E87E37D069B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353" firstHeaderRow="1" firstDataRow="1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3"/>
    <field x="6"/>
  </rowFields>
  <rowItems count="2350">
    <i>
      <x/>
    </i>
    <i r="1">
      <x v="5"/>
    </i>
    <i r="1">
      <x v="10"/>
    </i>
    <i r="1">
      <x v="19"/>
    </i>
    <i r="1">
      <x v="22"/>
    </i>
    <i r="1">
      <x v="24"/>
    </i>
    <i r="1">
      <x v="25"/>
    </i>
    <i r="1">
      <x v="27"/>
    </i>
    <i r="1">
      <x v="28"/>
    </i>
    <i r="1">
      <x v="38"/>
    </i>
    <i r="1">
      <x v="52"/>
    </i>
    <i r="1">
      <x v="53"/>
    </i>
    <i r="1">
      <x v="61"/>
    </i>
    <i r="1">
      <x v="76"/>
    </i>
    <i r="1">
      <x v="77"/>
    </i>
    <i r="1">
      <x v="88"/>
    </i>
    <i r="1">
      <x v="92"/>
    </i>
    <i r="1">
      <x v="95"/>
    </i>
    <i r="1">
      <x v="105"/>
    </i>
    <i r="1">
      <x v="106"/>
    </i>
    <i r="1">
      <x v="123"/>
    </i>
    <i r="1">
      <x v="140"/>
    </i>
    <i r="1">
      <x v="160"/>
    </i>
    <i r="1">
      <x v="161"/>
    </i>
    <i r="1">
      <x v="200"/>
    </i>
    <i r="1">
      <x v="205"/>
    </i>
    <i r="1">
      <x v="211"/>
    </i>
    <i r="1">
      <x v="218"/>
    </i>
    <i r="1">
      <x v="224"/>
    </i>
    <i r="1">
      <x v="235"/>
    </i>
    <i r="1">
      <x v="242"/>
    </i>
    <i r="1">
      <x v="250"/>
    </i>
    <i r="1">
      <x v="253"/>
    </i>
    <i r="1">
      <x v="261"/>
    </i>
    <i r="1">
      <x v="267"/>
    </i>
    <i r="1">
      <x v="268"/>
    </i>
    <i r="1">
      <x v="270"/>
    </i>
    <i r="1">
      <x v="278"/>
    </i>
    <i r="1">
      <x v="279"/>
    </i>
    <i r="1">
      <x v="296"/>
    </i>
    <i r="1">
      <x v="305"/>
    </i>
    <i r="1">
      <x v="315"/>
    </i>
    <i r="1">
      <x v="326"/>
    </i>
    <i r="1">
      <x v="337"/>
    </i>
    <i r="1">
      <x v="340"/>
    </i>
    <i r="1">
      <x v="343"/>
    </i>
    <i r="1">
      <x v="351"/>
    </i>
    <i r="1">
      <x v="355"/>
    </i>
    <i r="1">
      <x v="366"/>
    </i>
    <i>
      <x v="1"/>
    </i>
    <i r="1">
      <x v="5"/>
    </i>
    <i r="1">
      <x v="12"/>
    </i>
    <i r="1">
      <x v="17"/>
    </i>
    <i r="1">
      <x v="84"/>
    </i>
    <i r="1">
      <x v="99"/>
    </i>
    <i r="1">
      <x v="111"/>
    </i>
    <i r="1">
      <x v="112"/>
    </i>
    <i r="1">
      <x v="113"/>
    </i>
    <i r="1">
      <x v="141"/>
    </i>
    <i r="1">
      <x v="151"/>
    </i>
    <i r="1">
      <x v="158"/>
    </i>
    <i r="1">
      <x v="174"/>
    </i>
    <i r="1">
      <x v="176"/>
    </i>
    <i r="1">
      <x v="186"/>
    </i>
    <i r="1">
      <x v="221"/>
    </i>
    <i r="1">
      <x v="228"/>
    </i>
    <i r="1">
      <x v="231"/>
    </i>
    <i r="1">
      <x v="243"/>
    </i>
    <i r="1">
      <x v="246"/>
    </i>
    <i r="1">
      <x v="247"/>
    </i>
    <i r="1">
      <x v="257"/>
    </i>
    <i r="1">
      <x v="272"/>
    </i>
    <i r="1">
      <x v="274"/>
    </i>
    <i r="1">
      <x v="279"/>
    </i>
    <i r="1">
      <x v="319"/>
    </i>
    <i r="1">
      <x v="347"/>
    </i>
    <i r="1">
      <x v="351"/>
    </i>
    <i r="1">
      <x v="352"/>
    </i>
    <i r="1">
      <x v="356"/>
    </i>
    <i r="1">
      <x v="366"/>
    </i>
    <i>
      <x v="2"/>
    </i>
    <i r="1">
      <x v="10"/>
    </i>
    <i r="1">
      <x v="17"/>
    </i>
    <i r="1">
      <x v="19"/>
    </i>
    <i r="1">
      <x v="21"/>
    </i>
    <i r="1">
      <x v="24"/>
    </i>
    <i r="1">
      <x v="34"/>
    </i>
    <i r="1">
      <x v="38"/>
    </i>
    <i r="1">
      <x v="43"/>
    </i>
    <i r="1">
      <x v="46"/>
    </i>
    <i r="1">
      <x v="47"/>
    </i>
    <i r="1">
      <x v="49"/>
    </i>
    <i r="1">
      <x v="50"/>
    </i>
    <i r="1">
      <x v="52"/>
    </i>
    <i r="1">
      <x v="55"/>
    </i>
    <i r="1">
      <x v="67"/>
    </i>
    <i r="1">
      <x v="75"/>
    </i>
    <i r="1">
      <x v="86"/>
    </i>
    <i r="1">
      <x v="89"/>
    </i>
    <i r="1">
      <x v="123"/>
    </i>
    <i r="1">
      <x v="130"/>
    </i>
    <i r="1">
      <x v="131"/>
    </i>
    <i r="1">
      <x v="134"/>
    </i>
    <i r="1">
      <x v="142"/>
    </i>
    <i r="1">
      <x v="146"/>
    </i>
    <i r="1">
      <x v="148"/>
    </i>
    <i r="1">
      <x v="158"/>
    </i>
    <i r="1">
      <x v="169"/>
    </i>
    <i r="1">
      <x v="170"/>
    </i>
    <i r="1">
      <x v="179"/>
    </i>
    <i r="1">
      <x v="180"/>
    </i>
    <i r="1">
      <x v="186"/>
    </i>
    <i r="1">
      <x v="194"/>
    </i>
    <i r="1">
      <x v="195"/>
    </i>
    <i r="1">
      <x v="200"/>
    </i>
    <i r="1">
      <x v="212"/>
    </i>
    <i r="1">
      <x v="215"/>
    </i>
    <i r="1">
      <x v="219"/>
    </i>
    <i r="1">
      <x v="225"/>
    </i>
    <i r="1">
      <x v="232"/>
    </i>
    <i r="1">
      <x v="282"/>
    </i>
    <i r="1">
      <x v="284"/>
    </i>
    <i r="1">
      <x v="288"/>
    </i>
    <i r="1">
      <x v="289"/>
    </i>
    <i r="1">
      <x v="296"/>
    </i>
    <i r="1">
      <x v="320"/>
    </i>
    <i r="1">
      <x v="327"/>
    </i>
    <i r="1">
      <x v="329"/>
    </i>
    <i r="1">
      <x v="334"/>
    </i>
    <i r="1">
      <x v="345"/>
    </i>
    <i r="1">
      <x v="349"/>
    </i>
    <i r="1">
      <x v="359"/>
    </i>
    <i r="1">
      <x v="361"/>
    </i>
    <i r="1">
      <x v="363"/>
    </i>
    <i>
      <x v="3"/>
    </i>
    <i r="1">
      <x v="36"/>
    </i>
    <i r="1">
      <x v="59"/>
    </i>
    <i r="1">
      <x v="61"/>
    </i>
    <i r="1">
      <x v="65"/>
    </i>
    <i r="1">
      <x v="109"/>
    </i>
    <i r="1">
      <x v="113"/>
    </i>
    <i r="1">
      <x v="134"/>
    </i>
    <i r="1">
      <x v="148"/>
    </i>
    <i r="1">
      <x v="153"/>
    </i>
    <i r="1">
      <x v="154"/>
    </i>
    <i r="1">
      <x v="156"/>
    </i>
    <i r="1">
      <x v="160"/>
    </i>
    <i r="1">
      <x v="161"/>
    </i>
    <i r="1">
      <x v="180"/>
    </i>
    <i r="1">
      <x v="181"/>
    </i>
    <i r="1">
      <x v="182"/>
    </i>
    <i r="1">
      <x v="188"/>
    </i>
    <i r="1">
      <x v="214"/>
    </i>
    <i r="1">
      <x v="215"/>
    </i>
    <i r="1">
      <x v="221"/>
    </i>
    <i r="1">
      <x v="228"/>
    </i>
    <i r="1">
      <x v="231"/>
    </i>
    <i r="1">
      <x v="235"/>
    </i>
    <i r="1">
      <x v="240"/>
    </i>
    <i r="1">
      <x v="243"/>
    </i>
    <i r="1">
      <x v="251"/>
    </i>
    <i r="1">
      <x v="254"/>
    </i>
    <i r="1">
      <x v="263"/>
    </i>
    <i r="1">
      <x v="267"/>
    </i>
    <i r="1">
      <x v="271"/>
    </i>
    <i r="1">
      <x v="273"/>
    </i>
    <i r="1">
      <x v="275"/>
    </i>
    <i r="1">
      <x v="282"/>
    </i>
    <i r="1">
      <x v="284"/>
    </i>
    <i r="1">
      <x v="285"/>
    </i>
    <i r="1">
      <x v="289"/>
    </i>
    <i r="1">
      <x v="312"/>
    </i>
    <i r="1">
      <x v="315"/>
    </i>
    <i r="1">
      <x v="317"/>
    </i>
    <i r="1">
      <x v="320"/>
    </i>
    <i r="1">
      <x v="335"/>
    </i>
    <i r="1">
      <x v="338"/>
    </i>
    <i r="1">
      <x v="341"/>
    </i>
    <i r="1">
      <x v="361"/>
    </i>
    <i>
      <x v="4"/>
    </i>
    <i r="1">
      <x v="4"/>
    </i>
    <i r="1">
      <x v="18"/>
    </i>
    <i r="1">
      <x v="19"/>
    </i>
    <i r="1">
      <x v="34"/>
    </i>
    <i r="1">
      <x v="38"/>
    </i>
    <i r="1">
      <x v="40"/>
    </i>
    <i r="1">
      <x v="41"/>
    </i>
    <i r="1">
      <x v="45"/>
    </i>
    <i r="1">
      <x v="46"/>
    </i>
    <i r="1">
      <x v="52"/>
    </i>
    <i r="1">
      <x v="53"/>
    </i>
    <i r="1">
      <x v="59"/>
    </i>
    <i r="1">
      <x v="65"/>
    </i>
    <i r="1">
      <x v="72"/>
    </i>
    <i r="1">
      <x v="81"/>
    </i>
    <i r="1">
      <x v="88"/>
    </i>
    <i r="1">
      <x v="98"/>
    </i>
    <i r="1">
      <x v="106"/>
    </i>
    <i r="1">
      <x v="107"/>
    </i>
    <i r="1">
      <x v="116"/>
    </i>
    <i r="1">
      <x v="120"/>
    </i>
    <i r="1">
      <x v="135"/>
    </i>
    <i r="1">
      <x v="139"/>
    </i>
    <i r="1">
      <x v="146"/>
    </i>
    <i r="1">
      <x v="147"/>
    </i>
    <i r="1">
      <x v="154"/>
    </i>
    <i r="1">
      <x v="155"/>
    </i>
    <i r="1">
      <x v="165"/>
    </i>
    <i r="1">
      <x v="177"/>
    </i>
    <i r="1">
      <x v="179"/>
    </i>
    <i r="1">
      <x v="180"/>
    </i>
    <i r="1">
      <x v="195"/>
    </i>
    <i r="1">
      <x v="207"/>
    </i>
    <i r="1">
      <x v="212"/>
    </i>
    <i r="1">
      <x v="216"/>
    </i>
    <i r="1">
      <x v="225"/>
    </i>
    <i r="1">
      <x v="232"/>
    </i>
    <i r="1">
      <x v="235"/>
    </i>
    <i r="1">
      <x v="237"/>
    </i>
    <i r="1">
      <x v="244"/>
    </i>
    <i r="1">
      <x v="247"/>
    </i>
    <i r="1">
      <x v="249"/>
    </i>
    <i r="1">
      <x v="265"/>
    </i>
    <i r="1">
      <x v="268"/>
    </i>
    <i r="1">
      <x v="277"/>
    </i>
    <i r="1">
      <x v="279"/>
    </i>
    <i r="1">
      <x v="296"/>
    </i>
    <i r="1">
      <x v="302"/>
    </i>
    <i r="1">
      <x v="303"/>
    </i>
    <i r="1">
      <x v="305"/>
    </i>
    <i r="1">
      <x v="306"/>
    </i>
    <i r="1">
      <x v="309"/>
    </i>
    <i r="1">
      <x v="330"/>
    </i>
    <i r="1">
      <x v="338"/>
    </i>
    <i r="1">
      <x v="365"/>
    </i>
    <i r="1">
      <x v="366"/>
    </i>
    <i>
      <x v="5"/>
    </i>
    <i r="1">
      <x v="10"/>
    </i>
    <i r="1">
      <x v="11"/>
    </i>
    <i r="1">
      <x v="31"/>
    </i>
    <i r="1">
      <x v="32"/>
    </i>
    <i r="1">
      <x v="36"/>
    </i>
    <i r="1">
      <x v="42"/>
    </i>
    <i r="1">
      <x v="54"/>
    </i>
    <i r="1">
      <x v="59"/>
    </i>
    <i r="1">
      <x v="64"/>
    </i>
    <i r="1">
      <x v="74"/>
    </i>
    <i r="1">
      <x v="77"/>
    </i>
    <i r="1">
      <x v="82"/>
    </i>
    <i r="1">
      <x v="88"/>
    </i>
    <i r="1">
      <x v="89"/>
    </i>
    <i r="1">
      <x v="91"/>
    </i>
    <i r="1">
      <x v="109"/>
    </i>
    <i r="1">
      <x v="117"/>
    </i>
    <i r="1">
      <x v="118"/>
    </i>
    <i r="1">
      <x v="137"/>
    </i>
    <i r="1">
      <x v="144"/>
    </i>
    <i r="1">
      <x v="149"/>
    </i>
    <i r="1">
      <x v="151"/>
    </i>
    <i r="1">
      <x v="153"/>
    </i>
    <i r="1">
      <x v="158"/>
    </i>
    <i r="1">
      <x v="173"/>
    </i>
    <i r="1">
      <x v="183"/>
    </i>
    <i r="1">
      <x v="193"/>
    </i>
    <i r="1">
      <x v="200"/>
    </i>
    <i r="1">
      <x v="202"/>
    </i>
    <i r="1">
      <x v="207"/>
    </i>
    <i r="1">
      <x v="212"/>
    </i>
    <i r="1">
      <x v="215"/>
    </i>
    <i r="1">
      <x v="217"/>
    </i>
    <i r="1">
      <x v="221"/>
    </i>
    <i r="1">
      <x v="233"/>
    </i>
    <i r="1">
      <x v="245"/>
    </i>
    <i r="1">
      <x v="246"/>
    </i>
    <i r="1">
      <x v="249"/>
    </i>
    <i r="1">
      <x v="250"/>
    </i>
    <i r="1">
      <x v="254"/>
    </i>
    <i r="1">
      <x v="266"/>
    </i>
    <i r="1">
      <x v="279"/>
    </i>
    <i r="1">
      <x v="284"/>
    </i>
    <i r="1">
      <x v="291"/>
    </i>
    <i r="1">
      <x v="292"/>
    </i>
    <i r="1">
      <x v="298"/>
    </i>
    <i r="1">
      <x v="300"/>
    </i>
    <i r="1">
      <x v="312"/>
    </i>
    <i r="1">
      <x v="315"/>
    </i>
    <i r="1">
      <x v="324"/>
    </i>
    <i r="1">
      <x v="326"/>
    </i>
    <i r="1">
      <x v="341"/>
    </i>
    <i r="1">
      <x v="343"/>
    </i>
    <i r="1">
      <x v="345"/>
    </i>
    <i r="1">
      <x v="350"/>
    </i>
    <i r="1">
      <x v="351"/>
    </i>
    <i r="1">
      <x v="354"/>
    </i>
    <i r="1">
      <x v="355"/>
    </i>
    <i>
      <x v="6"/>
    </i>
    <i r="1">
      <x v="10"/>
    </i>
    <i r="1">
      <x v="13"/>
    </i>
    <i r="1">
      <x v="14"/>
    </i>
    <i r="1">
      <x v="31"/>
    </i>
    <i r="1">
      <x v="39"/>
    </i>
    <i r="1">
      <x v="41"/>
    </i>
    <i r="1">
      <x v="52"/>
    </i>
    <i r="1">
      <x v="54"/>
    </i>
    <i r="1">
      <x v="59"/>
    </i>
    <i r="1">
      <x v="61"/>
    </i>
    <i r="1">
      <x v="63"/>
    </i>
    <i r="1">
      <x v="69"/>
    </i>
    <i r="1">
      <x v="92"/>
    </i>
    <i r="1">
      <x v="93"/>
    </i>
    <i r="1">
      <x v="95"/>
    </i>
    <i r="1">
      <x v="97"/>
    </i>
    <i r="1">
      <x v="99"/>
    </i>
    <i r="1">
      <x v="103"/>
    </i>
    <i r="1">
      <x v="105"/>
    </i>
    <i r="1">
      <x v="106"/>
    </i>
    <i r="1">
      <x v="126"/>
    </i>
    <i r="1">
      <x v="127"/>
    </i>
    <i r="1">
      <x v="137"/>
    </i>
    <i r="1">
      <x v="154"/>
    </i>
    <i r="1">
      <x v="165"/>
    </i>
    <i r="1">
      <x v="176"/>
    </i>
    <i r="1">
      <x v="177"/>
    </i>
    <i r="1">
      <x v="182"/>
    </i>
    <i r="1">
      <x v="187"/>
    </i>
    <i r="1">
      <x v="209"/>
    </i>
    <i r="1">
      <x v="211"/>
    </i>
    <i r="1">
      <x v="212"/>
    </i>
    <i r="1">
      <x v="235"/>
    </i>
    <i r="1">
      <x v="245"/>
    </i>
    <i r="1">
      <x v="252"/>
    </i>
    <i r="1">
      <x v="270"/>
    </i>
    <i r="1">
      <x v="271"/>
    </i>
    <i r="1">
      <x v="284"/>
    </i>
    <i r="1">
      <x v="303"/>
    </i>
    <i r="1">
      <x v="306"/>
    </i>
    <i r="1">
      <x v="316"/>
    </i>
    <i r="1">
      <x v="324"/>
    </i>
    <i r="1">
      <x v="326"/>
    </i>
    <i r="1">
      <x v="330"/>
    </i>
    <i r="1">
      <x v="354"/>
    </i>
    <i r="1">
      <x v="355"/>
    </i>
    <i r="1">
      <x v="363"/>
    </i>
    <i>
      <x v="7"/>
    </i>
    <i r="1">
      <x v="5"/>
    </i>
    <i r="1">
      <x v="12"/>
    </i>
    <i r="1">
      <x v="17"/>
    </i>
    <i r="1">
      <x v="19"/>
    </i>
    <i r="1">
      <x v="57"/>
    </i>
    <i r="1">
      <x v="61"/>
    </i>
    <i r="1">
      <x v="62"/>
    </i>
    <i r="1">
      <x v="64"/>
    </i>
    <i r="1">
      <x v="70"/>
    </i>
    <i r="1">
      <x v="71"/>
    </i>
    <i r="1">
      <x v="81"/>
    </i>
    <i r="1">
      <x v="83"/>
    </i>
    <i r="1">
      <x v="85"/>
    </i>
    <i r="1">
      <x v="89"/>
    </i>
    <i r="1">
      <x v="112"/>
    </i>
    <i r="1">
      <x v="114"/>
    </i>
    <i r="1">
      <x v="116"/>
    </i>
    <i r="1">
      <x v="120"/>
    </i>
    <i r="1">
      <x v="130"/>
    </i>
    <i r="1">
      <x v="142"/>
    </i>
    <i r="1">
      <x v="147"/>
    </i>
    <i r="1">
      <x v="151"/>
    </i>
    <i r="1">
      <x v="154"/>
    </i>
    <i r="1">
      <x v="158"/>
    </i>
    <i r="1">
      <x v="167"/>
    </i>
    <i r="1">
      <x v="172"/>
    </i>
    <i r="1">
      <x v="174"/>
    </i>
    <i r="1">
      <x v="175"/>
    </i>
    <i r="1">
      <x v="186"/>
    </i>
    <i r="1">
      <x v="187"/>
    </i>
    <i r="1">
      <x v="197"/>
    </i>
    <i r="1">
      <x v="200"/>
    </i>
    <i r="1">
      <x v="202"/>
    </i>
    <i r="1">
      <x v="204"/>
    </i>
    <i r="1">
      <x v="209"/>
    </i>
    <i r="1">
      <x v="210"/>
    </i>
    <i r="1">
      <x v="214"/>
    </i>
    <i r="1">
      <x v="229"/>
    </i>
    <i r="1">
      <x v="250"/>
    </i>
    <i r="1">
      <x v="253"/>
    </i>
    <i r="1">
      <x v="258"/>
    </i>
    <i r="1">
      <x v="267"/>
    </i>
    <i r="1">
      <x v="273"/>
    </i>
    <i r="1">
      <x v="277"/>
    </i>
    <i r="1">
      <x v="289"/>
    </i>
    <i r="1">
      <x v="301"/>
    </i>
    <i r="1">
      <x v="305"/>
    </i>
    <i r="1">
      <x v="309"/>
    </i>
    <i r="1">
      <x v="331"/>
    </i>
    <i r="1">
      <x v="333"/>
    </i>
    <i r="1">
      <x v="338"/>
    </i>
    <i r="1">
      <x v="347"/>
    </i>
    <i r="1">
      <x v="354"/>
    </i>
    <i r="1">
      <x v="364"/>
    </i>
    <i>
      <x v="8"/>
    </i>
    <i r="1">
      <x v="11"/>
    </i>
    <i r="1">
      <x v="27"/>
    </i>
    <i r="1">
      <x v="40"/>
    </i>
    <i r="1">
      <x v="54"/>
    </i>
    <i r="1">
      <x v="57"/>
    </i>
    <i r="1">
      <x v="59"/>
    </i>
    <i r="1">
      <x v="65"/>
    </i>
    <i r="1">
      <x v="74"/>
    </i>
    <i r="1">
      <x v="75"/>
    </i>
    <i r="1">
      <x v="81"/>
    </i>
    <i r="1">
      <x v="85"/>
    </i>
    <i r="1">
      <x v="102"/>
    </i>
    <i r="1">
      <x v="107"/>
    </i>
    <i r="1">
      <x v="109"/>
    </i>
    <i r="1">
      <x v="121"/>
    </i>
    <i r="1">
      <x v="125"/>
    </i>
    <i r="1">
      <x v="137"/>
    </i>
    <i r="1">
      <x v="139"/>
    </i>
    <i r="1">
      <x v="155"/>
    </i>
    <i r="1">
      <x v="169"/>
    </i>
    <i r="1">
      <x v="193"/>
    </i>
    <i r="1">
      <x v="205"/>
    </i>
    <i r="1">
      <x v="207"/>
    </i>
    <i r="1">
      <x v="210"/>
    </i>
    <i r="1">
      <x v="219"/>
    </i>
    <i r="1">
      <x v="221"/>
    </i>
    <i r="1">
      <x v="238"/>
    </i>
    <i r="1">
      <x v="242"/>
    </i>
    <i r="1">
      <x v="252"/>
    </i>
    <i r="1">
      <x v="256"/>
    </i>
    <i r="1">
      <x v="260"/>
    </i>
    <i r="1">
      <x v="261"/>
    </i>
    <i r="1">
      <x v="263"/>
    </i>
    <i r="1">
      <x v="266"/>
    </i>
    <i r="1">
      <x v="277"/>
    </i>
    <i r="1">
      <x v="279"/>
    </i>
    <i r="1">
      <x v="282"/>
    </i>
    <i r="1">
      <x v="299"/>
    </i>
    <i r="1">
      <x v="303"/>
    </i>
    <i r="1">
      <x v="314"/>
    </i>
    <i r="1">
      <x v="337"/>
    </i>
    <i r="1">
      <x v="361"/>
    </i>
    <i>
      <x v="9"/>
    </i>
    <i r="1">
      <x v="3"/>
    </i>
    <i r="1">
      <x v="14"/>
    </i>
    <i r="1">
      <x v="25"/>
    </i>
    <i r="1">
      <x v="26"/>
    </i>
    <i r="1">
      <x v="27"/>
    </i>
    <i r="1">
      <x v="41"/>
    </i>
    <i r="1">
      <x v="45"/>
    </i>
    <i r="1">
      <x v="63"/>
    </i>
    <i r="1">
      <x v="71"/>
    </i>
    <i r="1">
      <x v="77"/>
    </i>
    <i r="1">
      <x v="95"/>
    </i>
    <i r="1">
      <x v="102"/>
    </i>
    <i r="1">
      <x v="110"/>
    </i>
    <i r="1">
      <x v="111"/>
    </i>
    <i r="1">
      <x v="114"/>
    </i>
    <i r="1">
      <x v="126"/>
    </i>
    <i r="1">
      <x v="130"/>
    </i>
    <i r="1">
      <x v="131"/>
    </i>
    <i r="1">
      <x v="153"/>
    </i>
    <i r="1">
      <x v="165"/>
    </i>
    <i r="1">
      <x v="173"/>
    </i>
    <i r="1">
      <x v="180"/>
    </i>
    <i r="1">
      <x v="182"/>
    </i>
    <i r="1">
      <x v="198"/>
    </i>
    <i r="1">
      <x v="233"/>
    </i>
    <i r="1">
      <x v="235"/>
    </i>
    <i r="1">
      <x v="243"/>
    </i>
    <i r="1">
      <x v="246"/>
    </i>
    <i r="1">
      <x v="251"/>
    </i>
    <i r="1">
      <x v="252"/>
    </i>
    <i r="1">
      <x v="256"/>
    </i>
    <i r="1">
      <x v="263"/>
    </i>
    <i r="1">
      <x v="279"/>
    </i>
    <i r="1">
      <x v="296"/>
    </i>
    <i r="1">
      <x v="322"/>
    </i>
    <i r="1">
      <x v="341"/>
    </i>
    <i r="1">
      <x v="361"/>
    </i>
    <i>
      <x v="10"/>
    </i>
    <i r="1">
      <x v="10"/>
    </i>
    <i r="1">
      <x v="14"/>
    </i>
    <i r="1">
      <x v="15"/>
    </i>
    <i r="1">
      <x v="17"/>
    </i>
    <i r="1">
      <x v="24"/>
    </i>
    <i r="1">
      <x v="31"/>
    </i>
    <i r="1">
      <x v="33"/>
    </i>
    <i r="1">
      <x v="38"/>
    </i>
    <i r="1">
      <x v="46"/>
    </i>
    <i r="1">
      <x v="52"/>
    </i>
    <i r="1">
      <x v="57"/>
    </i>
    <i r="1">
      <x v="69"/>
    </i>
    <i r="1">
      <x v="78"/>
    </i>
    <i r="1">
      <x v="84"/>
    </i>
    <i r="1">
      <x v="90"/>
    </i>
    <i r="1">
      <x v="91"/>
    </i>
    <i r="1">
      <x v="95"/>
    </i>
    <i r="1">
      <x v="111"/>
    </i>
    <i r="1">
      <x v="130"/>
    </i>
    <i r="1">
      <x v="139"/>
    </i>
    <i r="1">
      <x v="147"/>
    </i>
    <i r="1">
      <x v="149"/>
    </i>
    <i r="1">
      <x v="169"/>
    </i>
    <i r="1">
      <x v="176"/>
    </i>
    <i r="1">
      <x v="195"/>
    </i>
    <i r="1">
      <x v="197"/>
    </i>
    <i r="1">
      <x v="207"/>
    </i>
    <i r="1">
      <x v="219"/>
    </i>
    <i r="1">
      <x v="222"/>
    </i>
    <i r="1">
      <x v="225"/>
    </i>
    <i r="1">
      <x v="239"/>
    </i>
    <i r="1">
      <x v="242"/>
    </i>
    <i r="1">
      <x v="256"/>
    </i>
    <i r="1">
      <x v="270"/>
    </i>
    <i r="1">
      <x v="271"/>
    </i>
    <i r="1">
      <x v="277"/>
    </i>
    <i r="1">
      <x v="280"/>
    </i>
    <i r="1">
      <x v="289"/>
    </i>
    <i r="1">
      <x v="293"/>
    </i>
    <i r="1">
      <x v="294"/>
    </i>
    <i r="1">
      <x v="296"/>
    </i>
    <i r="1">
      <x v="305"/>
    </i>
    <i r="1">
      <x v="309"/>
    </i>
    <i r="1">
      <x v="314"/>
    </i>
    <i r="1">
      <x v="321"/>
    </i>
    <i r="1">
      <x v="322"/>
    </i>
    <i r="1">
      <x v="328"/>
    </i>
    <i r="1">
      <x v="330"/>
    </i>
    <i r="1">
      <x v="333"/>
    </i>
    <i r="1">
      <x v="340"/>
    </i>
    <i r="1">
      <x v="342"/>
    </i>
    <i r="1">
      <x v="361"/>
    </i>
    <i>
      <x v="11"/>
    </i>
    <i r="1">
      <x v="3"/>
    </i>
    <i r="1">
      <x v="13"/>
    </i>
    <i r="1">
      <x v="24"/>
    </i>
    <i r="1">
      <x v="34"/>
    </i>
    <i r="1">
      <x v="49"/>
    </i>
    <i r="1">
      <x v="64"/>
    </i>
    <i r="1">
      <x v="65"/>
    </i>
    <i r="1">
      <x v="77"/>
    </i>
    <i r="1">
      <x v="81"/>
    </i>
    <i r="1">
      <x v="88"/>
    </i>
    <i r="1">
      <x v="91"/>
    </i>
    <i r="1">
      <x v="92"/>
    </i>
    <i r="1">
      <x v="93"/>
    </i>
    <i r="1">
      <x v="106"/>
    </i>
    <i r="1">
      <x v="158"/>
    </i>
    <i r="1">
      <x v="167"/>
    </i>
    <i r="1">
      <x v="181"/>
    </i>
    <i r="1">
      <x v="183"/>
    </i>
    <i r="1">
      <x v="200"/>
    </i>
    <i r="1">
      <x v="202"/>
    </i>
    <i r="1">
      <x v="209"/>
    </i>
    <i r="1">
      <x v="212"/>
    </i>
    <i r="1">
      <x v="219"/>
    </i>
    <i r="1">
      <x v="222"/>
    </i>
    <i r="1">
      <x v="233"/>
    </i>
    <i r="1">
      <x v="261"/>
    </i>
    <i r="1">
      <x v="292"/>
    </i>
    <i r="1">
      <x v="301"/>
    </i>
    <i r="1">
      <x v="305"/>
    </i>
    <i r="1">
      <x v="316"/>
    </i>
    <i r="1">
      <x v="320"/>
    </i>
    <i r="1">
      <x v="326"/>
    </i>
    <i r="1">
      <x v="327"/>
    </i>
    <i r="1">
      <x v="333"/>
    </i>
    <i r="1">
      <x v="348"/>
    </i>
    <i r="1">
      <x v="358"/>
    </i>
    <i r="1">
      <x v="366"/>
    </i>
    <i>
      <x v="12"/>
    </i>
    <i r="1">
      <x v="3"/>
    </i>
    <i r="1">
      <x v="12"/>
    </i>
    <i r="1">
      <x v="13"/>
    </i>
    <i r="1">
      <x v="46"/>
    </i>
    <i r="1">
      <x v="52"/>
    </i>
    <i r="1">
      <x v="55"/>
    </i>
    <i r="1">
      <x v="57"/>
    </i>
    <i r="1">
      <x v="61"/>
    </i>
    <i r="1">
      <x v="65"/>
    </i>
    <i r="1">
      <x v="70"/>
    </i>
    <i r="1">
      <x v="82"/>
    </i>
    <i r="1">
      <x v="85"/>
    </i>
    <i r="1">
      <x v="86"/>
    </i>
    <i r="1">
      <x v="95"/>
    </i>
    <i r="1">
      <x v="100"/>
    </i>
    <i r="1">
      <x v="103"/>
    </i>
    <i r="1">
      <x v="148"/>
    </i>
    <i r="1">
      <x v="158"/>
    </i>
    <i r="1">
      <x v="163"/>
    </i>
    <i r="1">
      <x v="174"/>
    </i>
    <i r="1">
      <x v="176"/>
    </i>
    <i r="1">
      <x v="180"/>
    </i>
    <i r="1">
      <x v="181"/>
    </i>
    <i r="1">
      <x v="182"/>
    </i>
    <i r="1">
      <x v="186"/>
    </i>
    <i r="1">
      <x v="187"/>
    </i>
    <i r="1">
      <x v="191"/>
    </i>
    <i r="1">
      <x v="204"/>
    </i>
    <i r="1">
      <x v="207"/>
    </i>
    <i r="1">
      <x v="214"/>
    </i>
    <i r="1">
      <x v="215"/>
    </i>
    <i r="1">
      <x v="246"/>
    </i>
    <i r="1">
      <x v="249"/>
    </i>
    <i r="1">
      <x v="253"/>
    </i>
    <i r="1">
      <x v="263"/>
    </i>
    <i r="1">
      <x v="265"/>
    </i>
    <i r="1">
      <x v="274"/>
    </i>
    <i r="1">
      <x v="277"/>
    </i>
    <i r="1">
      <x v="286"/>
    </i>
    <i r="1">
      <x v="288"/>
    </i>
    <i r="1">
      <x v="292"/>
    </i>
    <i r="1">
      <x v="302"/>
    </i>
    <i r="1">
      <x v="303"/>
    </i>
    <i r="1">
      <x v="310"/>
    </i>
    <i r="1">
      <x v="323"/>
    </i>
    <i r="1">
      <x v="331"/>
    </i>
    <i r="1">
      <x v="336"/>
    </i>
    <i r="1">
      <x v="337"/>
    </i>
    <i r="1">
      <x v="342"/>
    </i>
    <i r="1">
      <x v="361"/>
    </i>
    <i r="1">
      <x v="366"/>
    </i>
    <i>
      <x v="13"/>
    </i>
    <i r="1">
      <x v="14"/>
    </i>
    <i r="1">
      <x v="20"/>
    </i>
    <i r="1">
      <x v="21"/>
    </i>
    <i r="1">
      <x v="24"/>
    </i>
    <i r="1">
      <x v="31"/>
    </i>
    <i r="1">
      <x v="45"/>
    </i>
    <i r="1">
      <x v="52"/>
    </i>
    <i r="1">
      <x v="57"/>
    </i>
    <i r="1">
      <x v="89"/>
    </i>
    <i r="1">
      <x v="97"/>
    </i>
    <i r="1">
      <x v="110"/>
    </i>
    <i r="1">
      <x v="111"/>
    </i>
    <i r="1">
      <x v="113"/>
    </i>
    <i r="1">
      <x v="118"/>
    </i>
    <i r="1">
      <x v="126"/>
    </i>
    <i r="1">
      <x v="128"/>
    </i>
    <i r="1">
      <x v="144"/>
    </i>
    <i r="1">
      <x v="159"/>
    </i>
    <i r="1">
      <x v="183"/>
    </i>
    <i r="1">
      <x v="186"/>
    </i>
    <i r="1">
      <x v="193"/>
    </i>
    <i r="1">
      <x v="197"/>
    </i>
    <i r="1">
      <x v="205"/>
    </i>
    <i r="1">
      <x v="212"/>
    </i>
    <i r="1">
      <x v="215"/>
    </i>
    <i r="1">
      <x v="217"/>
    </i>
    <i r="1">
      <x v="219"/>
    </i>
    <i r="1">
      <x v="223"/>
    </i>
    <i r="1">
      <x v="226"/>
    </i>
    <i r="1">
      <x v="247"/>
    </i>
    <i r="1">
      <x v="264"/>
    </i>
    <i r="1">
      <x v="291"/>
    </i>
    <i r="1">
      <x v="295"/>
    </i>
    <i r="1">
      <x v="301"/>
    </i>
    <i r="1">
      <x v="303"/>
    </i>
    <i r="1">
      <x v="306"/>
    </i>
    <i r="1">
      <x v="317"/>
    </i>
    <i r="1">
      <x v="320"/>
    </i>
    <i r="1">
      <x v="322"/>
    </i>
    <i r="1">
      <x v="327"/>
    </i>
    <i r="1">
      <x v="328"/>
    </i>
    <i r="1">
      <x v="334"/>
    </i>
    <i r="1">
      <x v="337"/>
    </i>
    <i r="1">
      <x v="341"/>
    </i>
    <i r="1">
      <x v="343"/>
    </i>
    <i r="1">
      <x v="355"/>
    </i>
    <i r="1">
      <x v="358"/>
    </i>
    <i r="1">
      <x v="366"/>
    </i>
    <i>
      <x v="14"/>
    </i>
    <i r="1">
      <x v="11"/>
    </i>
    <i r="1">
      <x v="21"/>
    </i>
    <i r="1">
      <x v="24"/>
    </i>
    <i r="1">
      <x v="29"/>
    </i>
    <i r="1">
      <x v="45"/>
    </i>
    <i r="1">
      <x v="46"/>
    </i>
    <i r="1">
      <x v="54"/>
    </i>
    <i r="1">
      <x v="64"/>
    </i>
    <i r="1">
      <x v="74"/>
    </i>
    <i r="1">
      <x v="78"/>
    </i>
    <i r="1">
      <x v="89"/>
    </i>
    <i r="1">
      <x v="121"/>
    </i>
    <i r="1">
      <x v="123"/>
    </i>
    <i r="1">
      <x v="128"/>
    </i>
    <i r="1">
      <x v="130"/>
    </i>
    <i r="1">
      <x v="134"/>
    </i>
    <i r="1">
      <x v="141"/>
    </i>
    <i r="1">
      <x v="148"/>
    </i>
    <i r="1">
      <x v="158"/>
    </i>
    <i r="1">
      <x v="162"/>
    </i>
    <i r="1">
      <x v="177"/>
    </i>
    <i r="1">
      <x v="181"/>
    </i>
    <i r="1">
      <x v="183"/>
    </i>
    <i r="1">
      <x v="201"/>
    </i>
    <i r="1">
      <x v="212"/>
    </i>
    <i r="1">
      <x v="215"/>
    </i>
    <i r="1">
      <x v="216"/>
    </i>
    <i r="1">
      <x v="219"/>
    </i>
    <i r="1">
      <x v="221"/>
    </i>
    <i r="1">
      <x v="228"/>
    </i>
    <i r="1">
      <x v="242"/>
    </i>
    <i r="1">
      <x v="243"/>
    </i>
    <i r="1">
      <x v="265"/>
    </i>
    <i r="1">
      <x v="266"/>
    </i>
    <i r="1">
      <x v="274"/>
    </i>
    <i r="1">
      <x v="278"/>
    </i>
    <i r="1">
      <x v="282"/>
    </i>
    <i r="1">
      <x v="288"/>
    </i>
    <i r="1">
      <x v="292"/>
    </i>
    <i r="1">
      <x v="302"/>
    </i>
    <i r="1">
      <x v="305"/>
    </i>
    <i r="1">
      <x v="307"/>
    </i>
    <i r="1">
      <x v="321"/>
    </i>
    <i r="1">
      <x v="327"/>
    </i>
    <i r="1">
      <x v="328"/>
    </i>
    <i r="1">
      <x v="336"/>
    </i>
    <i r="1">
      <x v="347"/>
    </i>
    <i r="1">
      <x v="359"/>
    </i>
    <i r="1">
      <x v="363"/>
    </i>
    <i r="1">
      <x v="366"/>
    </i>
    <i>
      <x v="15"/>
    </i>
    <i r="1">
      <x v="7"/>
    </i>
    <i r="1">
      <x v="28"/>
    </i>
    <i r="1">
      <x v="42"/>
    </i>
    <i r="1">
      <x v="47"/>
    </i>
    <i r="1">
      <x v="48"/>
    </i>
    <i r="1">
      <x v="52"/>
    </i>
    <i r="1">
      <x v="56"/>
    </i>
    <i r="1">
      <x v="59"/>
    </i>
    <i r="1">
      <x v="70"/>
    </i>
    <i r="1">
      <x v="83"/>
    </i>
    <i r="1">
      <x v="86"/>
    </i>
    <i r="1">
      <x v="92"/>
    </i>
    <i r="1">
      <x v="95"/>
    </i>
    <i r="1">
      <x v="107"/>
    </i>
    <i r="1">
      <x v="116"/>
    </i>
    <i r="1">
      <x v="120"/>
    </i>
    <i r="1">
      <x v="123"/>
    </i>
    <i r="1">
      <x v="151"/>
    </i>
    <i r="1">
      <x v="154"/>
    </i>
    <i r="1">
      <x v="158"/>
    </i>
    <i r="1">
      <x v="165"/>
    </i>
    <i r="1">
      <x v="168"/>
    </i>
    <i r="1">
      <x v="177"/>
    </i>
    <i r="1">
      <x v="186"/>
    </i>
    <i r="1">
      <x v="190"/>
    </i>
    <i r="1">
      <x v="197"/>
    </i>
    <i r="1">
      <x v="222"/>
    </i>
    <i r="1">
      <x v="224"/>
    </i>
    <i r="1">
      <x v="242"/>
    </i>
    <i r="1">
      <x v="252"/>
    </i>
    <i r="1">
      <x v="260"/>
    </i>
    <i r="1">
      <x v="261"/>
    </i>
    <i r="1">
      <x v="275"/>
    </i>
    <i r="1">
      <x v="278"/>
    </i>
    <i r="1">
      <x v="291"/>
    </i>
    <i r="1">
      <x v="299"/>
    </i>
    <i r="1">
      <x v="306"/>
    </i>
    <i r="1">
      <x v="309"/>
    </i>
    <i r="1">
      <x v="312"/>
    </i>
    <i r="1">
      <x v="315"/>
    </i>
    <i r="1">
      <x v="319"/>
    </i>
    <i r="1">
      <x v="322"/>
    </i>
    <i r="1">
      <x v="329"/>
    </i>
    <i r="1">
      <x v="333"/>
    </i>
    <i r="1">
      <x v="347"/>
    </i>
    <i r="1">
      <x v="358"/>
    </i>
    <i>
      <x v="16"/>
    </i>
    <i r="1">
      <x v="7"/>
    </i>
    <i r="1">
      <x v="17"/>
    </i>
    <i r="1">
      <x v="27"/>
    </i>
    <i r="1">
      <x v="32"/>
    </i>
    <i r="1">
      <x v="36"/>
    </i>
    <i r="1">
      <x v="39"/>
    </i>
    <i r="1">
      <x v="40"/>
    </i>
    <i r="1">
      <x v="50"/>
    </i>
    <i r="1">
      <x v="54"/>
    </i>
    <i r="1">
      <x v="68"/>
    </i>
    <i r="1">
      <x v="88"/>
    </i>
    <i r="1">
      <x v="93"/>
    </i>
    <i r="1">
      <x v="107"/>
    </i>
    <i r="1">
      <x v="109"/>
    </i>
    <i r="1">
      <x v="120"/>
    </i>
    <i r="1">
      <x v="121"/>
    </i>
    <i r="1">
      <x v="137"/>
    </i>
    <i r="1">
      <x v="144"/>
    </i>
    <i r="1">
      <x v="149"/>
    </i>
    <i r="1">
      <x v="151"/>
    </i>
    <i r="1">
      <x v="155"/>
    </i>
    <i r="1">
      <x v="158"/>
    </i>
    <i r="1">
      <x v="160"/>
    </i>
    <i r="1">
      <x v="170"/>
    </i>
    <i r="1">
      <x v="173"/>
    </i>
    <i r="1">
      <x v="176"/>
    </i>
    <i r="1">
      <x v="183"/>
    </i>
    <i r="1">
      <x v="188"/>
    </i>
    <i r="1">
      <x v="190"/>
    </i>
    <i r="1">
      <x v="200"/>
    </i>
    <i r="1">
      <x v="207"/>
    </i>
    <i r="1">
      <x v="210"/>
    </i>
    <i r="1">
      <x v="214"/>
    </i>
    <i r="1">
      <x v="230"/>
    </i>
    <i r="1">
      <x v="259"/>
    </i>
    <i r="1">
      <x v="284"/>
    </i>
    <i r="1">
      <x v="287"/>
    </i>
    <i r="1">
      <x v="292"/>
    </i>
    <i r="1">
      <x v="307"/>
    </i>
    <i r="1">
      <x v="319"/>
    </i>
    <i r="1">
      <x v="320"/>
    </i>
    <i r="1">
      <x v="321"/>
    </i>
    <i r="1">
      <x v="335"/>
    </i>
    <i r="1">
      <x v="341"/>
    </i>
    <i r="1">
      <x v="342"/>
    </i>
    <i r="1">
      <x v="347"/>
    </i>
    <i r="1">
      <x v="350"/>
    </i>
    <i r="1">
      <x v="361"/>
    </i>
    <i>
      <x v="17"/>
    </i>
    <i r="1">
      <x v="6"/>
    </i>
    <i r="1">
      <x v="17"/>
    </i>
    <i r="1">
      <x v="20"/>
    </i>
    <i r="1">
      <x v="24"/>
    </i>
    <i r="1">
      <x v="31"/>
    </i>
    <i r="1">
      <x v="32"/>
    </i>
    <i r="1">
      <x v="33"/>
    </i>
    <i r="1">
      <x v="45"/>
    </i>
    <i r="1">
      <x v="47"/>
    </i>
    <i r="1">
      <x v="52"/>
    </i>
    <i r="1">
      <x v="68"/>
    </i>
    <i r="1">
      <x v="82"/>
    </i>
    <i r="1">
      <x v="83"/>
    </i>
    <i r="1">
      <x v="89"/>
    </i>
    <i r="1">
      <x v="98"/>
    </i>
    <i r="1">
      <x v="100"/>
    </i>
    <i r="1">
      <x v="102"/>
    </i>
    <i r="1">
      <x v="112"/>
    </i>
    <i r="1">
      <x v="118"/>
    </i>
    <i r="1">
      <x v="125"/>
    </i>
    <i r="1">
      <x v="130"/>
    </i>
    <i r="1">
      <x v="141"/>
    </i>
    <i r="1">
      <x v="144"/>
    </i>
    <i r="1">
      <x v="156"/>
    </i>
    <i r="1">
      <x v="166"/>
    </i>
    <i r="1">
      <x v="183"/>
    </i>
    <i r="1">
      <x v="189"/>
    </i>
    <i r="1">
      <x v="194"/>
    </i>
    <i r="1">
      <x v="209"/>
    </i>
    <i r="1">
      <x v="235"/>
    </i>
    <i r="1">
      <x v="251"/>
    </i>
    <i r="1">
      <x v="260"/>
    </i>
    <i r="1">
      <x v="266"/>
    </i>
    <i r="1">
      <x v="279"/>
    </i>
    <i r="1">
      <x v="303"/>
    </i>
    <i r="1">
      <x v="305"/>
    </i>
    <i r="1">
      <x v="336"/>
    </i>
    <i r="1">
      <x v="361"/>
    </i>
    <i r="1">
      <x v="362"/>
    </i>
    <i r="1">
      <x v="363"/>
    </i>
    <i>
      <x v="18"/>
    </i>
    <i r="1">
      <x v="3"/>
    </i>
    <i r="1">
      <x v="4"/>
    </i>
    <i r="1">
      <x v="7"/>
    </i>
    <i r="1">
      <x v="14"/>
    </i>
    <i r="1">
      <x v="33"/>
    </i>
    <i r="1">
      <x v="36"/>
    </i>
    <i r="1">
      <x v="46"/>
    </i>
    <i r="1">
      <x v="47"/>
    </i>
    <i r="1">
      <x v="65"/>
    </i>
    <i r="1">
      <x v="71"/>
    </i>
    <i r="1">
      <x v="96"/>
    </i>
    <i r="1">
      <x v="98"/>
    </i>
    <i r="1">
      <x v="99"/>
    </i>
    <i r="1">
      <x v="100"/>
    </i>
    <i r="1">
      <x v="116"/>
    </i>
    <i r="1">
      <x v="123"/>
    </i>
    <i r="1">
      <x v="124"/>
    </i>
    <i r="1">
      <x v="125"/>
    </i>
    <i r="1">
      <x v="135"/>
    </i>
    <i r="1">
      <x v="149"/>
    </i>
    <i r="1">
      <x v="158"/>
    </i>
    <i r="1">
      <x v="176"/>
    </i>
    <i r="1">
      <x v="180"/>
    </i>
    <i r="1">
      <x v="200"/>
    </i>
    <i r="1">
      <x v="203"/>
    </i>
    <i r="1">
      <x v="211"/>
    </i>
    <i r="1">
      <x v="212"/>
    </i>
    <i r="1">
      <x v="214"/>
    </i>
    <i r="1">
      <x v="221"/>
    </i>
    <i r="1">
      <x v="239"/>
    </i>
    <i r="1">
      <x v="242"/>
    </i>
    <i r="1">
      <x v="243"/>
    </i>
    <i r="1">
      <x v="246"/>
    </i>
    <i r="1">
      <x v="250"/>
    </i>
    <i r="1">
      <x v="300"/>
    </i>
    <i r="1">
      <x v="310"/>
    </i>
    <i r="1">
      <x v="317"/>
    </i>
    <i r="1">
      <x v="324"/>
    </i>
    <i r="1">
      <x v="335"/>
    </i>
    <i r="1">
      <x v="338"/>
    </i>
    <i r="1">
      <x v="341"/>
    </i>
    <i r="1">
      <x v="354"/>
    </i>
    <i r="1">
      <x v="355"/>
    </i>
    <i>
      <x v="19"/>
    </i>
    <i r="1">
      <x v="4"/>
    </i>
    <i r="1">
      <x v="5"/>
    </i>
    <i r="1">
      <x v="18"/>
    </i>
    <i r="1">
      <x v="27"/>
    </i>
    <i r="1">
      <x v="35"/>
    </i>
    <i r="1">
      <x v="41"/>
    </i>
    <i r="1">
      <x v="62"/>
    </i>
    <i r="1">
      <x v="70"/>
    </i>
    <i r="1">
      <x v="81"/>
    </i>
    <i r="1">
      <x v="84"/>
    </i>
    <i r="1">
      <x v="91"/>
    </i>
    <i r="1">
      <x v="97"/>
    </i>
    <i r="1">
      <x v="98"/>
    </i>
    <i r="1">
      <x v="105"/>
    </i>
    <i r="1">
      <x v="110"/>
    </i>
    <i r="1">
      <x v="126"/>
    </i>
    <i r="1">
      <x v="137"/>
    </i>
    <i r="1">
      <x v="153"/>
    </i>
    <i r="1">
      <x v="163"/>
    </i>
    <i r="1">
      <x v="165"/>
    </i>
    <i r="1">
      <x v="175"/>
    </i>
    <i r="1">
      <x v="180"/>
    </i>
    <i r="1">
      <x v="181"/>
    </i>
    <i r="1">
      <x v="193"/>
    </i>
    <i r="1">
      <x v="196"/>
    </i>
    <i r="1">
      <x v="201"/>
    </i>
    <i r="1">
      <x v="210"/>
    </i>
    <i r="1">
      <x v="211"/>
    </i>
    <i r="1">
      <x v="221"/>
    </i>
    <i r="1">
      <x v="222"/>
    </i>
    <i r="1">
      <x v="236"/>
    </i>
    <i r="1">
      <x v="254"/>
    </i>
    <i r="1">
      <x v="265"/>
    </i>
    <i r="1">
      <x v="277"/>
    </i>
    <i r="1">
      <x v="281"/>
    </i>
    <i r="1">
      <x v="285"/>
    </i>
    <i r="1">
      <x v="287"/>
    </i>
    <i r="1">
      <x v="289"/>
    </i>
    <i r="1">
      <x v="298"/>
    </i>
    <i r="1">
      <x v="299"/>
    </i>
    <i r="1">
      <x v="301"/>
    </i>
    <i r="1">
      <x v="305"/>
    </i>
    <i r="1">
      <x v="310"/>
    </i>
    <i r="1">
      <x v="326"/>
    </i>
    <i r="1">
      <x v="327"/>
    </i>
    <i r="1">
      <x v="340"/>
    </i>
    <i r="1">
      <x v="344"/>
    </i>
    <i r="1">
      <x v="348"/>
    </i>
    <i r="1">
      <x v="352"/>
    </i>
    <i r="1">
      <x v="365"/>
    </i>
    <i>
      <x v="20"/>
    </i>
    <i r="1">
      <x v="17"/>
    </i>
    <i r="1">
      <x v="19"/>
    </i>
    <i r="1">
      <x v="24"/>
    </i>
    <i r="1">
      <x v="29"/>
    </i>
    <i r="1">
      <x v="40"/>
    </i>
    <i r="1">
      <x v="43"/>
    </i>
    <i r="1">
      <x v="52"/>
    </i>
    <i r="1">
      <x v="62"/>
    </i>
    <i r="1">
      <x v="65"/>
    </i>
    <i r="1">
      <x v="78"/>
    </i>
    <i r="1">
      <x v="81"/>
    </i>
    <i r="1">
      <x v="91"/>
    </i>
    <i r="1">
      <x v="92"/>
    </i>
    <i r="1">
      <x v="93"/>
    </i>
    <i r="1">
      <x v="98"/>
    </i>
    <i r="1">
      <x v="102"/>
    </i>
    <i r="1">
      <x v="103"/>
    </i>
    <i r="1">
      <x v="116"/>
    </i>
    <i r="1">
      <x v="127"/>
    </i>
    <i r="1">
      <x v="130"/>
    </i>
    <i r="1">
      <x v="135"/>
    </i>
    <i r="1">
      <x v="141"/>
    </i>
    <i r="1">
      <x v="148"/>
    </i>
    <i r="1">
      <x v="152"/>
    </i>
    <i r="1">
      <x v="169"/>
    </i>
    <i r="1">
      <x v="172"/>
    </i>
    <i r="1">
      <x v="175"/>
    </i>
    <i r="1">
      <x v="179"/>
    </i>
    <i r="1">
      <x v="200"/>
    </i>
    <i r="1">
      <x v="201"/>
    </i>
    <i r="1">
      <x v="221"/>
    </i>
    <i r="1">
      <x v="233"/>
    </i>
    <i r="1">
      <x v="249"/>
    </i>
    <i r="1">
      <x v="268"/>
    </i>
    <i r="1">
      <x v="284"/>
    </i>
    <i r="1">
      <x v="286"/>
    </i>
    <i r="1">
      <x v="291"/>
    </i>
    <i r="1">
      <x v="300"/>
    </i>
    <i r="1">
      <x v="305"/>
    </i>
    <i r="1">
      <x v="309"/>
    </i>
    <i r="1">
      <x v="313"/>
    </i>
    <i r="1">
      <x v="323"/>
    </i>
    <i r="1">
      <x v="327"/>
    </i>
    <i r="1">
      <x v="340"/>
    </i>
    <i r="1">
      <x v="341"/>
    </i>
    <i r="1">
      <x v="350"/>
    </i>
    <i r="1">
      <x v="358"/>
    </i>
    <i r="1">
      <x v="361"/>
    </i>
    <i r="1">
      <x v="365"/>
    </i>
    <i>
      <x v="21"/>
    </i>
    <i r="1">
      <x v="3"/>
    </i>
    <i r="1">
      <x v="8"/>
    </i>
    <i r="1">
      <x v="10"/>
    </i>
    <i r="1">
      <x v="12"/>
    </i>
    <i r="1">
      <x v="41"/>
    </i>
    <i r="1">
      <x v="67"/>
    </i>
    <i r="1">
      <x v="70"/>
    </i>
    <i r="1">
      <x v="72"/>
    </i>
    <i r="1">
      <x v="91"/>
    </i>
    <i r="1">
      <x v="92"/>
    </i>
    <i r="1">
      <x v="102"/>
    </i>
    <i r="1">
      <x v="104"/>
    </i>
    <i r="1">
      <x v="109"/>
    </i>
    <i r="1">
      <x v="113"/>
    </i>
    <i r="1">
      <x v="116"/>
    </i>
    <i r="1">
      <x v="117"/>
    </i>
    <i r="1">
      <x v="118"/>
    </i>
    <i r="1">
      <x v="134"/>
    </i>
    <i r="1">
      <x v="135"/>
    </i>
    <i r="1">
      <x v="146"/>
    </i>
    <i r="1">
      <x v="156"/>
    </i>
    <i r="1">
      <x v="179"/>
    </i>
    <i r="1">
      <x v="196"/>
    </i>
    <i r="1">
      <x v="202"/>
    </i>
    <i r="1">
      <x v="204"/>
    </i>
    <i r="1">
      <x v="209"/>
    </i>
    <i r="1">
      <x v="214"/>
    </i>
    <i r="1">
      <x v="217"/>
    </i>
    <i r="1">
      <x v="222"/>
    </i>
    <i r="1">
      <x v="235"/>
    </i>
    <i r="1">
      <x v="251"/>
    </i>
    <i r="1">
      <x v="256"/>
    </i>
    <i r="1">
      <x v="272"/>
    </i>
    <i r="1">
      <x v="273"/>
    </i>
    <i r="1">
      <x v="288"/>
    </i>
    <i r="1">
      <x v="291"/>
    </i>
    <i r="1">
      <x v="292"/>
    </i>
    <i r="1">
      <x v="293"/>
    </i>
    <i r="1">
      <x v="295"/>
    </i>
    <i r="1">
      <x v="301"/>
    </i>
    <i r="1">
      <x v="312"/>
    </i>
    <i r="1">
      <x v="314"/>
    </i>
    <i r="1">
      <x v="322"/>
    </i>
    <i r="1">
      <x v="324"/>
    </i>
    <i r="1">
      <x v="329"/>
    </i>
    <i r="1">
      <x v="333"/>
    </i>
    <i r="1">
      <x v="336"/>
    </i>
    <i r="1">
      <x v="340"/>
    </i>
    <i r="1">
      <x v="343"/>
    </i>
    <i r="1">
      <x v="345"/>
    </i>
    <i>
      <x v="22"/>
    </i>
    <i r="1">
      <x v="3"/>
    </i>
    <i r="1">
      <x v="4"/>
    </i>
    <i r="1">
      <x v="8"/>
    </i>
    <i r="1">
      <x v="10"/>
    </i>
    <i r="1">
      <x v="18"/>
    </i>
    <i r="1">
      <x v="19"/>
    </i>
    <i r="1">
      <x v="24"/>
    </i>
    <i r="1">
      <x v="40"/>
    </i>
    <i r="1">
      <x v="41"/>
    </i>
    <i r="1">
      <x v="53"/>
    </i>
    <i r="1">
      <x v="61"/>
    </i>
    <i r="1">
      <x v="85"/>
    </i>
    <i r="1">
      <x v="89"/>
    </i>
    <i r="1">
      <x v="95"/>
    </i>
    <i r="1">
      <x v="96"/>
    </i>
    <i r="1">
      <x v="97"/>
    </i>
    <i r="1">
      <x v="99"/>
    </i>
    <i r="1">
      <x v="105"/>
    </i>
    <i r="1">
      <x v="109"/>
    </i>
    <i r="1">
      <x v="112"/>
    </i>
    <i r="1">
      <x v="114"/>
    </i>
    <i r="1">
      <x v="118"/>
    </i>
    <i r="1">
      <x v="130"/>
    </i>
    <i r="1">
      <x v="131"/>
    </i>
    <i r="1">
      <x v="137"/>
    </i>
    <i r="1">
      <x v="142"/>
    </i>
    <i r="1">
      <x v="156"/>
    </i>
    <i r="1">
      <x v="175"/>
    </i>
    <i r="1">
      <x v="189"/>
    </i>
    <i r="1">
      <x v="211"/>
    </i>
    <i r="1">
      <x v="221"/>
    </i>
    <i r="1">
      <x v="239"/>
    </i>
    <i r="1">
      <x v="249"/>
    </i>
    <i r="1">
      <x v="259"/>
    </i>
    <i r="1">
      <x v="261"/>
    </i>
    <i r="1">
      <x v="263"/>
    </i>
    <i r="1">
      <x v="268"/>
    </i>
    <i r="1">
      <x v="277"/>
    </i>
    <i r="1">
      <x v="279"/>
    </i>
    <i r="1">
      <x v="282"/>
    </i>
    <i r="1">
      <x v="284"/>
    </i>
    <i r="1">
      <x v="289"/>
    </i>
    <i r="1">
      <x v="291"/>
    </i>
    <i r="1">
      <x v="298"/>
    </i>
    <i r="1">
      <x v="301"/>
    </i>
    <i r="1">
      <x v="303"/>
    </i>
    <i r="1">
      <x v="305"/>
    </i>
    <i r="1">
      <x v="309"/>
    </i>
    <i r="1">
      <x v="319"/>
    </i>
    <i r="1">
      <x v="324"/>
    </i>
    <i r="1">
      <x v="333"/>
    </i>
    <i r="1">
      <x v="337"/>
    </i>
    <i r="1">
      <x v="341"/>
    </i>
    <i r="1">
      <x v="347"/>
    </i>
    <i r="1">
      <x v="350"/>
    </i>
    <i r="1">
      <x v="351"/>
    </i>
    <i r="1">
      <x v="354"/>
    </i>
    <i r="1">
      <x v="366"/>
    </i>
    <i>
      <x v="23"/>
    </i>
    <i r="1">
      <x v="8"/>
    </i>
    <i r="1">
      <x v="14"/>
    </i>
    <i r="1">
      <x v="17"/>
    </i>
    <i r="1">
      <x v="24"/>
    </i>
    <i r="1">
      <x v="35"/>
    </i>
    <i r="1">
      <x v="36"/>
    </i>
    <i r="1">
      <x v="42"/>
    </i>
    <i r="1">
      <x v="45"/>
    </i>
    <i r="1">
      <x v="55"/>
    </i>
    <i r="1">
      <x v="72"/>
    </i>
    <i r="1">
      <x v="98"/>
    </i>
    <i r="1">
      <x v="109"/>
    </i>
    <i r="1">
      <x v="110"/>
    </i>
    <i r="1">
      <x v="131"/>
    </i>
    <i r="1">
      <x v="137"/>
    </i>
    <i r="1">
      <x v="148"/>
    </i>
    <i r="1">
      <x v="149"/>
    </i>
    <i r="1">
      <x v="151"/>
    </i>
    <i r="1">
      <x v="160"/>
    </i>
    <i r="1">
      <x v="176"/>
    </i>
    <i r="1">
      <x v="180"/>
    </i>
    <i r="1">
      <x v="184"/>
    </i>
    <i r="1">
      <x v="195"/>
    </i>
    <i r="1">
      <x v="198"/>
    </i>
    <i r="1">
      <x v="209"/>
    </i>
    <i r="1">
      <x v="212"/>
    </i>
    <i r="1">
      <x v="219"/>
    </i>
    <i r="1">
      <x v="223"/>
    </i>
    <i r="1">
      <x v="235"/>
    </i>
    <i r="1">
      <x v="237"/>
    </i>
    <i r="1">
      <x v="244"/>
    </i>
    <i r="1">
      <x v="265"/>
    </i>
    <i r="1">
      <x v="266"/>
    </i>
    <i r="1">
      <x v="277"/>
    </i>
    <i r="1">
      <x v="291"/>
    </i>
    <i r="1">
      <x v="293"/>
    </i>
    <i r="1">
      <x v="300"/>
    </i>
    <i r="1">
      <x v="309"/>
    </i>
    <i r="1">
      <x v="324"/>
    </i>
    <i r="1">
      <x v="333"/>
    </i>
    <i r="1">
      <x v="337"/>
    </i>
    <i r="1">
      <x v="344"/>
    </i>
    <i r="1">
      <x v="348"/>
    </i>
    <i r="1">
      <x v="351"/>
    </i>
    <i r="1">
      <x v="356"/>
    </i>
    <i r="1">
      <x v="364"/>
    </i>
    <i>
      <x v="24"/>
    </i>
    <i r="1">
      <x v="14"/>
    </i>
    <i r="1">
      <x v="29"/>
    </i>
    <i r="1">
      <x v="31"/>
    </i>
    <i r="1">
      <x v="46"/>
    </i>
    <i r="1">
      <x v="47"/>
    </i>
    <i r="1">
      <x v="50"/>
    </i>
    <i r="1">
      <x v="61"/>
    </i>
    <i r="1">
      <x v="64"/>
    </i>
    <i r="1">
      <x v="72"/>
    </i>
    <i r="1">
      <x v="75"/>
    </i>
    <i r="1">
      <x v="77"/>
    </i>
    <i r="1">
      <x v="86"/>
    </i>
    <i r="1">
      <x v="89"/>
    </i>
    <i r="1">
      <x v="92"/>
    </i>
    <i r="1">
      <x v="95"/>
    </i>
    <i r="1">
      <x v="98"/>
    </i>
    <i r="1">
      <x v="107"/>
    </i>
    <i r="1">
      <x v="110"/>
    </i>
    <i r="1">
      <x v="119"/>
    </i>
    <i r="1">
      <x v="123"/>
    </i>
    <i r="1">
      <x v="124"/>
    </i>
    <i r="1">
      <x v="139"/>
    </i>
    <i r="1">
      <x v="156"/>
    </i>
    <i r="1">
      <x v="162"/>
    </i>
    <i r="1">
      <x v="165"/>
    </i>
    <i r="1">
      <x v="170"/>
    </i>
    <i r="1">
      <x v="177"/>
    </i>
    <i r="1">
      <x v="193"/>
    </i>
    <i r="1">
      <x v="198"/>
    </i>
    <i r="1">
      <x v="202"/>
    </i>
    <i r="1">
      <x v="209"/>
    </i>
    <i r="1">
      <x v="231"/>
    </i>
    <i r="1">
      <x v="242"/>
    </i>
    <i r="1">
      <x v="243"/>
    </i>
    <i r="1">
      <x v="245"/>
    </i>
    <i r="1">
      <x v="256"/>
    </i>
    <i r="1">
      <x v="263"/>
    </i>
    <i r="1">
      <x v="265"/>
    </i>
    <i r="1">
      <x v="266"/>
    </i>
    <i r="1">
      <x v="267"/>
    </i>
    <i r="1">
      <x v="305"/>
    </i>
    <i r="1">
      <x v="330"/>
    </i>
    <i r="1">
      <x v="342"/>
    </i>
    <i r="1">
      <x v="345"/>
    </i>
    <i r="1">
      <x v="347"/>
    </i>
    <i r="1">
      <x v="350"/>
    </i>
    <i>
      <x v="25"/>
    </i>
    <i r="1">
      <x v="11"/>
    </i>
    <i r="1">
      <x v="19"/>
    </i>
    <i r="1">
      <x v="24"/>
    </i>
    <i r="1">
      <x v="31"/>
    </i>
    <i r="1">
      <x v="33"/>
    </i>
    <i r="1">
      <x v="38"/>
    </i>
    <i r="1">
      <x v="49"/>
    </i>
    <i r="1">
      <x v="50"/>
    </i>
    <i r="1">
      <x v="63"/>
    </i>
    <i r="1">
      <x v="71"/>
    </i>
    <i r="1">
      <x v="74"/>
    </i>
    <i r="1">
      <x v="75"/>
    </i>
    <i r="1">
      <x v="89"/>
    </i>
    <i r="1">
      <x v="99"/>
    </i>
    <i r="1">
      <x v="138"/>
    </i>
    <i r="1">
      <x v="140"/>
    </i>
    <i r="1">
      <x v="152"/>
    </i>
    <i r="1">
      <x v="165"/>
    </i>
    <i r="1">
      <x v="167"/>
    </i>
    <i r="1">
      <x v="169"/>
    </i>
    <i r="1">
      <x v="189"/>
    </i>
    <i r="1">
      <x v="190"/>
    </i>
    <i r="1">
      <x v="193"/>
    </i>
    <i r="1">
      <x v="200"/>
    </i>
    <i r="1">
      <x v="207"/>
    </i>
    <i r="1">
      <x v="217"/>
    </i>
    <i r="1">
      <x v="218"/>
    </i>
    <i r="1">
      <x v="224"/>
    </i>
    <i r="1">
      <x v="230"/>
    </i>
    <i r="1">
      <x v="243"/>
    </i>
    <i r="1">
      <x v="252"/>
    </i>
    <i r="1">
      <x v="257"/>
    </i>
    <i r="1">
      <x v="260"/>
    </i>
    <i r="1">
      <x v="261"/>
    </i>
    <i r="1">
      <x v="265"/>
    </i>
    <i r="1">
      <x v="271"/>
    </i>
    <i r="1">
      <x v="275"/>
    </i>
    <i r="1">
      <x v="305"/>
    </i>
    <i r="1">
      <x v="306"/>
    </i>
    <i r="1">
      <x v="308"/>
    </i>
    <i r="1">
      <x v="323"/>
    </i>
    <i r="1">
      <x v="326"/>
    </i>
    <i r="1">
      <x v="333"/>
    </i>
    <i r="1">
      <x v="334"/>
    </i>
    <i r="1">
      <x v="336"/>
    </i>
    <i r="1">
      <x v="340"/>
    </i>
    <i r="1">
      <x v="350"/>
    </i>
    <i r="1">
      <x v="351"/>
    </i>
    <i r="1">
      <x v="361"/>
    </i>
    <i>
      <x v="26"/>
    </i>
    <i r="1">
      <x v="3"/>
    </i>
    <i r="1">
      <x v="17"/>
    </i>
    <i r="1">
      <x v="31"/>
    </i>
    <i r="1">
      <x v="32"/>
    </i>
    <i r="1">
      <x v="33"/>
    </i>
    <i r="1">
      <x v="36"/>
    </i>
    <i r="1">
      <x v="55"/>
    </i>
    <i r="1">
      <x v="56"/>
    </i>
    <i r="1">
      <x v="61"/>
    </i>
    <i r="1">
      <x v="63"/>
    </i>
    <i r="1">
      <x v="67"/>
    </i>
    <i r="1">
      <x v="68"/>
    </i>
    <i r="1">
      <x v="74"/>
    </i>
    <i r="1">
      <x v="77"/>
    </i>
    <i r="1">
      <x v="96"/>
    </i>
    <i r="1">
      <x v="119"/>
    </i>
    <i r="1">
      <x v="121"/>
    </i>
    <i r="1">
      <x v="123"/>
    </i>
    <i r="1">
      <x v="124"/>
    </i>
    <i r="1">
      <x v="130"/>
    </i>
    <i r="1">
      <x v="132"/>
    </i>
    <i r="1">
      <x v="148"/>
    </i>
    <i r="1">
      <x v="151"/>
    </i>
    <i r="1">
      <x v="153"/>
    </i>
    <i r="1">
      <x v="158"/>
    </i>
    <i r="1">
      <x v="167"/>
    </i>
    <i r="1">
      <x v="181"/>
    </i>
    <i r="1">
      <x v="187"/>
    </i>
    <i r="1">
      <x v="193"/>
    </i>
    <i r="1">
      <x v="200"/>
    </i>
    <i r="1">
      <x v="207"/>
    </i>
    <i r="1">
      <x v="210"/>
    </i>
    <i r="1">
      <x v="221"/>
    </i>
    <i r="1">
      <x v="228"/>
    </i>
    <i r="1">
      <x v="230"/>
    </i>
    <i r="1">
      <x v="231"/>
    </i>
    <i r="1">
      <x v="232"/>
    </i>
    <i r="1">
      <x v="239"/>
    </i>
    <i r="1">
      <x v="245"/>
    </i>
    <i r="1">
      <x v="257"/>
    </i>
    <i r="1">
      <x v="266"/>
    </i>
    <i r="1">
      <x v="301"/>
    </i>
    <i r="1">
      <x v="305"/>
    </i>
    <i r="1">
      <x v="312"/>
    </i>
    <i r="1">
      <x v="313"/>
    </i>
    <i r="1">
      <x v="316"/>
    </i>
    <i r="1">
      <x v="319"/>
    </i>
    <i r="1">
      <x v="321"/>
    </i>
    <i r="1">
      <x v="345"/>
    </i>
    <i r="1">
      <x v="347"/>
    </i>
    <i r="1">
      <x v="349"/>
    </i>
    <i>
      <x v="27"/>
    </i>
    <i r="1">
      <x v="14"/>
    </i>
    <i r="1">
      <x v="19"/>
    </i>
    <i r="1">
      <x v="32"/>
    </i>
    <i r="1">
      <x v="38"/>
    </i>
    <i r="1">
      <x v="39"/>
    </i>
    <i r="1">
      <x v="45"/>
    </i>
    <i r="1">
      <x v="48"/>
    </i>
    <i r="1">
      <x v="76"/>
    </i>
    <i r="1">
      <x v="81"/>
    </i>
    <i r="1">
      <x v="102"/>
    </i>
    <i r="1">
      <x v="106"/>
    </i>
    <i r="1">
      <x v="135"/>
    </i>
    <i r="1">
      <x v="137"/>
    </i>
    <i r="1">
      <x v="142"/>
    </i>
    <i r="1">
      <x v="151"/>
    </i>
    <i r="1">
      <x v="154"/>
    </i>
    <i r="1">
      <x v="168"/>
    </i>
    <i r="1">
      <x v="169"/>
    </i>
    <i r="1">
      <x v="173"/>
    </i>
    <i r="1">
      <x v="179"/>
    </i>
    <i r="1">
      <x v="180"/>
    </i>
    <i r="1">
      <x v="183"/>
    </i>
    <i r="1">
      <x v="195"/>
    </i>
    <i r="1">
      <x v="210"/>
    </i>
    <i r="1">
      <x v="215"/>
    </i>
    <i r="1">
      <x v="228"/>
    </i>
    <i r="1">
      <x v="231"/>
    </i>
    <i r="1">
      <x v="250"/>
    </i>
    <i r="1">
      <x v="252"/>
    </i>
    <i r="1">
      <x v="256"/>
    </i>
    <i r="1">
      <x v="257"/>
    </i>
    <i r="1">
      <x v="271"/>
    </i>
    <i r="1">
      <x v="277"/>
    </i>
    <i r="1">
      <x v="309"/>
    </i>
    <i r="1">
      <x v="312"/>
    </i>
    <i r="1">
      <x v="319"/>
    </i>
    <i r="1">
      <x v="328"/>
    </i>
    <i r="1">
      <x v="336"/>
    </i>
    <i r="1">
      <x v="366"/>
    </i>
    <i>
      <x v="28"/>
    </i>
    <i r="1">
      <x v="4"/>
    </i>
    <i r="1">
      <x v="21"/>
    </i>
    <i r="1">
      <x v="24"/>
    </i>
    <i r="1">
      <x v="26"/>
    </i>
    <i r="1">
      <x v="32"/>
    </i>
    <i r="1">
      <x v="39"/>
    </i>
    <i r="1">
      <x v="53"/>
    </i>
    <i r="1">
      <x v="59"/>
    </i>
    <i r="1">
      <x v="71"/>
    </i>
    <i r="1">
      <x v="76"/>
    </i>
    <i r="1">
      <x v="90"/>
    </i>
    <i r="1">
      <x v="96"/>
    </i>
    <i r="1">
      <x v="113"/>
    </i>
    <i r="1">
      <x v="118"/>
    </i>
    <i r="1">
      <x v="119"/>
    </i>
    <i r="1">
      <x v="120"/>
    </i>
    <i r="1">
      <x v="124"/>
    </i>
    <i r="1">
      <x v="151"/>
    </i>
    <i r="1">
      <x v="154"/>
    </i>
    <i r="1">
      <x v="156"/>
    </i>
    <i r="1">
      <x v="176"/>
    </i>
    <i r="1">
      <x v="184"/>
    </i>
    <i r="1">
      <x v="186"/>
    </i>
    <i r="1">
      <x v="191"/>
    </i>
    <i r="1">
      <x v="194"/>
    </i>
    <i r="1">
      <x v="197"/>
    </i>
    <i r="1">
      <x v="201"/>
    </i>
    <i r="1">
      <x v="208"/>
    </i>
    <i r="1">
      <x v="215"/>
    </i>
    <i r="1">
      <x v="219"/>
    </i>
    <i r="1">
      <x v="233"/>
    </i>
    <i r="1">
      <x v="242"/>
    </i>
    <i r="1">
      <x v="243"/>
    </i>
    <i r="1">
      <x v="247"/>
    </i>
    <i r="1">
      <x v="274"/>
    </i>
    <i r="1">
      <x v="279"/>
    </i>
    <i r="1">
      <x v="286"/>
    </i>
    <i r="1">
      <x v="291"/>
    </i>
    <i r="1">
      <x v="298"/>
    </i>
    <i r="1">
      <x v="301"/>
    </i>
    <i r="1">
      <x v="314"/>
    </i>
    <i r="1">
      <x v="319"/>
    </i>
    <i r="1">
      <x v="330"/>
    </i>
    <i r="1">
      <x v="333"/>
    </i>
    <i r="1">
      <x v="337"/>
    </i>
    <i r="1">
      <x v="340"/>
    </i>
    <i r="1">
      <x v="342"/>
    </i>
    <i r="1">
      <x v="344"/>
    </i>
    <i r="1">
      <x v="348"/>
    </i>
    <i r="1">
      <x v="352"/>
    </i>
    <i r="1">
      <x v="361"/>
    </i>
    <i r="1">
      <x v="363"/>
    </i>
    <i>
      <x v="29"/>
    </i>
    <i r="1">
      <x v="7"/>
    </i>
    <i r="1">
      <x v="10"/>
    </i>
    <i r="1">
      <x v="14"/>
    </i>
    <i r="1">
      <x v="18"/>
    </i>
    <i r="1">
      <x v="24"/>
    </i>
    <i r="1">
      <x v="32"/>
    </i>
    <i r="1">
      <x v="45"/>
    </i>
    <i r="1">
      <x v="47"/>
    </i>
    <i r="1">
      <x v="59"/>
    </i>
    <i r="1">
      <x v="61"/>
    </i>
    <i r="1">
      <x v="71"/>
    </i>
    <i r="1">
      <x v="75"/>
    </i>
    <i r="1">
      <x v="82"/>
    </i>
    <i r="1">
      <x v="84"/>
    </i>
    <i r="1">
      <x v="86"/>
    </i>
    <i r="1">
      <x v="89"/>
    </i>
    <i r="1">
      <x v="102"/>
    </i>
    <i r="1">
      <x v="107"/>
    </i>
    <i r="1">
      <x v="119"/>
    </i>
    <i r="1">
      <x v="124"/>
    </i>
    <i r="1">
      <x v="140"/>
    </i>
    <i r="1">
      <x v="141"/>
    </i>
    <i r="1">
      <x v="145"/>
    </i>
    <i r="1">
      <x v="151"/>
    </i>
    <i r="1">
      <x v="173"/>
    </i>
    <i r="1">
      <x v="194"/>
    </i>
    <i r="1">
      <x v="200"/>
    </i>
    <i r="1">
      <x v="204"/>
    </i>
    <i r="1">
      <x v="211"/>
    </i>
    <i r="1">
      <x v="229"/>
    </i>
    <i r="1">
      <x v="232"/>
    </i>
    <i r="1">
      <x v="275"/>
    </i>
    <i r="1">
      <x v="278"/>
    </i>
    <i r="1">
      <x v="280"/>
    </i>
    <i r="1">
      <x v="288"/>
    </i>
    <i r="1">
      <x v="291"/>
    </i>
    <i r="1">
      <x v="295"/>
    </i>
    <i r="1">
      <x v="298"/>
    </i>
    <i r="1">
      <x v="312"/>
    </i>
    <i r="1">
      <x v="314"/>
    </i>
    <i r="1">
      <x v="319"/>
    </i>
    <i r="1">
      <x v="323"/>
    </i>
    <i r="1">
      <x v="326"/>
    </i>
    <i r="1">
      <x v="327"/>
    </i>
    <i r="1">
      <x v="330"/>
    </i>
    <i r="1">
      <x v="354"/>
    </i>
    <i r="1">
      <x v="356"/>
    </i>
    <i>
      <x v="30"/>
    </i>
    <i r="1">
      <x v="17"/>
    </i>
    <i r="1">
      <x v="20"/>
    </i>
    <i r="1">
      <x v="29"/>
    </i>
    <i r="1">
      <x v="40"/>
    </i>
    <i r="1">
      <x v="48"/>
    </i>
    <i r="1">
      <x v="50"/>
    </i>
    <i r="1">
      <x v="56"/>
    </i>
    <i r="1">
      <x v="76"/>
    </i>
    <i r="1">
      <x v="97"/>
    </i>
    <i r="1">
      <x v="102"/>
    </i>
    <i r="1">
      <x v="109"/>
    </i>
    <i r="1">
      <x v="118"/>
    </i>
    <i r="1">
      <x v="119"/>
    </i>
    <i r="1">
      <x v="134"/>
    </i>
    <i r="1">
      <x v="135"/>
    </i>
    <i r="1">
      <x v="139"/>
    </i>
    <i r="1">
      <x v="152"/>
    </i>
    <i r="1">
      <x v="166"/>
    </i>
    <i r="1">
      <x v="167"/>
    </i>
    <i r="1">
      <x v="177"/>
    </i>
    <i r="1">
      <x v="179"/>
    </i>
    <i r="1">
      <x v="180"/>
    </i>
    <i r="1">
      <x v="183"/>
    </i>
    <i r="1">
      <x v="186"/>
    </i>
    <i r="1">
      <x v="187"/>
    </i>
    <i r="1">
      <x v="189"/>
    </i>
    <i r="1">
      <x v="194"/>
    </i>
    <i r="1">
      <x v="197"/>
    </i>
    <i r="1">
      <x v="203"/>
    </i>
    <i r="1">
      <x v="207"/>
    </i>
    <i r="1">
      <x v="211"/>
    </i>
    <i r="1">
      <x v="212"/>
    </i>
    <i r="1">
      <x v="221"/>
    </i>
    <i r="1">
      <x v="229"/>
    </i>
    <i r="1">
      <x v="252"/>
    </i>
    <i r="1">
      <x v="253"/>
    </i>
    <i r="1">
      <x v="270"/>
    </i>
    <i r="1">
      <x v="275"/>
    </i>
    <i r="1">
      <x v="295"/>
    </i>
    <i r="1">
      <x v="303"/>
    </i>
    <i r="1">
      <x v="305"/>
    </i>
    <i r="1">
      <x v="307"/>
    </i>
    <i r="1">
      <x v="320"/>
    </i>
    <i r="1">
      <x v="321"/>
    </i>
    <i r="1">
      <x v="326"/>
    </i>
    <i r="1">
      <x v="328"/>
    </i>
    <i r="1">
      <x v="340"/>
    </i>
    <i r="1">
      <x v="350"/>
    </i>
    <i r="1">
      <x v="351"/>
    </i>
    <i r="1">
      <x v="357"/>
    </i>
    <i r="1">
      <x v="361"/>
    </i>
    <i r="1">
      <x v="363"/>
    </i>
    <i>
      <x v="31"/>
    </i>
    <i r="1">
      <x v="3"/>
    </i>
    <i r="1">
      <x v="4"/>
    </i>
    <i r="1">
      <x v="8"/>
    </i>
    <i r="1">
      <x v="24"/>
    </i>
    <i r="1">
      <x v="46"/>
    </i>
    <i r="1">
      <x v="47"/>
    </i>
    <i r="1">
      <x v="62"/>
    </i>
    <i r="1">
      <x v="69"/>
    </i>
    <i r="1">
      <x v="81"/>
    </i>
    <i r="1">
      <x v="88"/>
    </i>
    <i r="1">
      <x v="106"/>
    </i>
    <i r="1">
      <x v="123"/>
    </i>
    <i r="1">
      <x v="126"/>
    </i>
    <i r="1">
      <x v="130"/>
    </i>
    <i r="1">
      <x v="151"/>
    </i>
    <i r="1">
      <x v="161"/>
    </i>
    <i r="1">
      <x v="166"/>
    </i>
    <i r="1">
      <x v="173"/>
    </i>
    <i r="1">
      <x v="179"/>
    </i>
    <i r="1">
      <x v="188"/>
    </i>
    <i r="1">
      <x v="197"/>
    </i>
    <i r="1">
      <x v="202"/>
    </i>
    <i r="1">
      <x v="204"/>
    </i>
    <i r="1">
      <x v="207"/>
    </i>
    <i r="1">
      <x v="225"/>
    </i>
    <i r="1">
      <x v="228"/>
    </i>
    <i r="1">
      <x v="250"/>
    </i>
    <i r="1">
      <x v="253"/>
    </i>
    <i r="1">
      <x v="266"/>
    </i>
    <i r="1">
      <x v="267"/>
    </i>
    <i r="1">
      <x v="277"/>
    </i>
    <i r="1">
      <x v="284"/>
    </i>
    <i r="1">
      <x v="298"/>
    </i>
    <i r="1">
      <x v="303"/>
    </i>
    <i r="1">
      <x v="308"/>
    </i>
    <i r="1">
      <x v="312"/>
    </i>
    <i r="1">
      <x v="317"/>
    </i>
    <i r="1">
      <x v="319"/>
    </i>
    <i r="1">
      <x v="348"/>
    </i>
    <i>
      <x v="32"/>
    </i>
    <i r="1">
      <x v="4"/>
    </i>
    <i r="1">
      <x v="17"/>
    </i>
    <i r="1">
      <x v="19"/>
    </i>
    <i r="1">
      <x v="42"/>
    </i>
    <i r="1">
      <x v="52"/>
    </i>
    <i r="1">
      <x v="65"/>
    </i>
    <i r="1">
      <x v="71"/>
    </i>
    <i r="1">
      <x v="81"/>
    </i>
    <i r="1">
      <x v="88"/>
    </i>
    <i r="1">
      <x v="96"/>
    </i>
    <i r="1">
      <x v="102"/>
    </i>
    <i r="1">
      <x v="109"/>
    </i>
    <i r="1">
      <x v="123"/>
    </i>
    <i r="1">
      <x v="126"/>
    </i>
    <i r="1">
      <x v="144"/>
    </i>
    <i r="1">
      <x v="145"/>
    </i>
    <i r="1">
      <x v="146"/>
    </i>
    <i r="1">
      <x v="153"/>
    </i>
    <i r="1">
      <x v="165"/>
    </i>
    <i r="1">
      <x v="175"/>
    </i>
    <i r="1">
      <x v="179"/>
    </i>
    <i r="1">
      <x v="205"/>
    </i>
    <i r="1">
      <x v="221"/>
    </i>
    <i r="1">
      <x v="222"/>
    </i>
    <i r="1">
      <x v="223"/>
    </i>
    <i r="1">
      <x v="239"/>
    </i>
    <i r="1">
      <x v="245"/>
    </i>
    <i r="1">
      <x v="251"/>
    </i>
    <i r="1">
      <x v="266"/>
    </i>
    <i r="1">
      <x v="275"/>
    </i>
    <i r="1">
      <x v="309"/>
    </i>
    <i r="1">
      <x v="314"/>
    </i>
    <i r="1">
      <x v="326"/>
    </i>
    <i r="1">
      <x v="331"/>
    </i>
    <i r="1">
      <x v="336"/>
    </i>
    <i r="1">
      <x v="347"/>
    </i>
    <i>
      <x v="33"/>
    </i>
    <i r="1">
      <x v="3"/>
    </i>
    <i r="1">
      <x v="12"/>
    </i>
    <i r="1">
      <x v="14"/>
    </i>
    <i r="1">
      <x v="29"/>
    </i>
    <i r="1">
      <x v="31"/>
    </i>
    <i r="1">
      <x v="34"/>
    </i>
    <i r="1">
      <x v="38"/>
    </i>
    <i r="1">
      <x v="45"/>
    </i>
    <i r="1">
      <x v="49"/>
    </i>
    <i r="1">
      <x v="56"/>
    </i>
    <i r="1">
      <x v="69"/>
    </i>
    <i r="1">
      <x v="76"/>
    </i>
    <i r="1">
      <x v="85"/>
    </i>
    <i r="1">
      <x v="90"/>
    </i>
    <i r="1">
      <x v="102"/>
    </i>
    <i r="1">
      <x v="109"/>
    </i>
    <i r="1">
      <x v="116"/>
    </i>
    <i r="1">
      <x v="117"/>
    </i>
    <i r="1">
      <x v="119"/>
    </i>
    <i r="1">
      <x v="127"/>
    </i>
    <i r="1">
      <x v="133"/>
    </i>
    <i r="1">
      <x v="137"/>
    </i>
    <i r="1">
      <x v="144"/>
    </i>
    <i r="1">
      <x v="151"/>
    </i>
    <i r="1">
      <x v="153"/>
    </i>
    <i r="1">
      <x v="162"/>
    </i>
    <i r="1">
      <x v="165"/>
    </i>
    <i r="1">
      <x v="175"/>
    </i>
    <i r="1">
      <x v="176"/>
    </i>
    <i r="1">
      <x v="180"/>
    </i>
    <i r="1">
      <x v="186"/>
    </i>
    <i r="1">
      <x v="202"/>
    </i>
    <i r="1">
      <x v="217"/>
    </i>
    <i r="1">
      <x v="219"/>
    </i>
    <i r="1">
      <x v="223"/>
    </i>
    <i r="1">
      <x v="228"/>
    </i>
    <i r="1">
      <x v="233"/>
    </i>
    <i r="1">
      <x v="242"/>
    </i>
    <i r="1">
      <x v="243"/>
    </i>
    <i r="1">
      <x v="246"/>
    </i>
    <i r="1">
      <x v="251"/>
    </i>
    <i r="1">
      <x v="252"/>
    </i>
    <i r="1">
      <x v="259"/>
    </i>
    <i r="1">
      <x v="263"/>
    </i>
    <i r="1">
      <x v="267"/>
    </i>
    <i r="1">
      <x v="268"/>
    </i>
    <i r="1">
      <x v="270"/>
    </i>
    <i r="1">
      <x v="277"/>
    </i>
    <i r="1">
      <x v="286"/>
    </i>
    <i r="1">
      <x v="314"/>
    </i>
    <i r="1">
      <x v="315"/>
    </i>
    <i r="1">
      <x v="317"/>
    </i>
    <i r="1">
      <x v="330"/>
    </i>
    <i r="1">
      <x v="333"/>
    </i>
    <i r="1">
      <x v="342"/>
    </i>
    <i r="1">
      <x v="349"/>
    </i>
    <i r="1">
      <x v="357"/>
    </i>
    <i r="1">
      <x v="361"/>
    </i>
    <i r="1">
      <x v="365"/>
    </i>
    <i>
      <x v="34"/>
    </i>
    <i r="1">
      <x v="12"/>
    </i>
    <i r="1">
      <x v="17"/>
    </i>
    <i r="1">
      <x v="20"/>
    </i>
    <i r="1">
      <x v="36"/>
    </i>
    <i r="1">
      <x v="38"/>
    </i>
    <i r="1">
      <x v="41"/>
    </i>
    <i r="1">
      <x v="63"/>
    </i>
    <i r="1">
      <x v="67"/>
    </i>
    <i r="1">
      <x v="81"/>
    </i>
    <i r="1">
      <x v="86"/>
    </i>
    <i r="1">
      <x v="88"/>
    </i>
    <i r="1">
      <x v="91"/>
    </i>
    <i r="1">
      <x v="93"/>
    </i>
    <i r="1">
      <x v="102"/>
    </i>
    <i r="1">
      <x v="106"/>
    </i>
    <i r="1">
      <x v="118"/>
    </i>
    <i r="1">
      <x v="119"/>
    </i>
    <i r="1">
      <x v="132"/>
    </i>
    <i r="1">
      <x v="160"/>
    </i>
    <i r="1">
      <x v="170"/>
    </i>
    <i r="1">
      <x v="191"/>
    </i>
    <i r="1">
      <x v="193"/>
    </i>
    <i r="1">
      <x v="198"/>
    </i>
    <i r="1">
      <x v="200"/>
    </i>
    <i r="1">
      <x v="204"/>
    </i>
    <i r="1">
      <x v="208"/>
    </i>
    <i r="1">
      <x v="210"/>
    </i>
    <i r="1">
      <x v="212"/>
    </i>
    <i r="1">
      <x v="217"/>
    </i>
    <i r="1">
      <x v="218"/>
    </i>
    <i r="1">
      <x v="223"/>
    </i>
    <i r="1">
      <x v="228"/>
    </i>
    <i r="1">
      <x v="239"/>
    </i>
    <i r="1">
      <x v="240"/>
    </i>
    <i r="1">
      <x v="243"/>
    </i>
    <i r="1">
      <x v="249"/>
    </i>
    <i r="1">
      <x v="265"/>
    </i>
    <i r="1">
      <x v="266"/>
    </i>
    <i r="1">
      <x v="281"/>
    </i>
    <i r="1">
      <x v="284"/>
    </i>
    <i r="1">
      <x v="291"/>
    </i>
    <i r="1">
      <x v="302"/>
    </i>
    <i r="1">
      <x v="323"/>
    </i>
    <i r="1">
      <x v="329"/>
    </i>
    <i r="1">
      <x v="331"/>
    </i>
    <i r="1">
      <x v="333"/>
    </i>
    <i>
      <x v="35"/>
    </i>
    <i r="1">
      <x v="24"/>
    </i>
    <i r="1">
      <x v="38"/>
    </i>
    <i r="1">
      <x v="71"/>
    </i>
    <i r="1">
      <x v="109"/>
    </i>
    <i r="1">
      <x v="118"/>
    </i>
    <i r="1">
      <x v="128"/>
    </i>
    <i r="1">
      <x v="130"/>
    </i>
    <i r="1">
      <x v="131"/>
    </i>
    <i r="1">
      <x v="137"/>
    </i>
    <i r="1">
      <x v="141"/>
    </i>
    <i r="1">
      <x v="160"/>
    </i>
    <i r="1">
      <x v="161"/>
    </i>
    <i r="1">
      <x v="172"/>
    </i>
    <i r="1">
      <x v="176"/>
    </i>
    <i r="1">
      <x v="177"/>
    </i>
    <i r="1">
      <x v="188"/>
    </i>
    <i r="1">
      <x v="191"/>
    </i>
    <i r="1">
      <x v="193"/>
    </i>
    <i r="1">
      <x v="196"/>
    </i>
    <i r="1">
      <x v="208"/>
    </i>
    <i r="1">
      <x v="216"/>
    </i>
    <i r="1">
      <x v="219"/>
    </i>
    <i r="1">
      <x v="221"/>
    </i>
    <i r="1">
      <x v="226"/>
    </i>
    <i r="1">
      <x v="237"/>
    </i>
    <i r="1">
      <x v="239"/>
    </i>
    <i r="1">
      <x v="244"/>
    </i>
    <i r="1">
      <x v="252"/>
    </i>
    <i r="1">
      <x v="258"/>
    </i>
    <i r="1">
      <x v="282"/>
    </i>
    <i r="1">
      <x v="286"/>
    </i>
    <i r="1">
      <x v="303"/>
    </i>
    <i r="1">
      <x v="310"/>
    </i>
    <i r="1">
      <x v="319"/>
    </i>
    <i r="1">
      <x v="320"/>
    </i>
    <i r="1">
      <x v="324"/>
    </i>
    <i r="1">
      <x v="327"/>
    </i>
    <i r="1">
      <x v="354"/>
    </i>
    <i r="1">
      <x v="361"/>
    </i>
    <i>
      <x v="36"/>
    </i>
    <i r="1">
      <x v="7"/>
    </i>
    <i r="1">
      <x v="8"/>
    </i>
    <i r="1">
      <x v="12"/>
    </i>
    <i r="1">
      <x v="29"/>
    </i>
    <i r="1">
      <x v="31"/>
    </i>
    <i r="1">
      <x v="34"/>
    </i>
    <i r="1">
      <x v="38"/>
    </i>
    <i r="1">
      <x v="41"/>
    </i>
    <i r="1">
      <x v="74"/>
    </i>
    <i r="1">
      <x v="89"/>
    </i>
    <i r="1">
      <x v="91"/>
    </i>
    <i r="1">
      <x v="96"/>
    </i>
    <i r="1">
      <x v="100"/>
    </i>
    <i r="1">
      <x v="102"/>
    </i>
    <i r="1">
      <x v="110"/>
    </i>
    <i r="1">
      <x v="125"/>
    </i>
    <i r="1">
      <x v="130"/>
    </i>
    <i r="1">
      <x v="132"/>
    </i>
    <i r="1">
      <x v="138"/>
    </i>
    <i r="1">
      <x v="141"/>
    </i>
    <i r="1">
      <x v="147"/>
    </i>
    <i r="1">
      <x v="151"/>
    </i>
    <i r="1">
      <x v="152"/>
    </i>
    <i r="1">
      <x v="166"/>
    </i>
    <i r="1">
      <x v="169"/>
    </i>
    <i r="1">
      <x v="209"/>
    </i>
    <i r="1">
      <x v="221"/>
    </i>
    <i r="1">
      <x v="223"/>
    </i>
    <i r="1">
      <x v="225"/>
    </i>
    <i r="1">
      <x v="232"/>
    </i>
    <i r="1">
      <x v="239"/>
    </i>
    <i r="1">
      <x v="250"/>
    </i>
    <i r="1">
      <x v="254"/>
    </i>
    <i r="1">
      <x v="277"/>
    </i>
    <i r="1">
      <x v="286"/>
    </i>
    <i r="1">
      <x v="291"/>
    </i>
    <i r="1">
      <x v="305"/>
    </i>
    <i r="1">
      <x v="307"/>
    </i>
    <i r="1">
      <x v="319"/>
    </i>
    <i r="1">
      <x v="323"/>
    </i>
    <i r="1">
      <x v="333"/>
    </i>
    <i r="1">
      <x v="343"/>
    </i>
    <i r="1">
      <x v="348"/>
    </i>
    <i r="1">
      <x v="354"/>
    </i>
    <i r="1">
      <x v="356"/>
    </i>
    <i r="1">
      <x v="361"/>
    </i>
    <i r="1">
      <x v="364"/>
    </i>
    <i r="1">
      <x v="365"/>
    </i>
    <i>
      <x v="37"/>
    </i>
    <i r="1">
      <x v="4"/>
    </i>
    <i r="1">
      <x v="10"/>
    </i>
    <i r="1">
      <x v="26"/>
    </i>
    <i r="1">
      <x v="34"/>
    </i>
    <i r="1">
      <x v="38"/>
    </i>
    <i r="1">
      <x v="39"/>
    </i>
    <i r="1">
      <x v="48"/>
    </i>
    <i r="1">
      <x v="50"/>
    </i>
    <i r="1">
      <x v="53"/>
    </i>
    <i r="1">
      <x v="65"/>
    </i>
    <i r="1">
      <x v="74"/>
    </i>
    <i r="1">
      <x v="93"/>
    </i>
    <i r="1">
      <x v="96"/>
    </i>
    <i r="1">
      <x v="98"/>
    </i>
    <i r="1">
      <x v="104"/>
    </i>
    <i r="1">
      <x v="116"/>
    </i>
    <i r="1">
      <x v="130"/>
    </i>
    <i r="1">
      <x v="137"/>
    </i>
    <i r="1">
      <x v="147"/>
    </i>
    <i r="1">
      <x v="148"/>
    </i>
    <i r="1">
      <x v="165"/>
    </i>
    <i r="1">
      <x v="174"/>
    </i>
    <i r="1">
      <x v="175"/>
    </i>
    <i r="1">
      <x v="180"/>
    </i>
    <i r="1">
      <x v="183"/>
    </i>
    <i r="1">
      <x v="187"/>
    </i>
    <i r="1">
      <x v="188"/>
    </i>
    <i r="1">
      <x v="204"/>
    </i>
    <i r="1">
      <x v="253"/>
    </i>
    <i r="1">
      <x v="257"/>
    </i>
    <i r="1">
      <x v="260"/>
    </i>
    <i r="1">
      <x v="275"/>
    </i>
    <i r="1">
      <x v="291"/>
    </i>
    <i r="1">
      <x v="296"/>
    </i>
    <i r="1">
      <x v="303"/>
    </i>
    <i r="1">
      <x v="307"/>
    </i>
    <i r="1">
      <x v="323"/>
    </i>
    <i r="1">
      <x v="329"/>
    </i>
    <i r="1">
      <x v="333"/>
    </i>
    <i r="1">
      <x v="341"/>
    </i>
    <i r="1">
      <x v="342"/>
    </i>
    <i r="1">
      <x v="351"/>
    </i>
    <i r="1">
      <x v="355"/>
    </i>
    <i>
      <x v="38"/>
    </i>
    <i r="1">
      <x v="3"/>
    </i>
    <i r="1">
      <x v="17"/>
    </i>
    <i r="1">
      <x v="18"/>
    </i>
    <i r="1">
      <x v="35"/>
    </i>
    <i r="1">
      <x v="45"/>
    </i>
    <i r="1">
      <x v="65"/>
    </i>
    <i r="1">
      <x v="71"/>
    </i>
    <i r="1">
      <x v="75"/>
    </i>
    <i r="1">
      <x v="86"/>
    </i>
    <i r="1">
      <x v="90"/>
    </i>
    <i r="1">
      <x v="92"/>
    </i>
    <i r="1">
      <x v="93"/>
    </i>
    <i r="1">
      <x v="95"/>
    </i>
    <i r="1">
      <x v="97"/>
    </i>
    <i r="1">
      <x v="103"/>
    </i>
    <i r="1">
      <x v="109"/>
    </i>
    <i r="1">
      <x v="110"/>
    </i>
    <i r="1">
      <x v="147"/>
    </i>
    <i r="1">
      <x v="161"/>
    </i>
    <i r="1">
      <x v="190"/>
    </i>
    <i r="1">
      <x v="203"/>
    </i>
    <i r="1">
      <x v="205"/>
    </i>
    <i r="1">
      <x v="214"/>
    </i>
    <i r="1">
      <x v="221"/>
    </i>
    <i r="1">
      <x v="228"/>
    </i>
    <i r="1">
      <x v="231"/>
    </i>
    <i r="1">
      <x v="246"/>
    </i>
    <i r="1">
      <x v="247"/>
    </i>
    <i r="1">
      <x v="249"/>
    </i>
    <i r="1">
      <x v="259"/>
    </i>
    <i r="1">
      <x v="263"/>
    </i>
    <i r="1">
      <x v="265"/>
    </i>
    <i r="1">
      <x v="284"/>
    </i>
    <i r="1">
      <x v="292"/>
    </i>
    <i r="1">
      <x v="293"/>
    </i>
    <i r="1">
      <x v="308"/>
    </i>
    <i r="1">
      <x v="310"/>
    </i>
    <i r="1">
      <x v="320"/>
    </i>
    <i r="1">
      <x v="337"/>
    </i>
    <i r="1">
      <x v="338"/>
    </i>
    <i r="1">
      <x v="340"/>
    </i>
    <i r="1">
      <x v="357"/>
    </i>
    <i r="1">
      <x v="365"/>
    </i>
    <i>
      <x v="39"/>
    </i>
    <i r="1">
      <x v="8"/>
    </i>
    <i r="1">
      <x v="32"/>
    </i>
    <i r="1">
      <x v="40"/>
    </i>
    <i r="1">
      <x v="52"/>
    </i>
    <i r="1">
      <x v="53"/>
    </i>
    <i r="1">
      <x v="63"/>
    </i>
    <i r="1">
      <x v="67"/>
    </i>
    <i r="1">
      <x v="68"/>
    </i>
    <i r="1">
      <x v="78"/>
    </i>
    <i r="1">
      <x v="82"/>
    </i>
    <i r="1">
      <x v="93"/>
    </i>
    <i r="1">
      <x v="95"/>
    </i>
    <i r="1">
      <x v="109"/>
    </i>
    <i r="1">
      <x v="111"/>
    </i>
    <i r="1">
      <x v="135"/>
    </i>
    <i r="1">
      <x v="140"/>
    </i>
    <i r="1">
      <x v="151"/>
    </i>
    <i r="1">
      <x v="168"/>
    </i>
    <i r="1">
      <x v="170"/>
    </i>
    <i r="1">
      <x v="172"/>
    </i>
    <i r="1">
      <x v="175"/>
    </i>
    <i r="1">
      <x v="179"/>
    </i>
    <i r="1">
      <x v="184"/>
    </i>
    <i r="1">
      <x v="190"/>
    </i>
    <i r="1">
      <x v="198"/>
    </i>
    <i r="1">
      <x v="221"/>
    </i>
    <i r="1">
      <x v="222"/>
    </i>
    <i r="1">
      <x v="224"/>
    </i>
    <i r="1">
      <x v="226"/>
    </i>
    <i r="1">
      <x v="242"/>
    </i>
    <i r="1">
      <x v="252"/>
    </i>
    <i r="1">
      <x v="259"/>
    </i>
    <i r="1">
      <x v="265"/>
    </i>
    <i r="1">
      <x v="267"/>
    </i>
    <i r="1">
      <x v="282"/>
    </i>
    <i r="1">
      <x v="287"/>
    </i>
    <i r="1">
      <x v="289"/>
    </i>
    <i r="1">
      <x v="321"/>
    </i>
    <i r="1">
      <x v="324"/>
    </i>
    <i r="1">
      <x v="330"/>
    </i>
    <i r="1">
      <x v="342"/>
    </i>
    <i r="1">
      <x v="347"/>
    </i>
    <i r="1">
      <x v="348"/>
    </i>
    <i r="1">
      <x v="349"/>
    </i>
    <i r="1">
      <x v="351"/>
    </i>
    <i r="1">
      <x v="352"/>
    </i>
    <i r="1">
      <x v="354"/>
    </i>
    <i r="1">
      <x v="361"/>
    </i>
    <i r="1">
      <x v="362"/>
    </i>
    <i>
      <x v="40"/>
    </i>
    <i r="1">
      <x v="5"/>
    </i>
    <i r="1">
      <x v="7"/>
    </i>
    <i r="1">
      <x v="8"/>
    </i>
    <i r="1">
      <x v="10"/>
    </i>
    <i r="1">
      <x v="17"/>
    </i>
    <i r="1">
      <x v="20"/>
    </i>
    <i r="1">
      <x v="29"/>
    </i>
    <i r="1">
      <x v="32"/>
    </i>
    <i r="1">
      <x v="38"/>
    </i>
    <i r="1">
      <x v="50"/>
    </i>
    <i r="1">
      <x v="52"/>
    </i>
    <i r="1">
      <x v="59"/>
    </i>
    <i r="1">
      <x v="64"/>
    </i>
    <i r="1">
      <x v="67"/>
    </i>
    <i r="1">
      <x v="76"/>
    </i>
    <i r="1">
      <x v="81"/>
    </i>
    <i r="1">
      <x v="84"/>
    </i>
    <i r="1">
      <x v="97"/>
    </i>
    <i r="1">
      <x v="104"/>
    </i>
    <i r="1">
      <x v="106"/>
    </i>
    <i r="1">
      <x v="109"/>
    </i>
    <i r="1">
      <x v="144"/>
    </i>
    <i r="1">
      <x v="152"/>
    </i>
    <i r="1">
      <x v="158"/>
    </i>
    <i r="1">
      <x v="167"/>
    </i>
    <i r="1">
      <x v="179"/>
    </i>
    <i r="1">
      <x v="181"/>
    </i>
    <i r="1">
      <x v="187"/>
    </i>
    <i r="1">
      <x v="205"/>
    </i>
    <i r="1">
      <x v="214"/>
    </i>
    <i r="1">
      <x v="221"/>
    </i>
    <i r="1">
      <x v="228"/>
    </i>
    <i r="1">
      <x v="232"/>
    </i>
    <i r="1">
      <x v="238"/>
    </i>
    <i r="1">
      <x v="287"/>
    </i>
    <i r="1">
      <x v="298"/>
    </i>
    <i r="1">
      <x v="326"/>
    </i>
    <i r="1">
      <x v="327"/>
    </i>
    <i r="1">
      <x v="331"/>
    </i>
    <i r="1">
      <x v="336"/>
    </i>
    <i r="1">
      <x v="347"/>
    </i>
    <i r="1">
      <x v="354"/>
    </i>
    <i r="1">
      <x v="365"/>
    </i>
    <i>
      <x v="41"/>
    </i>
    <i r="1">
      <x v="33"/>
    </i>
    <i r="1">
      <x v="45"/>
    </i>
    <i r="1">
      <x v="56"/>
    </i>
    <i r="1">
      <x v="72"/>
    </i>
    <i r="1">
      <x v="74"/>
    </i>
    <i r="1">
      <x v="82"/>
    </i>
    <i r="1">
      <x v="85"/>
    </i>
    <i r="1">
      <x v="89"/>
    </i>
    <i r="1">
      <x v="91"/>
    </i>
    <i r="1">
      <x v="95"/>
    </i>
    <i r="1">
      <x v="109"/>
    </i>
    <i r="1">
      <x v="114"/>
    </i>
    <i r="1">
      <x v="116"/>
    </i>
    <i r="1">
      <x v="120"/>
    </i>
    <i r="1">
      <x v="123"/>
    </i>
    <i r="1">
      <x v="124"/>
    </i>
    <i r="1">
      <x v="142"/>
    </i>
    <i r="1">
      <x v="144"/>
    </i>
    <i r="1">
      <x v="165"/>
    </i>
    <i r="1">
      <x v="183"/>
    </i>
    <i r="1">
      <x v="195"/>
    </i>
    <i r="1">
      <x v="222"/>
    </i>
    <i r="1">
      <x v="223"/>
    </i>
    <i r="1">
      <x v="233"/>
    </i>
    <i r="1">
      <x v="246"/>
    </i>
    <i r="1">
      <x v="249"/>
    </i>
    <i r="1">
      <x v="250"/>
    </i>
    <i r="1">
      <x v="251"/>
    </i>
    <i r="1">
      <x v="259"/>
    </i>
    <i r="1">
      <x v="267"/>
    </i>
    <i r="1">
      <x v="270"/>
    </i>
    <i r="1">
      <x v="271"/>
    </i>
    <i r="1">
      <x v="273"/>
    </i>
    <i r="1">
      <x v="275"/>
    </i>
    <i r="1">
      <x v="293"/>
    </i>
    <i r="1">
      <x v="303"/>
    </i>
    <i r="1">
      <x v="308"/>
    </i>
    <i r="1">
      <x v="309"/>
    </i>
    <i r="1">
      <x v="312"/>
    </i>
    <i r="1">
      <x v="323"/>
    </i>
    <i r="1">
      <x v="329"/>
    </i>
    <i r="1">
      <x v="333"/>
    </i>
    <i r="1">
      <x v="342"/>
    </i>
    <i r="1">
      <x v="348"/>
    </i>
    <i r="1">
      <x v="354"/>
    </i>
    <i r="1">
      <x v="361"/>
    </i>
    <i>
      <x v="42"/>
    </i>
    <i r="1">
      <x v="5"/>
    </i>
    <i r="1">
      <x v="6"/>
    </i>
    <i r="1">
      <x v="7"/>
    </i>
    <i r="1">
      <x v="12"/>
    </i>
    <i r="1">
      <x v="26"/>
    </i>
    <i r="1">
      <x v="31"/>
    </i>
    <i r="1">
      <x v="59"/>
    </i>
    <i r="1">
      <x v="71"/>
    </i>
    <i r="1">
      <x v="76"/>
    </i>
    <i r="1">
      <x v="88"/>
    </i>
    <i r="1">
      <x v="100"/>
    </i>
    <i r="1">
      <x v="103"/>
    </i>
    <i r="1">
      <x v="126"/>
    </i>
    <i r="1">
      <x v="132"/>
    </i>
    <i r="1">
      <x v="138"/>
    </i>
    <i r="1">
      <x v="139"/>
    </i>
    <i r="1">
      <x v="155"/>
    </i>
    <i r="1">
      <x v="158"/>
    </i>
    <i r="1">
      <x v="163"/>
    </i>
    <i r="1">
      <x v="188"/>
    </i>
    <i r="1">
      <x v="193"/>
    </i>
    <i r="1">
      <x v="211"/>
    </i>
    <i r="1">
      <x v="217"/>
    </i>
    <i r="1">
      <x v="221"/>
    </i>
    <i r="1">
      <x v="235"/>
    </i>
    <i r="1">
      <x v="251"/>
    </i>
    <i r="1">
      <x v="253"/>
    </i>
    <i r="1">
      <x v="263"/>
    </i>
    <i r="1">
      <x v="267"/>
    </i>
    <i r="1">
      <x v="287"/>
    </i>
    <i r="1">
      <x v="296"/>
    </i>
    <i r="1">
      <x v="305"/>
    </i>
    <i r="1">
      <x v="312"/>
    </i>
    <i r="1">
      <x v="326"/>
    </i>
    <i r="1">
      <x v="328"/>
    </i>
    <i r="1">
      <x v="340"/>
    </i>
    <i r="1">
      <x v="343"/>
    </i>
    <i r="1">
      <x v="359"/>
    </i>
    <i r="1">
      <x v="361"/>
    </i>
    <i r="1">
      <x v="363"/>
    </i>
    <i>
      <x v="43"/>
    </i>
    <i r="1">
      <x v="10"/>
    </i>
    <i r="1">
      <x v="42"/>
    </i>
    <i r="1">
      <x v="48"/>
    </i>
    <i r="1">
      <x v="53"/>
    </i>
    <i r="1">
      <x v="62"/>
    </i>
    <i r="1">
      <x v="63"/>
    </i>
    <i r="1">
      <x v="77"/>
    </i>
    <i r="1">
      <x v="81"/>
    </i>
    <i r="1">
      <x v="82"/>
    </i>
    <i r="1">
      <x v="88"/>
    </i>
    <i r="1">
      <x v="95"/>
    </i>
    <i r="1">
      <x v="99"/>
    </i>
    <i r="1">
      <x v="110"/>
    </i>
    <i r="1">
      <x v="123"/>
    </i>
    <i r="1">
      <x v="135"/>
    </i>
    <i r="1">
      <x v="139"/>
    </i>
    <i r="1">
      <x v="158"/>
    </i>
    <i r="1">
      <x v="174"/>
    </i>
    <i r="1">
      <x v="176"/>
    </i>
    <i r="1">
      <x v="183"/>
    </i>
    <i r="1">
      <x v="184"/>
    </i>
    <i r="1">
      <x v="186"/>
    </i>
    <i r="1">
      <x v="187"/>
    </i>
    <i r="1">
      <x v="196"/>
    </i>
    <i r="1">
      <x v="200"/>
    </i>
    <i r="1">
      <x v="202"/>
    </i>
    <i r="1">
      <x v="215"/>
    </i>
    <i r="1">
      <x v="216"/>
    </i>
    <i r="1">
      <x v="217"/>
    </i>
    <i r="1">
      <x v="235"/>
    </i>
    <i r="1">
      <x v="249"/>
    </i>
    <i r="1">
      <x v="253"/>
    </i>
    <i r="1">
      <x v="256"/>
    </i>
    <i r="1">
      <x v="260"/>
    </i>
    <i r="1">
      <x v="261"/>
    </i>
    <i r="1">
      <x v="268"/>
    </i>
    <i r="1">
      <x v="274"/>
    </i>
    <i r="1">
      <x v="277"/>
    </i>
    <i r="1">
      <x v="279"/>
    </i>
    <i r="1">
      <x v="281"/>
    </i>
    <i r="1">
      <x v="286"/>
    </i>
    <i r="1">
      <x v="287"/>
    </i>
    <i r="1">
      <x v="295"/>
    </i>
    <i r="1">
      <x v="302"/>
    </i>
    <i r="1">
      <x v="307"/>
    </i>
    <i r="1">
      <x v="310"/>
    </i>
    <i r="1">
      <x v="328"/>
    </i>
    <i r="1">
      <x v="330"/>
    </i>
    <i r="1">
      <x v="341"/>
    </i>
    <i r="1">
      <x v="352"/>
    </i>
    <i r="1">
      <x v="355"/>
    </i>
    <i r="1">
      <x v="357"/>
    </i>
    <i>
      <x v="44"/>
    </i>
    <i r="1">
      <x v="4"/>
    </i>
    <i r="1">
      <x v="7"/>
    </i>
    <i r="1">
      <x v="10"/>
    </i>
    <i r="1">
      <x v="13"/>
    </i>
    <i r="1">
      <x v="17"/>
    </i>
    <i r="1">
      <x v="28"/>
    </i>
    <i r="1">
      <x v="33"/>
    </i>
    <i r="1">
      <x v="35"/>
    </i>
    <i r="1">
      <x v="38"/>
    </i>
    <i r="1">
      <x v="47"/>
    </i>
    <i r="1">
      <x v="62"/>
    </i>
    <i r="1">
      <x v="76"/>
    </i>
    <i r="1">
      <x v="102"/>
    </i>
    <i r="1">
      <x v="104"/>
    </i>
    <i r="1">
      <x v="105"/>
    </i>
    <i r="1">
      <x v="106"/>
    </i>
    <i r="1">
      <x v="107"/>
    </i>
    <i r="1">
      <x v="118"/>
    </i>
    <i r="1">
      <x v="130"/>
    </i>
    <i r="1">
      <x v="139"/>
    </i>
    <i r="1">
      <x v="146"/>
    </i>
    <i r="1">
      <x v="153"/>
    </i>
    <i r="1">
      <x v="158"/>
    </i>
    <i r="1">
      <x v="182"/>
    </i>
    <i r="1">
      <x v="214"/>
    </i>
    <i r="1">
      <x v="221"/>
    </i>
    <i r="1">
      <x v="223"/>
    </i>
    <i r="1">
      <x v="228"/>
    </i>
    <i r="1">
      <x v="232"/>
    </i>
    <i r="1">
      <x v="237"/>
    </i>
    <i r="1">
      <x v="239"/>
    </i>
    <i r="1">
      <x v="242"/>
    </i>
    <i r="1">
      <x v="249"/>
    </i>
    <i r="1">
      <x v="256"/>
    </i>
    <i r="1">
      <x v="261"/>
    </i>
    <i r="1">
      <x v="271"/>
    </i>
    <i r="1">
      <x v="275"/>
    </i>
    <i r="1">
      <x v="277"/>
    </i>
    <i r="1">
      <x v="310"/>
    </i>
    <i r="1">
      <x v="312"/>
    </i>
    <i>
      <x v="45"/>
    </i>
    <i r="1">
      <x v="14"/>
    </i>
    <i r="1">
      <x v="15"/>
    </i>
    <i r="1">
      <x v="17"/>
    </i>
    <i r="1">
      <x v="38"/>
    </i>
    <i r="1">
      <x v="39"/>
    </i>
    <i r="1">
      <x v="42"/>
    </i>
    <i r="1">
      <x v="47"/>
    </i>
    <i r="1">
      <x v="52"/>
    </i>
    <i r="1">
      <x v="54"/>
    </i>
    <i r="1">
      <x v="59"/>
    </i>
    <i r="1">
      <x v="61"/>
    </i>
    <i r="1">
      <x v="72"/>
    </i>
    <i r="1">
      <x v="79"/>
    </i>
    <i r="1">
      <x v="84"/>
    </i>
    <i r="1">
      <x v="88"/>
    </i>
    <i r="1">
      <x v="98"/>
    </i>
    <i r="1">
      <x v="113"/>
    </i>
    <i r="1">
      <x v="155"/>
    </i>
    <i r="1">
      <x v="169"/>
    </i>
    <i r="1">
      <x v="182"/>
    </i>
    <i r="1">
      <x v="203"/>
    </i>
    <i r="1">
      <x v="207"/>
    </i>
    <i r="1">
      <x v="212"/>
    </i>
    <i r="1">
      <x v="214"/>
    </i>
    <i r="1">
      <x v="244"/>
    </i>
    <i r="1">
      <x v="245"/>
    </i>
    <i r="1">
      <x v="267"/>
    </i>
    <i r="1">
      <x v="277"/>
    </i>
    <i r="1">
      <x v="298"/>
    </i>
    <i r="1">
      <x v="309"/>
    </i>
    <i r="1">
      <x v="313"/>
    </i>
    <i r="1">
      <x v="333"/>
    </i>
    <i r="1">
      <x v="335"/>
    </i>
    <i r="1">
      <x v="336"/>
    </i>
    <i r="1">
      <x v="356"/>
    </i>
    <i r="1">
      <x v="361"/>
    </i>
    <i r="1">
      <x v="362"/>
    </i>
    <i>
      <x v="46"/>
    </i>
    <i r="1">
      <x v="5"/>
    </i>
    <i r="1">
      <x v="10"/>
    </i>
    <i r="1">
      <x v="33"/>
    </i>
    <i r="1">
      <x v="54"/>
    </i>
    <i r="1">
      <x v="88"/>
    </i>
    <i r="1">
      <x v="99"/>
    </i>
    <i r="1">
      <x v="109"/>
    </i>
    <i r="1">
      <x v="127"/>
    </i>
    <i r="1">
      <x v="130"/>
    </i>
    <i r="1">
      <x v="132"/>
    </i>
    <i r="1">
      <x v="133"/>
    </i>
    <i r="1">
      <x v="134"/>
    </i>
    <i r="1">
      <x v="144"/>
    </i>
    <i r="1">
      <x v="160"/>
    </i>
    <i r="1">
      <x v="168"/>
    </i>
    <i r="1">
      <x v="175"/>
    </i>
    <i r="1">
      <x v="181"/>
    </i>
    <i r="1">
      <x v="193"/>
    </i>
    <i r="1">
      <x v="198"/>
    </i>
    <i r="1">
      <x v="214"/>
    </i>
    <i r="1">
      <x v="215"/>
    </i>
    <i r="1">
      <x v="222"/>
    </i>
    <i r="1">
      <x v="228"/>
    </i>
    <i r="1">
      <x v="239"/>
    </i>
    <i r="1">
      <x v="240"/>
    </i>
    <i r="1">
      <x v="249"/>
    </i>
    <i r="1">
      <x v="263"/>
    </i>
    <i r="1">
      <x v="272"/>
    </i>
    <i r="1">
      <x v="273"/>
    </i>
    <i r="1">
      <x v="279"/>
    </i>
    <i r="1">
      <x v="295"/>
    </i>
    <i r="1">
      <x v="303"/>
    </i>
    <i r="1">
      <x v="315"/>
    </i>
    <i r="1">
      <x v="336"/>
    </i>
    <i r="1">
      <x v="337"/>
    </i>
    <i r="1">
      <x v="340"/>
    </i>
    <i r="1">
      <x v="344"/>
    </i>
    <i r="1">
      <x v="345"/>
    </i>
    <i r="1">
      <x v="348"/>
    </i>
    <i r="1">
      <x v="350"/>
    </i>
    <i>
      <x v="47"/>
    </i>
    <i r="1">
      <x v="8"/>
    </i>
    <i r="1">
      <x v="18"/>
    </i>
    <i r="1">
      <x v="21"/>
    </i>
    <i r="1">
      <x v="41"/>
    </i>
    <i r="1">
      <x v="42"/>
    </i>
    <i r="1">
      <x v="49"/>
    </i>
    <i r="1">
      <x v="67"/>
    </i>
    <i r="1">
      <x v="78"/>
    </i>
    <i r="1">
      <x v="88"/>
    </i>
    <i r="1">
      <x v="96"/>
    </i>
    <i r="1">
      <x v="97"/>
    </i>
    <i r="1">
      <x v="99"/>
    </i>
    <i r="1">
      <x v="120"/>
    </i>
    <i r="1">
      <x v="128"/>
    </i>
    <i r="1">
      <x v="133"/>
    </i>
    <i r="1">
      <x v="141"/>
    </i>
    <i r="1">
      <x v="145"/>
    </i>
    <i r="1">
      <x v="152"/>
    </i>
    <i r="1">
      <x v="158"/>
    </i>
    <i r="1">
      <x v="162"/>
    </i>
    <i r="1">
      <x v="167"/>
    </i>
    <i r="1">
      <x v="177"/>
    </i>
    <i r="1">
      <x v="184"/>
    </i>
    <i r="1">
      <x v="200"/>
    </i>
    <i r="1">
      <x v="207"/>
    </i>
    <i r="1">
      <x v="212"/>
    </i>
    <i r="1">
      <x v="214"/>
    </i>
    <i r="1">
      <x v="224"/>
    </i>
    <i r="1">
      <x v="226"/>
    </i>
    <i r="1">
      <x v="247"/>
    </i>
    <i r="1">
      <x v="252"/>
    </i>
    <i r="1">
      <x v="259"/>
    </i>
    <i r="1">
      <x v="263"/>
    </i>
    <i r="1">
      <x v="264"/>
    </i>
    <i r="1">
      <x v="265"/>
    </i>
    <i r="1">
      <x v="293"/>
    </i>
    <i r="1">
      <x v="299"/>
    </i>
    <i r="1">
      <x v="301"/>
    </i>
    <i r="1">
      <x v="312"/>
    </i>
    <i r="1">
      <x v="322"/>
    </i>
    <i r="1">
      <x v="328"/>
    </i>
    <i r="1">
      <x v="358"/>
    </i>
    <i r="1">
      <x v="362"/>
    </i>
    <i>
      <x v="48"/>
    </i>
    <i r="1">
      <x v="3"/>
    </i>
    <i r="1">
      <x v="14"/>
    </i>
    <i r="1">
      <x v="18"/>
    </i>
    <i r="1">
      <x v="22"/>
    </i>
    <i r="1">
      <x v="26"/>
    </i>
    <i r="1">
      <x v="35"/>
    </i>
    <i r="1">
      <x v="38"/>
    </i>
    <i r="1">
      <x v="62"/>
    </i>
    <i r="1">
      <x v="77"/>
    </i>
    <i r="1">
      <x v="92"/>
    </i>
    <i r="1">
      <x v="95"/>
    </i>
    <i r="1">
      <x v="109"/>
    </i>
    <i r="1">
      <x v="119"/>
    </i>
    <i r="1">
      <x v="121"/>
    </i>
    <i r="1">
      <x v="123"/>
    </i>
    <i r="1">
      <x v="130"/>
    </i>
    <i r="1">
      <x v="134"/>
    </i>
    <i r="1">
      <x v="153"/>
    </i>
    <i r="1">
      <x v="154"/>
    </i>
    <i r="1">
      <x v="155"/>
    </i>
    <i r="1">
      <x v="165"/>
    </i>
    <i r="1">
      <x v="176"/>
    </i>
    <i r="1">
      <x v="188"/>
    </i>
    <i r="1">
      <x v="193"/>
    </i>
    <i r="1">
      <x v="202"/>
    </i>
    <i r="1">
      <x v="224"/>
    </i>
    <i r="1">
      <x v="230"/>
    </i>
    <i r="1">
      <x v="240"/>
    </i>
    <i r="1">
      <x v="252"/>
    </i>
    <i r="1">
      <x v="253"/>
    </i>
    <i r="1">
      <x v="254"/>
    </i>
    <i r="1">
      <x v="266"/>
    </i>
    <i r="1">
      <x v="270"/>
    </i>
    <i r="1">
      <x v="296"/>
    </i>
    <i r="1">
      <x v="313"/>
    </i>
    <i r="1">
      <x v="329"/>
    </i>
    <i r="1">
      <x v="364"/>
    </i>
    <i r="1">
      <x v="366"/>
    </i>
    <i>
      <x v="49"/>
    </i>
    <i r="1">
      <x v="10"/>
    </i>
    <i r="1">
      <x v="14"/>
    </i>
    <i r="1">
      <x v="19"/>
    </i>
    <i r="1">
      <x v="25"/>
    </i>
    <i r="1">
      <x v="31"/>
    </i>
    <i r="1">
      <x v="42"/>
    </i>
    <i r="1">
      <x v="50"/>
    </i>
    <i r="1">
      <x v="63"/>
    </i>
    <i r="1">
      <x v="64"/>
    </i>
    <i r="1">
      <x v="72"/>
    </i>
    <i r="1">
      <x v="74"/>
    </i>
    <i r="1">
      <x v="79"/>
    </i>
    <i r="1">
      <x v="89"/>
    </i>
    <i r="1">
      <x v="92"/>
    </i>
    <i r="1">
      <x v="96"/>
    </i>
    <i r="1">
      <x v="99"/>
    </i>
    <i r="1">
      <x v="103"/>
    </i>
    <i r="1">
      <x v="109"/>
    </i>
    <i r="1">
      <x v="112"/>
    </i>
    <i r="1">
      <x v="119"/>
    </i>
    <i r="1">
      <x v="130"/>
    </i>
    <i r="1">
      <x v="145"/>
    </i>
    <i r="1">
      <x v="148"/>
    </i>
    <i r="1">
      <x v="152"/>
    </i>
    <i r="1">
      <x v="160"/>
    </i>
    <i r="1">
      <x v="165"/>
    </i>
    <i r="1">
      <x v="169"/>
    </i>
    <i r="1">
      <x v="186"/>
    </i>
    <i r="1">
      <x v="195"/>
    </i>
    <i r="1">
      <x v="202"/>
    </i>
    <i r="1">
      <x v="208"/>
    </i>
    <i r="1">
      <x v="226"/>
    </i>
    <i r="1">
      <x v="246"/>
    </i>
    <i r="1">
      <x v="267"/>
    </i>
    <i r="1">
      <x v="270"/>
    </i>
    <i r="1">
      <x v="291"/>
    </i>
    <i r="1">
      <x v="294"/>
    </i>
    <i r="1">
      <x v="302"/>
    </i>
    <i r="1">
      <x v="305"/>
    </i>
    <i r="1">
      <x v="319"/>
    </i>
    <i r="1">
      <x v="321"/>
    </i>
    <i r="1">
      <x v="324"/>
    </i>
    <i r="1">
      <x v="327"/>
    </i>
    <i r="1">
      <x v="349"/>
    </i>
    <i r="1">
      <x v="361"/>
    </i>
    <i t="grand">
      <x/>
    </i>
  </rowItems>
  <colItems count="1">
    <i/>
  </colItems>
  <dataFields count="1">
    <dataField name="Suma z kilogramy" fld="4" baseField="0" baseItem="0"/>
  </dataFields>
  <formats count="2">
    <format dxfId="12">
      <pivotArea dataOnly="0" labelOnly="1" fieldPosition="0">
        <references count="1">
          <reference field="3" count="1">
            <x v="49"/>
          </reference>
        </references>
      </pivotArea>
    </format>
    <format dxfId="11">
      <pivotArea dataOnly="0" labelOnly="1" fieldPosition="0">
        <references count="2">
          <reference field="3" count="1" selected="0">
            <x v="48"/>
          </reference>
          <reference field="6" count="1">
            <x v="36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5BE31-9433-4069-A018-ED766D7796D2}" name="Tabela1" displayName="Tabela1" ref="A3:F4" totalsRowShown="0">
  <autoFilter ref="A3:F4" xr:uid="{5685BE31-9433-4069-A018-ED766D7796D2}"/>
  <tableColumns count="6">
    <tableColumn id="1" xr3:uid="{7E9C3D7A-12F8-46D1-BD1B-8562D4EB2A0A}" name="data sprzedazy" dataDxfId="10"/>
    <tableColumn id="2" xr3:uid="{0E9488FF-42D3-4BEB-934A-17C64EAA31A3}" name="nazwa odmiany jablka"/>
    <tableColumn id="3" xr3:uid="{C12A4B1F-2DC1-49BB-B2CB-15A2F8F5CD1A}" name="kod odmiany"/>
    <tableColumn id="4" xr3:uid="{6D9ADB73-6C68-4A64-B445-CE5A8158E07D}" name="NIP"/>
    <tableColumn id="5" xr3:uid="{CC3C12FE-12F1-4B68-863E-36A47F12415E}" name="kilogramy"/>
    <tableColumn id="6" xr3:uid="{87C0C029-124F-402F-8986-D94BC409EA03}" name="koszt całkow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587B-7873-408A-9445-B105FC1356F8}">
  <dimension ref="A3:G54"/>
  <sheetViews>
    <sheetView topLeftCell="A25" workbookViewId="0">
      <selection activeCell="B54" sqref="B54"/>
    </sheetView>
  </sheetViews>
  <sheetFormatPr defaultRowHeight="15" x14ac:dyDescent="0.25"/>
  <cols>
    <col min="1" max="1" width="17.85546875" bestFit="1" customWidth="1"/>
    <col min="2" max="2" width="16.5703125" bestFit="1" customWidth="1"/>
    <col min="3" max="4" width="7" bestFit="1" customWidth="1"/>
    <col min="5" max="5" width="14.42578125" bestFit="1" customWidth="1"/>
    <col min="6" max="6" width="13.28515625" bestFit="1" customWidth="1"/>
  </cols>
  <sheetData>
    <row r="3" spans="1:6" x14ac:dyDescent="0.25">
      <c r="A3" s="2" t="s">
        <v>69</v>
      </c>
      <c r="B3" t="s">
        <v>79</v>
      </c>
    </row>
    <row r="4" spans="1:6" x14ac:dyDescent="0.25">
      <c r="A4" s="3" t="s">
        <v>22</v>
      </c>
      <c r="B4">
        <v>16224</v>
      </c>
      <c r="F4">
        <f>MAX(B5:B54)</f>
        <v>759179</v>
      </c>
    </row>
    <row r="5" spans="1:6" x14ac:dyDescent="0.25">
      <c r="A5" s="3" t="s">
        <v>19</v>
      </c>
      <c r="B5">
        <v>9410</v>
      </c>
    </row>
    <row r="6" spans="1:6" x14ac:dyDescent="0.25">
      <c r="A6" s="3" t="s">
        <v>37</v>
      </c>
      <c r="B6">
        <v>16308</v>
      </c>
    </row>
    <row r="7" spans="1:6" x14ac:dyDescent="0.25">
      <c r="A7" s="3" t="s">
        <v>48</v>
      </c>
      <c r="B7">
        <v>13981</v>
      </c>
    </row>
    <row r="8" spans="1:6" x14ac:dyDescent="0.25">
      <c r="A8" s="3" t="s">
        <v>26</v>
      </c>
      <c r="B8">
        <v>19240</v>
      </c>
    </row>
    <row r="9" spans="1:6" x14ac:dyDescent="0.25">
      <c r="A9" s="3" t="s">
        <v>57</v>
      </c>
      <c r="B9">
        <v>20657</v>
      </c>
    </row>
    <row r="10" spans="1:6" x14ac:dyDescent="0.25">
      <c r="A10" s="3" t="s">
        <v>38</v>
      </c>
      <c r="B10">
        <v>16162</v>
      </c>
    </row>
    <row r="11" spans="1:6" x14ac:dyDescent="0.25">
      <c r="A11" s="3" t="s">
        <v>33</v>
      </c>
      <c r="B11">
        <v>19464</v>
      </c>
    </row>
    <row r="12" spans="1:6" x14ac:dyDescent="0.25">
      <c r="A12" s="3" t="s">
        <v>45</v>
      </c>
      <c r="B12">
        <v>14222</v>
      </c>
    </row>
    <row r="13" spans="1:6" x14ac:dyDescent="0.25">
      <c r="A13" s="3" t="s">
        <v>46</v>
      </c>
      <c r="B13">
        <v>12879</v>
      </c>
    </row>
    <row r="14" spans="1:6" x14ac:dyDescent="0.25">
      <c r="A14" s="3" t="s">
        <v>44</v>
      </c>
      <c r="B14">
        <v>18455</v>
      </c>
    </row>
    <row r="15" spans="1:6" x14ac:dyDescent="0.25">
      <c r="A15" s="3" t="s">
        <v>23</v>
      </c>
      <c r="B15">
        <v>12531</v>
      </c>
    </row>
    <row r="16" spans="1:6" x14ac:dyDescent="0.25">
      <c r="A16" s="3" t="s">
        <v>21</v>
      </c>
      <c r="B16">
        <v>15027</v>
      </c>
    </row>
    <row r="17" spans="1:7" x14ac:dyDescent="0.25">
      <c r="A17" s="3" t="s">
        <v>18</v>
      </c>
      <c r="B17">
        <v>16321</v>
      </c>
    </row>
    <row r="18" spans="1:7" x14ac:dyDescent="0.25">
      <c r="A18" s="3" t="s">
        <v>24</v>
      </c>
      <c r="B18">
        <v>13977</v>
      </c>
    </row>
    <row r="19" spans="1:7" x14ac:dyDescent="0.25">
      <c r="A19" s="3" t="s">
        <v>53</v>
      </c>
      <c r="B19">
        <v>16353</v>
      </c>
    </row>
    <row r="20" spans="1:7" x14ac:dyDescent="0.25">
      <c r="A20" s="3" t="s">
        <v>51</v>
      </c>
      <c r="B20">
        <v>17751</v>
      </c>
    </row>
    <row r="21" spans="1:7" x14ac:dyDescent="0.25">
      <c r="A21" s="3" t="s">
        <v>36</v>
      </c>
      <c r="B21">
        <v>14427</v>
      </c>
    </row>
    <row r="22" spans="1:7" x14ac:dyDescent="0.25">
      <c r="A22" s="3" t="s">
        <v>58</v>
      </c>
      <c r="B22">
        <v>13357</v>
      </c>
    </row>
    <row r="23" spans="1:7" x14ac:dyDescent="0.25">
      <c r="A23" s="3" t="s">
        <v>28</v>
      </c>
      <c r="B23">
        <v>14993</v>
      </c>
    </row>
    <row r="24" spans="1:7" x14ac:dyDescent="0.25">
      <c r="A24" s="3" t="s">
        <v>32</v>
      </c>
      <c r="B24">
        <v>16622</v>
      </c>
    </row>
    <row r="25" spans="1:7" x14ac:dyDescent="0.25">
      <c r="A25" s="3" t="s">
        <v>64</v>
      </c>
      <c r="B25">
        <v>17566</v>
      </c>
    </row>
    <row r="26" spans="1:7" x14ac:dyDescent="0.25">
      <c r="A26" s="3" t="s">
        <v>25</v>
      </c>
      <c r="B26">
        <v>18293</v>
      </c>
    </row>
    <row r="27" spans="1:7" x14ac:dyDescent="0.25">
      <c r="A27" s="3" t="s">
        <v>34</v>
      </c>
      <c r="B27">
        <v>17401</v>
      </c>
    </row>
    <row r="28" spans="1:7" x14ac:dyDescent="0.25">
      <c r="A28" s="3" t="s">
        <v>60</v>
      </c>
      <c r="B28">
        <v>15566</v>
      </c>
    </row>
    <row r="29" spans="1:7" x14ac:dyDescent="0.25">
      <c r="A29" s="3" t="s">
        <v>47</v>
      </c>
      <c r="B29">
        <v>13102</v>
      </c>
    </row>
    <row r="30" spans="1:7" x14ac:dyDescent="0.25">
      <c r="A30" s="3" t="s">
        <v>61</v>
      </c>
      <c r="B30">
        <v>15174</v>
      </c>
    </row>
    <row r="31" spans="1:7" x14ac:dyDescent="0.25">
      <c r="A31" s="3" t="s">
        <v>20</v>
      </c>
      <c r="B31">
        <v>12696</v>
      </c>
    </row>
    <row r="32" spans="1:7" x14ac:dyDescent="0.25">
      <c r="A32" s="3" t="s">
        <v>39</v>
      </c>
      <c r="B32">
        <v>13807</v>
      </c>
      <c r="F32" s="3" t="s">
        <v>32</v>
      </c>
      <c r="G32">
        <v>11769</v>
      </c>
    </row>
    <row r="33" spans="1:7" x14ac:dyDescent="0.25">
      <c r="A33" s="3" t="s">
        <v>55</v>
      </c>
      <c r="B33">
        <v>13213</v>
      </c>
      <c r="F33" s="3" t="s">
        <v>29</v>
      </c>
      <c r="G33">
        <v>12047</v>
      </c>
    </row>
    <row r="34" spans="1:7" x14ac:dyDescent="0.25">
      <c r="A34" s="3" t="s">
        <v>40</v>
      </c>
      <c r="B34">
        <v>16719</v>
      </c>
      <c r="F34" s="3" t="s">
        <v>31</v>
      </c>
      <c r="G34">
        <v>12185</v>
      </c>
    </row>
    <row r="35" spans="1:7" x14ac:dyDescent="0.25">
      <c r="A35" s="3" t="s">
        <v>62</v>
      </c>
      <c r="B35">
        <v>13143</v>
      </c>
    </row>
    <row r="36" spans="1:7" x14ac:dyDescent="0.25">
      <c r="A36" s="3" t="s">
        <v>63</v>
      </c>
      <c r="B36">
        <v>10573</v>
      </c>
    </row>
    <row r="37" spans="1:7" x14ac:dyDescent="0.25">
      <c r="A37" s="3" t="s">
        <v>29</v>
      </c>
      <c r="B37">
        <v>20323</v>
      </c>
    </row>
    <row r="38" spans="1:7" x14ac:dyDescent="0.25">
      <c r="A38" s="3" t="s">
        <v>66</v>
      </c>
      <c r="B38">
        <v>14926</v>
      </c>
    </row>
    <row r="39" spans="1:7" x14ac:dyDescent="0.25">
      <c r="A39" s="3" t="s">
        <v>50</v>
      </c>
      <c r="B39">
        <v>12566</v>
      </c>
    </row>
    <row r="40" spans="1:7" x14ac:dyDescent="0.25">
      <c r="A40" s="3" t="s">
        <v>31</v>
      </c>
      <c r="B40">
        <v>18433</v>
      </c>
    </row>
    <row r="41" spans="1:7" x14ac:dyDescent="0.25">
      <c r="A41" s="3" t="s">
        <v>56</v>
      </c>
      <c r="B41">
        <v>16468</v>
      </c>
    </row>
    <row r="42" spans="1:7" x14ac:dyDescent="0.25">
      <c r="A42" s="3" t="s">
        <v>30</v>
      </c>
      <c r="B42">
        <v>15825</v>
      </c>
    </row>
    <row r="43" spans="1:7" x14ac:dyDescent="0.25">
      <c r="A43" s="3" t="s">
        <v>41</v>
      </c>
      <c r="B43">
        <v>15169</v>
      </c>
    </row>
    <row r="44" spans="1:7" x14ac:dyDescent="0.25">
      <c r="A44" s="3" t="s">
        <v>27</v>
      </c>
      <c r="B44">
        <v>14214</v>
      </c>
    </row>
    <row r="45" spans="1:7" x14ac:dyDescent="0.25">
      <c r="A45" s="3" t="s">
        <v>52</v>
      </c>
      <c r="B45">
        <v>15671</v>
      </c>
    </row>
    <row r="46" spans="1:7" x14ac:dyDescent="0.25">
      <c r="A46" s="3" t="s">
        <v>35</v>
      </c>
      <c r="B46">
        <v>13577</v>
      </c>
    </row>
    <row r="47" spans="1:7" x14ac:dyDescent="0.25">
      <c r="A47" s="3" t="s">
        <v>54</v>
      </c>
      <c r="B47">
        <v>17571</v>
      </c>
    </row>
    <row r="48" spans="1:7" x14ac:dyDescent="0.25">
      <c r="A48" s="3" t="s">
        <v>67</v>
      </c>
      <c r="B48">
        <v>15215</v>
      </c>
    </row>
    <row r="49" spans="1:2" x14ac:dyDescent="0.25">
      <c r="A49" s="3" t="s">
        <v>43</v>
      </c>
      <c r="B49">
        <v>11670</v>
      </c>
    </row>
    <row r="50" spans="1:2" x14ac:dyDescent="0.25">
      <c r="A50" s="3" t="s">
        <v>59</v>
      </c>
      <c r="B50">
        <v>12382</v>
      </c>
    </row>
    <row r="51" spans="1:2" x14ac:dyDescent="0.25">
      <c r="A51" s="3" t="s">
        <v>42</v>
      </c>
      <c r="B51">
        <v>13179</v>
      </c>
    </row>
    <row r="52" spans="1:2" x14ac:dyDescent="0.25">
      <c r="A52" s="3" t="s">
        <v>16</v>
      </c>
      <c r="B52">
        <v>12985</v>
      </c>
    </row>
    <row r="53" spans="1:2" x14ac:dyDescent="0.25">
      <c r="A53" s="3" t="s">
        <v>49</v>
      </c>
      <c r="B53">
        <v>13391</v>
      </c>
    </row>
    <row r="54" spans="1:2" x14ac:dyDescent="0.25">
      <c r="A54" s="3" t="s">
        <v>70</v>
      </c>
      <c r="B54">
        <v>759179</v>
      </c>
    </row>
  </sheetData>
  <conditionalFormatting sqref="G32">
    <cfRule type="top10" dxfId="6" priority="3" rank="3"/>
  </conditionalFormatting>
  <conditionalFormatting sqref="G33">
    <cfRule type="top10" dxfId="5" priority="2" rank="3"/>
  </conditionalFormatting>
  <conditionalFormatting sqref="G34">
    <cfRule type="top10" dxfId="4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529A-8A49-4F1C-BCD5-AEB5FBD20CCB}">
  <dimension ref="A3:G20"/>
  <sheetViews>
    <sheetView workbookViewId="0">
      <selection activeCell="G12" sqref="G12"/>
    </sheetView>
  </sheetViews>
  <sheetFormatPr defaultRowHeight="15" x14ac:dyDescent="0.25"/>
  <cols>
    <col min="1" max="1" width="17.85546875" bestFit="1" customWidth="1"/>
    <col min="2" max="2" width="10" bestFit="1" customWidth="1"/>
    <col min="3" max="3" width="9" bestFit="1" customWidth="1"/>
    <col min="4" max="4" width="10" bestFit="1" customWidth="1"/>
    <col min="5" max="5" width="14.42578125" bestFit="1" customWidth="1"/>
    <col min="6" max="151" width="10.140625" bestFit="1" customWidth="1"/>
    <col min="152" max="152" width="9" bestFit="1" customWidth="1"/>
    <col min="153" max="229" width="10.140625" bestFit="1" customWidth="1"/>
    <col min="230" max="230" width="9" bestFit="1" customWidth="1"/>
    <col min="231" max="385" width="10.140625" bestFit="1" customWidth="1"/>
    <col min="386" max="386" width="10" bestFit="1" customWidth="1"/>
    <col min="387" max="387" width="14.42578125" bestFit="1" customWidth="1"/>
  </cols>
  <sheetData>
    <row r="3" spans="1:7" x14ac:dyDescent="0.25">
      <c r="A3" s="2" t="s">
        <v>69</v>
      </c>
      <c r="B3" t="s">
        <v>81</v>
      </c>
    </row>
    <row r="4" spans="1:7" x14ac:dyDescent="0.25">
      <c r="A4" s="3" t="s">
        <v>0</v>
      </c>
      <c r="B4">
        <v>104124.49999999994</v>
      </c>
    </row>
    <row r="5" spans="1:7" x14ac:dyDescent="0.25">
      <c r="A5" s="3" t="s">
        <v>1</v>
      </c>
      <c r="B5">
        <v>79593.599999999962</v>
      </c>
    </row>
    <row r="6" spans="1:7" x14ac:dyDescent="0.25">
      <c r="A6" s="3" t="s">
        <v>2</v>
      </c>
      <c r="B6">
        <v>112399.99999999997</v>
      </c>
    </row>
    <row r="7" spans="1:7" x14ac:dyDescent="0.25">
      <c r="A7" s="3" t="s">
        <v>3</v>
      </c>
      <c r="B7">
        <v>99340.800000000017</v>
      </c>
    </row>
    <row r="8" spans="1:7" x14ac:dyDescent="0.25">
      <c r="A8" s="3" t="s">
        <v>4</v>
      </c>
      <c r="B8">
        <v>302389.19999999984</v>
      </c>
    </row>
    <row r="9" spans="1:7" x14ac:dyDescent="0.25">
      <c r="A9" s="3" t="s">
        <v>5</v>
      </c>
      <c r="B9">
        <v>107504.59999999998</v>
      </c>
    </row>
    <row r="10" spans="1:7" x14ac:dyDescent="0.25">
      <c r="A10" s="3" t="s">
        <v>6</v>
      </c>
      <c r="B10">
        <v>100837.2</v>
      </c>
    </row>
    <row r="11" spans="1:7" x14ac:dyDescent="0.25">
      <c r="A11" s="3" t="s">
        <v>7</v>
      </c>
      <c r="B11">
        <v>197978.60000000009</v>
      </c>
    </row>
    <row r="12" spans="1:7" x14ac:dyDescent="0.25">
      <c r="A12" s="3" t="s">
        <v>8</v>
      </c>
      <c r="B12">
        <v>256949</v>
      </c>
      <c r="G12">
        <f>MAX(B4:B19)</f>
        <v>389921</v>
      </c>
    </row>
    <row r="13" spans="1:7" x14ac:dyDescent="0.25">
      <c r="A13" s="3" t="s">
        <v>9</v>
      </c>
      <c r="B13">
        <v>59962.5</v>
      </c>
    </row>
    <row r="14" spans="1:7" x14ac:dyDescent="0.25">
      <c r="A14" s="3" t="s">
        <v>10</v>
      </c>
      <c r="B14">
        <v>120312.39999999997</v>
      </c>
    </row>
    <row r="15" spans="1:7" x14ac:dyDescent="0.25">
      <c r="A15" s="3" t="s">
        <v>11</v>
      </c>
      <c r="B15">
        <v>63970</v>
      </c>
    </row>
    <row r="16" spans="1:7" x14ac:dyDescent="0.25">
      <c r="A16" s="3" t="s">
        <v>12</v>
      </c>
      <c r="B16">
        <v>150130.79999999999</v>
      </c>
    </row>
    <row r="17" spans="1:2" x14ac:dyDescent="0.25">
      <c r="A17" s="3" t="s">
        <v>13</v>
      </c>
      <c r="B17">
        <v>164332.80000000008</v>
      </c>
    </row>
    <row r="18" spans="1:2" x14ac:dyDescent="0.25">
      <c r="A18" s="3" t="s">
        <v>14</v>
      </c>
      <c r="B18">
        <v>389921</v>
      </c>
    </row>
    <row r="19" spans="1:2" x14ac:dyDescent="0.25">
      <c r="A19" s="3" t="s">
        <v>15</v>
      </c>
      <c r="B19">
        <v>112922.40000000004</v>
      </c>
    </row>
    <row r="20" spans="1:2" x14ac:dyDescent="0.25">
      <c r="A20" s="3" t="s">
        <v>70</v>
      </c>
      <c r="B20">
        <v>2422669.4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4C11-C9A2-4BCD-880A-EAA94F14D33E}">
  <dimension ref="A3:U17"/>
  <sheetViews>
    <sheetView topLeftCell="A4" zoomScaleNormal="100" workbookViewId="0">
      <selection activeCell="S4" sqref="S4:T16"/>
    </sheetView>
  </sheetViews>
  <sheetFormatPr defaultRowHeight="15" x14ac:dyDescent="0.25"/>
  <cols>
    <col min="1" max="2" width="17.85546875" bestFit="1" customWidth="1"/>
    <col min="3" max="3" width="10.85546875" bestFit="1" customWidth="1"/>
    <col min="4" max="4" width="8.85546875" bestFit="1" customWidth="1"/>
    <col min="5" max="5" width="9.5703125" bestFit="1" customWidth="1"/>
    <col min="6" max="6" width="6" bestFit="1" customWidth="1"/>
    <col min="7" max="7" width="7.7109375" bestFit="1" customWidth="1"/>
    <col min="8" max="8" width="6.7109375" bestFit="1" customWidth="1"/>
    <col min="9" max="9" width="8.85546875" bestFit="1" customWidth="1"/>
    <col min="10" max="10" width="10.140625" bestFit="1" customWidth="1"/>
    <col min="11" max="11" width="8.5703125" bestFit="1" customWidth="1"/>
    <col min="12" max="13" width="6" bestFit="1" customWidth="1"/>
    <col min="14" max="14" width="6.42578125" bestFit="1" customWidth="1"/>
    <col min="15" max="15" width="11.28515625" bestFit="1" customWidth="1"/>
    <col min="16" max="16" width="7.42578125" bestFit="1" customWidth="1"/>
    <col min="17" max="17" width="9.7109375" bestFit="1" customWidth="1"/>
    <col min="18" max="18" width="14.42578125" bestFit="1" customWidth="1"/>
    <col min="19" max="19" width="19" bestFit="1" customWidth="1"/>
    <col min="20" max="20" width="14.5703125" customWidth="1"/>
    <col min="21" max="21" width="11.140625" bestFit="1" customWidth="1"/>
    <col min="22" max="22" width="28.140625" bestFit="1" customWidth="1"/>
    <col min="23" max="23" width="16.5703125" bestFit="1" customWidth="1"/>
    <col min="24" max="24" width="28.140625" bestFit="1" customWidth="1"/>
    <col min="25" max="25" width="16.5703125" bestFit="1" customWidth="1"/>
    <col min="26" max="26" width="28.140625" bestFit="1" customWidth="1"/>
    <col min="27" max="27" width="16.5703125" bestFit="1" customWidth="1"/>
    <col min="28" max="28" width="28.140625" bestFit="1" customWidth="1"/>
    <col min="29" max="29" width="16.5703125" bestFit="1" customWidth="1"/>
    <col min="30" max="30" width="28.140625" bestFit="1" customWidth="1"/>
    <col min="31" max="31" width="16.5703125" bestFit="1" customWidth="1"/>
    <col min="32" max="32" width="28.140625" bestFit="1" customWidth="1"/>
    <col min="33" max="33" width="16.5703125" bestFit="1" customWidth="1"/>
    <col min="34" max="34" width="35.42578125" bestFit="1" customWidth="1"/>
    <col min="35" max="35" width="23.85546875" bestFit="1" customWidth="1"/>
  </cols>
  <sheetData>
    <row r="3" spans="1:21" x14ac:dyDescent="0.25">
      <c r="A3" s="2" t="s">
        <v>79</v>
      </c>
      <c r="B3" s="2" t="s">
        <v>71</v>
      </c>
    </row>
    <row r="4" spans="1:21" x14ac:dyDescent="0.25">
      <c r="A4" s="2" t="s">
        <v>69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70</v>
      </c>
      <c r="S4" t="s">
        <v>417</v>
      </c>
      <c r="T4" t="s">
        <v>419</v>
      </c>
      <c r="U4" t="s">
        <v>418</v>
      </c>
    </row>
    <row r="5" spans="1:21" x14ac:dyDescent="0.25">
      <c r="A5" s="5" t="s">
        <v>420</v>
      </c>
      <c r="B5">
        <v>8210</v>
      </c>
      <c r="D5">
        <v>3719</v>
      </c>
      <c r="F5">
        <v>14017</v>
      </c>
      <c r="G5">
        <v>3452</v>
      </c>
      <c r="H5">
        <v>5878</v>
      </c>
      <c r="I5">
        <v>9930</v>
      </c>
      <c r="J5">
        <v>9432</v>
      </c>
      <c r="L5">
        <v>5547</v>
      </c>
      <c r="Q5">
        <v>9209</v>
      </c>
      <c r="R5">
        <v>69394</v>
      </c>
      <c r="S5" t="str">
        <f>_xlfn.CONCAT(U5,"- ",_xlfn.XLOOKUP(MAX(B5:Q5),B5:Q5,$B$4:$Q$4,"Brak",0,1))</f>
        <v>Styczeń- Gala</v>
      </c>
      <c r="T5">
        <f>MAX(B5:Q5)</f>
        <v>14017</v>
      </c>
      <c r="U5" t="s">
        <v>405</v>
      </c>
    </row>
    <row r="6" spans="1:21" x14ac:dyDescent="0.25">
      <c r="A6" s="5" t="s">
        <v>82</v>
      </c>
      <c r="B6">
        <v>4283</v>
      </c>
      <c r="D6">
        <v>6110</v>
      </c>
      <c r="F6">
        <v>14969</v>
      </c>
      <c r="G6">
        <v>5244</v>
      </c>
      <c r="H6">
        <v>5165</v>
      </c>
      <c r="I6">
        <v>10062</v>
      </c>
      <c r="J6">
        <v>11059</v>
      </c>
      <c r="L6">
        <v>4634</v>
      </c>
      <c r="Q6">
        <v>6074</v>
      </c>
      <c r="R6">
        <v>67600</v>
      </c>
      <c r="S6" t="str">
        <f t="shared" ref="S6:S16" si="0">_xlfn.CONCAT(U6,"- ",_xlfn.XLOOKUP(MAX(B6:Q6),B6:Q6,$B$4:$Q$4,"Brak",0,1))</f>
        <v>Luty- Gala</v>
      </c>
      <c r="T6">
        <f t="shared" ref="T6:T16" si="1">MAX(B6:Q6)</f>
        <v>14969</v>
      </c>
      <c r="U6" t="s">
        <v>406</v>
      </c>
    </row>
    <row r="7" spans="1:21" x14ac:dyDescent="0.25">
      <c r="A7" s="6" t="s">
        <v>83</v>
      </c>
      <c r="B7">
        <v>4630</v>
      </c>
      <c r="D7">
        <v>7001</v>
      </c>
      <c r="F7">
        <v>12233</v>
      </c>
      <c r="G7">
        <v>6438</v>
      </c>
      <c r="H7">
        <v>2819</v>
      </c>
      <c r="I7">
        <v>9282</v>
      </c>
      <c r="J7">
        <v>15079</v>
      </c>
      <c r="L7">
        <v>4612</v>
      </c>
      <c r="Q7">
        <v>9150</v>
      </c>
      <c r="R7">
        <v>71244</v>
      </c>
      <c r="S7" t="str">
        <f t="shared" si="0"/>
        <v>Marzec- Jonagored</v>
      </c>
      <c r="T7">
        <f t="shared" si="1"/>
        <v>15079</v>
      </c>
      <c r="U7" t="s">
        <v>407</v>
      </c>
    </row>
    <row r="8" spans="1:21" x14ac:dyDescent="0.25">
      <c r="A8" s="6" t="s">
        <v>84</v>
      </c>
      <c r="B8">
        <v>9210</v>
      </c>
      <c r="D8">
        <v>8301</v>
      </c>
      <c r="F8">
        <v>19404</v>
      </c>
      <c r="G8">
        <v>6732</v>
      </c>
      <c r="H8">
        <v>3200</v>
      </c>
      <c r="I8">
        <v>10493</v>
      </c>
      <c r="J8">
        <v>11201</v>
      </c>
      <c r="L8">
        <v>6826</v>
      </c>
      <c r="Q8">
        <v>6601</v>
      </c>
      <c r="R8">
        <v>81968</v>
      </c>
      <c r="S8" t="str">
        <f t="shared" si="0"/>
        <v>Kwiecień- Gala</v>
      </c>
      <c r="T8">
        <f t="shared" si="1"/>
        <v>19404</v>
      </c>
      <c r="U8" t="s">
        <v>408</v>
      </c>
    </row>
    <row r="9" spans="1:21" x14ac:dyDescent="0.25">
      <c r="A9" s="6" t="s">
        <v>85</v>
      </c>
      <c r="B9">
        <v>4407</v>
      </c>
      <c r="D9">
        <v>3963</v>
      </c>
      <c r="F9">
        <v>17382</v>
      </c>
      <c r="G9">
        <v>3260</v>
      </c>
      <c r="H9">
        <v>5879</v>
      </c>
      <c r="I9">
        <v>7158</v>
      </c>
      <c r="J9">
        <v>13218</v>
      </c>
      <c r="L9">
        <v>4554</v>
      </c>
      <c r="Q9">
        <v>8349</v>
      </c>
      <c r="R9">
        <v>68170</v>
      </c>
      <c r="S9" t="str">
        <f t="shared" si="0"/>
        <v>Maj- Gala</v>
      </c>
      <c r="T9">
        <f t="shared" si="1"/>
        <v>17382</v>
      </c>
      <c r="U9" t="s">
        <v>409</v>
      </c>
    </row>
    <row r="10" spans="1:21" x14ac:dyDescent="0.25">
      <c r="A10" s="6" t="s">
        <v>86</v>
      </c>
      <c r="N10">
        <v>15987</v>
      </c>
      <c r="O10">
        <v>17465</v>
      </c>
      <c r="P10">
        <v>18661</v>
      </c>
      <c r="R10">
        <v>52113</v>
      </c>
      <c r="S10" t="str">
        <f t="shared" si="0"/>
        <v>Czerwiec- Reneta</v>
      </c>
      <c r="T10">
        <f t="shared" si="1"/>
        <v>18661</v>
      </c>
      <c r="U10" t="s">
        <v>410</v>
      </c>
    </row>
    <row r="11" spans="1:21" x14ac:dyDescent="0.25">
      <c r="A11" s="6" t="s">
        <v>87</v>
      </c>
      <c r="N11">
        <v>21216</v>
      </c>
      <c r="O11">
        <v>16871</v>
      </c>
      <c r="P11">
        <v>15990</v>
      </c>
      <c r="R11">
        <v>54077</v>
      </c>
      <c r="S11" t="str">
        <f t="shared" si="0"/>
        <v>Lipiec- Melba</v>
      </c>
      <c r="T11">
        <f t="shared" si="1"/>
        <v>21216</v>
      </c>
      <c r="U11" t="s">
        <v>411</v>
      </c>
    </row>
    <row r="12" spans="1:21" x14ac:dyDescent="0.25">
      <c r="A12" s="6" t="s">
        <v>88</v>
      </c>
      <c r="N12">
        <v>18401</v>
      </c>
      <c r="O12">
        <v>17018</v>
      </c>
      <c r="P12">
        <v>19054</v>
      </c>
      <c r="R12">
        <v>54473</v>
      </c>
      <c r="S12" t="str">
        <f t="shared" si="0"/>
        <v>Sierpień- Reneta</v>
      </c>
      <c r="T12">
        <f t="shared" si="1"/>
        <v>19054</v>
      </c>
      <c r="U12" t="s">
        <v>412</v>
      </c>
    </row>
    <row r="13" spans="1:21" x14ac:dyDescent="0.25">
      <c r="A13" s="6" t="s">
        <v>89</v>
      </c>
      <c r="C13">
        <v>8026</v>
      </c>
      <c r="E13">
        <v>10206</v>
      </c>
      <c r="K13">
        <v>8039</v>
      </c>
      <c r="M13">
        <v>7454</v>
      </c>
      <c r="P13">
        <v>20881</v>
      </c>
      <c r="R13">
        <v>54606</v>
      </c>
      <c r="S13" t="str">
        <f t="shared" si="0"/>
        <v>Wrzesień- Reneta</v>
      </c>
      <c r="T13">
        <f t="shared" si="1"/>
        <v>20881</v>
      </c>
      <c r="U13" t="s">
        <v>413</v>
      </c>
    </row>
    <row r="14" spans="1:21" x14ac:dyDescent="0.25">
      <c r="A14" s="6" t="s">
        <v>90</v>
      </c>
      <c r="C14">
        <v>9023</v>
      </c>
      <c r="E14">
        <v>9997</v>
      </c>
      <c r="K14">
        <v>10196</v>
      </c>
      <c r="M14">
        <v>7798</v>
      </c>
      <c r="P14">
        <v>17065</v>
      </c>
      <c r="R14">
        <v>54079</v>
      </c>
      <c r="S14" t="str">
        <f t="shared" si="0"/>
        <v>Październik- Reneta</v>
      </c>
      <c r="T14">
        <f t="shared" si="1"/>
        <v>17065</v>
      </c>
      <c r="U14" t="s">
        <v>414</v>
      </c>
    </row>
    <row r="15" spans="1:21" x14ac:dyDescent="0.25">
      <c r="A15" s="6" t="s">
        <v>91</v>
      </c>
      <c r="C15">
        <v>7824</v>
      </c>
      <c r="E15">
        <v>10841</v>
      </c>
      <c r="K15">
        <v>5750</v>
      </c>
      <c r="M15">
        <v>10336</v>
      </c>
      <c r="P15">
        <v>19755</v>
      </c>
      <c r="R15">
        <v>54506</v>
      </c>
      <c r="S15" t="str">
        <f t="shared" si="0"/>
        <v>Listopad- Reneta</v>
      </c>
      <c r="T15">
        <f t="shared" si="1"/>
        <v>19755</v>
      </c>
      <c r="U15" t="s">
        <v>415</v>
      </c>
    </row>
    <row r="16" spans="1:21" x14ac:dyDescent="0.25">
      <c r="A16" s="6" t="s">
        <v>92</v>
      </c>
      <c r="B16">
        <v>5165</v>
      </c>
      <c r="D16">
        <v>6031</v>
      </c>
      <c r="F16">
        <v>10933</v>
      </c>
      <c r="G16">
        <v>6493</v>
      </c>
      <c r="H16">
        <v>6717</v>
      </c>
      <c r="I16">
        <v>11304</v>
      </c>
      <c r="J16">
        <v>13425</v>
      </c>
      <c r="L16">
        <v>9213</v>
      </c>
      <c r="Q16">
        <v>7668</v>
      </c>
      <c r="R16">
        <v>76949</v>
      </c>
      <c r="S16" t="str">
        <f t="shared" si="0"/>
        <v>Grudzień- Jonagored</v>
      </c>
      <c r="T16">
        <f t="shared" si="1"/>
        <v>13425</v>
      </c>
      <c r="U16" t="s">
        <v>416</v>
      </c>
    </row>
    <row r="17" spans="1:18" x14ac:dyDescent="0.25">
      <c r="A17" s="6" t="s">
        <v>70</v>
      </c>
      <c r="B17">
        <v>35905</v>
      </c>
      <c r="C17">
        <v>24873</v>
      </c>
      <c r="D17">
        <v>35125</v>
      </c>
      <c r="E17">
        <v>31044</v>
      </c>
      <c r="F17">
        <v>88938</v>
      </c>
      <c r="G17">
        <v>31619</v>
      </c>
      <c r="H17">
        <v>29658</v>
      </c>
      <c r="I17">
        <v>58229</v>
      </c>
      <c r="J17">
        <v>73414</v>
      </c>
      <c r="K17">
        <v>23985</v>
      </c>
      <c r="L17">
        <v>35386</v>
      </c>
      <c r="M17">
        <v>25588</v>
      </c>
      <c r="N17">
        <v>55604</v>
      </c>
      <c r="O17">
        <v>51354</v>
      </c>
      <c r="P17">
        <v>111406</v>
      </c>
      <c r="Q17">
        <v>47051</v>
      </c>
      <c r="R17">
        <v>759179</v>
      </c>
    </row>
  </sheetData>
  <phoneticPr fontId="3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EC10-3772-48C2-9EA6-78FFAA72FF2D}">
  <dimension ref="A2:I2353"/>
  <sheetViews>
    <sheetView topLeftCell="A2319" zoomScaleNormal="100" workbookViewId="0">
      <selection activeCell="C2353" sqref="C2353"/>
    </sheetView>
  </sheetViews>
  <sheetFormatPr defaultRowHeight="15" x14ac:dyDescent="0.25"/>
  <cols>
    <col min="1" max="1" width="17.85546875" bestFit="1" customWidth="1"/>
    <col min="2" max="2" width="16.5703125" bestFit="1" customWidth="1"/>
    <col min="3" max="3" width="13.28515625" customWidth="1"/>
    <col min="4" max="4" width="22.140625" customWidth="1"/>
    <col min="5" max="5" width="17.140625" customWidth="1"/>
    <col min="6" max="6" width="20.28515625" customWidth="1"/>
    <col min="7" max="7" width="14.7109375" customWidth="1"/>
    <col min="8" max="8" width="27.28515625" bestFit="1" customWidth="1"/>
  </cols>
  <sheetData>
    <row r="2" spans="1:9" x14ac:dyDescent="0.25">
      <c r="C2">
        <f>SUMIF(C3:C2000,"0")</f>
        <v>0</v>
      </c>
      <c r="G2" t="s">
        <v>421</v>
      </c>
      <c r="H2" t="s">
        <v>422</v>
      </c>
    </row>
    <row r="3" spans="1:9" x14ac:dyDescent="0.25">
      <c r="A3" s="2" t="s">
        <v>69</v>
      </c>
      <c r="B3" t="s">
        <v>79</v>
      </c>
      <c r="D3" s="11" t="s">
        <v>427</v>
      </c>
      <c r="E3" s="11"/>
      <c r="F3" s="11"/>
      <c r="G3" t="s">
        <v>423</v>
      </c>
      <c r="H3" t="s">
        <v>424</v>
      </c>
    </row>
    <row r="4" spans="1:9" x14ac:dyDescent="0.25">
      <c r="A4" s="3" t="s">
        <v>22</v>
      </c>
      <c r="B4">
        <v>16224</v>
      </c>
      <c r="C4">
        <f>IF(LEN(A4) &gt;= 12, 0, C3+B4)</f>
        <v>0</v>
      </c>
      <c r="D4" t="s">
        <v>429</v>
      </c>
      <c r="E4" t="s">
        <v>428</v>
      </c>
      <c r="F4" t="s">
        <v>432</v>
      </c>
      <c r="G4" t="s">
        <v>425</v>
      </c>
      <c r="H4" t="s">
        <v>426</v>
      </c>
    </row>
    <row r="5" spans="1:9" x14ac:dyDescent="0.25">
      <c r="A5" s="4" t="s">
        <v>95</v>
      </c>
      <c r="B5">
        <v>110</v>
      </c>
      <c r="C5">
        <f t="shared" ref="C5:C68" si="0">IF(LEN(A5) &gt;= 12, 0, C4+B5)</f>
        <v>110</v>
      </c>
      <c r="D5">
        <f t="shared" ref="D5:D47" si="1">IF(C5 &gt; 15000, 1, 0)</f>
        <v>0</v>
      </c>
      <c r="E5">
        <f t="shared" ref="E5:E47" si="2">IF(AND(D5 =1,C5 &gt;= 20000),1,0)</f>
        <v>0</v>
      </c>
      <c r="F5">
        <f>IF(AND(D5 = 1, C5 &lt; 20000), B5*5, IF(AND(E5=1, C5 &gt;= 20000),B5*10,0))</f>
        <v>0</v>
      </c>
    </row>
    <row r="6" spans="1:9" x14ac:dyDescent="0.25">
      <c r="A6" s="4" t="s">
        <v>99</v>
      </c>
      <c r="B6">
        <v>927</v>
      </c>
      <c r="C6">
        <f t="shared" si="0"/>
        <v>1037</v>
      </c>
      <c r="D6">
        <f t="shared" si="1"/>
        <v>0</v>
      </c>
      <c r="E6">
        <f t="shared" si="2"/>
        <v>0</v>
      </c>
      <c r="F6">
        <f t="shared" ref="F6:F69" si="3">IF(AND(D6 = 1, C6 &lt; 20000), B6*5, IF(AND(E6=1, C6 &gt;= 20000),B6*10,0))</f>
        <v>0</v>
      </c>
      <c r="H6" t="s">
        <v>433</v>
      </c>
      <c r="I6">
        <f>SUM(F:F)/100</f>
        <v>3142.65</v>
      </c>
    </row>
    <row r="7" spans="1:9" x14ac:dyDescent="0.25">
      <c r="A7" s="4" t="s">
        <v>107</v>
      </c>
      <c r="B7">
        <v>11</v>
      </c>
      <c r="C7">
        <f t="shared" si="0"/>
        <v>1048</v>
      </c>
      <c r="D7">
        <f t="shared" si="1"/>
        <v>0</v>
      </c>
      <c r="E7">
        <f t="shared" si="2"/>
        <v>0</v>
      </c>
      <c r="F7">
        <f t="shared" si="3"/>
        <v>0</v>
      </c>
      <c r="H7" t="s">
        <v>434</v>
      </c>
      <c r="I7">
        <f>SUM(D:D)+SUM(E:E)</f>
        <v>170</v>
      </c>
    </row>
    <row r="8" spans="1:9" x14ac:dyDescent="0.25">
      <c r="A8" s="4" t="s">
        <v>110</v>
      </c>
      <c r="B8">
        <v>590</v>
      </c>
      <c r="C8">
        <f t="shared" si="0"/>
        <v>1638</v>
      </c>
      <c r="D8">
        <f t="shared" si="1"/>
        <v>0</v>
      </c>
      <c r="E8">
        <f t="shared" si="2"/>
        <v>0</v>
      </c>
      <c r="F8">
        <f t="shared" si="3"/>
        <v>0</v>
      </c>
    </row>
    <row r="9" spans="1:9" x14ac:dyDescent="0.25">
      <c r="A9" s="4" t="s">
        <v>111</v>
      </c>
      <c r="B9">
        <v>374</v>
      </c>
      <c r="C9">
        <f t="shared" si="0"/>
        <v>2012</v>
      </c>
      <c r="D9">
        <f t="shared" si="1"/>
        <v>0</v>
      </c>
      <c r="E9">
        <f t="shared" si="2"/>
        <v>0</v>
      </c>
      <c r="F9">
        <f t="shared" si="3"/>
        <v>0</v>
      </c>
    </row>
    <row r="10" spans="1:9" x14ac:dyDescent="0.25">
      <c r="A10" s="4" t="s">
        <v>112</v>
      </c>
      <c r="B10">
        <v>311</v>
      </c>
      <c r="C10">
        <f t="shared" si="0"/>
        <v>2323</v>
      </c>
      <c r="D10">
        <f t="shared" si="1"/>
        <v>0</v>
      </c>
      <c r="E10">
        <f t="shared" si="2"/>
        <v>0</v>
      </c>
      <c r="F10">
        <f t="shared" si="3"/>
        <v>0</v>
      </c>
    </row>
    <row r="11" spans="1:9" x14ac:dyDescent="0.25">
      <c r="A11" s="4" t="s">
        <v>114</v>
      </c>
      <c r="B11">
        <v>415</v>
      </c>
      <c r="C11">
        <f t="shared" si="0"/>
        <v>2738</v>
      </c>
      <c r="D11">
        <f t="shared" si="1"/>
        <v>0</v>
      </c>
      <c r="E11">
        <f t="shared" si="2"/>
        <v>0</v>
      </c>
      <c r="F11">
        <f t="shared" si="3"/>
        <v>0</v>
      </c>
    </row>
    <row r="12" spans="1:9" x14ac:dyDescent="0.25">
      <c r="A12" s="4" t="s">
        <v>115</v>
      </c>
      <c r="B12">
        <v>81</v>
      </c>
      <c r="C12">
        <f t="shared" si="0"/>
        <v>2819</v>
      </c>
      <c r="D12">
        <f t="shared" si="1"/>
        <v>0</v>
      </c>
      <c r="E12">
        <f t="shared" si="2"/>
        <v>0</v>
      </c>
      <c r="F12">
        <f t="shared" si="3"/>
        <v>0</v>
      </c>
    </row>
    <row r="13" spans="1:9" x14ac:dyDescent="0.25">
      <c r="A13" s="4" t="s">
        <v>123</v>
      </c>
      <c r="B13">
        <v>675</v>
      </c>
      <c r="C13">
        <f t="shared" si="0"/>
        <v>3494</v>
      </c>
      <c r="D13">
        <f t="shared" si="1"/>
        <v>0</v>
      </c>
      <c r="E13">
        <f t="shared" si="2"/>
        <v>0</v>
      </c>
      <c r="F13">
        <f t="shared" si="3"/>
        <v>0</v>
      </c>
    </row>
    <row r="14" spans="1:9" x14ac:dyDescent="0.25">
      <c r="A14" s="4" t="s">
        <v>135</v>
      </c>
      <c r="B14">
        <v>130</v>
      </c>
      <c r="C14">
        <f t="shared" si="0"/>
        <v>3624</v>
      </c>
      <c r="D14">
        <f t="shared" si="1"/>
        <v>0</v>
      </c>
      <c r="E14">
        <f t="shared" si="2"/>
        <v>0</v>
      </c>
      <c r="F14">
        <f t="shared" si="3"/>
        <v>0</v>
      </c>
    </row>
    <row r="15" spans="1:9" x14ac:dyDescent="0.25">
      <c r="A15" s="4" t="s">
        <v>136</v>
      </c>
      <c r="B15">
        <v>599</v>
      </c>
      <c r="C15">
        <f t="shared" si="0"/>
        <v>4223</v>
      </c>
      <c r="D15">
        <f t="shared" si="1"/>
        <v>0</v>
      </c>
      <c r="E15">
        <f t="shared" si="2"/>
        <v>0</v>
      </c>
      <c r="F15">
        <f t="shared" si="3"/>
        <v>0</v>
      </c>
    </row>
    <row r="16" spans="1:9" x14ac:dyDescent="0.25">
      <c r="A16" s="4" t="s">
        <v>142</v>
      </c>
      <c r="B16">
        <v>320</v>
      </c>
      <c r="C16">
        <f t="shared" si="0"/>
        <v>4543</v>
      </c>
      <c r="D16">
        <f t="shared" si="1"/>
        <v>0</v>
      </c>
      <c r="E16">
        <f t="shared" si="2"/>
        <v>0</v>
      </c>
      <c r="F16">
        <f t="shared" si="3"/>
        <v>0</v>
      </c>
    </row>
    <row r="17" spans="1:6" x14ac:dyDescent="0.25">
      <c r="A17" s="4" t="s">
        <v>155</v>
      </c>
      <c r="B17">
        <v>344</v>
      </c>
      <c r="C17">
        <f t="shared" si="0"/>
        <v>4887</v>
      </c>
      <c r="D17">
        <f t="shared" si="1"/>
        <v>0</v>
      </c>
      <c r="E17">
        <f t="shared" si="2"/>
        <v>0</v>
      </c>
      <c r="F17">
        <f t="shared" si="3"/>
        <v>0</v>
      </c>
    </row>
    <row r="18" spans="1:6" x14ac:dyDescent="0.25">
      <c r="A18" s="4" t="s">
        <v>156</v>
      </c>
      <c r="B18">
        <v>556</v>
      </c>
      <c r="C18">
        <f t="shared" si="0"/>
        <v>5443</v>
      </c>
      <c r="D18">
        <f t="shared" si="1"/>
        <v>0</v>
      </c>
      <c r="E18">
        <f t="shared" si="2"/>
        <v>0</v>
      </c>
      <c r="F18">
        <f t="shared" si="3"/>
        <v>0</v>
      </c>
    </row>
    <row r="19" spans="1:6" x14ac:dyDescent="0.25">
      <c r="A19" s="4" t="s">
        <v>165</v>
      </c>
      <c r="B19">
        <v>417</v>
      </c>
      <c r="C19">
        <f t="shared" si="0"/>
        <v>5860</v>
      </c>
      <c r="D19">
        <f t="shared" si="1"/>
        <v>0</v>
      </c>
      <c r="E19">
        <f t="shared" si="2"/>
        <v>0</v>
      </c>
      <c r="F19">
        <f t="shared" si="3"/>
        <v>0</v>
      </c>
    </row>
    <row r="20" spans="1:6" x14ac:dyDescent="0.25">
      <c r="A20" s="4" t="s">
        <v>169</v>
      </c>
      <c r="B20">
        <v>389</v>
      </c>
      <c r="C20">
        <f t="shared" si="0"/>
        <v>6249</v>
      </c>
      <c r="D20">
        <f t="shared" si="1"/>
        <v>0</v>
      </c>
      <c r="E20">
        <f t="shared" si="2"/>
        <v>0</v>
      </c>
      <c r="F20">
        <f t="shared" si="3"/>
        <v>0</v>
      </c>
    </row>
    <row r="21" spans="1:6" x14ac:dyDescent="0.25">
      <c r="A21" s="4" t="s">
        <v>171</v>
      </c>
      <c r="B21">
        <v>249</v>
      </c>
      <c r="C21">
        <f t="shared" si="0"/>
        <v>6498</v>
      </c>
      <c r="D21">
        <f t="shared" si="1"/>
        <v>0</v>
      </c>
      <c r="E21">
        <f t="shared" si="2"/>
        <v>0</v>
      </c>
      <c r="F21">
        <f t="shared" si="3"/>
        <v>0</v>
      </c>
    </row>
    <row r="22" spans="1:6" x14ac:dyDescent="0.25">
      <c r="A22" s="4" t="s">
        <v>180</v>
      </c>
      <c r="B22">
        <v>397</v>
      </c>
      <c r="C22">
        <f t="shared" si="0"/>
        <v>6895</v>
      </c>
      <c r="D22">
        <f t="shared" si="1"/>
        <v>0</v>
      </c>
      <c r="E22">
        <f t="shared" si="2"/>
        <v>0</v>
      </c>
      <c r="F22">
        <f t="shared" si="3"/>
        <v>0</v>
      </c>
    </row>
    <row r="23" spans="1:6" x14ac:dyDescent="0.25">
      <c r="A23" s="4" t="s">
        <v>181</v>
      </c>
      <c r="B23">
        <v>463</v>
      </c>
      <c r="C23">
        <f t="shared" si="0"/>
        <v>7358</v>
      </c>
      <c r="D23">
        <f t="shared" si="1"/>
        <v>0</v>
      </c>
      <c r="E23">
        <f t="shared" si="2"/>
        <v>0</v>
      </c>
      <c r="F23">
        <f t="shared" si="3"/>
        <v>0</v>
      </c>
    </row>
    <row r="24" spans="1:6" x14ac:dyDescent="0.25">
      <c r="A24" s="4" t="s">
        <v>195</v>
      </c>
      <c r="B24">
        <v>52</v>
      </c>
      <c r="C24">
        <f t="shared" si="0"/>
        <v>7410</v>
      </c>
      <c r="D24">
        <f t="shared" si="1"/>
        <v>0</v>
      </c>
      <c r="E24">
        <f t="shared" si="2"/>
        <v>0</v>
      </c>
      <c r="F24">
        <f t="shared" si="3"/>
        <v>0</v>
      </c>
    </row>
    <row r="25" spans="1:6" x14ac:dyDescent="0.25">
      <c r="A25" s="4" t="s">
        <v>210</v>
      </c>
      <c r="B25">
        <v>225</v>
      </c>
      <c r="C25">
        <f t="shared" si="0"/>
        <v>7635</v>
      </c>
      <c r="D25">
        <f t="shared" si="1"/>
        <v>0</v>
      </c>
      <c r="E25">
        <f t="shared" si="2"/>
        <v>0</v>
      </c>
      <c r="F25">
        <f t="shared" si="3"/>
        <v>0</v>
      </c>
    </row>
    <row r="26" spans="1:6" x14ac:dyDescent="0.25">
      <c r="A26" s="4" t="s">
        <v>227</v>
      </c>
      <c r="B26">
        <v>325</v>
      </c>
      <c r="C26">
        <f t="shared" si="0"/>
        <v>7960</v>
      </c>
      <c r="D26">
        <f t="shared" si="1"/>
        <v>0</v>
      </c>
      <c r="E26">
        <f t="shared" si="2"/>
        <v>0</v>
      </c>
      <c r="F26">
        <f t="shared" si="3"/>
        <v>0</v>
      </c>
    </row>
    <row r="27" spans="1:6" x14ac:dyDescent="0.25">
      <c r="A27" s="4" t="s">
        <v>228</v>
      </c>
      <c r="B27">
        <v>52</v>
      </c>
      <c r="C27">
        <f t="shared" si="0"/>
        <v>8012</v>
      </c>
      <c r="D27">
        <f t="shared" si="1"/>
        <v>0</v>
      </c>
      <c r="E27">
        <f t="shared" si="2"/>
        <v>0</v>
      </c>
      <c r="F27">
        <f t="shared" si="3"/>
        <v>0</v>
      </c>
    </row>
    <row r="28" spans="1:6" x14ac:dyDescent="0.25">
      <c r="A28" s="4" t="s">
        <v>261</v>
      </c>
      <c r="B28">
        <v>343</v>
      </c>
      <c r="C28">
        <f t="shared" si="0"/>
        <v>8355</v>
      </c>
      <c r="D28">
        <f t="shared" si="1"/>
        <v>0</v>
      </c>
      <c r="E28">
        <f t="shared" si="2"/>
        <v>0</v>
      </c>
      <c r="F28">
        <f t="shared" si="3"/>
        <v>0</v>
      </c>
    </row>
    <row r="29" spans="1:6" x14ac:dyDescent="0.25">
      <c r="A29" s="4" t="s">
        <v>266</v>
      </c>
      <c r="B29">
        <v>449</v>
      </c>
      <c r="C29">
        <f t="shared" si="0"/>
        <v>8804</v>
      </c>
      <c r="D29">
        <f t="shared" si="1"/>
        <v>0</v>
      </c>
      <c r="E29">
        <f t="shared" si="2"/>
        <v>0</v>
      </c>
      <c r="F29">
        <f t="shared" si="3"/>
        <v>0</v>
      </c>
    </row>
    <row r="30" spans="1:6" x14ac:dyDescent="0.25">
      <c r="A30" s="4" t="s">
        <v>271</v>
      </c>
      <c r="B30">
        <v>434</v>
      </c>
      <c r="C30">
        <f t="shared" si="0"/>
        <v>9238</v>
      </c>
      <c r="D30">
        <f t="shared" si="1"/>
        <v>0</v>
      </c>
      <c r="E30">
        <f t="shared" si="2"/>
        <v>0</v>
      </c>
      <c r="F30">
        <f t="shared" si="3"/>
        <v>0</v>
      </c>
    </row>
    <row r="31" spans="1:6" x14ac:dyDescent="0.25">
      <c r="A31" s="4" t="s">
        <v>277</v>
      </c>
      <c r="B31">
        <v>250</v>
      </c>
      <c r="C31">
        <f t="shared" si="0"/>
        <v>9488</v>
      </c>
      <c r="D31">
        <f t="shared" si="1"/>
        <v>0</v>
      </c>
      <c r="E31">
        <f t="shared" si="2"/>
        <v>0</v>
      </c>
      <c r="F31">
        <f t="shared" si="3"/>
        <v>0</v>
      </c>
    </row>
    <row r="32" spans="1:6" x14ac:dyDescent="0.25">
      <c r="A32" s="4" t="s">
        <v>282</v>
      </c>
      <c r="B32">
        <v>34</v>
      </c>
      <c r="C32">
        <f t="shared" si="0"/>
        <v>9522</v>
      </c>
      <c r="D32">
        <f t="shared" si="1"/>
        <v>0</v>
      </c>
      <c r="E32">
        <f t="shared" si="2"/>
        <v>0</v>
      </c>
      <c r="F32">
        <f t="shared" si="3"/>
        <v>0</v>
      </c>
    </row>
    <row r="33" spans="1:6" x14ac:dyDescent="0.25">
      <c r="A33" s="4" t="s">
        <v>291</v>
      </c>
      <c r="B33">
        <v>457</v>
      </c>
      <c r="C33">
        <f t="shared" si="0"/>
        <v>9979</v>
      </c>
      <c r="D33">
        <f t="shared" si="1"/>
        <v>0</v>
      </c>
      <c r="E33">
        <f t="shared" si="2"/>
        <v>0</v>
      </c>
      <c r="F33">
        <f t="shared" si="3"/>
        <v>0</v>
      </c>
    </row>
    <row r="34" spans="1:6" x14ac:dyDescent="0.25">
      <c r="A34" s="4" t="s">
        <v>297</v>
      </c>
      <c r="B34">
        <v>319</v>
      </c>
      <c r="C34">
        <f t="shared" si="0"/>
        <v>10298</v>
      </c>
      <c r="D34">
        <f t="shared" si="1"/>
        <v>0</v>
      </c>
      <c r="E34">
        <f t="shared" si="2"/>
        <v>0</v>
      </c>
      <c r="F34">
        <f t="shared" si="3"/>
        <v>0</v>
      </c>
    </row>
    <row r="35" spans="1:6" x14ac:dyDescent="0.25">
      <c r="A35" s="4" t="s">
        <v>304</v>
      </c>
      <c r="B35">
        <v>351</v>
      </c>
      <c r="C35">
        <f t="shared" si="0"/>
        <v>10649</v>
      </c>
      <c r="D35">
        <f t="shared" si="1"/>
        <v>0</v>
      </c>
      <c r="E35">
        <f t="shared" si="2"/>
        <v>0</v>
      </c>
      <c r="F35">
        <f t="shared" si="3"/>
        <v>0</v>
      </c>
    </row>
    <row r="36" spans="1:6" x14ac:dyDescent="0.25">
      <c r="A36" s="4" t="s">
        <v>307</v>
      </c>
      <c r="B36">
        <v>398</v>
      </c>
      <c r="C36">
        <f t="shared" si="0"/>
        <v>11047</v>
      </c>
      <c r="D36">
        <f t="shared" si="1"/>
        <v>0</v>
      </c>
      <c r="E36">
        <f t="shared" si="2"/>
        <v>0</v>
      </c>
      <c r="F36">
        <f t="shared" si="3"/>
        <v>0</v>
      </c>
    </row>
    <row r="37" spans="1:6" x14ac:dyDescent="0.25">
      <c r="A37" s="4" t="s">
        <v>314</v>
      </c>
      <c r="B37">
        <v>88</v>
      </c>
      <c r="C37">
        <f t="shared" si="0"/>
        <v>11135</v>
      </c>
      <c r="D37">
        <f t="shared" si="1"/>
        <v>0</v>
      </c>
      <c r="E37">
        <f t="shared" si="2"/>
        <v>0</v>
      </c>
      <c r="F37">
        <f t="shared" si="3"/>
        <v>0</v>
      </c>
    </row>
    <row r="38" spans="1:6" x14ac:dyDescent="0.25">
      <c r="A38" s="4" t="s">
        <v>319</v>
      </c>
      <c r="B38">
        <v>370</v>
      </c>
      <c r="C38">
        <f t="shared" si="0"/>
        <v>11505</v>
      </c>
      <c r="D38">
        <f t="shared" si="1"/>
        <v>0</v>
      </c>
      <c r="E38">
        <f t="shared" si="2"/>
        <v>0</v>
      </c>
      <c r="F38">
        <f t="shared" si="3"/>
        <v>0</v>
      </c>
    </row>
    <row r="39" spans="1:6" x14ac:dyDescent="0.25">
      <c r="A39" s="4" t="s">
        <v>320</v>
      </c>
      <c r="B39">
        <v>298</v>
      </c>
      <c r="C39">
        <f t="shared" si="0"/>
        <v>11803</v>
      </c>
      <c r="D39">
        <f t="shared" si="1"/>
        <v>0</v>
      </c>
      <c r="E39">
        <f t="shared" si="2"/>
        <v>0</v>
      </c>
      <c r="F39">
        <f t="shared" si="3"/>
        <v>0</v>
      </c>
    </row>
    <row r="40" spans="1:6" x14ac:dyDescent="0.25">
      <c r="A40" s="4" t="s">
        <v>321</v>
      </c>
      <c r="B40">
        <v>495</v>
      </c>
      <c r="C40">
        <f t="shared" si="0"/>
        <v>12298</v>
      </c>
      <c r="D40">
        <f t="shared" si="1"/>
        <v>0</v>
      </c>
      <c r="E40">
        <f t="shared" si="2"/>
        <v>0</v>
      </c>
      <c r="F40">
        <f t="shared" si="3"/>
        <v>0</v>
      </c>
    </row>
    <row r="41" spans="1:6" x14ac:dyDescent="0.25">
      <c r="A41" s="4" t="s">
        <v>328</v>
      </c>
      <c r="B41">
        <v>35</v>
      </c>
      <c r="C41">
        <f t="shared" si="0"/>
        <v>12333</v>
      </c>
      <c r="D41">
        <f t="shared" si="1"/>
        <v>0</v>
      </c>
      <c r="E41">
        <f t="shared" si="2"/>
        <v>0</v>
      </c>
      <c r="F41">
        <f t="shared" si="3"/>
        <v>0</v>
      </c>
    </row>
    <row r="42" spans="1:6" x14ac:dyDescent="0.25">
      <c r="A42" s="4" t="s">
        <v>329</v>
      </c>
      <c r="B42">
        <v>177</v>
      </c>
      <c r="C42">
        <f t="shared" si="0"/>
        <v>12510</v>
      </c>
      <c r="D42">
        <f t="shared" si="1"/>
        <v>0</v>
      </c>
      <c r="E42">
        <f t="shared" si="2"/>
        <v>0</v>
      </c>
      <c r="F42">
        <f t="shared" si="3"/>
        <v>0</v>
      </c>
    </row>
    <row r="43" spans="1:6" x14ac:dyDescent="0.25">
      <c r="A43" s="4" t="s">
        <v>344</v>
      </c>
      <c r="B43">
        <v>366</v>
      </c>
      <c r="C43">
        <f t="shared" si="0"/>
        <v>12876</v>
      </c>
      <c r="D43">
        <f t="shared" si="1"/>
        <v>0</v>
      </c>
      <c r="E43">
        <f t="shared" si="2"/>
        <v>0</v>
      </c>
      <c r="F43">
        <f t="shared" si="3"/>
        <v>0</v>
      </c>
    </row>
    <row r="44" spans="1:6" x14ac:dyDescent="0.25">
      <c r="A44" s="4" t="s">
        <v>351</v>
      </c>
      <c r="B44">
        <v>464</v>
      </c>
      <c r="C44">
        <f t="shared" si="0"/>
        <v>13340</v>
      </c>
      <c r="D44">
        <f t="shared" si="1"/>
        <v>0</v>
      </c>
      <c r="E44">
        <f t="shared" si="2"/>
        <v>0</v>
      </c>
      <c r="F44">
        <f t="shared" si="3"/>
        <v>0</v>
      </c>
    </row>
    <row r="45" spans="1:6" x14ac:dyDescent="0.25">
      <c r="A45" s="4" t="s">
        <v>360</v>
      </c>
      <c r="B45">
        <v>437</v>
      </c>
      <c r="C45">
        <f t="shared" si="0"/>
        <v>13777</v>
      </c>
      <c r="D45">
        <f t="shared" si="1"/>
        <v>0</v>
      </c>
      <c r="E45">
        <f t="shared" si="2"/>
        <v>0</v>
      </c>
      <c r="F45">
        <f t="shared" si="3"/>
        <v>0</v>
      </c>
    </row>
    <row r="46" spans="1:6" x14ac:dyDescent="0.25">
      <c r="A46" s="4" t="s">
        <v>369</v>
      </c>
      <c r="B46">
        <v>221</v>
      </c>
      <c r="C46">
        <f t="shared" si="0"/>
        <v>13998</v>
      </c>
      <c r="D46">
        <f t="shared" si="1"/>
        <v>0</v>
      </c>
      <c r="E46">
        <f t="shared" si="2"/>
        <v>0</v>
      </c>
      <c r="F46">
        <f t="shared" si="3"/>
        <v>0</v>
      </c>
    </row>
    <row r="47" spans="1:6" x14ac:dyDescent="0.25">
      <c r="A47" s="4" t="s">
        <v>379</v>
      </c>
      <c r="B47">
        <v>714</v>
      </c>
      <c r="C47">
        <f t="shared" si="0"/>
        <v>14712</v>
      </c>
      <c r="D47">
        <f t="shared" si="1"/>
        <v>0</v>
      </c>
      <c r="E47">
        <f t="shared" si="2"/>
        <v>0</v>
      </c>
      <c r="F47">
        <f t="shared" si="3"/>
        <v>0</v>
      </c>
    </row>
    <row r="48" spans="1:6" x14ac:dyDescent="0.25">
      <c r="A48" s="4" t="s">
        <v>381</v>
      </c>
      <c r="B48">
        <v>295</v>
      </c>
      <c r="C48">
        <f t="shared" si="0"/>
        <v>15007</v>
      </c>
      <c r="D48">
        <f>IF(C48 &gt; 15000, 1, 0)</f>
        <v>1</v>
      </c>
      <c r="E48">
        <f>IF(AND(D48 =1,C48 &gt;= 20000),1,0)</f>
        <v>0</v>
      </c>
      <c r="F48">
        <f t="shared" si="3"/>
        <v>1475</v>
      </c>
    </row>
    <row r="49" spans="1:6" x14ac:dyDescent="0.25">
      <c r="A49" s="4" t="s">
        <v>384</v>
      </c>
      <c r="B49">
        <v>406</v>
      </c>
      <c r="C49">
        <f t="shared" si="0"/>
        <v>15413</v>
      </c>
      <c r="D49">
        <f t="shared" ref="D49:D112" si="4">IF(C49 &gt; 15000, 1, 0)</f>
        <v>1</v>
      </c>
      <c r="E49">
        <f t="shared" ref="E49:E112" si="5">IF(AND(D49 =1,C49 &gt;= 20000),1,0)</f>
        <v>0</v>
      </c>
      <c r="F49">
        <f t="shared" si="3"/>
        <v>2030</v>
      </c>
    </row>
    <row r="50" spans="1:6" x14ac:dyDescent="0.25">
      <c r="A50" s="4" t="s">
        <v>391</v>
      </c>
      <c r="B50">
        <v>72</v>
      </c>
      <c r="C50">
        <f t="shared" si="0"/>
        <v>15485</v>
      </c>
      <c r="D50">
        <f t="shared" si="4"/>
        <v>1</v>
      </c>
      <c r="E50">
        <f t="shared" si="5"/>
        <v>0</v>
      </c>
      <c r="F50">
        <f t="shared" si="3"/>
        <v>360</v>
      </c>
    </row>
    <row r="51" spans="1:6" x14ac:dyDescent="0.25">
      <c r="A51" s="4" t="s">
        <v>394</v>
      </c>
      <c r="B51">
        <v>356</v>
      </c>
      <c r="C51">
        <f t="shared" si="0"/>
        <v>15841</v>
      </c>
      <c r="D51">
        <f t="shared" si="4"/>
        <v>1</v>
      </c>
      <c r="E51">
        <f t="shared" si="5"/>
        <v>0</v>
      </c>
      <c r="F51">
        <f t="shared" si="3"/>
        <v>1780</v>
      </c>
    </row>
    <row r="52" spans="1:6" x14ac:dyDescent="0.25">
      <c r="A52" s="4" t="s">
        <v>404</v>
      </c>
      <c r="B52">
        <v>383</v>
      </c>
      <c r="C52">
        <f t="shared" si="0"/>
        <v>16224</v>
      </c>
      <c r="D52">
        <f>IF(C52 &gt; 15000, 1, 0)</f>
        <v>1</v>
      </c>
      <c r="E52">
        <f t="shared" si="5"/>
        <v>0</v>
      </c>
      <c r="F52">
        <f t="shared" si="3"/>
        <v>1915</v>
      </c>
    </row>
    <row r="53" spans="1:6" x14ac:dyDescent="0.25">
      <c r="A53" s="3" t="s">
        <v>19</v>
      </c>
      <c r="B53">
        <v>9410</v>
      </c>
      <c r="C53">
        <f t="shared" si="0"/>
        <v>0</v>
      </c>
      <c r="D53">
        <f t="shared" ref="D53" si="6">IF(C53 &gt; 15000, 1, 0)</f>
        <v>0</v>
      </c>
      <c r="E53">
        <f t="shared" si="5"/>
        <v>0</v>
      </c>
      <c r="F53">
        <f t="shared" si="3"/>
        <v>0</v>
      </c>
    </row>
    <row r="54" spans="1:6" x14ac:dyDescent="0.25">
      <c r="A54" s="4" t="s">
        <v>95</v>
      </c>
      <c r="B54">
        <v>139</v>
      </c>
      <c r="C54">
        <f t="shared" si="0"/>
        <v>139</v>
      </c>
      <c r="D54">
        <f t="shared" si="4"/>
        <v>0</v>
      </c>
      <c r="E54">
        <f t="shared" si="5"/>
        <v>0</v>
      </c>
      <c r="F54">
        <f t="shared" si="3"/>
        <v>0</v>
      </c>
    </row>
    <row r="55" spans="1:6" x14ac:dyDescent="0.25">
      <c r="A55" s="4" t="s">
        <v>101</v>
      </c>
      <c r="B55">
        <v>284</v>
      </c>
      <c r="C55">
        <f t="shared" si="0"/>
        <v>423</v>
      </c>
      <c r="D55">
        <f t="shared" si="4"/>
        <v>0</v>
      </c>
      <c r="E55">
        <f t="shared" si="5"/>
        <v>0</v>
      </c>
      <c r="F55">
        <f t="shared" si="3"/>
        <v>0</v>
      </c>
    </row>
    <row r="56" spans="1:6" x14ac:dyDescent="0.25">
      <c r="A56" s="4" t="s">
        <v>105</v>
      </c>
      <c r="B56">
        <v>296</v>
      </c>
      <c r="C56">
        <f t="shared" si="0"/>
        <v>719</v>
      </c>
      <c r="D56">
        <f t="shared" si="4"/>
        <v>0</v>
      </c>
      <c r="E56">
        <f t="shared" si="5"/>
        <v>0</v>
      </c>
      <c r="F56">
        <f t="shared" si="3"/>
        <v>0</v>
      </c>
    </row>
    <row r="57" spans="1:6" x14ac:dyDescent="0.25">
      <c r="A57" s="4" t="s">
        <v>162</v>
      </c>
      <c r="B57">
        <v>141</v>
      </c>
      <c r="C57">
        <f t="shared" si="0"/>
        <v>860</v>
      </c>
      <c r="D57">
        <f t="shared" si="4"/>
        <v>0</v>
      </c>
      <c r="E57">
        <f t="shared" si="5"/>
        <v>0</v>
      </c>
      <c r="F57">
        <f t="shared" si="3"/>
        <v>0</v>
      </c>
    </row>
    <row r="58" spans="1:6" x14ac:dyDescent="0.25">
      <c r="A58" s="4" t="s">
        <v>175</v>
      </c>
      <c r="B58">
        <v>379</v>
      </c>
      <c r="C58">
        <f t="shared" si="0"/>
        <v>1239</v>
      </c>
      <c r="D58">
        <f t="shared" si="4"/>
        <v>0</v>
      </c>
      <c r="E58">
        <f t="shared" si="5"/>
        <v>0</v>
      </c>
      <c r="F58">
        <f t="shared" si="3"/>
        <v>0</v>
      </c>
    </row>
    <row r="59" spans="1:6" x14ac:dyDescent="0.25">
      <c r="A59" s="4" t="s">
        <v>185</v>
      </c>
      <c r="B59">
        <v>166</v>
      </c>
      <c r="C59">
        <f t="shared" si="0"/>
        <v>1405</v>
      </c>
      <c r="D59">
        <f t="shared" si="4"/>
        <v>0</v>
      </c>
      <c r="E59">
        <f t="shared" si="5"/>
        <v>0</v>
      </c>
      <c r="F59">
        <f t="shared" si="3"/>
        <v>0</v>
      </c>
    </row>
    <row r="60" spans="1:6" x14ac:dyDescent="0.25">
      <c r="A60" s="4" t="s">
        <v>186</v>
      </c>
      <c r="B60">
        <v>148</v>
      </c>
      <c r="C60">
        <f t="shared" si="0"/>
        <v>1553</v>
      </c>
      <c r="D60">
        <f t="shared" si="4"/>
        <v>0</v>
      </c>
      <c r="E60">
        <f t="shared" si="5"/>
        <v>0</v>
      </c>
      <c r="F60">
        <f t="shared" si="3"/>
        <v>0</v>
      </c>
    </row>
    <row r="61" spans="1:6" x14ac:dyDescent="0.25">
      <c r="A61" s="4" t="s">
        <v>187</v>
      </c>
      <c r="B61">
        <v>292</v>
      </c>
      <c r="C61">
        <f t="shared" si="0"/>
        <v>1845</v>
      </c>
      <c r="D61">
        <f t="shared" si="4"/>
        <v>0</v>
      </c>
      <c r="E61">
        <f t="shared" si="5"/>
        <v>0</v>
      </c>
      <c r="F61">
        <f t="shared" si="3"/>
        <v>0</v>
      </c>
    </row>
    <row r="62" spans="1:6" x14ac:dyDescent="0.25">
      <c r="A62" s="4" t="s">
        <v>211</v>
      </c>
      <c r="B62">
        <v>599</v>
      </c>
      <c r="C62">
        <f t="shared" si="0"/>
        <v>2444</v>
      </c>
      <c r="D62">
        <f t="shared" si="4"/>
        <v>0</v>
      </c>
      <c r="E62">
        <f t="shared" si="5"/>
        <v>0</v>
      </c>
      <c r="F62">
        <f t="shared" si="3"/>
        <v>0</v>
      </c>
    </row>
    <row r="63" spans="1:6" x14ac:dyDescent="0.25">
      <c r="A63" s="4" t="s">
        <v>219</v>
      </c>
      <c r="B63">
        <v>674</v>
      </c>
      <c r="C63">
        <f t="shared" si="0"/>
        <v>3118</v>
      </c>
      <c r="D63">
        <f t="shared" si="4"/>
        <v>0</v>
      </c>
      <c r="E63">
        <f t="shared" si="5"/>
        <v>0</v>
      </c>
      <c r="F63">
        <f t="shared" si="3"/>
        <v>0</v>
      </c>
    </row>
    <row r="64" spans="1:6" x14ac:dyDescent="0.25">
      <c r="A64" s="4" t="s">
        <v>225</v>
      </c>
      <c r="B64">
        <v>426</v>
      </c>
      <c r="C64">
        <f t="shared" si="0"/>
        <v>3544</v>
      </c>
      <c r="D64">
        <f t="shared" si="4"/>
        <v>0</v>
      </c>
      <c r="E64">
        <f t="shared" si="5"/>
        <v>0</v>
      </c>
      <c r="F64">
        <f t="shared" si="3"/>
        <v>0</v>
      </c>
    </row>
    <row r="65" spans="1:6" x14ac:dyDescent="0.25">
      <c r="A65" s="4" t="s">
        <v>239</v>
      </c>
      <c r="B65">
        <v>266</v>
      </c>
      <c r="C65">
        <f t="shared" si="0"/>
        <v>3810</v>
      </c>
      <c r="D65">
        <f t="shared" si="4"/>
        <v>0</v>
      </c>
      <c r="E65">
        <f t="shared" si="5"/>
        <v>0</v>
      </c>
      <c r="F65">
        <f t="shared" si="3"/>
        <v>0</v>
      </c>
    </row>
    <row r="66" spans="1:6" x14ac:dyDescent="0.25">
      <c r="A66" s="4" t="s">
        <v>241</v>
      </c>
      <c r="B66">
        <v>249</v>
      </c>
      <c r="C66">
        <f t="shared" si="0"/>
        <v>4059</v>
      </c>
      <c r="D66">
        <f t="shared" si="4"/>
        <v>0</v>
      </c>
      <c r="E66">
        <f t="shared" si="5"/>
        <v>0</v>
      </c>
      <c r="F66">
        <f t="shared" si="3"/>
        <v>0</v>
      </c>
    </row>
    <row r="67" spans="1:6" x14ac:dyDescent="0.25">
      <c r="A67" s="4" t="s">
        <v>249</v>
      </c>
      <c r="B67">
        <v>239</v>
      </c>
      <c r="C67">
        <f t="shared" si="0"/>
        <v>4298</v>
      </c>
      <c r="D67">
        <f t="shared" si="4"/>
        <v>0</v>
      </c>
      <c r="E67">
        <f t="shared" si="5"/>
        <v>0</v>
      </c>
      <c r="F67">
        <f t="shared" si="3"/>
        <v>0</v>
      </c>
    </row>
    <row r="68" spans="1:6" x14ac:dyDescent="0.25">
      <c r="A68" s="4" t="s">
        <v>279</v>
      </c>
      <c r="B68">
        <v>10</v>
      </c>
      <c r="C68">
        <f t="shared" si="0"/>
        <v>4308</v>
      </c>
      <c r="D68">
        <f t="shared" si="4"/>
        <v>0</v>
      </c>
      <c r="E68">
        <f t="shared" si="5"/>
        <v>0</v>
      </c>
      <c r="F68">
        <f t="shared" si="3"/>
        <v>0</v>
      </c>
    </row>
    <row r="69" spans="1:6" x14ac:dyDescent="0.25">
      <c r="A69" s="4" t="s">
        <v>285</v>
      </c>
      <c r="B69">
        <v>231</v>
      </c>
      <c r="C69">
        <f t="shared" ref="C69:C132" si="7">IF(LEN(A69) &gt;= 12, 0, C68+B69)</f>
        <v>4539</v>
      </c>
      <c r="D69">
        <f t="shared" si="4"/>
        <v>0</v>
      </c>
      <c r="E69">
        <f t="shared" si="5"/>
        <v>0</v>
      </c>
      <c r="F69">
        <f t="shared" si="3"/>
        <v>0</v>
      </c>
    </row>
    <row r="70" spans="1:6" x14ac:dyDescent="0.25">
      <c r="A70" s="4" t="s">
        <v>288</v>
      </c>
      <c r="B70">
        <v>315</v>
      </c>
      <c r="C70">
        <f t="shared" si="7"/>
        <v>4854</v>
      </c>
      <c r="D70">
        <f t="shared" si="4"/>
        <v>0</v>
      </c>
      <c r="E70">
        <f t="shared" si="5"/>
        <v>0</v>
      </c>
      <c r="F70">
        <f t="shared" ref="F70:F133" si="8">IF(AND(D70 = 1, C70 &lt; 20000), B70*5, IF(AND(E70=1, C70 &gt;= 20000),B70*10,0))</f>
        <v>0</v>
      </c>
    </row>
    <row r="71" spans="1:6" x14ac:dyDescent="0.25">
      <c r="A71" s="4" t="s">
        <v>298</v>
      </c>
      <c r="B71">
        <v>438</v>
      </c>
      <c r="C71">
        <f t="shared" si="7"/>
        <v>5292</v>
      </c>
      <c r="D71">
        <f t="shared" si="4"/>
        <v>0</v>
      </c>
      <c r="E71">
        <f t="shared" si="5"/>
        <v>0</v>
      </c>
      <c r="F71">
        <f t="shared" si="8"/>
        <v>0</v>
      </c>
    </row>
    <row r="72" spans="1:6" x14ac:dyDescent="0.25">
      <c r="A72" s="4" t="s">
        <v>301</v>
      </c>
      <c r="B72">
        <v>592</v>
      </c>
      <c r="C72">
        <f t="shared" si="7"/>
        <v>5884</v>
      </c>
      <c r="D72">
        <f t="shared" si="4"/>
        <v>0</v>
      </c>
      <c r="E72">
        <f t="shared" si="5"/>
        <v>0</v>
      </c>
      <c r="F72">
        <f t="shared" si="8"/>
        <v>0</v>
      </c>
    </row>
    <row r="73" spans="1:6" x14ac:dyDescent="0.25">
      <c r="A73" s="4" t="s">
        <v>302</v>
      </c>
      <c r="B73">
        <v>58</v>
      </c>
      <c r="C73">
        <f t="shared" si="7"/>
        <v>5942</v>
      </c>
      <c r="D73">
        <f t="shared" si="4"/>
        <v>0</v>
      </c>
      <c r="E73">
        <f t="shared" si="5"/>
        <v>0</v>
      </c>
      <c r="F73">
        <f t="shared" si="8"/>
        <v>0</v>
      </c>
    </row>
    <row r="74" spans="1:6" x14ac:dyDescent="0.25">
      <c r="A74" s="4" t="s">
        <v>310</v>
      </c>
      <c r="B74">
        <v>423</v>
      </c>
      <c r="C74">
        <f t="shared" si="7"/>
        <v>6365</v>
      </c>
      <c r="D74">
        <f t="shared" si="4"/>
        <v>0</v>
      </c>
      <c r="E74">
        <f t="shared" si="5"/>
        <v>0</v>
      </c>
      <c r="F74">
        <f t="shared" si="8"/>
        <v>0</v>
      </c>
    </row>
    <row r="75" spans="1:6" x14ac:dyDescent="0.25">
      <c r="A75" s="4" t="s">
        <v>323</v>
      </c>
      <c r="B75">
        <v>418</v>
      </c>
      <c r="C75">
        <f t="shared" si="7"/>
        <v>6783</v>
      </c>
      <c r="D75">
        <f t="shared" si="4"/>
        <v>0</v>
      </c>
      <c r="E75">
        <f t="shared" si="5"/>
        <v>0</v>
      </c>
      <c r="F75">
        <f t="shared" si="8"/>
        <v>0</v>
      </c>
    </row>
    <row r="76" spans="1:6" x14ac:dyDescent="0.25">
      <c r="A76" s="4" t="s">
        <v>325</v>
      </c>
      <c r="B76">
        <v>291</v>
      </c>
      <c r="C76">
        <f t="shared" si="7"/>
        <v>7074</v>
      </c>
      <c r="D76">
        <f t="shared" si="4"/>
        <v>0</v>
      </c>
      <c r="E76">
        <f t="shared" si="5"/>
        <v>0</v>
      </c>
      <c r="F76">
        <f t="shared" si="8"/>
        <v>0</v>
      </c>
    </row>
    <row r="77" spans="1:6" x14ac:dyDescent="0.25">
      <c r="A77" s="4" t="s">
        <v>329</v>
      </c>
      <c r="B77">
        <v>436</v>
      </c>
      <c r="C77">
        <f t="shared" si="7"/>
        <v>7510</v>
      </c>
      <c r="D77">
        <f t="shared" si="4"/>
        <v>0</v>
      </c>
      <c r="E77">
        <f t="shared" si="5"/>
        <v>0</v>
      </c>
      <c r="F77">
        <f t="shared" si="8"/>
        <v>0</v>
      </c>
    </row>
    <row r="78" spans="1:6" x14ac:dyDescent="0.25">
      <c r="A78" s="4" t="s">
        <v>363</v>
      </c>
      <c r="B78">
        <v>43</v>
      </c>
      <c r="C78">
        <f t="shared" si="7"/>
        <v>7553</v>
      </c>
      <c r="D78">
        <f t="shared" si="4"/>
        <v>0</v>
      </c>
      <c r="E78">
        <f t="shared" si="5"/>
        <v>0</v>
      </c>
      <c r="F78">
        <f t="shared" si="8"/>
        <v>0</v>
      </c>
    </row>
    <row r="79" spans="1:6" x14ac:dyDescent="0.25">
      <c r="A79" s="4" t="s">
        <v>387</v>
      </c>
      <c r="B79">
        <v>419</v>
      </c>
      <c r="C79">
        <f t="shared" si="7"/>
        <v>7972</v>
      </c>
      <c r="D79">
        <f t="shared" si="4"/>
        <v>0</v>
      </c>
      <c r="E79">
        <f t="shared" si="5"/>
        <v>0</v>
      </c>
      <c r="F79">
        <f t="shared" si="8"/>
        <v>0</v>
      </c>
    </row>
    <row r="80" spans="1:6" x14ac:dyDescent="0.25">
      <c r="A80" s="4" t="s">
        <v>391</v>
      </c>
      <c r="B80">
        <v>301</v>
      </c>
      <c r="C80">
        <f t="shared" si="7"/>
        <v>8273</v>
      </c>
      <c r="D80">
        <f t="shared" si="4"/>
        <v>0</v>
      </c>
      <c r="E80">
        <f t="shared" si="5"/>
        <v>0</v>
      </c>
      <c r="F80">
        <f t="shared" si="8"/>
        <v>0</v>
      </c>
    </row>
    <row r="81" spans="1:6" x14ac:dyDescent="0.25">
      <c r="A81" s="4" t="s">
        <v>392</v>
      </c>
      <c r="B81">
        <v>413</v>
      </c>
      <c r="C81">
        <f t="shared" si="7"/>
        <v>8686</v>
      </c>
      <c r="D81">
        <f t="shared" si="4"/>
        <v>0</v>
      </c>
      <c r="E81">
        <f t="shared" si="5"/>
        <v>0</v>
      </c>
      <c r="F81">
        <f t="shared" si="8"/>
        <v>0</v>
      </c>
    </row>
    <row r="82" spans="1:6" x14ac:dyDescent="0.25">
      <c r="A82" s="4" t="s">
        <v>395</v>
      </c>
      <c r="B82">
        <v>555</v>
      </c>
      <c r="C82">
        <f t="shared" si="7"/>
        <v>9241</v>
      </c>
      <c r="D82">
        <f t="shared" si="4"/>
        <v>0</v>
      </c>
      <c r="E82">
        <f t="shared" si="5"/>
        <v>0</v>
      </c>
      <c r="F82">
        <f t="shared" si="8"/>
        <v>0</v>
      </c>
    </row>
    <row r="83" spans="1:6" x14ac:dyDescent="0.25">
      <c r="A83" s="4" t="s">
        <v>404</v>
      </c>
      <c r="B83">
        <v>169</v>
      </c>
      <c r="C83">
        <f t="shared" si="7"/>
        <v>9410</v>
      </c>
      <c r="D83">
        <f t="shared" si="4"/>
        <v>0</v>
      </c>
      <c r="E83">
        <f t="shared" si="5"/>
        <v>0</v>
      </c>
      <c r="F83">
        <f t="shared" si="8"/>
        <v>0</v>
      </c>
    </row>
    <row r="84" spans="1:6" x14ac:dyDescent="0.25">
      <c r="A84" s="3" t="s">
        <v>37</v>
      </c>
      <c r="B84">
        <v>16308</v>
      </c>
      <c r="C84">
        <f t="shared" si="7"/>
        <v>0</v>
      </c>
      <c r="D84">
        <f t="shared" si="4"/>
        <v>0</v>
      </c>
      <c r="E84">
        <f t="shared" si="5"/>
        <v>0</v>
      </c>
      <c r="F84">
        <f t="shared" si="8"/>
        <v>0</v>
      </c>
    </row>
    <row r="85" spans="1:6" x14ac:dyDescent="0.25">
      <c r="A85" s="4" t="s">
        <v>99</v>
      </c>
      <c r="B85">
        <v>260</v>
      </c>
      <c r="C85">
        <f t="shared" si="7"/>
        <v>260</v>
      </c>
      <c r="D85">
        <f t="shared" si="4"/>
        <v>0</v>
      </c>
      <c r="E85">
        <f t="shared" si="5"/>
        <v>0</v>
      </c>
      <c r="F85">
        <f t="shared" si="8"/>
        <v>0</v>
      </c>
    </row>
    <row r="86" spans="1:6" x14ac:dyDescent="0.25">
      <c r="A86" s="4" t="s">
        <v>105</v>
      </c>
      <c r="B86">
        <v>88</v>
      </c>
      <c r="C86">
        <f t="shared" si="7"/>
        <v>348</v>
      </c>
      <c r="D86">
        <f t="shared" si="4"/>
        <v>0</v>
      </c>
      <c r="E86">
        <f t="shared" si="5"/>
        <v>0</v>
      </c>
      <c r="F86">
        <f t="shared" si="8"/>
        <v>0</v>
      </c>
    </row>
    <row r="87" spans="1:6" x14ac:dyDescent="0.25">
      <c r="A87" s="4" t="s">
        <v>107</v>
      </c>
      <c r="B87">
        <v>482</v>
      </c>
      <c r="C87">
        <f t="shared" si="7"/>
        <v>830</v>
      </c>
      <c r="D87">
        <f t="shared" si="4"/>
        <v>0</v>
      </c>
      <c r="E87">
        <f t="shared" si="5"/>
        <v>0</v>
      </c>
      <c r="F87">
        <f t="shared" si="8"/>
        <v>0</v>
      </c>
    </row>
    <row r="88" spans="1:6" x14ac:dyDescent="0.25">
      <c r="A88" s="4" t="s">
        <v>109</v>
      </c>
      <c r="B88">
        <v>212</v>
      </c>
      <c r="C88">
        <f t="shared" si="7"/>
        <v>1042</v>
      </c>
      <c r="D88">
        <f t="shared" si="4"/>
        <v>0</v>
      </c>
      <c r="E88">
        <f t="shared" si="5"/>
        <v>0</v>
      </c>
      <c r="F88">
        <f t="shared" si="8"/>
        <v>0</v>
      </c>
    </row>
    <row r="89" spans="1:6" x14ac:dyDescent="0.25">
      <c r="A89" s="4" t="s">
        <v>111</v>
      </c>
      <c r="B89">
        <v>407</v>
      </c>
      <c r="C89">
        <f t="shared" si="7"/>
        <v>1449</v>
      </c>
      <c r="D89">
        <f t="shared" si="4"/>
        <v>0</v>
      </c>
      <c r="E89">
        <f t="shared" si="5"/>
        <v>0</v>
      </c>
      <c r="F89">
        <f t="shared" si="8"/>
        <v>0</v>
      </c>
    </row>
    <row r="90" spans="1:6" x14ac:dyDescent="0.25">
      <c r="A90" s="4" t="s">
        <v>120</v>
      </c>
      <c r="B90">
        <v>486</v>
      </c>
      <c r="C90">
        <f t="shared" si="7"/>
        <v>1935</v>
      </c>
      <c r="D90">
        <f t="shared" si="4"/>
        <v>0</v>
      </c>
      <c r="E90">
        <f t="shared" si="5"/>
        <v>0</v>
      </c>
      <c r="F90">
        <f t="shared" si="8"/>
        <v>0</v>
      </c>
    </row>
    <row r="91" spans="1:6" x14ac:dyDescent="0.25">
      <c r="A91" s="4" t="s">
        <v>123</v>
      </c>
      <c r="B91">
        <v>49</v>
      </c>
      <c r="C91">
        <f t="shared" si="7"/>
        <v>1984</v>
      </c>
      <c r="D91">
        <f t="shared" si="4"/>
        <v>0</v>
      </c>
      <c r="E91">
        <f t="shared" si="5"/>
        <v>0</v>
      </c>
      <c r="F91">
        <f t="shared" si="8"/>
        <v>0</v>
      </c>
    </row>
    <row r="92" spans="1:6" x14ac:dyDescent="0.25">
      <c r="A92" s="4" t="s">
        <v>128</v>
      </c>
      <c r="B92">
        <v>163</v>
      </c>
      <c r="C92">
        <f t="shared" si="7"/>
        <v>2147</v>
      </c>
      <c r="D92">
        <f t="shared" si="4"/>
        <v>0</v>
      </c>
      <c r="E92">
        <f t="shared" si="5"/>
        <v>0</v>
      </c>
      <c r="F92">
        <f t="shared" si="8"/>
        <v>0</v>
      </c>
    </row>
    <row r="93" spans="1:6" x14ac:dyDescent="0.25">
      <c r="A93" s="4" t="s">
        <v>130</v>
      </c>
      <c r="B93">
        <v>301</v>
      </c>
      <c r="C93">
        <f t="shared" si="7"/>
        <v>2448</v>
      </c>
      <c r="D93">
        <f t="shared" si="4"/>
        <v>0</v>
      </c>
      <c r="E93">
        <f t="shared" si="5"/>
        <v>0</v>
      </c>
      <c r="F93">
        <f t="shared" si="8"/>
        <v>0</v>
      </c>
    </row>
    <row r="94" spans="1:6" x14ac:dyDescent="0.25">
      <c r="A94" s="4" t="s">
        <v>131</v>
      </c>
      <c r="B94">
        <v>39</v>
      </c>
      <c r="C94">
        <f t="shared" si="7"/>
        <v>2487</v>
      </c>
      <c r="D94">
        <f t="shared" si="4"/>
        <v>0</v>
      </c>
      <c r="E94">
        <f t="shared" si="5"/>
        <v>0</v>
      </c>
      <c r="F94">
        <f t="shared" si="8"/>
        <v>0</v>
      </c>
    </row>
    <row r="95" spans="1:6" x14ac:dyDescent="0.25">
      <c r="A95" s="4" t="s">
        <v>133</v>
      </c>
      <c r="B95">
        <v>610</v>
      </c>
      <c r="C95">
        <f t="shared" si="7"/>
        <v>3097</v>
      </c>
      <c r="D95">
        <f t="shared" si="4"/>
        <v>0</v>
      </c>
      <c r="E95">
        <f t="shared" si="5"/>
        <v>0</v>
      </c>
      <c r="F95">
        <f t="shared" si="8"/>
        <v>0</v>
      </c>
    </row>
    <row r="96" spans="1:6" x14ac:dyDescent="0.25">
      <c r="A96" s="4" t="s">
        <v>134</v>
      </c>
      <c r="B96">
        <v>342</v>
      </c>
      <c r="C96">
        <f t="shared" si="7"/>
        <v>3439</v>
      </c>
      <c r="D96">
        <f t="shared" si="4"/>
        <v>0</v>
      </c>
      <c r="E96">
        <f t="shared" si="5"/>
        <v>0</v>
      </c>
      <c r="F96">
        <f t="shared" si="8"/>
        <v>0</v>
      </c>
    </row>
    <row r="97" spans="1:6" x14ac:dyDescent="0.25">
      <c r="A97" s="4" t="s">
        <v>135</v>
      </c>
      <c r="B97">
        <v>354</v>
      </c>
      <c r="C97">
        <f t="shared" si="7"/>
        <v>3793</v>
      </c>
      <c r="D97">
        <f t="shared" si="4"/>
        <v>0</v>
      </c>
      <c r="E97">
        <f t="shared" si="5"/>
        <v>0</v>
      </c>
      <c r="F97">
        <f t="shared" si="8"/>
        <v>0</v>
      </c>
    </row>
    <row r="98" spans="1:6" x14ac:dyDescent="0.25">
      <c r="A98" s="4" t="s">
        <v>138</v>
      </c>
      <c r="B98">
        <v>418</v>
      </c>
      <c r="C98">
        <f t="shared" si="7"/>
        <v>4211</v>
      </c>
      <c r="D98">
        <f t="shared" si="4"/>
        <v>0</v>
      </c>
      <c r="E98">
        <f t="shared" si="5"/>
        <v>0</v>
      </c>
      <c r="F98">
        <f t="shared" si="8"/>
        <v>0</v>
      </c>
    </row>
    <row r="99" spans="1:6" x14ac:dyDescent="0.25">
      <c r="A99" s="4" t="s">
        <v>147</v>
      </c>
      <c r="B99">
        <v>419</v>
      </c>
      <c r="C99">
        <f t="shared" si="7"/>
        <v>4630</v>
      </c>
      <c r="D99">
        <f t="shared" si="4"/>
        <v>0</v>
      </c>
      <c r="E99">
        <f t="shared" si="5"/>
        <v>0</v>
      </c>
      <c r="F99">
        <f t="shared" si="8"/>
        <v>0</v>
      </c>
    </row>
    <row r="100" spans="1:6" x14ac:dyDescent="0.25">
      <c r="A100" s="4" t="s">
        <v>154</v>
      </c>
      <c r="B100">
        <v>245</v>
      </c>
      <c r="C100">
        <f t="shared" si="7"/>
        <v>4875</v>
      </c>
      <c r="D100">
        <f t="shared" si="4"/>
        <v>0</v>
      </c>
      <c r="E100">
        <f t="shared" si="5"/>
        <v>0</v>
      </c>
      <c r="F100">
        <f t="shared" si="8"/>
        <v>0</v>
      </c>
    </row>
    <row r="101" spans="1:6" x14ac:dyDescent="0.25">
      <c r="A101" s="4" t="s">
        <v>164</v>
      </c>
      <c r="B101">
        <v>93</v>
      </c>
      <c r="C101">
        <f t="shared" si="7"/>
        <v>4968</v>
      </c>
      <c r="D101">
        <f t="shared" si="4"/>
        <v>0</v>
      </c>
      <c r="E101">
        <f t="shared" si="5"/>
        <v>0</v>
      </c>
      <c r="F101">
        <f t="shared" si="8"/>
        <v>0</v>
      </c>
    </row>
    <row r="102" spans="1:6" x14ac:dyDescent="0.25">
      <c r="A102" s="4" t="s">
        <v>166</v>
      </c>
      <c r="B102">
        <v>677</v>
      </c>
      <c r="C102">
        <f t="shared" si="7"/>
        <v>5645</v>
      </c>
      <c r="D102">
        <f t="shared" si="4"/>
        <v>0</v>
      </c>
      <c r="E102">
        <f t="shared" si="5"/>
        <v>0</v>
      </c>
      <c r="F102">
        <f t="shared" si="8"/>
        <v>0</v>
      </c>
    </row>
    <row r="103" spans="1:6" x14ac:dyDescent="0.25">
      <c r="A103" s="4" t="s">
        <v>195</v>
      </c>
      <c r="B103">
        <v>490</v>
      </c>
      <c r="C103">
        <f t="shared" si="7"/>
        <v>6135</v>
      </c>
      <c r="D103">
        <f t="shared" si="4"/>
        <v>0</v>
      </c>
      <c r="E103">
        <f t="shared" si="5"/>
        <v>0</v>
      </c>
      <c r="F103">
        <f t="shared" si="8"/>
        <v>0</v>
      </c>
    </row>
    <row r="104" spans="1:6" x14ac:dyDescent="0.25">
      <c r="A104" s="4" t="s">
        <v>201</v>
      </c>
      <c r="B104">
        <v>45</v>
      </c>
      <c r="C104">
        <f t="shared" si="7"/>
        <v>6180</v>
      </c>
      <c r="D104">
        <f t="shared" si="4"/>
        <v>0</v>
      </c>
      <c r="E104">
        <f t="shared" si="5"/>
        <v>0</v>
      </c>
      <c r="F104">
        <f t="shared" si="8"/>
        <v>0</v>
      </c>
    </row>
    <row r="105" spans="1:6" x14ac:dyDescent="0.25">
      <c r="A105" s="4" t="s">
        <v>202</v>
      </c>
      <c r="B105">
        <v>410</v>
      </c>
      <c r="C105">
        <f t="shared" si="7"/>
        <v>6590</v>
      </c>
      <c r="D105">
        <f t="shared" si="4"/>
        <v>0</v>
      </c>
      <c r="E105">
        <f t="shared" si="5"/>
        <v>0</v>
      </c>
      <c r="F105">
        <f t="shared" si="8"/>
        <v>0</v>
      </c>
    </row>
    <row r="106" spans="1:6" x14ac:dyDescent="0.25">
      <c r="A106" s="4" t="s">
        <v>205</v>
      </c>
      <c r="B106">
        <v>91</v>
      </c>
      <c r="C106">
        <f t="shared" si="7"/>
        <v>6681</v>
      </c>
      <c r="D106">
        <f t="shared" si="4"/>
        <v>0</v>
      </c>
      <c r="E106">
        <f t="shared" si="5"/>
        <v>0</v>
      </c>
      <c r="F106">
        <f t="shared" si="8"/>
        <v>0</v>
      </c>
    </row>
    <row r="107" spans="1:6" x14ac:dyDescent="0.25">
      <c r="A107" s="4" t="s">
        <v>212</v>
      </c>
      <c r="B107">
        <v>136</v>
      </c>
      <c r="C107">
        <f t="shared" si="7"/>
        <v>6817</v>
      </c>
      <c r="D107">
        <f t="shared" si="4"/>
        <v>0</v>
      </c>
      <c r="E107">
        <f t="shared" si="5"/>
        <v>0</v>
      </c>
      <c r="F107">
        <f t="shared" si="8"/>
        <v>0</v>
      </c>
    </row>
    <row r="108" spans="1:6" x14ac:dyDescent="0.25">
      <c r="A108" s="4" t="s">
        <v>215</v>
      </c>
      <c r="B108">
        <v>81</v>
      </c>
      <c r="C108">
        <f t="shared" si="7"/>
        <v>6898</v>
      </c>
      <c r="D108">
        <f t="shared" si="4"/>
        <v>0</v>
      </c>
      <c r="E108">
        <f t="shared" si="5"/>
        <v>0</v>
      </c>
      <c r="F108">
        <f t="shared" si="8"/>
        <v>0</v>
      </c>
    </row>
    <row r="109" spans="1:6" x14ac:dyDescent="0.25">
      <c r="A109" s="4" t="s">
        <v>217</v>
      </c>
      <c r="B109">
        <v>117</v>
      </c>
      <c r="C109">
        <f t="shared" si="7"/>
        <v>7015</v>
      </c>
      <c r="D109">
        <f t="shared" si="4"/>
        <v>0</v>
      </c>
      <c r="E109">
        <f t="shared" si="5"/>
        <v>0</v>
      </c>
      <c r="F109">
        <f t="shared" si="8"/>
        <v>0</v>
      </c>
    </row>
    <row r="110" spans="1:6" x14ac:dyDescent="0.25">
      <c r="A110" s="4" t="s">
        <v>225</v>
      </c>
      <c r="B110">
        <v>321</v>
      </c>
      <c r="C110">
        <f t="shared" si="7"/>
        <v>7336</v>
      </c>
      <c r="D110">
        <f t="shared" si="4"/>
        <v>0</v>
      </c>
      <c r="E110">
        <f t="shared" si="5"/>
        <v>0</v>
      </c>
      <c r="F110">
        <f t="shared" si="8"/>
        <v>0</v>
      </c>
    </row>
    <row r="111" spans="1:6" x14ac:dyDescent="0.25">
      <c r="A111" s="4" t="s">
        <v>235</v>
      </c>
      <c r="B111">
        <v>491</v>
      </c>
      <c r="C111">
        <f t="shared" si="7"/>
        <v>7827</v>
      </c>
      <c r="D111">
        <f t="shared" si="4"/>
        <v>0</v>
      </c>
      <c r="E111">
        <f t="shared" si="5"/>
        <v>0</v>
      </c>
      <c r="F111">
        <f t="shared" si="8"/>
        <v>0</v>
      </c>
    </row>
    <row r="112" spans="1:6" x14ac:dyDescent="0.25">
      <c r="A112" s="4" t="s">
        <v>236</v>
      </c>
      <c r="B112">
        <v>315</v>
      </c>
      <c r="C112">
        <f t="shared" si="7"/>
        <v>8142</v>
      </c>
      <c r="D112">
        <f t="shared" si="4"/>
        <v>0</v>
      </c>
      <c r="E112">
        <f t="shared" si="5"/>
        <v>0</v>
      </c>
      <c r="F112">
        <f t="shared" si="8"/>
        <v>0</v>
      </c>
    </row>
    <row r="113" spans="1:6" x14ac:dyDescent="0.25">
      <c r="A113" s="4" t="s">
        <v>243</v>
      </c>
      <c r="B113">
        <v>499</v>
      </c>
      <c r="C113">
        <f t="shared" si="7"/>
        <v>8641</v>
      </c>
      <c r="D113">
        <f t="shared" ref="D113:D176" si="9">IF(C113 &gt; 15000, 1, 0)</f>
        <v>0</v>
      </c>
      <c r="E113">
        <f t="shared" ref="E113:E176" si="10">IF(AND(D113 =1,C113 &gt;= 20000),1,0)</f>
        <v>0</v>
      </c>
      <c r="F113">
        <f t="shared" si="8"/>
        <v>0</v>
      </c>
    </row>
    <row r="114" spans="1:6" x14ac:dyDescent="0.25">
      <c r="A114" s="4" t="s">
        <v>244</v>
      </c>
      <c r="B114">
        <v>139</v>
      </c>
      <c r="C114">
        <f t="shared" si="7"/>
        <v>8780</v>
      </c>
      <c r="D114">
        <f t="shared" si="9"/>
        <v>0</v>
      </c>
      <c r="E114">
        <f t="shared" si="10"/>
        <v>0</v>
      </c>
      <c r="F114">
        <f t="shared" si="8"/>
        <v>0</v>
      </c>
    </row>
    <row r="115" spans="1:6" x14ac:dyDescent="0.25">
      <c r="A115" s="4" t="s">
        <v>249</v>
      </c>
      <c r="B115">
        <v>453</v>
      </c>
      <c r="C115">
        <f t="shared" si="7"/>
        <v>9233</v>
      </c>
      <c r="D115">
        <f t="shared" si="9"/>
        <v>0</v>
      </c>
      <c r="E115">
        <f t="shared" si="10"/>
        <v>0</v>
      </c>
      <c r="F115">
        <f t="shared" si="8"/>
        <v>0</v>
      </c>
    </row>
    <row r="116" spans="1:6" x14ac:dyDescent="0.25">
      <c r="A116" s="4" t="s">
        <v>256</v>
      </c>
      <c r="B116">
        <v>221</v>
      </c>
      <c r="C116">
        <f t="shared" si="7"/>
        <v>9454</v>
      </c>
      <c r="D116">
        <f t="shared" si="9"/>
        <v>0</v>
      </c>
      <c r="E116">
        <f t="shared" si="10"/>
        <v>0</v>
      </c>
      <c r="F116">
        <f t="shared" si="8"/>
        <v>0</v>
      </c>
    </row>
    <row r="117" spans="1:6" x14ac:dyDescent="0.25">
      <c r="A117" s="4" t="s">
        <v>257</v>
      </c>
      <c r="B117">
        <v>276</v>
      </c>
      <c r="C117">
        <f t="shared" si="7"/>
        <v>9730</v>
      </c>
      <c r="D117">
        <f t="shared" si="9"/>
        <v>0</v>
      </c>
      <c r="E117">
        <f t="shared" si="10"/>
        <v>0</v>
      </c>
      <c r="F117">
        <f t="shared" si="8"/>
        <v>0</v>
      </c>
    </row>
    <row r="118" spans="1:6" x14ac:dyDescent="0.25">
      <c r="A118" s="4" t="s">
        <v>261</v>
      </c>
      <c r="B118">
        <v>403</v>
      </c>
      <c r="C118">
        <f t="shared" si="7"/>
        <v>10133</v>
      </c>
      <c r="D118">
        <f t="shared" si="9"/>
        <v>0</v>
      </c>
      <c r="E118">
        <f t="shared" si="10"/>
        <v>0</v>
      </c>
      <c r="F118">
        <f t="shared" si="8"/>
        <v>0</v>
      </c>
    </row>
    <row r="119" spans="1:6" x14ac:dyDescent="0.25">
      <c r="A119" s="4" t="s">
        <v>272</v>
      </c>
      <c r="B119">
        <v>86</v>
      </c>
      <c r="C119">
        <f t="shared" si="7"/>
        <v>10219</v>
      </c>
      <c r="D119">
        <f t="shared" si="9"/>
        <v>0</v>
      </c>
      <c r="E119">
        <f t="shared" si="10"/>
        <v>0</v>
      </c>
      <c r="F119">
        <f t="shared" si="8"/>
        <v>0</v>
      </c>
    </row>
    <row r="120" spans="1:6" x14ac:dyDescent="0.25">
      <c r="A120" s="4" t="s">
        <v>274</v>
      </c>
      <c r="B120">
        <v>166</v>
      </c>
      <c r="C120">
        <f t="shared" si="7"/>
        <v>10385</v>
      </c>
      <c r="D120">
        <f t="shared" si="9"/>
        <v>0</v>
      </c>
      <c r="E120">
        <f t="shared" si="10"/>
        <v>0</v>
      </c>
      <c r="F120">
        <f t="shared" si="8"/>
        <v>0</v>
      </c>
    </row>
    <row r="121" spans="1:6" x14ac:dyDescent="0.25">
      <c r="A121" s="4" t="s">
        <v>278</v>
      </c>
      <c r="B121">
        <v>353</v>
      </c>
      <c r="C121">
        <f t="shared" si="7"/>
        <v>10738</v>
      </c>
      <c r="D121">
        <f t="shared" si="9"/>
        <v>0</v>
      </c>
      <c r="E121">
        <f t="shared" si="10"/>
        <v>0</v>
      </c>
      <c r="F121">
        <f t="shared" si="8"/>
        <v>0</v>
      </c>
    </row>
    <row r="122" spans="1:6" x14ac:dyDescent="0.25">
      <c r="A122" s="4" t="s">
        <v>283</v>
      </c>
      <c r="B122">
        <v>238</v>
      </c>
      <c r="C122">
        <f t="shared" si="7"/>
        <v>10976</v>
      </c>
      <c r="D122">
        <f t="shared" si="9"/>
        <v>0</v>
      </c>
      <c r="E122">
        <f t="shared" si="10"/>
        <v>0</v>
      </c>
      <c r="F122">
        <f t="shared" si="8"/>
        <v>0</v>
      </c>
    </row>
    <row r="123" spans="1:6" x14ac:dyDescent="0.25">
      <c r="A123" s="4" t="s">
        <v>289</v>
      </c>
      <c r="B123">
        <v>67</v>
      </c>
      <c r="C123">
        <f t="shared" si="7"/>
        <v>11043</v>
      </c>
      <c r="D123">
        <f t="shared" si="9"/>
        <v>0</v>
      </c>
      <c r="E123">
        <f t="shared" si="10"/>
        <v>0</v>
      </c>
      <c r="F123">
        <f t="shared" si="8"/>
        <v>0</v>
      </c>
    </row>
    <row r="124" spans="1:6" x14ac:dyDescent="0.25">
      <c r="A124" s="4" t="s">
        <v>332</v>
      </c>
      <c r="B124">
        <v>430</v>
      </c>
      <c r="C124">
        <f t="shared" si="7"/>
        <v>11473</v>
      </c>
      <c r="D124">
        <f t="shared" si="9"/>
        <v>0</v>
      </c>
      <c r="E124">
        <f t="shared" si="10"/>
        <v>0</v>
      </c>
      <c r="F124">
        <f t="shared" si="8"/>
        <v>0</v>
      </c>
    </row>
    <row r="125" spans="1:6" x14ac:dyDescent="0.25">
      <c r="A125" s="4" t="s">
        <v>333</v>
      </c>
      <c r="B125">
        <v>413</v>
      </c>
      <c r="C125">
        <f t="shared" si="7"/>
        <v>11886</v>
      </c>
      <c r="D125">
        <f t="shared" si="9"/>
        <v>0</v>
      </c>
      <c r="E125">
        <f t="shared" si="10"/>
        <v>0</v>
      </c>
      <c r="F125">
        <f t="shared" si="8"/>
        <v>0</v>
      </c>
    </row>
    <row r="126" spans="1:6" x14ac:dyDescent="0.25">
      <c r="A126" s="4" t="s">
        <v>337</v>
      </c>
      <c r="B126">
        <v>110</v>
      </c>
      <c r="C126">
        <f t="shared" si="7"/>
        <v>11996</v>
      </c>
      <c r="D126">
        <f t="shared" si="9"/>
        <v>0</v>
      </c>
      <c r="E126">
        <f t="shared" si="10"/>
        <v>0</v>
      </c>
      <c r="F126">
        <f t="shared" si="8"/>
        <v>0</v>
      </c>
    </row>
    <row r="127" spans="1:6" x14ac:dyDescent="0.25">
      <c r="A127" s="4" t="s">
        <v>338</v>
      </c>
      <c r="B127">
        <v>423</v>
      </c>
      <c r="C127">
        <f t="shared" si="7"/>
        <v>12419</v>
      </c>
      <c r="D127">
        <f t="shared" si="9"/>
        <v>0</v>
      </c>
      <c r="E127">
        <f t="shared" si="10"/>
        <v>0</v>
      </c>
      <c r="F127">
        <f t="shared" si="8"/>
        <v>0</v>
      </c>
    </row>
    <row r="128" spans="1:6" x14ac:dyDescent="0.25">
      <c r="A128" s="4" t="s">
        <v>344</v>
      </c>
      <c r="B128">
        <v>396</v>
      </c>
      <c r="C128">
        <f t="shared" si="7"/>
        <v>12815</v>
      </c>
      <c r="D128">
        <f t="shared" si="9"/>
        <v>0</v>
      </c>
      <c r="E128">
        <f t="shared" si="10"/>
        <v>0</v>
      </c>
      <c r="F128">
        <f t="shared" si="8"/>
        <v>0</v>
      </c>
    </row>
    <row r="129" spans="1:6" x14ac:dyDescent="0.25">
      <c r="A129" s="4" t="s">
        <v>364</v>
      </c>
      <c r="B129">
        <v>365</v>
      </c>
      <c r="C129">
        <f t="shared" si="7"/>
        <v>13180</v>
      </c>
      <c r="D129">
        <f t="shared" si="9"/>
        <v>0</v>
      </c>
      <c r="E129">
        <f t="shared" si="10"/>
        <v>0</v>
      </c>
      <c r="F129">
        <f t="shared" si="8"/>
        <v>0</v>
      </c>
    </row>
    <row r="130" spans="1:6" x14ac:dyDescent="0.25">
      <c r="A130" s="4" t="s">
        <v>370</v>
      </c>
      <c r="B130">
        <v>51</v>
      </c>
      <c r="C130">
        <f t="shared" si="7"/>
        <v>13231</v>
      </c>
      <c r="D130">
        <f t="shared" si="9"/>
        <v>0</v>
      </c>
      <c r="E130">
        <f t="shared" si="10"/>
        <v>0</v>
      </c>
      <c r="F130">
        <f t="shared" si="8"/>
        <v>0</v>
      </c>
    </row>
    <row r="131" spans="1:6" x14ac:dyDescent="0.25">
      <c r="A131" s="4" t="s">
        <v>372</v>
      </c>
      <c r="B131">
        <v>48</v>
      </c>
      <c r="C131">
        <f t="shared" si="7"/>
        <v>13279</v>
      </c>
      <c r="D131">
        <f t="shared" si="9"/>
        <v>0</v>
      </c>
      <c r="E131">
        <f t="shared" si="10"/>
        <v>0</v>
      </c>
      <c r="F131">
        <f t="shared" si="8"/>
        <v>0</v>
      </c>
    </row>
    <row r="132" spans="1:6" x14ac:dyDescent="0.25">
      <c r="A132" s="4" t="s">
        <v>376</v>
      </c>
      <c r="B132">
        <v>339</v>
      </c>
      <c r="C132">
        <f t="shared" si="7"/>
        <v>13618</v>
      </c>
      <c r="D132">
        <f t="shared" si="9"/>
        <v>0</v>
      </c>
      <c r="E132">
        <f t="shared" si="10"/>
        <v>0</v>
      </c>
      <c r="F132">
        <f t="shared" si="8"/>
        <v>0</v>
      </c>
    </row>
    <row r="133" spans="1:6" x14ac:dyDescent="0.25">
      <c r="A133" s="4" t="s">
        <v>386</v>
      </c>
      <c r="B133">
        <v>490</v>
      </c>
      <c r="C133">
        <f t="shared" ref="C133:C196" si="11">IF(LEN(A133) &gt;= 12, 0, C132+B133)</f>
        <v>14108</v>
      </c>
      <c r="D133">
        <f t="shared" si="9"/>
        <v>0</v>
      </c>
      <c r="E133">
        <f t="shared" si="10"/>
        <v>0</v>
      </c>
      <c r="F133">
        <f t="shared" si="8"/>
        <v>0</v>
      </c>
    </row>
    <row r="134" spans="1:6" x14ac:dyDescent="0.25">
      <c r="A134" s="4" t="s">
        <v>389</v>
      </c>
      <c r="B134">
        <v>394</v>
      </c>
      <c r="C134">
        <f t="shared" si="11"/>
        <v>14502</v>
      </c>
      <c r="D134">
        <f t="shared" si="9"/>
        <v>0</v>
      </c>
      <c r="E134">
        <f t="shared" si="10"/>
        <v>0</v>
      </c>
      <c r="F134">
        <f t="shared" ref="F134:F197" si="12">IF(AND(D134 = 1, C134 &lt; 20000), B134*5, IF(AND(E134=1, C134 &gt;= 20000),B134*10,0))</f>
        <v>0</v>
      </c>
    </row>
    <row r="135" spans="1:6" x14ac:dyDescent="0.25">
      <c r="A135" s="4" t="s">
        <v>398</v>
      </c>
      <c r="B135">
        <v>877</v>
      </c>
      <c r="C135">
        <f t="shared" si="11"/>
        <v>15379</v>
      </c>
      <c r="D135">
        <f t="shared" si="9"/>
        <v>1</v>
      </c>
      <c r="E135">
        <f t="shared" si="10"/>
        <v>0</v>
      </c>
      <c r="F135">
        <f t="shared" si="12"/>
        <v>4385</v>
      </c>
    </row>
    <row r="136" spans="1:6" x14ac:dyDescent="0.25">
      <c r="A136" s="4" t="s">
        <v>399</v>
      </c>
      <c r="B136">
        <v>449</v>
      </c>
      <c r="C136">
        <f t="shared" si="11"/>
        <v>15828</v>
      </c>
      <c r="D136">
        <f t="shared" si="9"/>
        <v>1</v>
      </c>
      <c r="E136">
        <f t="shared" si="10"/>
        <v>0</v>
      </c>
      <c r="F136">
        <f t="shared" si="12"/>
        <v>2245</v>
      </c>
    </row>
    <row r="137" spans="1:6" x14ac:dyDescent="0.25">
      <c r="A137" s="4" t="s">
        <v>401</v>
      </c>
      <c r="B137">
        <v>480</v>
      </c>
      <c r="C137">
        <f t="shared" si="11"/>
        <v>16308</v>
      </c>
      <c r="D137">
        <f t="shared" si="9"/>
        <v>1</v>
      </c>
      <c r="E137">
        <f t="shared" si="10"/>
        <v>0</v>
      </c>
      <c r="F137">
        <f t="shared" si="12"/>
        <v>2400</v>
      </c>
    </row>
    <row r="138" spans="1:6" x14ac:dyDescent="0.25">
      <c r="A138" s="3" t="s">
        <v>48</v>
      </c>
      <c r="B138">
        <v>13981</v>
      </c>
      <c r="C138">
        <f t="shared" si="11"/>
        <v>0</v>
      </c>
      <c r="D138">
        <f t="shared" si="9"/>
        <v>0</v>
      </c>
      <c r="E138">
        <f t="shared" si="10"/>
        <v>0</v>
      </c>
      <c r="F138">
        <f t="shared" si="12"/>
        <v>0</v>
      </c>
    </row>
    <row r="139" spans="1:6" x14ac:dyDescent="0.25">
      <c r="A139" s="4" t="s">
        <v>122</v>
      </c>
      <c r="B139">
        <v>524</v>
      </c>
      <c r="C139">
        <f t="shared" si="11"/>
        <v>524</v>
      </c>
      <c r="D139">
        <f t="shared" si="9"/>
        <v>0</v>
      </c>
      <c r="E139">
        <f t="shared" si="10"/>
        <v>0</v>
      </c>
      <c r="F139">
        <f t="shared" si="12"/>
        <v>0</v>
      </c>
    </row>
    <row r="140" spans="1:6" x14ac:dyDescent="0.25">
      <c r="A140" s="4" t="s">
        <v>141</v>
      </c>
      <c r="B140">
        <v>322</v>
      </c>
      <c r="C140">
        <f t="shared" si="11"/>
        <v>846</v>
      </c>
      <c r="D140">
        <f t="shared" si="9"/>
        <v>0</v>
      </c>
      <c r="E140">
        <f t="shared" si="10"/>
        <v>0</v>
      </c>
      <c r="F140">
        <f t="shared" si="12"/>
        <v>0</v>
      </c>
    </row>
    <row r="141" spans="1:6" x14ac:dyDescent="0.25">
      <c r="A141" s="4" t="s">
        <v>142</v>
      </c>
      <c r="B141">
        <v>560</v>
      </c>
      <c r="C141">
        <f t="shared" si="11"/>
        <v>1406</v>
      </c>
      <c r="D141">
        <f t="shared" si="9"/>
        <v>0</v>
      </c>
      <c r="E141">
        <f t="shared" si="10"/>
        <v>0</v>
      </c>
      <c r="F141">
        <f t="shared" si="12"/>
        <v>0</v>
      </c>
    </row>
    <row r="142" spans="1:6" x14ac:dyDescent="0.25">
      <c r="A142" s="4" t="s">
        <v>146</v>
      </c>
      <c r="B142">
        <v>180</v>
      </c>
      <c r="C142">
        <f t="shared" si="11"/>
        <v>1586</v>
      </c>
      <c r="D142">
        <f t="shared" si="9"/>
        <v>0</v>
      </c>
      <c r="E142">
        <f t="shared" si="10"/>
        <v>0</v>
      </c>
      <c r="F142">
        <f t="shared" si="12"/>
        <v>0</v>
      </c>
    </row>
    <row r="143" spans="1:6" x14ac:dyDescent="0.25">
      <c r="A143" s="4" t="s">
        <v>183</v>
      </c>
      <c r="B143">
        <v>540</v>
      </c>
      <c r="C143">
        <f t="shared" si="11"/>
        <v>2126</v>
      </c>
      <c r="D143">
        <f t="shared" si="9"/>
        <v>0</v>
      </c>
      <c r="E143">
        <f t="shared" si="10"/>
        <v>0</v>
      </c>
      <c r="F143">
        <f t="shared" si="12"/>
        <v>0</v>
      </c>
    </row>
    <row r="144" spans="1:6" x14ac:dyDescent="0.25">
      <c r="A144" s="4" t="s">
        <v>187</v>
      </c>
      <c r="B144">
        <v>306</v>
      </c>
      <c r="C144">
        <f t="shared" si="11"/>
        <v>2432</v>
      </c>
      <c r="D144">
        <f t="shared" si="9"/>
        <v>0</v>
      </c>
      <c r="E144">
        <f t="shared" si="10"/>
        <v>0</v>
      </c>
      <c r="F144">
        <f t="shared" si="12"/>
        <v>0</v>
      </c>
    </row>
    <row r="145" spans="1:6" x14ac:dyDescent="0.25">
      <c r="A145" s="4" t="s">
        <v>205</v>
      </c>
      <c r="B145">
        <v>237</v>
      </c>
      <c r="C145">
        <f t="shared" si="11"/>
        <v>2669</v>
      </c>
      <c r="D145">
        <f t="shared" si="9"/>
        <v>0</v>
      </c>
      <c r="E145">
        <f t="shared" si="10"/>
        <v>0</v>
      </c>
      <c r="F145">
        <f t="shared" si="12"/>
        <v>0</v>
      </c>
    </row>
    <row r="146" spans="1:6" x14ac:dyDescent="0.25">
      <c r="A146" s="4" t="s">
        <v>217</v>
      </c>
      <c r="B146">
        <v>384</v>
      </c>
      <c r="C146">
        <f t="shared" si="11"/>
        <v>3053</v>
      </c>
      <c r="D146">
        <f t="shared" si="9"/>
        <v>0</v>
      </c>
      <c r="E146">
        <f t="shared" si="10"/>
        <v>0</v>
      </c>
      <c r="F146">
        <f t="shared" si="12"/>
        <v>0</v>
      </c>
    </row>
    <row r="147" spans="1:6" x14ac:dyDescent="0.25">
      <c r="A147" s="4" t="s">
        <v>221</v>
      </c>
      <c r="B147">
        <v>380</v>
      </c>
      <c r="C147">
        <f t="shared" si="11"/>
        <v>3433</v>
      </c>
      <c r="D147">
        <f t="shared" si="9"/>
        <v>0</v>
      </c>
      <c r="E147">
        <f t="shared" si="10"/>
        <v>0</v>
      </c>
      <c r="F147">
        <f t="shared" si="12"/>
        <v>0</v>
      </c>
    </row>
    <row r="148" spans="1:6" x14ac:dyDescent="0.25">
      <c r="A148" s="4" t="s">
        <v>222</v>
      </c>
      <c r="B148">
        <v>324</v>
      </c>
      <c r="C148">
        <f t="shared" si="11"/>
        <v>3757</v>
      </c>
      <c r="D148">
        <f t="shared" si="9"/>
        <v>0</v>
      </c>
      <c r="E148">
        <f t="shared" si="10"/>
        <v>0</v>
      </c>
      <c r="F148">
        <f t="shared" si="12"/>
        <v>0</v>
      </c>
    </row>
    <row r="149" spans="1:6" x14ac:dyDescent="0.25">
      <c r="A149" s="4" t="s">
        <v>224</v>
      </c>
      <c r="B149">
        <v>198</v>
      </c>
      <c r="C149">
        <f t="shared" si="11"/>
        <v>3955</v>
      </c>
      <c r="D149">
        <f t="shared" si="9"/>
        <v>0</v>
      </c>
      <c r="E149">
        <f t="shared" si="10"/>
        <v>0</v>
      </c>
      <c r="F149">
        <f t="shared" si="12"/>
        <v>0</v>
      </c>
    </row>
    <row r="150" spans="1:6" x14ac:dyDescent="0.25">
      <c r="A150" s="4" t="s">
        <v>227</v>
      </c>
      <c r="B150">
        <v>377</v>
      </c>
      <c r="C150">
        <f t="shared" si="11"/>
        <v>4332</v>
      </c>
      <c r="D150">
        <f t="shared" si="9"/>
        <v>0</v>
      </c>
      <c r="E150">
        <f t="shared" si="10"/>
        <v>0</v>
      </c>
      <c r="F150">
        <f t="shared" si="12"/>
        <v>0</v>
      </c>
    </row>
    <row r="151" spans="1:6" x14ac:dyDescent="0.25">
      <c r="A151" s="4" t="s">
        <v>228</v>
      </c>
      <c r="B151">
        <v>286</v>
      </c>
      <c r="C151">
        <f t="shared" si="11"/>
        <v>4618</v>
      </c>
      <c r="D151">
        <f t="shared" si="9"/>
        <v>0</v>
      </c>
      <c r="E151">
        <f t="shared" si="10"/>
        <v>0</v>
      </c>
      <c r="F151">
        <f t="shared" si="12"/>
        <v>0</v>
      </c>
    </row>
    <row r="152" spans="1:6" x14ac:dyDescent="0.25">
      <c r="A152" s="4" t="s">
        <v>244</v>
      </c>
      <c r="B152">
        <v>443</v>
      </c>
      <c r="C152">
        <f t="shared" si="11"/>
        <v>5061</v>
      </c>
      <c r="D152">
        <f t="shared" si="9"/>
        <v>0</v>
      </c>
      <c r="E152">
        <f t="shared" si="10"/>
        <v>0</v>
      </c>
      <c r="F152">
        <f t="shared" si="12"/>
        <v>0</v>
      </c>
    </row>
    <row r="153" spans="1:6" x14ac:dyDescent="0.25">
      <c r="A153" s="4" t="s">
        <v>245</v>
      </c>
      <c r="B153">
        <v>739</v>
      </c>
      <c r="C153">
        <f t="shared" si="11"/>
        <v>5800</v>
      </c>
      <c r="D153">
        <f t="shared" si="9"/>
        <v>0</v>
      </c>
      <c r="E153">
        <f t="shared" si="10"/>
        <v>0</v>
      </c>
      <c r="F153">
        <f t="shared" si="12"/>
        <v>0</v>
      </c>
    </row>
    <row r="154" spans="1:6" x14ac:dyDescent="0.25">
      <c r="A154" s="4" t="s">
        <v>246</v>
      </c>
      <c r="B154">
        <v>280</v>
      </c>
      <c r="C154">
        <f t="shared" si="11"/>
        <v>6080</v>
      </c>
      <c r="D154">
        <f t="shared" si="9"/>
        <v>0</v>
      </c>
      <c r="E154">
        <f t="shared" si="10"/>
        <v>0</v>
      </c>
      <c r="F154">
        <f t="shared" si="12"/>
        <v>0</v>
      </c>
    </row>
    <row r="155" spans="1:6" x14ac:dyDescent="0.25">
      <c r="A155" s="4" t="s">
        <v>251</v>
      </c>
      <c r="B155">
        <v>239</v>
      </c>
      <c r="C155">
        <f t="shared" si="11"/>
        <v>6319</v>
      </c>
      <c r="D155">
        <f t="shared" si="9"/>
        <v>0</v>
      </c>
      <c r="E155">
        <f t="shared" si="10"/>
        <v>0</v>
      </c>
      <c r="F155">
        <f t="shared" si="12"/>
        <v>0</v>
      </c>
    </row>
    <row r="156" spans="1:6" x14ac:dyDescent="0.25">
      <c r="A156" s="4" t="s">
        <v>273</v>
      </c>
      <c r="B156">
        <v>381</v>
      </c>
      <c r="C156">
        <f t="shared" si="11"/>
        <v>6700</v>
      </c>
      <c r="D156">
        <f t="shared" si="9"/>
        <v>0</v>
      </c>
      <c r="E156">
        <f t="shared" si="10"/>
        <v>0</v>
      </c>
      <c r="F156">
        <f t="shared" si="12"/>
        <v>0</v>
      </c>
    </row>
    <row r="157" spans="1:6" x14ac:dyDescent="0.25">
      <c r="A157" s="4" t="s">
        <v>274</v>
      </c>
      <c r="B157">
        <v>118</v>
      </c>
      <c r="C157">
        <f t="shared" si="11"/>
        <v>6818</v>
      </c>
      <c r="D157">
        <f t="shared" si="9"/>
        <v>0</v>
      </c>
      <c r="E157">
        <f t="shared" si="10"/>
        <v>0</v>
      </c>
      <c r="F157">
        <f t="shared" si="12"/>
        <v>0</v>
      </c>
    </row>
    <row r="158" spans="1:6" x14ac:dyDescent="0.25">
      <c r="A158" s="4" t="s">
        <v>279</v>
      </c>
      <c r="B158">
        <v>139</v>
      </c>
      <c r="C158">
        <f t="shared" si="11"/>
        <v>6957</v>
      </c>
      <c r="D158">
        <f t="shared" si="9"/>
        <v>0</v>
      </c>
      <c r="E158">
        <f t="shared" si="10"/>
        <v>0</v>
      </c>
      <c r="F158">
        <f t="shared" si="12"/>
        <v>0</v>
      </c>
    </row>
    <row r="159" spans="1:6" x14ac:dyDescent="0.25">
      <c r="A159" s="4" t="s">
        <v>285</v>
      </c>
      <c r="B159">
        <v>427</v>
      </c>
      <c r="C159">
        <f t="shared" si="11"/>
        <v>7384</v>
      </c>
      <c r="D159">
        <f t="shared" si="9"/>
        <v>0</v>
      </c>
      <c r="E159">
        <f t="shared" si="10"/>
        <v>0</v>
      </c>
      <c r="F159">
        <f t="shared" si="12"/>
        <v>0</v>
      </c>
    </row>
    <row r="160" spans="1:6" x14ac:dyDescent="0.25">
      <c r="A160" s="4" t="s">
        <v>288</v>
      </c>
      <c r="B160">
        <v>438</v>
      </c>
      <c r="C160">
        <f t="shared" si="11"/>
        <v>7822</v>
      </c>
      <c r="D160">
        <f t="shared" si="9"/>
        <v>0</v>
      </c>
      <c r="E160">
        <f t="shared" si="10"/>
        <v>0</v>
      </c>
      <c r="F160">
        <f t="shared" si="12"/>
        <v>0</v>
      </c>
    </row>
    <row r="161" spans="1:6" x14ac:dyDescent="0.25">
      <c r="A161" s="4" t="s">
        <v>291</v>
      </c>
      <c r="B161">
        <v>136</v>
      </c>
      <c r="C161">
        <f t="shared" si="11"/>
        <v>7958</v>
      </c>
      <c r="D161">
        <f t="shared" si="9"/>
        <v>0</v>
      </c>
      <c r="E161">
        <f t="shared" si="10"/>
        <v>0</v>
      </c>
      <c r="F161">
        <f t="shared" si="12"/>
        <v>0</v>
      </c>
    </row>
    <row r="162" spans="1:6" x14ac:dyDescent="0.25">
      <c r="A162" s="4" t="s">
        <v>296</v>
      </c>
      <c r="B162">
        <v>391</v>
      </c>
      <c r="C162">
        <f t="shared" si="11"/>
        <v>8349</v>
      </c>
      <c r="D162">
        <f t="shared" si="9"/>
        <v>0</v>
      </c>
      <c r="E162">
        <f t="shared" si="10"/>
        <v>0</v>
      </c>
      <c r="F162">
        <f t="shared" si="12"/>
        <v>0</v>
      </c>
    </row>
    <row r="163" spans="1:6" x14ac:dyDescent="0.25">
      <c r="A163" s="4" t="s">
        <v>298</v>
      </c>
      <c r="B163">
        <v>228</v>
      </c>
      <c r="C163">
        <f t="shared" si="11"/>
        <v>8577</v>
      </c>
      <c r="D163">
        <f t="shared" si="9"/>
        <v>0</v>
      </c>
      <c r="E163">
        <f t="shared" si="10"/>
        <v>0</v>
      </c>
      <c r="F163">
        <f t="shared" si="12"/>
        <v>0</v>
      </c>
    </row>
    <row r="164" spans="1:6" x14ac:dyDescent="0.25">
      <c r="A164" s="4" t="s">
        <v>305</v>
      </c>
      <c r="B164">
        <v>28</v>
      </c>
      <c r="C164">
        <f t="shared" si="11"/>
        <v>8605</v>
      </c>
      <c r="D164">
        <f t="shared" si="9"/>
        <v>0</v>
      </c>
      <c r="E164">
        <f t="shared" si="10"/>
        <v>0</v>
      </c>
      <c r="F164">
        <f t="shared" si="12"/>
        <v>0</v>
      </c>
    </row>
    <row r="165" spans="1:6" x14ac:dyDescent="0.25">
      <c r="A165" s="4" t="s">
        <v>308</v>
      </c>
      <c r="B165">
        <v>161</v>
      </c>
      <c r="C165">
        <f t="shared" si="11"/>
        <v>8766</v>
      </c>
      <c r="D165">
        <f t="shared" si="9"/>
        <v>0</v>
      </c>
      <c r="E165">
        <f t="shared" si="10"/>
        <v>0</v>
      </c>
      <c r="F165">
        <f t="shared" si="12"/>
        <v>0</v>
      </c>
    </row>
    <row r="166" spans="1:6" x14ac:dyDescent="0.25">
      <c r="A166" s="4" t="s">
        <v>315</v>
      </c>
      <c r="B166">
        <v>306</v>
      </c>
      <c r="C166">
        <f t="shared" si="11"/>
        <v>9072</v>
      </c>
      <c r="D166">
        <f t="shared" si="9"/>
        <v>0</v>
      </c>
      <c r="E166">
        <f t="shared" si="10"/>
        <v>0</v>
      </c>
      <c r="F166">
        <f t="shared" si="12"/>
        <v>0</v>
      </c>
    </row>
    <row r="167" spans="1:6" x14ac:dyDescent="0.25">
      <c r="A167" s="4" t="s">
        <v>319</v>
      </c>
      <c r="B167">
        <v>149</v>
      </c>
      <c r="C167">
        <f t="shared" si="11"/>
        <v>9221</v>
      </c>
      <c r="D167">
        <f t="shared" si="9"/>
        <v>0</v>
      </c>
      <c r="E167">
        <f t="shared" si="10"/>
        <v>0</v>
      </c>
      <c r="F167">
        <f t="shared" si="12"/>
        <v>0</v>
      </c>
    </row>
    <row r="168" spans="1:6" x14ac:dyDescent="0.25">
      <c r="A168" s="4" t="s">
        <v>322</v>
      </c>
      <c r="B168">
        <v>159</v>
      </c>
      <c r="C168">
        <f t="shared" si="11"/>
        <v>9380</v>
      </c>
      <c r="D168">
        <f t="shared" si="9"/>
        <v>0</v>
      </c>
      <c r="E168">
        <f t="shared" si="10"/>
        <v>0</v>
      </c>
      <c r="F168">
        <f t="shared" si="12"/>
        <v>0</v>
      </c>
    </row>
    <row r="169" spans="1:6" x14ac:dyDescent="0.25">
      <c r="A169" s="4" t="s">
        <v>324</v>
      </c>
      <c r="B169">
        <v>225</v>
      </c>
      <c r="C169">
        <f t="shared" si="11"/>
        <v>9605</v>
      </c>
      <c r="D169">
        <f t="shared" si="9"/>
        <v>0</v>
      </c>
      <c r="E169">
        <f t="shared" si="10"/>
        <v>0</v>
      </c>
      <c r="F169">
        <f t="shared" si="12"/>
        <v>0</v>
      </c>
    </row>
    <row r="170" spans="1:6" x14ac:dyDescent="0.25">
      <c r="A170" s="4" t="s">
        <v>326</v>
      </c>
      <c r="B170">
        <v>226</v>
      </c>
      <c r="C170">
        <f t="shared" si="11"/>
        <v>9831</v>
      </c>
      <c r="D170">
        <f t="shared" si="9"/>
        <v>0</v>
      </c>
      <c r="E170">
        <f t="shared" si="10"/>
        <v>0</v>
      </c>
      <c r="F170">
        <f t="shared" si="12"/>
        <v>0</v>
      </c>
    </row>
    <row r="171" spans="1:6" x14ac:dyDescent="0.25">
      <c r="A171" s="4" t="s">
        <v>332</v>
      </c>
      <c r="B171">
        <v>460</v>
      </c>
      <c r="C171">
        <f t="shared" si="11"/>
        <v>10291</v>
      </c>
      <c r="D171">
        <f t="shared" si="9"/>
        <v>0</v>
      </c>
      <c r="E171">
        <f t="shared" si="10"/>
        <v>0</v>
      </c>
      <c r="F171">
        <f t="shared" si="12"/>
        <v>0</v>
      </c>
    </row>
    <row r="172" spans="1:6" x14ac:dyDescent="0.25">
      <c r="A172" s="4" t="s">
        <v>333</v>
      </c>
      <c r="B172">
        <v>343</v>
      </c>
      <c r="C172">
        <f t="shared" si="11"/>
        <v>10634</v>
      </c>
      <c r="D172">
        <f t="shared" si="9"/>
        <v>0</v>
      </c>
      <c r="E172">
        <f t="shared" si="10"/>
        <v>0</v>
      </c>
      <c r="F172">
        <f t="shared" si="12"/>
        <v>0</v>
      </c>
    </row>
    <row r="173" spans="1:6" x14ac:dyDescent="0.25">
      <c r="A173" s="4" t="s">
        <v>334</v>
      </c>
      <c r="B173">
        <v>305</v>
      </c>
      <c r="C173">
        <f t="shared" si="11"/>
        <v>10939</v>
      </c>
      <c r="D173">
        <f t="shared" si="9"/>
        <v>0</v>
      </c>
      <c r="E173">
        <f t="shared" si="10"/>
        <v>0</v>
      </c>
      <c r="F173">
        <f t="shared" si="12"/>
        <v>0</v>
      </c>
    </row>
    <row r="174" spans="1:6" x14ac:dyDescent="0.25">
      <c r="A174" s="4" t="s">
        <v>338</v>
      </c>
      <c r="B174">
        <v>356</v>
      </c>
      <c r="C174">
        <f t="shared" si="11"/>
        <v>11295</v>
      </c>
      <c r="D174">
        <f t="shared" si="9"/>
        <v>0</v>
      </c>
      <c r="E174">
        <f t="shared" si="10"/>
        <v>0</v>
      </c>
      <c r="F174">
        <f t="shared" si="12"/>
        <v>0</v>
      </c>
    </row>
    <row r="175" spans="1:6" x14ac:dyDescent="0.25">
      <c r="A175" s="4" t="s">
        <v>357</v>
      </c>
      <c r="B175">
        <v>261</v>
      </c>
      <c r="C175">
        <f t="shared" si="11"/>
        <v>11556</v>
      </c>
      <c r="D175">
        <f t="shared" si="9"/>
        <v>0</v>
      </c>
      <c r="E175">
        <f t="shared" si="10"/>
        <v>0</v>
      </c>
      <c r="F175">
        <f t="shared" si="12"/>
        <v>0</v>
      </c>
    </row>
    <row r="176" spans="1:6" x14ac:dyDescent="0.25">
      <c r="A176" s="4" t="s">
        <v>360</v>
      </c>
      <c r="B176">
        <v>357</v>
      </c>
      <c r="C176">
        <f t="shared" si="11"/>
        <v>11913</v>
      </c>
      <c r="D176">
        <f t="shared" si="9"/>
        <v>0</v>
      </c>
      <c r="E176">
        <f t="shared" si="10"/>
        <v>0</v>
      </c>
      <c r="F176">
        <f t="shared" si="12"/>
        <v>0</v>
      </c>
    </row>
    <row r="177" spans="1:6" x14ac:dyDescent="0.25">
      <c r="A177" s="4" t="s">
        <v>362</v>
      </c>
      <c r="B177">
        <v>406</v>
      </c>
      <c r="C177">
        <f t="shared" si="11"/>
        <v>12319</v>
      </c>
      <c r="D177">
        <f t="shared" ref="D177:D240" si="13">IF(C177 &gt; 15000, 1, 0)</f>
        <v>0</v>
      </c>
      <c r="E177">
        <f t="shared" ref="E177:E240" si="14">IF(AND(D177 =1,C177 &gt;= 20000),1,0)</f>
        <v>0</v>
      </c>
      <c r="F177">
        <f t="shared" si="12"/>
        <v>0</v>
      </c>
    </row>
    <row r="178" spans="1:6" x14ac:dyDescent="0.25">
      <c r="A178" s="4" t="s">
        <v>364</v>
      </c>
      <c r="B178">
        <v>72</v>
      </c>
      <c r="C178">
        <f t="shared" si="11"/>
        <v>12391</v>
      </c>
      <c r="D178">
        <f t="shared" si="13"/>
        <v>0</v>
      </c>
      <c r="E178">
        <f t="shared" si="14"/>
        <v>0</v>
      </c>
      <c r="F178">
        <f t="shared" si="12"/>
        <v>0</v>
      </c>
    </row>
    <row r="179" spans="1:6" x14ac:dyDescent="0.25">
      <c r="A179" s="4" t="s">
        <v>377</v>
      </c>
      <c r="B179">
        <v>322</v>
      </c>
      <c r="C179">
        <f t="shared" si="11"/>
        <v>12713</v>
      </c>
      <c r="D179">
        <f t="shared" si="13"/>
        <v>0</v>
      </c>
      <c r="E179">
        <f t="shared" si="14"/>
        <v>0</v>
      </c>
      <c r="F179">
        <f t="shared" si="12"/>
        <v>0</v>
      </c>
    </row>
    <row r="180" spans="1:6" x14ac:dyDescent="0.25">
      <c r="A180" s="4" t="s">
        <v>380</v>
      </c>
      <c r="B180">
        <v>778</v>
      </c>
      <c r="C180">
        <f t="shared" si="11"/>
        <v>13491</v>
      </c>
      <c r="D180">
        <f t="shared" si="13"/>
        <v>0</v>
      </c>
      <c r="E180">
        <f t="shared" si="14"/>
        <v>0</v>
      </c>
      <c r="F180">
        <f t="shared" si="12"/>
        <v>0</v>
      </c>
    </row>
    <row r="181" spans="1:6" x14ac:dyDescent="0.25">
      <c r="A181" s="4" t="s">
        <v>382</v>
      </c>
      <c r="B181">
        <v>81</v>
      </c>
      <c r="C181">
        <f t="shared" si="11"/>
        <v>13572</v>
      </c>
      <c r="D181">
        <f t="shared" si="13"/>
        <v>0</v>
      </c>
      <c r="E181">
        <f t="shared" si="14"/>
        <v>0</v>
      </c>
      <c r="F181">
        <f t="shared" si="12"/>
        <v>0</v>
      </c>
    </row>
    <row r="182" spans="1:6" x14ac:dyDescent="0.25">
      <c r="A182" s="4" t="s">
        <v>399</v>
      </c>
      <c r="B182">
        <v>409</v>
      </c>
      <c r="C182">
        <f t="shared" si="11"/>
        <v>13981</v>
      </c>
      <c r="D182">
        <f t="shared" si="13"/>
        <v>0</v>
      </c>
      <c r="E182">
        <f t="shared" si="14"/>
        <v>0</v>
      </c>
      <c r="F182">
        <f t="shared" si="12"/>
        <v>0</v>
      </c>
    </row>
    <row r="183" spans="1:6" x14ac:dyDescent="0.25">
      <c r="A183" s="3" t="s">
        <v>26</v>
      </c>
      <c r="B183">
        <v>19240</v>
      </c>
      <c r="C183">
        <f t="shared" si="11"/>
        <v>0</v>
      </c>
      <c r="D183">
        <f t="shared" si="13"/>
        <v>0</v>
      </c>
      <c r="E183">
        <f t="shared" si="14"/>
        <v>0</v>
      </c>
      <c r="F183">
        <f t="shared" si="12"/>
        <v>0</v>
      </c>
    </row>
    <row r="184" spans="1:6" x14ac:dyDescent="0.25">
      <c r="A184" s="4" t="s">
        <v>94</v>
      </c>
      <c r="B184">
        <v>1195</v>
      </c>
      <c r="C184">
        <f t="shared" si="11"/>
        <v>1195</v>
      </c>
      <c r="D184">
        <f t="shared" si="13"/>
        <v>0</v>
      </c>
      <c r="E184">
        <f t="shared" si="14"/>
        <v>0</v>
      </c>
      <c r="F184">
        <f t="shared" si="12"/>
        <v>0</v>
      </c>
    </row>
    <row r="185" spans="1:6" x14ac:dyDescent="0.25">
      <c r="A185" s="4" t="s">
        <v>106</v>
      </c>
      <c r="B185">
        <v>419</v>
      </c>
      <c r="C185">
        <f t="shared" si="11"/>
        <v>1614</v>
      </c>
      <c r="D185">
        <f t="shared" si="13"/>
        <v>0</v>
      </c>
      <c r="E185">
        <f t="shared" si="14"/>
        <v>0</v>
      </c>
      <c r="F185">
        <f t="shared" si="12"/>
        <v>0</v>
      </c>
    </row>
    <row r="186" spans="1:6" x14ac:dyDescent="0.25">
      <c r="A186" s="4" t="s">
        <v>107</v>
      </c>
      <c r="B186">
        <v>511</v>
      </c>
      <c r="C186">
        <f t="shared" si="11"/>
        <v>2125</v>
      </c>
      <c r="D186">
        <f t="shared" si="13"/>
        <v>0</v>
      </c>
      <c r="E186">
        <f t="shared" si="14"/>
        <v>0</v>
      </c>
      <c r="F186">
        <f t="shared" si="12"/>
        <v>0</v>
      </c>
    </row>
    <row r="187" spans="1:6" x14ac:dyDescent="0.25">
      <c r="A187" s="4" t="s">
        <v>120</v>
      </c>
      <c r="B187">
        <v>180</v>
      </c>
      <c r="C187">
        <f t="shared" si="11"/>
        <v>2305</v>
      </c>
      <c r="D187">
        <f t="shared" si="13"/>
        <v>0</v>
      </c>
      <c r="E187">
        <f t="shared" si="14"/>
        <v>0</v>
      </c>
      <c r="F187">
        <f t="shared" si="12"/>
        <v>0</v>
      </c>
    </row>
    <row r="188" spans="1:6" x14ac:dyDescent="0.25">
      <c r="A188" s="4" t="s">
        <v>123</v>
      </c>
      <c r="B188">
        <v>421</v>
      </c>
      <c r="C188">
        <f t="shared" si="11"/>
        <v>2726</v>
      </c>
      <c r="D188">
        <f t="shared" si="13"/>
        <v>0</v>
      </c>
      <c r="E188">
        <f t="shared" si="14"/>
        <v>0</v>
      </c>
      <c r="F188">
        <f t="shared" si="12"/>
        <v>0</v>
      </c>
    </row>
    <row r="189" spans="1:6" x14ac:dyDescent="0.25">
      <c r="A189" s="4" t="s">
        <v>125</v>
      </c>
      <c r="B189">
        <v>393</v>
      </c>
      <c r="C189">
        <f t="shared" si="11"/>
        <v>3119</v>
      </c>
      <c r="D189">
        <f t="shared" si="13"/>
        <v>0</v>
      </c>
      <c r="E189">
        <f t="shared" si="14"/>
        <v>0</v>
      </c>
      <c r="F189">
        <f t="shared" si="12"/>
        <v>0</v>
      </c>
    </row>
    <row r="190" spans="1:6" x14ac:dyDescent="0.25">
      <c r="A190" s="4" t="s">
        <v>126</v>
      </c>
      <c r="B190">
        <v>331</v>
      </c>
      <c r="C190">
        <f t="shared" si="11"/>
        <v>3450</v>
      </c>
      <c r="D190">
        <f t="shared" si="13"/>
        <v>0</v>
      </c>
      <c r="E190">
        <f t="shared" si="14"/>
        <v>0</v>
      </c>
      <c r="F190">
        <f t="shared" si="12"/>
        <v>0</v>
      </c>
    </row>
    <row r="191" spans="1:6" x14ac:dyDescent="0.25">
      <c r="A191" s="4" t="s">
        <v>129</v>
      </c>
      <c r="B191">
        <v>402</v>
      </c>
      <c r="C191">
        <f t="shared" si="11"/>
        <v>3852</v>
      </c>
      <c r="D191">
        <f t="shared" si="13"/>
        <v>0</v>
      </c>
      <c r="E191">
        <f t="shared" si="14"/>
        <v>0</v>
      </c>
      <c r="F191">
        <f t="shared" si="12"/>
        <v>0</v>
      </c>
    </row>
    <row r="192" spans="1:6" x14ac:dyDescent="0.25">
      <c r="A192" s="4" t="s">
        <v>130</v>
      </c>
      <c r="B192">
        <v>753</v>
      </c>
      <c r="C192">
        <f t="shared" si="11"/>
        <v>4605</v>
      </c>
      <c r="D192">
        <f t="shared" si="13"/>
        <v>0</v>
      </c>
      <c r="E192">
        <f t="shared" si="14"/>
        <v>0</v>
      </c>
      <c r="F192">
        <f t="shared" si="12"/>
        <v>0</v>
      </c>
    </row>
    <row r="193" spans="1:6" x14ac:dyDescent="0.25">
      <c r="A193" s="4" t="s">
        <v>135</v>
      </c>
      <c r="B193">
        <v>205</v>
      </c>
      <c r="C193">
        <f t="shared" si="11"/>
        <v>4810</v>
      </c>
      <c r="D193">
        <f t="shared" si="13"/>
        <v>0</v>
      </c>
      <c r="E193">
        <f t="shared" si="14"/>
        <v>0</v>
      </c>
      <c r="F193">
        <f t="shared" si="12"/>
        <v>0</v>
      </c>
    </row>
    <row r="194" spans="1:6" x14ac:dyDescent="0.25">
      <c r="A194" s="4" t="s">
        <v>136</v>
      </c>
      <c r="B194">
        <v>112</v>
      </c>
      <c r="C194">
        <f t="shared" si="11"/>
        <v>4922</v>
      </c>
      <c r="D194">
        <f t="shared" si="13"/>
        <v>0</v>
      </c>
      <c r="E194">
        <f t="shared" si="14"/>
        <v>0</v>
      </c>
      <c r="F194">
        <f t="shared" si="12"/>
        <v>0</v>
      </c>
    </row>
    <row r="195" spans="1:6" x14ac:dyDescent="0.25">
      <c r="A195" s="4" t="s">
        <v>141</v>
      </c>
      <c r="B195">
        <v>14</v>
      </c>
      <c r="C195">
        <f t="shared" si="11"/>
        <v>4936</v>
      </c>
      <c r="D195">
        <f t="shared" si="13"/>
        <v>0</v>
      </c>
      <c r="E195">
        <f t="shared" si="14"/>
        <v>0</v>
      </c>
      <c r="F195">
        <f t="shared" si="12"/>
        <v>0</v>
      </c>
    </row>
    <row r="196" spans="1:6" x14ac:dyDescent="0.25">
      <c r="A196" s="4" t="s">
        <v>146</v>
      </c>
      <c r="B196">
        <v>546</v>
      </c>
      <c r="C196">
        <f t="shared" si="11"/>
        <v>5482</v>
      </c>
      <c r="D196">
        <f t="shared" si="13"/>
        <v>0</v>
      </c>
      <c r="E196">
        <f t="shared" si="14"/>
        <v>0</v>
      </c>
      <c r="F196">
        <f t="shared" si="12"/>
        <v>0</v>
      </c>
    </row>
    <row r="197" spans="1:6" x14ac:dyDescent="0.25">
      <c r="A197" s="4" t="s">
        <v>152</v>
      </c>
      <c r="B197">
        <v>53</v>
      </c>
      <c r="C197">
        <f t="shared" ref="C197:C260" si="15">IF(LEN(A197) &gt;= 12, 0, C196+B197)</f>
        <v>5535</v>
      </c>
      <c r="D197">
        <f t="shared" si="13"/>
        <v>0</v>
      </c>
      <c r="E197">
        <f t="shared" si="14"/>
        <v>0</v>
      </c>
      <c r="F197">
        <f t="shared" si="12"/>
        <v>0</v>
      </c>
    </row>
    <row r="198" spans="1:6" x14ac:dyDescent="0.25">
      <c r="A198" s="4" t="s">
        <v>159</v>
      </c>
      <c r="B198">
        <v>603</v>
      </c>
      <c r="C198">
        <f t="shared" si="15"/>
        <v>6138</v>
      </c>
      <c r="D198">
        <f t="shared" si="13"/>
        <v>0</v>
      </c>
      <c r="E198">
        <f t="shared" si="14"/>
        <v>0</v>
      </c>
      <c r="F198">
        <f t="shared" ref="F198:F261" si="16">IF(AND(D198 = 1, C198 &lt; 20000), B198*5, IF(AND(E198=1, C198 &gt;= 20000),B198*10,0))</f>
        <v>0</v>
      </c>
    </row>
    <row r="199" spans="1:6" x14ac:dyDescent="0.25">
      <c r="A199" s="4" t="s">
        <v>165</v>
      </c>
      <c r="B199">
        <v>329</v>
      </c>
      <c r="C199">
        <f t="shared" si="15"/>
        <v>6467</v>
      </c>
      <c r="D199">
        <f t="shared" si="13"/>
        <v>0</v>
      </c>
      <c r="E199">
        <f t="shared" si="14"/>
        <v>0</v>
      </c>
      <c r="F199">
        <f t="shared" si="16"/>
        <v>0</v>
      </c>
    </row>
    <row r="200" spans="1:6" x14ac:dyDescent="0.25">
      <c r="A200" s="4" t="s">
        <v>174</v>
      </c>
      <c r="B200">
        <v>730</v>
      </c>
      <c r="C200">
        <f t="shared" si="15"/>
        <v>7197</v>
      </c>
      <c r="D200">
        <f t="shared" si="13"/>
        <v>0</v>
      </c>
      <c r="E200">
        <f t="shared" si="14"/>
        <v>0</v>
      </c>
      <c r="F200">
        <f t="shared" si="16"/>
        <v>0</v>
      </c>
    </row>
    <row r="201" spans="1:6" x14ac:dyDescent="0.25">
      <c r="A201" s="4" t="s">
        <v>181</v>
      </c>
      <c r="B201">
        <v>663</v>
      </c>
      <c r="C201">
        <f t="shared" si="15"/>
        <v>7860</v>
      </c>
      <c r="D201">
        <f t="shared" si="13"/>
        <v>0</v>
      </c>
      <c r="E201">
        <f t="shared" si="14"/>
        <v>0</v>
      </c>
      <c r="F201">
        <f t="shared" si="16"/>
        <v>0</v>
      </c>
    </row>
    <row r="202" spans="1:6" x14ac:dyDescent="0.25">
      <c r="A202" s="4" t="s">
        <v>182</v>
      </c>
      <c r="B202">
        <v>376</v>
      </c>
      <c r="C202">
        <f t="shared" si="15"/>
        <v>8236</v>
      </c>
      <c r="D202">
        <f t="shared" si="13"/>
        <v>0</v>
      </c>
      <c r="E202">
        <f t="shared" si="14"/>
        <v>0</v>
      </c>
      <c r="F202">
        <f t="shared" si="16"/>
        <v>0</v>
      </c>
    </row>
    <row r="203" spans="1:6" x14ac:dyDescent="0.25">
      <c r="A203" s="4" t="s">
        <v>189</v>
      </c>
      <c r="B203">
        <v>578</v>
      </c>
      <c r="C203">
        <f t="shared" si="15"/>
        <v>8814</v>
      </c>
      <c r="D203">
        <f t="shared" si="13"/>
        <v>0</v>
      </c>
      <c r="E203">
        <f t="shared" si="14"/>
        <v>0</v>
      </c>
      <c r="F203">
        <f t="shared" si="16"/>
        <v>0</v>
      </c>
    </row>
    <row r="204" spans="1:6" x14ac:dyDescent="0.25">
      <c r="A204" s="4" t="s">
        <v>193</v>
      </c>
      <c r="B204">
        <v>505</v>
      </c>
      <c r="C204">
        <f t="shared" si="15"/>
        <v>9319</v>
      </c>
      <c r="D204">
        <f t="shared" si="13"/>
        <v>0</v>
      </c>
      <c r="E204">
        <f t="shared" si="14"/>
        <v>0</v>
      </c>
      <c r="F204">
        <f t="shared" si="16"/>
        <v>0</v>
      </c>
    </row>
    <row r="205" spans="1:6" x14ac:dyDescent="0.25">
      <c r="A205" s="4" t="s">
        <v>206</v>
      </c>
      <c r="B205">
        <v>296</v>
      </c>
      <c r="C205">
        <f t="shared" si="15"/>
        <v>9615</v>
      </c>
      <c r="D205">
        <f t="shared" si="13"/>
        <v>0</v>
      </c>
      <c r="E205">
        <f t="shared" si="14"/>
        <v>0</v>
      </c>
      <c r="F205">
        <f t="shared" si="16"/>
        <v>0</v>
      </c>
    </row>
    <row r="206" spans="1:6" x14ac:dyDescent="0.25">
      <c r="A206" s="4" t="s">
        <v>209</v>
      </c>
      <c r="B206">
        <v>404</v>
      </c>
      <c r="C206">
        <f t="shared" si="15"/>
        <v>10019</v>
      </c>
      <c r="D206">
        <f t="shared" si="13"/>
        <v>0</v>
      </c>
      <c r="E206">
        <f t="shared" si="14"/>
        <v>0</v>
      </c>
      <c r="F206">
        <f t="shared" si="16"/>
        <v>0</v>
      </c>
    </row>
    <row r="207" spans="1:6" x14ac:dyDescent="0.25">
      <c r="A207" s="4" t="s">
        <v>215</v>
      </c>
      <c r="B207">
        <v>159</v>
      </c>
      <c r="C207">
        <f t="shared" si="15"/>
        <v>10178</v>
      </c>
      <c r="D207">
        <f t="shared" si="13"/>
        <v>0</v>
      </c>
      <c r="E207">
        <f t="shared" si="14"/>
        <v>0</v>
      </c>
      <c r="F207">
        <f t="shared" si="16"/>
        <v>0</v>
      </c>
    </row>
    <row r="208" spans="1:6" x14ac:dyDescent="0.25">
      <c r="A208" s="4" t="s">
        <v>216</v>
      </c>
      <c r="B208">
        <v>465</v>
      </c>
      <c r="C208">
        <f t="shared" si="15"/>
        <v>10643</v>
      </c>
      <c r="D208">
        <f t="shared" si="13"/>
        <v>0</v>
      </c>
      <c r="E208">
        <f t="shared" si="14"/>
        <v>0</v>
      </c>
      <c r="F208">
        <f t="shared" si="16"/>
        <v>0</v>
      </c>
    </row>
    <row r="209" spans="1:6" x14ac:dyDescent="0.25">
      <c r="A209" s="4" t="s">
        <v>222</v>
      </c>
      <c r="B209">
        <v>410</v>
      </c>
      <c r="C209">
        <f t="shared" si="15"/>
        <v>11053</v>
      </c>
      <c r="D209">
        <f t="shared" si="13"/>
        <v>0</v>
      </c>
      <c r="E209">
        <f t="shared" si="14"/>
        <v>0</v>
      </c>
      <c r="F209">
        <f t="shared" si="16"/>
        <v>0</v>
      </c>
    </row>
    <row r="210" spans="1:6" x14ac:dyDescent="0.25">
      <c r="A210" s="4" t="s">
        <v>223</v>
      </c>
      <c r="B210">
        <v>201</v>
      </c>
      <c r="C210">
        <f t="shared" si="15"/>
        <v>11254</v>
      </c>
      <c r="D210">
        <f t="shared" si="13"/>
        <v>0</v>
      </c>
      <c r="E210">
        <f t="shared" si="14"/>
        <v>0</v>
      </c>
      <c r="F210">
        <f t="shared" si="16"/>
        <v>0</v>
      </c>
    </row>
    <row r="211" spans="1:6" x14ac:dyDescent="0.25">
      <c r="A211" s="4" t="s">
        <v>231</v>
      </c>
      <c r="B211">
        <v>301</v>
      </c>
      <c r="C211">
        <f t="shared" si="15"/>
        <v>11555</v>
      </c>
      <c r="D211">
        <f t="shared" si="13"/>
        <v>0</v>
      </c>
      <c r="E211">
        <f t="shared" si="14"/>
        <v>0</v>
      </c>
      <c r="F211">
        <f t="shared" si="16"/>
        <v>0</v>
      </c>
    </row>
    <row r="212" spans="1:6" x14ac:dyDescent="0.25">
      <c r="A212" s="4" t="s">
        <v>242</v>
      </c>
      <c r="B212">
        <v>50</v>
      </c>
      <c r="C212">
        <f t="shared" si="15"/>
        <v>11605</v>
      </c>
      <c r="D212">
        <f t="shared" si="13"/>
        <v>0</v>
      </c>
      <c r="E212">
        <f t="shared" si="14"/>
        <v>0</v>
      </c>
      <c r="F212">
        <f t="shared" si="16"/>
        <v>0</v>
      </c>
    </row>
    <row r="213" spans="1:6" x14ac:dyDescent="0.25">
      <c r="A213" s="4" t="s">
        <v>243</v>
      </c>
      <c r="B213">
        <v>44</v>
      </c>
      <c r="C213">
        <f t="shared" si="15"/>
        <v>11649</v>
      </c>
      <c r="D213">
        <f t="shared" si="13"/>
        <v>0</v>
      </c>
      <c r="E213">
        <f t="shared" si="14"/>
        <v>0</v>
      </c>
      <c r="F213">
        <f t="shared" si="16"/>
        <v>0</v>
      </c>
    </row>
    <row r="214" spans="1:6" x14ac:dyDescent="0.25">
      <c r="A214" s="4" t="s">
        <v>244</v>
      </c>
      <c r="B214">
        <v>87</v>
      </c>
      <c r="C214">
        <f t="shared" si="15"/>
        <v>11736</v>
      </c>
      <c r="D214">
        <f t="shared" si="13"/>
        <v>0</v>
      </c>
      <c r="E214">
        <f t="shared" si="14"/>
        <v>0</v>
      </c>
      <c r="F214">
        <f t="shared" si="16"/>
        <v>0</v>
      </c>
    </row>
    <row r="215" spans="1:6" x14ac:dyDescent="0.25">
      <c r="A215" s="4" t="s">
        <v>257</v>
      </c>
      <c r="B215">
        <v>104</v>
      </c>
      <c r="C215">
        <f t="shared" si="15"/>
        <v>11840</v>
      </c>
      <c r="D215">
        <f t="shared" si="13"/>
        <v>0</v>
      </c>
      <c r="E215">
        <f t="shared" si="14"/>
        <v>0</v>
      </c>
      <c r="F215">
        <f t="shared" si="16"/>
        <v>0</v>
      </c>
    </row>
    <row r="216" spans="1:6" x14ac:dyDescent="0.25">
      <c r="A216" s="4" t="s">
        <v>267</v>
      </c>
      <c r="B216">
        <v>419</v>
      </c>
      <c r="C216">
        <f t="shared" si="15"/>
        <v>12259</v>
      </c>
      <c r="D216">
        <f t="shared" si="13"/>
        <v>0</v>
      </c>
      <c r="E216">
        <f t="shared" si="14"/>
        <v>0</v>
      </c>
      <c r="F216">
        <f t="shared" si="16"/>
        <v>0</v>
      </c>
    </row>
    <row r="217" spans="1:6" x14ac:dyDescent="0.25">
      <c r="A217" s="4" t="s">
        <v>272</v>
      </c>
      <c r="B217">
        <v>171</v>
      </c>
      <c r="C217">
        <f t="shared" si="15"/>
        <v>12430</v>
      </c>
      <c r="D217">
        <f t="shared" si="13"/>
        <v>0</v>
      </c>
      <c r="E217">
        <f t="shared" si="14"/>
        <v>0</v>
      </c>
      <c r="F217">
        <f t="shared" si="16"/>
        <v>0</v>
      </c>
    </row>
    <row r="218" spans="1:6" x14ac:dyDescent="0.25">
      <c r="A218" s="4" t="s">
        <v>275</v>
      </c>
      <c r="B218">
        <v>184</v>
      </c>
      <c r="C218">
        <f t="shared" si="15"/>
        <v>12614</v>
      </c>
      <c r="D218">
        <f t="shared" si="13"/>
        <v>0</v>
      </c>
      <c r="E218">
        <f t="shared" si="14"/>
        <v>0</v>
      </c>
      <c r="F218">
        <f t="shared" si="16"/>
        <v>0</v>
      </c>
    </row>
    <row r="219" spans="1:6" x14ac:dyDescent="0.25">
      <c r="A219" s="4" t="s">
        <v>283</v>
      </c>
      <c r="B219">
        <v>753</v>
      </c>
      <c r="C219">
        <f t="shared" si="15"/>
        <v>13367</v>
      </c>
      <c r="D219">
        <f t="shared" si="13"/>
        <v>0</v>
      </c>
      <c r="E219">
        <f t="shared" si="14"/>
        <v>0</v>
      </c>
      <c r="F219">
        <f t="shared" si="16"/>
        <v>0</v>
      </c>
    </row>
    <row r="220" spans="1:6" x14ac:dyDescent="0.25">
      <c r="A220" s="4" t="s">
        <v>289</v>
      </c>
      <c r="B220">
        <v>66</v>
      </c>
      <c r="C220">
        <f t="shared" si="15"/>
        <v>13433</v>
      </c>
      <c r="D220">
        <f t="shared" si="13"/>
        <v>0</v>
      </c>
      <c r="E220">
        <f t="shared" si="14"/>
        <v>0</v>
      </c>
      <c r="F220">
        <f t="shared" si="16"/>
        <v>0</v>
      </c>
    </row>
    <row r="221" spans="1:6" x14ac:dyDescent="0.25">
      <c r="A221" s="4" t="s">
        <v>291</v>
      </c>
      <c r="B221">
        <v>239</v>
      </c>
      <c r="C221">
        <f t="shared" si="15"/>
        <v>13672</v>
      </c>
      <c r="D221">
        <f t="shared" si="13"/>
        <v>0</v>
      </c>
      <c r="E221">
        <f t="shared" si="14"/>
        <v>0</v>
      </c>
      <c r="F221">
        <f t="shared" si="16"/>
        <v>0</v>
      </c>
    </row>
    <row r="222" spans="1:6" x14ac:dyDescent="0.25">
      <c r="A222" s="4" t="s">
        <v>293</v>
      </c>
      <c r="B222">
        <v>108</v>
      </c>
      <c r="C222">
        <f t="shared" si="15"/>
        <v>13780</v>
      </c>
      <c r="D222">
        <f t="shared" si="13"/>
        <v>0</v>
      </c>
      <c r="E222">
        <f t="shared" si="14"/>
        <v>0</v>
      </c>
      <c r="F222">
        <f t="shared" si="16"/>
        <v>0</v>
      </c>
    </row>
    <row r="223" spans="1:6" x14ac:dyDescent="0.25">
      <c r="A223" s="4" t="s">
        <v>299</v>
      </c>
      <c r="B223">
        <v>66</v>
      </c>
      <c r="C223">
        <f t="shared" si="15"/>
        <v>13846</v>
      </c>
      <c r="D223">
        <f t="shared" si="13"/>
        <v>0</v>
      </c>
      <c r="E223">
        <f t="shared" si="14"/>
        <v>0</v>
      </c>
      <c r="F223">
        <f t="shared" si="16"/>
        <v>0</v>
      </c>
    </row>
    <row r="224" spans="1:6" x14ac:dyDescent="0.25">
      <c r="A224" s="4" t="s">
        <v>302</v>
      </c>
      <c r="B224">
        <v>357</v>
      </c>
      <c r="C224">
        <f t="shared" si="15"/>
        <v>14203</v>
      </c>
      <c r="D224">
        <f t="shared" si="13"/>
        <v>0</v>
      </c>
      <c r="E224">
        <f t="shared" si="14"/>
        <v>0</v>
      </c>
      <c r="F224">
        <f t="shared" si="16"/>
        <v>0</v>
      </c>
    </row>
    <row r="225" spans="1:6" x14ac:dyDescent="0.25">
      <c r="A225" s="4" t="s">
        <v>303</v>
      </c>
      <c r="B225">
        <v>340</v>
      </c>
      <c r="C225">
        <f t="shared" si="15"/>
        <v>14543</v>
      </c>
      <c r="D225">
        <f t="shared" si="13"/>
        <v>0</v>
      </c>
      <c r="E225">
        <f t="shared" si="14"/>
        <v>0</v>
      </c>
      <c r="F225">
        <f t="shared" si="16"/>
        <v>0</v>
      </c>
    </row>
    <row r="226" spans="1:6" x14ac:dyDescent="0.25">
      <c r="A226" s="4" t="s">
        <v>317</v>
      </c>
      <c r="B226">
        <v>399</v>
      </c>
      <c r="C226">
        <f t="shared" si="15"/>
        <v>14942</v>
      </c>
      <c r="D226">
        <f t="shared" si="13"/>
        <v>0</v>
      </c>
      <c r="E226">
        <f t="shared" si="14"/>
        <v>0</v>
      </c>
      <c r="F226">
        <f t="shared" si="16"/>
        <v>0</v>
      </c>
    </row>
    <row r="227" spans="1:6" x14ac:dyDescent="0.25">
      <c r="A227" s="4" t="s">
        <v>320</v>
      </c>
      <c r="B227">
        <v>26</v>
      </c>
      <c r="C227">
        <f t="shared" si="15"/>
        <v>14968</v>
      </c>
      <c r="D227">
        <f t="shared" si="13"/>
        <v>0</v>
      </c>
      <c r="E227">
        <f t="shared" si="14"/>
        <v>0</v>
      </c>
      <c r="F227">
        <f t="shared" si="16"/>
        <v>0</v>
      </c>
    </row>
    <row r="228" spans="1:6" x14ac:dyDescent="0.25">
      <c r="A228" s="4" t="s">
        <v>327</v>
      </c>
      <c r="B228">
        <v>374</v>
      </c>
      <c r="C228">
        <f t="shared" si="15"/>
        <v>15342</v>
      </c>
      <c r="D228">
        <f t="shared" si="13"/>
        <v>1</v>
      </c>
      <c r="E228">
        <f t="shared" si="14"/>
        <v>0</v>
      </c>
      <c r="F228">
        <f t="shared" si="16"/>
        <v>1870</v>
      </c>
    </row>
    <row r="229" spans="1:6" x14ac:dyDescent="0.25">
      <c r="A229" s="4" t="s">
        <v>329</v>
      </c>
      <c r="B229">
        <v>259</v>
      </c>
      <c r="C229">
        <f t="shared" si="15"/>
        <v>15601</v>
      </c>
      <c r="D229">
        <f t="shared" si="13"/>
        <v>1</v>
      </c>
      <c r="E229">
        <f t="shared" si="14"/>
        <v>0</v>
      </c>
      <c r="F229">
        <f t="shared" si="16"/>
        <v>1295</v>
      </c>
    </row>
    <row r="230" spans="1:6" x14ac:dyDescent="0.25">
      <c r="A230" s="4" t="s">
        <v>344</v>
      </c>
      <c r="B230">
        <v>315</v>
      </c>
      <c r="C230">
        <f t="shared" si="15"/>
        <v>15916</v>
      </c>
      <c r="D230">
        <f t="shared" si="13"/>
        <v>1</v>
      </c>
      <c r="E230">
        <f t="shared" si="14"/>
        <v>0</v>
      </c>
      <c r="F230">
        <f t="shared" si="16"/>
        <v>1575</v>
      </c>
    </row>
    <row r="231" spans="1:6" x14ac:dyDescent="0.25">
      <c r="A231" s="4" t="s">
        <v>349</v>
      </c>
      <c r="B231">
        <v>358</v>
      </c>
      <c r="C231">
        <f t="shared" si="15"/>
        <v>16274</v>
      </c>
      <c r="D231">
        <f t="shared" si="13"/>
        <v>1</v>
      </c>
      <c r="E231">
        <f t="shared" si="14"/>
        <v>0</v>
      </c>
      <c r="F231">
        <f t="shared" si="16"/>
        <v>1790</v>
      </c>
    </row>
    <row r="232" spans="1:6" x14ac:dyDescent="0.25">
      <c r="A232" s="4" t="s">
        <v>350</v>
      </c>
      <c r="B232">
        <v>705</v>
      </c>
      <c r="C232">
        <f t="shared" si="15"/>
        <v>16979</v>
      </c>
      <c r="D232">
        <f t="shared" si="13"/>
        <v>1</v>
      </c>
      <c r="E232">
        <f t="shared" si="14"/>
        <v>0</v>
      </c>
      <c r="F232">
        <f t="shared" si="16"/>
        <v>3525</v>
      </c>
    </row>
    <row r="233" spans="1:6" x14ac:dyDescent="0.25">
      <c r="A233" s="4" t="s">
        <v>351</v>
      </c>
      <c r="B233">
        <v>174</v>
      </c>
      <c r="C233">
        <f t="shared" si="15"/>
        <v>17153</v>
      </c>
      <c r="D233">
        <f t="shared" si="13"/>
        <v>1</v>
      </c>
      <c r="E233">
        <f t="shared" si="14"/>
        <v>0</v>
      </c>
      <c r="F233">
        <f t="shared" si="16"/>
        <v>870</v>
      </c>
    </row>
    <row r="234" spans="1:6" x14ac:dyDescent="0.25">
      <c r="A234" s="4" t="s">
        <v>352</v>
      </c>
      <c r="B234">
        <v>390</v>
      </c>
      <c r="C234">
        <f t="shared" si="15"/>
        <v>17543</v>
      </c>
      <c r="D234">
        <f t="shared" si="13"/>
        <v>1</v>
      </c>
      <c r="E234">
        <f t="shared" si="14"/>
        <v>0</v>
      </c>
      <c r="F234">
        <f t="shared" si="16"/>
        <v>1950</v>
      </c>
    </row>
    <row r="235" spans="1:6" x14ac:dyDescent="0.25">
      <c r="A235" s="4" t="s">
        <v>355</v>
      </c>
      <c r="B235">
        <v>214</v>
      </c>
      <c r="C235">
        <f t="shared" si="15"/>
        <v>17757</v>
      </c>
      <c r="D235">
        <f t="shared" si="13"/>
        <v>1</v>
      </c>
      <c r="E235">
        <f t="shared" si="14"/>
        <v>0</v>
      </c>
      <c r="F235">
        <f t="shared" si="16"/>
        <v>1070</v>
      </c>
    </row>
    <row r="236" spans="1:6" x14ac:dyDescent="0.25">
      <c r="A236" s="4" t="s">
        <v>373</v>
      </c>
      <c r="B236">
        <v>426</v>
      </c>
      <c r="C236">
        <f t="shared" si="15"/>
        <v>18183</v>
      </c>
      <c r="D236">
        <f t="shared" si="13"/>
        <v>1</v>
      </c>
      <c r="E236">
        <f t="shared" si="14"/>
        <v>0</v>
      </c>
      <c r="F236">
        <f t="shared" si="16"/>
        <v>2130</v>
      </c>
    </row>
    <row r="237" spans="1:6" x14ac:dyDescent="0.25">
      <c r="A237" s="4" t="s">
        <v>380</v>
      </c>
      <c r="B237">
        <v>218</v>
      </c>
      <c r="C237">
        <f t="shared" si="15"/>
        <v>18401</v>
      </c>
      <c r="D237">
        <f t="shared" si="13"/>
        <v>1</v>
      </c>
      <c r="E237">
        <f t="shared" si="14"/>
        <v>0</v>
      </c>
      <c r="F237">
        <f t="shared" si="16"/>
        <v>1090</v>
      </c>
    </row>
    <row r="238" spans="1:6" x14ac:dyDescent="0.25">
      <c r="A238" s="4" t="s">
        <v>403</v>
      </c>
      <c r="B238">
        <v>403</v>
      </c>
      <c r="C238">
        <f t="shared" si="15"/>
        <v>18804</v>
      </c>
      <c r="D238">
        <f t="shared" si="13"/>
        <v>1</v>
      </c>
      <c r="E238">
        <f t="shared" si="14"/>
        <v>0</v>
      </c>
      <c r="F238">
        <f t="shared" si="16"/>
        <v>2015</v>
      </c>
    </row>
    <row r="239" spans="1:6" x14ac:dyDescent="0.25">
      <c r="A239" s="4" t="s">
        <v>404</v>
      </c>
      <c r="B239">
        <v>436</v>
      </c>
      <c r="C239">
        <f t="shared" si="15"/>
        <v>19240</v>
      </c>
      <c r="D239">
        <f t="shared" si="13"/>
        <v>1</v>
      </c>
      <c r="E239">
        <f t="shared" si="14"/>
        <v>0</v>
      </c>
      <c r="F239">
        <f t="shared" si="16"/>
        <v>2180</v>
      </c>
    </row>
    <row r="240" spans="1:6" x14ac:dyDescent="0.25">
      <c r="A240" s="3" t="s">
        <v>57</v>
      </c>
      <c r="B240">
        <v>20657</v>
      </c>
      <c r="C240">
        <f t="shared" si="15"/>
        <v>0</v>
      </c>
      <c r="D240">
        <f t="shared" si="13"/>
        <v>0</v>
      </c>
      <c r="E240">
        <f t="shared" si="14"/>
        <v>0</v>
      </c>
      <c r="F240">
        <f t="shared" si="16"/>
        <v>0</v>
      </c>
    </row>
    <row r="241" spans="1:6" x14ac:dyDescent="0.25">
      <c r="A241" s="4" t="s">
        <v>99</v>
      </c>
      <c r="B241">
        <v>196</v>
      </c>
      <c r="C241">
        <f t="shared" si="15"/>
        <v>196</v>
      </c>
      <c r="D241">
        <f t="shared" ref="D241:D304" si="17">IF(C241 &gt; 15000, 1, 0)</f>
        <v>0</v>
      </c>
      <c r="E241">
        <f t="shared" ref="E241:E304" si="18">IF(AND(D241 =1,C241 &gt;= 20000),1,0)</f>
        <v>0</v>
      </c>
      <c r="F241">
        <f t="shared" si="16"/>
        <v>0</v>
      </c>
    </row>
    <row r="242" spans="1:6" x14ac:dyDescent="0.25">
      <c r="A242" s="4" t="s">
        <v>100</v>
      </c>
      <c r="B242">
        <v>193</v>
      </c>
      <c r="C242">
        <f t="shared" si="15"/>
        <v>389</v>
      </c>
      <c r="D242">
        <f t="shared" si="17"/>
        <v>0</v>
      </c>
      <c r="E242">
        <f t="shared" si="18"/>
        <v>0</v>
      </c>
      <c r="F242">
        <f t="shared" si="16"/>
        <v>0</v>
      </c>
    </row>
    <row r="243" spans="1:6" x14ac:dyDescent="0.25">
      <c r="A243" s="4" t="s">
        <v>117</v>
      </c>
      <c r="B243">
        <v>605</v>
      </c>
      <c r="C243">
        <f t="shared" si="15"/>
        <v>994</v>
      </c>
      <c r="D243">
        <f t="shared" si="17"/>
        <v>0</v>
      </c>
      <c r="E243">
        <f t="shared" si="18"/>
        <v>0</v>
      </c>
      <c r="F243">
        <f t="shared" si="16"/>
        <v>0</v>
      </c>
    </row>
    <row r="244" spans="1:6" x14ac:dyDescent="0.25">
      <c r="A244" s="4" t="s">
        <v>118</v>
      </c>
      <c r="B244">
        <v>412</v>
      </c>
      <c r="C244">
        <f t="shared" si="15"/>
        <v>1406</v>
      </c>
      <c r="D244">
        <f t="shared" si="17"/>
        <v>0</v>
      </c>
      <c r="E244">
        <f t="shared" si="18"/>
        <v>0</v>
      </c>
      <c r="F244">
        <f t="shared" si="16"/>
        <v>0</v>
      </c>
    </row>
    <row r="245" spans="1:6" x14ac:dyDescent="0.25">
      <c r="A245" s="4" t="s">
        <v>122</v>
      </c>
      <c r="B245">
        <v>353</v>
      </c>
      <c r="C245">
        <f t="shared" si="15"/>
        <v>1759</v>
      </c>
      <c r="D245">
        <f t="shared" si="17"/>
        <v>0</v>
      </c>
      <c r="E245">
        <f t="shared" si="18"/>
        <v>0</v>
      </c>
      <c r="F245">
        <f t="shared" si="16"/>
        <v>0</v>
      </c>
    </row>
    <row r="246" spans="1:6" x14ac:dyDescent="0.25">
      <c r="A246" s="4" t="s">
        <v>127</v>
      </c>
      <c r="B246">
        <v>111</v>
      </c>
      <c r="C246">
        <f t="shared" si="15"/>
        <v>1870</v>
      </c>
      <c r="D246">
        <f t="shared" si="17"/>
        <v>0</v>
      </c>
      <c r="E246">
        <f t="shared" si="18"/>
        <v>0</v>
      </c>
      <c r="F246">
        <f t="shared" si="16"/>
        <v>0</v>
      </c>
    </row>
    <row r="247" spans="1:6" x14ac:dyDescent="0.25">
      <c r="A247" s="4" t="s">
        <v>137</v>
      </c>
      <c r="B247">
        <v>448</v>
      </c>
      <c r="C247">
        <f t="shared" si="15"/>
        <v>2318</v>
      </c>
      <c r="D247">
        <f t="shared" si="17"/>
        <v>0</v>
      </c>
      <c r="E247">
        <f t="shared" si="18"/>
        <v>0</v>
      </c>
      <c r="F247">
        <f t="shared" si="16"/>
        <v>0</v>
      </c>
    </row>
    <row r="248" spans="1:6" x14ac:dyDescent="0.25">
      <c r="A248" s="4" t="s">
        <v>141</v>
      </c>
      <c r="B248">
        <v>489</v>
      </c>
      <c r="C248">
        <f t="shared" si="15"/>
        <v>2807</v>
      </c>
      <c r="D248">
        <f t="shared" si="17"/>
        <v>0</v>
      </c>
      <c r="E248">
        <f t="shared" si="18"/>
        <v>0</v>
      </c>
      <c r="F248">
        <f t="shared" si="16"/>
        <v>0</v>
      </c>
    </row>
    <row r="249" spans="1:6" x14ac:dyDescent="0.25">
      <c r="A249" s="4" t="s">
        <v>145</v>
      </c>
      <c r="B249">
        <v>583</v>
      </c>
      <c r="C249">
        <f t="shared" si="15"/>
        <v>3390</v>
      </c>
      <c r="D249">
        <f t="shared" si="17"/>
        <v>0</v>
      </c>
      <c r="E249">
        <f t="shared" si="18"/>
        <v>0</v>
      </c>
      <c r="F249">
        <f t="shared" si="16"/>
        <v>0</v>
      </c>
    </row>
    <row r="250" spans="1:6" x14ac:dyDescent="0.25">
      <c r="A250" s="4" t="s">
        <v>153</v>
      </c>
      <c r="B250">
        <v>402</v>
      </c>
      <c r="C250">
        <f t="shared" si="15"/>
        <v>3792</v>
      </c>
      <c r="D250">
        <f t="shared" si="17"/>
        <v>0</v>
      </c>
      <c r="E250">
        <f t="shared" si="18"/>
        <v>0</v>
      </c>
      <c r="F250">
        <f t="shared" si="16"/>
        <v>0</v>
      </c>
    </row>
    <row r="251" spans="1:6" x14ac:dyDescent="0.25">
      <c r="A251" s="4" t="s">
        <v>156</v>
      </c>
      <c r="B251">
        <v>264</v>
      </c>
      <c r="C251">
        <f t="shared" si="15"/>
        <v>4056</v>
      </c>
      <c r="D251">
        <f t="shared" si="17"/>
        <v>0</v>
      </c>
      <c r="E251">
        <f t="shared" si="18"/>
        <v>0</v>
      </c>
      <c r="F251">
        <f t="shared" si="16"/>
        <v>0</v>
      </c>
    </row>
    <row r="252" spans="1:6" x14ac:dyDescent="0.25">
      <c r="A252" s="4" t="s">
        <v>160</v>
      </c>
      <c r="B252">
        <v>363</v>
      </c>
      <c r="C252">
        <f t="shared" si="15"/>
        <v>4419</v>
      </c>
      <c r="D252">
        <f t="shared" si="17"/>
        <v>0</v>
      </c>
      <c r="E252">
        <f t="shared" si="18"/>
        <v>0</v>
      </c>
      <c r="F252">
        <f t="shared" si="16"/>
        <v>0</v>
      </c>
    </row>
    <row r="253" spans="1:6" x14ac:dyDescent="0.25">
      <c r="A253" s="4" t="s">
        <v>165</v>
      </c>
      <c r="B253">
        <v>351</v>
      </c>
      <c r="C253">
        <f t="shared" si="15"/>
        <v>4770</v>
      </c>
      <c r="D253">
        <f t="shared" si="17"/>
        <v>0</v>
      </c>
      <c r="E253">
        <f t="shared" si="18"/>
        <v>0</v>
      </c>
      <c r="F253">
        <f t="shared" si="16"/>
        <v>0</v>
      </c>
    </row>
    <row r="254" spans="1:6" x14ac:dyDescent="0.25">
      <c r="A254" s="4" t="s">
        <v>166</v>
      </c>
      <c r="B254">
        <v>593</v>
      </c>
      <c r="C254">
        <f t="shared" si="15"/>
        <v>5363</v>
      </c>
      <c r="D254">
        <f t="shared" si="17"/>
        <v>0</v>
      </c>
      <c r="E254">
        <f t="shared" si="18"/>
        <v>0</v>
      </c>
      <c r="F254">
        <f t="shared" si="16"/>
        <v>0</v>
      </c>
    </row>
    <row r="255" spans="1:6" x14ac:dyDescent="0.25">
      <c r="A255" s="4" t="s">
        <v>168</v>
      </c>
      <c r="B255">
        <v>163</v>
      </c>
      <c r="C255">
        <f t="shared" si="15"/>
        <v>5526</v>
      </c>
      <c r="D255">
        <f t="shared" si="17"/>
        <v>0</v>
      </c>
      <c r="E255">
        <f t="shared" si="18"/>
        <v>0</v>
      </c>
      <c r="F255">
        <f t="shared" si="16"/>
        <v>0</v>
      </c>
    </row>
    <row r="256" spans="1:6" x14ac:dyDescent="0.25">
      <c r="A256" s="4" t="s">
        <v>183</v>
      </c>
      <c r="B256">
        <v>795</v>
      </c>
      <c r="C256">
        <f t="shared" si="15"/>
        <v>6321</v>
      </c>
      <c r="D256">
        <f t="shared" si="17"/>
        <v>0</v>
      </c>
      <c r="E256">
        <f t="shared" si="18"/>
        <v>0</v>
      </c>
      <c r="F256">
        <f t="shared" si="16"/>
        <v>0</v>
      </c>
    </row>
    <row r="257" spans="1:6" x14ac:dyDescent="0.25">
      <c r="A257" s="4" t="s">
        <v>190</v>
      </c>
      <c r="B257">
        <v>415</v>
      </c>
      <c r="C257">
        <f t="shared" si="15"/>
        <v>6736</v>
      </c>
      <c r="D257">
        <f t="shared" si="17"/>
        <v>0</v>
      </c>
      <c r="E257">
        <f t="shared" si="18"/>
        <v>0</v>
      </c>
      <c r="F257">
        <f t="shared" si="16"/>
        <v>0</v>
      </c>
    </row>
    <row r="258" spans="1:6" x14ac:dyDescent="0.25">
      <c r="A258" s="4" t="s">
        <v>191</v>
      </c>
      <c r="B258">
        <v>415</v>
      </c>
      <c r="C258">
        <f t="shared" si="15"/>
        <v>7151</v>
      </c>
      <c r="D258">
        <f t="shared" si="17"/>
        <v>0</v>
      </c>
      <c r="E258">
        <f t="shared" si="18"/>
        <v>0</v>
      </c>
      <c r="F258">
        <f t="shared" si="16"/>
        <v>0</v>
      </c>
    </row>
    <row r="259" spans="1:6" x14ac:dyDescent="0.25">
      <c r="A259" s="4" t="s">
        <v>207</v>
      </c>
      <c r="B259">
        <v>381</v>
      </c>
      <c r="C259">
        <f t="shared" si="15"/>
        <v>7532</v>
      </c>
      <c r="D259">
        <f t="shared" si="17"/>
        <v>0</v>
      </c>
      <c r="E259">
        <f t="shared" si="18"/>
        <v>0</v>
      </c>
      <c r="F259">
        <f t="shared" si="16"/>
        <v>0</v>
      </c>
    </row>
    <row r="260" spans="1:6" x14ac:dyDescent="0.25">
      <c r="A260" s="4" t="s">
        <v>213</v>
      </c>
      <c r="B260">
        <v>567</v>
      </c>
      <c r="C260">
        <f t="shared" si="15"/>
        <v>8099</v>
      </c>
      <c r="D260">
        <f t="shared" si="17"/>
        <v>0</v>
      </c>
      <c r="E260">
        <f t="shared" si="18"/>
        <v>0</v>
      </c>
      <c r="F260">
        <f t="shared" si="16"/>
        <v>0</v>
      </c>
    </row>
    <row r="261" spans="1:6" x14ac:dyDescent="0.25">
      <c r="A261" s="4" t="s">
        <v>218</v>
      </c>
      <c r="B261">
        <v>228</v>
      </c>
      <c r="C261">
        <f t="shared" ref="C261:C324" si="19">IF(LEN(A261) &gt;= 12, 0, C260+B261)</f>
        <v>8327</v>
      </c>
      <c r="D261">
        <f t="shared" si="17"/>
        <v>0</v>
      </c>
      <c r="E261">
        <f t="shared" si="18"/>
        <v>0</v>
      </c>
      <c r="F261">
        <f t="shared" si="16"/>
        <v>0</v>
      </c>
    </row>
    <row r="262" spans="1:6" x14ac:dyDescent="0.25">
      <c r="A262" s="4" t="s">
        <v>219</v>
      </c>
      <c r="B262">
        <v>143</v>
      </c>
      <c r="C262">
        <f t="shared" si="19"/>
        <v>8470</v>
      </c>
      <c r="D262">
        <f t="shared" si="17"/>
        <v>0</v>
      </c>
      <c r="E262">
        <f t="shared" si="18"/>
        <v>0</v>
      </c>
      <c r="F262">
        <f t="shared" ref="F262:F325" si="20">IF(AND(D262 = 1, C262 &lt; 20000), B262*5, IF(AND(E262=1, C262 &gt;= 20000),B262*10,0))</f>
        <v>0</v>
      </c>
    </row>
    <row r="263" spans="1:6" x14ac:dyDescent="0.25">
      <c r="A263" s="4" t="s">
        <v>221</v>
      </c>
      <c r="B263">
        <v>428</v>
      </c>
      <c r="C263">
        <f t="shared" si="19"/>
        <v>8898</v>
      </c>
      <c r="D263">
        <f t="shared" si="17"/>
        <v>0</v>
      </c>
      <c r="E263">
        <f t="shared" si="18"/>
        <v>0</v>
      </c>
      <c r="F263">
        <f t="shared" si="20"/>
        <v>0</v>
      </c>
    </row>
    <row r="264" spans="1:6" x14ac:dyDescent="0.25">
      <c r="A264" s="4" t="s">
        <v>225</v>
      </c>
      <c r="B264">
        <v>290</v>
      </c>
      <c r="C264">
        <f t="shared" si="19"/>
        <v>9188</v>
      </c>
      <c r="D264">
        <f t="shared" si="17"/>
        <v>0</v>
      </c>
      <c r="E264">
        <f t="shared" si="18"/>
        <v>0</v>
      </c>
      <c r="F264">
        <f t="shared" si="20"/>
        <v>0</v>
      </c>
    </row>
    <row r="265" spans="1:6" x14ac:dyDescent="0.25">
      <c r="A265" s="4" t="s">
        <v>238</v>
      </c>
      <c r="B265">
        <v>440</v>
      </c>
      <c r="C265">
        <f t="shared" si="19"/>
        <v>9628</v>
      </c>
      <c r="D265">
        <f t="shared" si="17"/>
        <v>0</v>
      </c>
      <c r="E265">
        <f t="shared" si="18"/>
        <v>0</v>
      </c>
      <c r="F265">
        <f t="shared" si="20"/>
        <v>0</v>
      </c>
    </row>
    <row r="266" spans="1:6" x14ac:dyDescent="0.25">
      <c r="A266" s="4" t="s">
        <v>247</v>
      </c>
      <c r="B266">
        <v>472</v>
      </c>
      <c r="C266">
        <f t="shared" si="19"/>
        <v>10100</v>
      </c>
      <c r="D266">
        <f t="shared" si="17"/>
        <v>0</v>
      </c>
      <c r="E266">
        <f t="shared" si="18"/>
        <v>0</v>
      </c>
      <c r="F266">
        <f t="shared" si="20"/>
        <v>0</v>
      </c>
    </row>
    <row r="267" spans="1:6" x14ac:dyDescent="0.25">
      <c r="A267" s="4" t="s">
        <v>255</v>
      </c>
      <c r="B267">
        <v>223</v>
      </c>
      <c r="C267">
        <f t="shared" si="19"/>
        <v>10323</v>
      </c>
      <c r="D267">
        <f t="shared" si="17"/>
        <v>0</v>
      </c>
      <c r="E267">
        <f t="shared" si="18"/>
        <v>0</v>
      </c>
      <c r="F267">
        <f t="shared" si="20"/>
        <v>0</v>
      </c>
    </row>
    <row r="268" spans="1:6" x14ac:dyDescent="0.25">
      <c r="A268" s="4" t="s">
        <v>261</v>
      </c>
      <c r="B268">
        <v>407</v>
      </c>
      <c r="C268">
        <f t="shared" si="19"/>
        <v>10730</v>
      </c>
      <c r="D268">
        <f t="shared" si="17"/>
        <v>0</v>
      </c>
      <c r="E268">
        <f t="shared" si="18"/>
        <v>0</v>
      </c>
      <c r="F268">
        <f t="shared" si="20"/>
        <v>0</v>
      </c>
    </row>
    <row r="269" spans="1:6" x14ac:dyDescent="0.25">
      <c r="A269" s="4" t="s">
        <v>263</v>
      </c>
      <c r="B269">
        <v>119</v>
      </c>
      <c r="C269">
        <f t="shared" si="19"/>
        <v>10849</v>
      </c>
      <c r="D269">
        <f t="shared" si="17"/>
        <v>0</v>
      </c>
      <c r="E269">
        <f t="shared" si="18"/>
        <v>0</v>
      </c>
      <c r="F269">
        <f t="shared" si="20"/>
        <v>0</v>
      </c>
    </row>
    <row r="270" spans="1:6" x14ac:dyDescent="0.25">
      <c r="A270" s="4" t="s">
        <v>267</v>
      </c>
      <c r="B270">
        <v>333</v>
      </c>
      <c r="C270">
        <f t="shared" si="19"/>
        <v>11182</v>
      </c>
      <c r="D270">
        <f t="shared" si="17"/>
        <v>0</v>
      </c>
      <c r="E270">
        <f t="shared" si="18"/>
        <v>0</v>
      </c>
      <c r="F270">
        <f t="shared" si="20"/>
        <v>0</v>
      </c>
    </row>
    <row r="271" spans="1:6" x14ac:dyDescent="0.25">
      <c r="A271" s="4" t="s">
        <v>272</v>
      </c>
      <c r="B271">
        <v>430</v>
      </c>
      <c r="C271">
        <f t="shared" si="19"/>
        <v>11612</v>
      </c>
      <c r="D271">
        <f t="shared" si="17"/>
        <v>0</v>
      </c>
      <c r="E271">
        <f t="shared" si="18"/>
        <v>0</v>
      </c>
      <c r="F271">
        <f t="shared" si="20"/>
        <v>0</v>
      </c>
    </row>
    <row r="272" spans="1:6" x14ac:dyDescent="0.25">
      <c r="A272" s="4" t="s">
        <v>274</v>
      </c>
      <c r="B272">
        <v>43</v>
      </c>
      <c r="C272">
        <f t="shared" si="19"/>
        <v>11655</v>
      </c>
      <c r="D272">
        <f t="shared" si="17"/>
        <v>0</v>
      </c>
      <c r="E272">
        <f t="shared" si="18"/>
        <v>0</v>
      </c>
      <c r="F272">
        <f t="shared" si="20"/>
        <v>0</v>
      </c>
    </row>
    <row r="273" spans="1:6" x14ac:dyDescent="0.25">
      <c r="A273" s="4" t="s">
        <v>276</v>
      </c>
      <c r="B273">
        <v>18</v>
      </c>
      <c r="C273">
        <f t="shared" si="19"/>
        <v>11673</v>
      </c>
      <c r="D273">
        <f t="shared" si="17"/>
        <v>0</v>
      </c>
      <c r="E273">
        <f t="shared" si="18"/>
        <v>0</v>
      </c>
      <c r="F273">
        <f t="shared" si="20"/>
        <v>0</v>
      </c>
    </row>
    <row r="274" spans="1:6" x14ac:dyDescent="0.25">
      <c r="A274" s="4" t="s">
        <v>279</v>
      </c>
      <c r="B274">
        <v>55</v>
      </c>
      <c r="C274">
        <f t="shared" si="19"/>
        <v>11728</v>
      </c>
      <c r="D274">
        <f t="shared" si="17"/>
        <v>0</v>
      </c>
      <c r="E274">
        <f t="shared" si="18"/>
        <v>0</v>
      </c>
      <c r="F274">
        <f t="shared" si="20"/>
        <v>0</v>
      </c>
    </row>
    <row r="275" spans="1:6" x14ac:dyDescent="0.25">
      <c r="A275" s="4" t="s">
        <v>290</v>
      </c>
      <c r="B275">
        <v>305</v>
      </c>
      <c r="C275">
        <f t="shared" si="19"/>
        <v>12033</v>
      </c>
      <c r="D275">
        <f t="shared" si="17"/>
        <v>0</v>
      </c>
      <c r="E275">
        <f t="shared" si="18"/>
        <v>0</v>
      </c>
      <c r="F275">
        <f t="shared" si="20"/>
        <v>0</v>
      </c>
    </row>
    <row r="276" spans="1:6" x14ac:dyDescent="0.25">
      <c r="A276" s="4" t="s">
        <v>300</v>
      </c>
      <c r="B276">
        <v>223</v>
      </c>
      <c r="C276">
        <f t="shared" si="19"/>
        <v>12256</v>
      </c>
      <c r="D276">
        <f t="shared" si="17"/>
        <v>0</v>
      </c>
      <c r="E276">
        <f t="shared" si="18"/>
        <v>0</v>
      </c>
      <c r="F276">
        <f t="shared" si="20"/>
        <v>0</v>
      </c>
    </row>
    <row r="277" spans="1:6" x14ac:dyDescent="0.25">
      <c r="A277" s="4" t="s">
        <v>301</v>
      </c>
      <c r="B277">
        <v>251</v>
      </c>
      <c r="C277">
        <f t="shared" si="19"/>
        <v>12507</v>
      </c>
      <c r="D277">
        <f t="shared" si="17"/>
        <v>0</v>
      </c>
      <c r="E277">
        <f t="shared" si="18"/>
        <v>0</v>
      </c>
      <c r="F277">
        <f t="shared" si="20"/>
        <v>0</v>
      </c>
    </row>
    <row r="278" spans="1:6" x14ac:dyDescent="0.25">
      <c r="A278" s="4" t="s">
        <v>303</v>
      </c>
      <c r="B278">
        <v>876</v>
      </c>
      <c r="C278">
        <f t="shared" si="19"/>
        <v>13383</v>
      </c>
      <c r="D278">
        <f t="shared" si="17"/>
        <v>0</v>
      </c>
      <c r="E278">
        <f t="shared" si="18"/>
        <v>0</v>
      </c>
      <c r="F278">
        <f t="shared" si="20"/>
        <v>0</v>
      </c>
    </row>
    <row r="279" spans="1:6" x14ac:dyDescent="0.25">
      <c r="A279" s="4" t="s">
        <v>304</v>
      </c>
      <c r="B279">
        <v>210</v>
      </c>
      <c r="C279">
        <f t="shared" si="19"/>
        <v>13593</v>
      </c>
      <c r="D279">
        <f t="shared" si="17"/>
        <v>0</v>
      </c>
      <c r="E279">
        <f t="shared" si="18"/>
        <v>0</v>
      </c>
      <c r="F279">
        <f t="shared" si="20"/>
        <v>0</v>
      </c>
    </row>
    <row r="280" spans="1:6" x14ac:dyDescent="0.25">
      <c r="A280" s="4" t="s">
        <v>308</v>
      </c>
      <c r="B280">
        <v>410</v>
      </c>
      <c r="C280">
        <f t="shared" si="19"/>
        <v>14003</v>
      </c>
      <c r="D280">
        <f t="shared" si="17"/>
        <v>0</v>
      </c>
      <c r="E280">
        <f t="shared" si="18"/>
        <v>0</v>
      </c>
      <c r="F280">
        <f t="shared" si="20"/>
        <v>0</v>
      </c>
    </row>
    <row r="281" spans="1:6" x14ac:dyDescent="0.25">
      <c r="A281" s="4" t="s">
        <v>318</v>
      </c>
      <c r="B281">
        <v>481</v>
      </c>
      <c r="C281">
        <f t="shared" si="19"/>
        <v>14484</v>
      </c>
      <c r="D281">
        <f t="shared" si="17"/>
        <v>0</v>
      </c>
      <c r="E281">
        <f t="shared" si="18"/>
        <v>0</v>
      </c>
      <c r="F281">
        <f t="shared" si="20"/>
        <v>0</v>
      </c>
    </row>
    <row r="282" spans="1:6" x14ac:dyDescent="0.25">
      <c r="A282" s="4" t="s">
        <v>329</v>
      </c>
      <c r="B282">
        <v>181</v>
      </c>
      <c r="C282">
        <f t="shared" si="19"/>
        <v>14665</v>
      </c>
      <c r="D282">
        <f t="shared" si="17"/>
        <v>0</v>
      </c>
      <c r="E282">
        <f t="shared" si="18"/>
        <v>0</v>
      </c>
      <c r="F282">
        <f t="shared" si="20"/>
        <v>0</v>
      </c>
    </row>
    <row r="283" spans="1:6" x14ac:dyDescent="0.25">
      <c r="A283" s="4" t="s">
        <v>333</v>
      </c>
      <c r="B283">
        <v>189</v>
      </c>
      <c r="C283">
        <f t="shared" si="19"/>
        <v>14854</v>
      </c>
      <c r="D283">
        <f t="shared" si="17"/>
        <v>0</v>
      </c>
      <c r="E283">
        <f t="shared" si="18"/>
        <v>0</v>
      </c>
      <c r="F283">
        <f t="shared" si="20"/>
        <v>0</v>
      </c>
    </row>
    <row r="284" spans="1:6" x14ac:dyDescent="0.25">
      <c r="A284" s="4" t="s">
        <v>339</v>
      </c>
      <c r="B284">
        <v>253</v>
      </c>
      <c r="C284">
        <f t="shared" si="19"/>
        <v>15107</v>
      </c>
      <c r="D284">
        <f t="shared" si="17"/>
        <v>1</v>
      </c>
      <c r="E284">
        <f t="shared" si="18"/>
        <v>0</v>
      </c>
      <c r="F284">
        <f t="shared" si="20"/>
        <v>1265</v>
      </c>
    </row>
    <row r="285" spans="1:6" x14ac:dyDescent="0.25">
      <c r="A285" s="4" t="s">
        <v>340</v>
      </c>
      <c r="B285">
        <v>269</v>
      </c>
      <c r="C285">
        <f t="shared" si="19"/>
        <v>15376</v>
      </c>
      <c r="D285">
        <f t="shared" si="17"/>
        <v>1</v>
      </c>
      <c r="E285">
        <f t="shared" si="18"/>
        <v>0</v>
      </c>
      <c r="F285">
        <f t="shared" si="20"/>
        <v>1345</v>
      </c>
    </row>
    <row r="286" spans="1:6" x14ac:dyDescent="0.25">
      <c r="A286" s="4" t="s">
        <v>345</v>
      </c>
      <c r="B286">
        <v>281</v>
      </c>
      <c r="C286">
        <f t="shared" si="19"/>
        <v>15657</v>
      </c>
      <c r="D286">
        <f t="shared" si="17"/>
        <v>1</v>
      </c>
      <c r="E286">
        <f t="shared" si="18"/>
        <v>0</v>
      </c>
      <c r="F286">
        <f t="shared" si="20"/>
        <v>1405</v>
      </c>
    </row>
    <row r="287" spans="1:6" x14ac:dyDescent="0.25">
      <c r="A287" s="4" t="s">
        <v>347</v>
      </c>
      <c r="B287">
        <v>420</v>
      </c>
      <c r="C287">
        <f t="shared" si="19"/>
        <v>16077</v>
      </c>
      <c r="D287">
        <f t="shared" si="17"/>
        <v>1</v>
      </c>
      <c r="E287">
        <f t="shared" si="18"/>
        <v>0</v>
      </c>
      <c r="F287">
        <f t="shared" si="20"/>
        <v>2100</v>
      </c>
    </row>
    <row r="288" spans="1:6" x14ac:dyDescent="0.25">
      <c r="A288" s="4" t="s">
        <v>357</v>
      </c>
      <c r="B288">
        <v>413</v>
      </c>
      <c r="C288">
        <f t="shared" si="19"/>
        <v>16490</v>
      </c>
      <c r="D288">
        <f t="shared" si="17"/>
        <v>1</v>
      </c>
      <c r="E288">
        <f t="shared" si="18"/>
        <v>0</v>
      </c>
      <c r="F288">
        <f t="shared" si="20"/>
        <v>2065</v>
      </c>
    </row>
    <row r="289" spans="1:6" x14ac:dyDescent="0.25">
      <c r="A289" s="4" t="s">
        <v>360</v>
      </c>
      <c r="B289">
        <v>66</v>
      </c>
      <c r="C289">
        <f t="shared" si="19"/>
        <v>16556</v>
      </c>
      <c r="D289">
        <f t="shared" si="17"/>
        <v>1</v>
      </c>
      <c r="E289">
        <f t="shared" si="18"/>
        <v>0</v>
      </c>
      <c r="F289">
        <f t="shared" si="20"/>
        <v>330</v>
      </c>
    </row>
    <row r="290" spans="1:6" x14ac:dyDescent="0.25">
      <c r="A290" s="4" t="s">
        <v>368</v>
      </c>
      <c r="B290">
        <v>730</v>
      </c>
      <c r="C290">
        <f t="shared" si="19"/>
        <v>17286</v>
      </c>
      <c r="D290">
        <f t="shared" si="17"/>
        <v>1</v>
      </c>
      <c r="E290">
        <f t="shared" si="18"/>
        <v>0</v>
      </c>
      <c r="F290">
        <f t="shared" si="20"/>
        <v>3650</v>
      </c>
    </row>
    <row r="291" spans="1:6" x14ac:dyDescent="0.25">
      <c r="A291" s="4" t="s">
        <v>369</v>
      </c>
      <c r="B291">
        <v>124</v>
      </c>
      <c r="C291">
        <f t="shared" si="19"/>
        <v>17410</v>
      </c>
      <c r="D291">
        <f t="shared" si="17"/>
        <v>1</v>
      </c>
      <c r="E291">
        <f t="shared" si="18"/>
        <v>0</v>
      </c>
      <c r="F291">
        <f t="shared" si="20"/>
        <v>620</v>
      </c>
    </row>
    <row r="292" spans="1:6" x14ac:dyDescent="0.25">
      <c r="A292" s="4" t="s">
        <v>382</v>
      </c>
      <c r="B292">
        <v>261</v>
      </c>
      <c r="C292">
        <f t="shared" si="19"/>
        <v>17671</v>
      </c>
      <c r="D292">
        <f t="shared" si="17"/>
        <v>1</v>
      </c>
      <c r="E292">
        <f t="shared" si="18"/>
        <v>0</v>
      </c>
      <c r="F292">
        <f t="shared" si="20"/>
        <v>1305</v>
      </c>
    </row>
    <row r="293" spans="1:6" x14ac:dyDescent="0.25">
      <c r="A293" s="4" t="s">
        <v>384</v>
      </c>
      <c r="B293">
        <v>109</v>
      </c>
      <c r="C293">
        <f t="shared" si="19"/>
        <v>17780</v>
      </c>
      <c r="D293">
        <f t="shared" si="17"/>
        <v>1</v>
      </c>
      <c r="E293">
        <f t="shared" si="18"/>
        <v>0</v>
      </c>
      <c r="F293">
        <f t="shared" si="20"/>
        <v>545</v>
      </c>
    </row>
    <row r="294" spans="1:6" x14ac:dyDescent="0.25">
      <c r="A294" s="4" t="s">
        <v>386</v>
      </c>
      <c r="B294">
        <v>561</v>
      </c>
      <c r="C294">
        <f t="shared" si="19"/>
        <v>18341</v>
      </c>
      <c r="D294">
        <f t="shared" si="17"/>
        <v>1</v>
      </c>
      <c r="E294">
        <f t="shared" si="18"/>
        <v>0</v>
      </c>
      <c r="F294">
        <f t="shared" si="20"/>
        <v>2805</v>
      </c>
    </row>
    <row r="295" spans="1:6" x14ac:dyDescent="0.25">
      <c r="A295" s="4" t="s">
        <v>390</v>
      </c>
      <c r="B295">
        <v>337</v>
      </c>
      <c r="C295">
        <f t="shared" si="19"/>
        <v>18678</v>
      </c>
      <c r="D295">
        <f t="shared" si="17"/>
        <v>1</v>
      </c>
      <c r="E295">
        <f t="shared" si="18"/>
        <v>0</v>
      </c>
      <c r="F295">
        <f t="shared" si="20"/>
        <v>1685</v>
      </c>
    </row>
    <row r="296" spans="1:6" x14ac:dyDescent="0.25">
      <c r="A296" s="4" t="s">
        <v>391</v>
      </c>
      <c r="B296">
        <v>1128</v>
      </c>
      <c r="C296">
        <f t="shared" si="19"/>
        <v>19806</v>
      </c>
      <c r="D296">
        <f t="shared" si="17"/>
        <v>1</v>
      </c>
      <c r="E296">
        <f t="shared" si="18"/>
        <v>0</v>
      </c>
      <c r="F296">
        <f t="shared" si="20"/>
        <v>5640</v>
      </c>
    </row>
    <row r="297" spans="1:6" x14ac:dyDescent="0.25">
      <c r="A297" s="4" t="s">
        <v>393</v>
      </c>
      <c r="B297">
        <v>261</v>
      </c>
      <c r="C297">
        <f t="shared" si="19"/>
        <v>20067</v>
      </c>
      <c r="D297">
        <f t="shared" si="17"/>
        <v>1</v>
      </c>
      <c r="E297">
        <f t="shared" si="18"/>
        <v>1</v>
      </c>
      <c r="F297">
        <f t="shared" si="20"/>
        <v>2610</v>
      </c>
    </row>
    <row r="298" spans="1:6" x14ac:dyDescent="0.25">
      <c r="A298" s="4" t="s">
        <v>394</v>
      </c>
      <c r="B298">
        <v>590</v>
      </c>
      <c r="C298">
        <f t="shared" si="19"/>
        <v>20657</v>
      </c>
      <c r="D298">
        <f t="shared" si="17"/>
        <v>1</v>
      </c>
      <c r="E298">
        <f t="shared" si="18"/>
        <v>1</v>
      </c>
      <c r="F298">
        <f t="shared" si="20"/>
        <v>5900</v>
      </c>
    </row>
    <row r="299" spans="1:6" x14ac:dyDescent="0.25">
      <c r="A299" s="3" t="s">
        <v>38</v>
      </c>
      <c r="B299">
        <v>16162</v>
      </c>
      <c r="C299">
        <f t="shared" si="19"/>
        <v>0</v>
      </c>
      <c r="D299">
        <f t="shared" si="17"/>
        <v>0</v>
      </c>
      <c r="E299">
        <f t="shared" si="18"/>
        <v>0</v>
      </c>
      <c r="F299">
        <f t="shared" si="20"/>
        <v>0</v>
      </c>
    </row>
    <row r="300" spans="1:6" x14ac:dyDescent="0.25">
      <c r="A300" s="4" t="s">
        <v>99</v>
      </c>
      <c r="B300">
        <v>734</v>
      </c>
      <c r="C300">
        <f t="shared" si="19"/>
        <v>734</v>
      </c>
      <c r="D300">
        <f t="shared" si="17"/>
        <v>0</v>
      </c>
      <c r="E300">
        <f t="shared" si="18"/>
        <v>0</v>
      </c>
      <c r="F300">
        <f t="shared" si="20"/>
        <v>0</v>
      </c>
    </row>
    <row r="301" spans="1:6" x14ac:dyDescent="0.25">
      <c r="A301" s="4" t="s">
        <v>102</v>
      </c>
      <c r="B301">
        <v>403</v>
      </c>
      <c r="C301">
        <f t="shared" si="19"/>
        <v>1137</v>
      </c>
      <c r="D301">
        <f t="shared" si="17"/>
        <v>0</v>
      </c>
      <c r="E301">
        <f t="shared" si="18"/>
        <v>0</v>
      </c>
      <c r="F301">
        <f t="shared" si="20"/>
        <v>0</v>
      </c>
    </row>
    <row r="302" spans="1:6" x14ac:dyDescent="0.25">
      <c r="A302" s="4" t="s">
        <v>103</v>
      </c>
      <c r="B302">
        <v>408</v>
      </c>
      <c r="C302">
        <f t="shared" si="19"/>
        <v>1545</v>
      </c>
      <c r="D302">
        <f t="shared" si="17"/>
        <v>0</v>
      </c>
      <c r="E302">
        <f t="shared" si="18"/>
        <v>0</v>
      </c>
      <c r="F302">
        <f t="shared" si="20"/>
        <v>0</v>
      </c>
    </row>
    <row r="303" spans="1:6" x14ac:dyDescent="0.25">
      <c r="A303" s="4" t="s">
        <v>117</v>
      </c>
      <c r="B303">
        <v>45</v>
      </c>
      <c r="C303">
        <f t="shared" si="19"/>
        <v>1590</v>
      </c>
      <c r="D303">
        <f t="shared" si="17"/>
        <v>0</v>
      </c>
      <c r="E303">
        <f t="shared" si="18"/>
        <v>0</v>
      </c>
      <c r="F303">
        <f t="shared" si="20"/>
        <v>0</v>
      </c>
    </row>
    <row r="304" spans="1:6" x14ac:dyDescent="0.25">
      <c r="A304" s="4" t="s">
        <v>124</v>
      </c>
      <c r="B304">
        <v>340</v>
      </c>
      <c r="C304">
        <f t="shared" si="19"/>
        <v>1930</v>
      </c>
      <c r="D304">
        <f t="shared" si="17"/>
        <v>0</v>
      </c>
      <c r="E304">
        <f t="shared" si="18"/>
        <v>0</v>
      </c>
      <c r="F304">
        <f t="shared" si="20"/>
        <v>0</v>
      </c>
    </row>
    <row r="305" spans="1:6" x14ac:dyDescent="0.25">
      <c r="A305" s="4" t="s">
        <v>126</v>
      </c>
      <c r="B305">
        <v>498</v>
      </c>
      <c r="C305">
        <f t="shared" si="19"/>
        <v>2428</v>
      </c>
      <c r="D305">
        <f t="shared" ref="D305:D368" si="21">IF(C305 &gt; 15000, 1, 0)</f>
        <v>0</v>
      </c>
      <c r="E305">
        <f t="shared" ref="E305:E368" si="22">IF(AND(D305 =1,C305 &gt;= 20000),1,0)</f>
        <v>0</v>
      </c>
      <c r="F305">
        <f t="shared" si="20"/>
        <v>0</v>
      </c>
    </row>
    <row r="306" spans="1:6" x14ac:dyDescent="0.25">
      <c r="A306" s="4" t="s">
        <v>135</v>
      </c>
      <c r="B306">
        <v>1064</v>
      </c>
      <c r="C306">
        <f t="shared" si="19"/>
        <v>3492</v>
      </c>
      <c r="D306">
        <f t="shared" si="21"/>
        <v>0</v>
      </c>
      <c r="E306">
        <f t="shared" si="22"/>
        <v>0</v>
      </c>
      <c r="F306">
        <f t="shared" si="20"/>
        <v>0</v>
      </c>
    </row>
    <row r="307" spans="1:6" x14ac:dyDescent="0.25">
      <c r="A307" s="4" t="s">
        <v>137</v>
      </c>
      <c r="B307">
        <v>576</v>
      </c>
      <c r="C307">
        <f t="shared" si="19"/>
        <v>4068</v>
      </c>
      <c r="D307">
        <f t="shared" si="21"/>
        <v>0</v>
      </c>
      <c r="E307">
        <f t="shared" si="22"/>
        <v>0</v>
      </c>
      <c r="F307">
        <f t="shared" si="20"/>
        <v>0</v>
      </c>
    </row>
    <row r="308" spans="1:6" x14ac:dyDescent="0.25">
      <c r="A308" s="4" t="s">
        <v>141</v>
      </c>
      <c r="B308">
        <v>36</v>
      </c>
      <c r="C308">
        <f t="shared" si="19"/>
        <v>4104</v>
      </c>
      <c r="D308">
        <f t="shared" si="21"/>
        <v>0</v>
      </c>
      <c r="E308">
        <f t="shared" si="22"/>
        <v>0</v>
      </c>
      <c r="F308">
        <f t="shared" si="20"/>
        <v>0</v>
      </c>
    </row>
    <row r="309" spans="1:6" x14ac:dyDescent="0.25">
      <c r="A309" s="4" t="s">
        <v>142</v>
      </c>
      <c r="B309">
        <v>302</v>
      </c>
      <c r="C309">
        <f t="shared" si="19"/>
        <v>4406</v>
      </c>
      <c r="D309">
        <f t="shared" si="21"/>
        <v>0</v>
      </c>
      <c r="E309">
        <f t="shared" si="22"/>
        <v>0</v>
      </c>
      <c r="F309">
        <f t="shared" si="20"/>
        <v>0</v>
      </c>
    </row>
    <row r="310" spans="1:6" x14ac:dyDescent="0.25">
      <c r="A310" s="4" t="s">
        <v>144</v>
      </c>
      <c r="B310">
        <v>393</v>
      </c>
      <c r="C310">
        <f t="shared" si="19"/>
        <v>4799</v>
      </c>
      <c r="D310">
        <f t="shared" si="21"/>
        <v>0</v>
      </c>
      <c r="E310">
        <f t="shared" si="22"/>
        <v>0</v>
      </c>
      <c r="F310">
        <f t="shared" si="20"/>
        <v>0</v>
      </c>
    </row>
    <row r="311" spans="1:6" x14ac:dyDescent="0.25">
      <c r="A311" s="4" t="s">
        <v>149</v>
      </c>
      <c r="B311">
        <v>249</v>
      </c>
      <c r="C311">
        <f t="shared" si="19"/>
        <v>5048</v>
      </c>
      <c r="D311">
        <f t="shared" si="21"/>
        <v>0</v>
      </c>
      <c r="E311">
        <f t="shared" si="22"/>
        <v>0</v>
      </c>
      <c r="F311">
        <f t="shared" si="20"/>
        <v>0</v>
      </c>
    </row>
    <row r="312" spans="1:6" x14ac:dyDescent="0.25">
      <c r="A312" s="4" t="s">
        <v>169</v>
      </c>
      <c r="B312">
        <v>17</v>
      </c>
      <c r="C312">
        <f t="shared" si="19"/>
        <v>5065</v>
      </c>
      <c r="D312">
        <f t="shared" si="21"/>
        <v>0</v>
      </c>
      <c r="E312">
        <f t="shared" si="22"/>
        <v>0</v>
      </c>
      <c r="F312">
        <f t="shared" si="20"/>
        <v>0</v>
      </c>
    </row>
    <row r="313" spans="1:6" x14ac:dyDescent="0.25">
      <c r="A313" s="4" t="s">
        <v>170</v>
      </c>
      <c r="B313">
        <v>161</v>
      </c>
      <c r="C313">
        <f t="shared" si="19"/>
        <v>5226</v>
      </c>
      <c r="D313">
        <f t="shared" si="21"/>
        <v>0</v>
      </c>
      <c r="E313">
        <f t="shared" si="22"/>
        <v>0</v>
      </c>
      <c r="F313">
        <f t="shared" si="20"/>
        <v>0</v>
      </c>
    </row>
    <row r="314" spans="1:6" x14ac:dyDescent="0.25">
      <c r="A314" s="4" t="s">
        <v>171</v>
      </c>
      <c r="B314">
        <v>56</v>
      </c>
      <c r="C314">
        <f t="shared" si="19"/>
        <v>5282</v>
      </c>
      <c r="D314">
        <f t="shared" si="21"/>
        <v>0</v>
      </c>
      <c r="E314">
        <f t="shared" si="22"/>
        <v>0</v>
      </c>
      <c r="F314">
        <f t="shared" si="20"/>
        <v>0</v>
      </c>
    </row>
    <row r="315" spans="1:6" x14ac:dyDescent="0.25">
      <c r="A315" s="4" t="s">
        <v>173</v>
      </c>
      <c r="B315">
        <v>571</v>
      </c>
      <c r="C315">
        <f t="shared" si="19"/>
        <v>5853</v>
      </c>
      <c r="D315">
        <f t="shared" si="21"/>
        <v>0</v>
      </c>
      <c r="E315">
        <f t="shared" si="22"/>
        <v>0</v>
      </c>
      <c r="F315">
        <f t="shared" si="20"/>
        <v>0</v>
      </c>
    </row>
    <row r="316" spans="1:6" x14ac:dyDescent="0.25">
      <c r="A316" s="4" t="s">
        <v>175</v>
      </c>
      <c r="B316">
        <v>176</v>
      </c>
      <c r="C316">
        <f t="shared" si="19"/>
        <v>6029</v>
      </c>
      <c r="D316">
        <f t="shared" si="21"/>
        <v>0</v>
      </c>
      <c r="E316">
        <f t="shared" si="22"/>
        <v>0</v>
      </c>
      <c r="F316">
        <f t="shared" si="20"/>
        <v>0</v>
      </c>
    </row>
    <row r="317" spans="1:6" x14ac:dyDescent="0.25">
      <c r="A317" s="4" t="s">
        <v>178</v>
      </c>
      <c r="B317">
        <v>638</v>
      </c>
      <c r="C317">
        <f t="shared" si="19"/>
        <v>6667</v>
      </c>
      <c r="D317">
        <f t="shared" si="21"/>
        <v>0</v>
      </c>
      <c r="E317">
        <f t="shared" si="22"/>
        <v>0</v>
      </c>
      <c r="F317">
        <f t="shared" si="20"/>
        <v>0</v>
      </c>
    </row>
    <row r="318" spans="1:6" x14ac:dyDescent="0.25">
      <c r="A318" s="4" t="s">
        <v>180</v>
      </c>
      <c r="B318">
        <v>621</v>
      </c>
      <c r="C318">
        <f t="shared" si="19"/>
        <v>7288</v>
      </c>
      <c r="D318">
        <f t="shared" si="21"/>
        <v>0</v>
      </c>
      <c r="E318">
        <f t="shared" si="22"/>
        <v>0</v>
      </c>
      <c r="F318">
        <f t="shared" si="20"/>
        <v>0</v>
      </c>
    </row>
    <row r="319" spans="1:6" x14ac:dyDescent="0.25">
      <c r="A319" s="4" t="s">
        <v>181</v>
      </c>
      <c r="B319">
        <v>279</v>
      </c>
      <c r="C319">
        <f t="shared" si="19"/>
        <v>7567</v>
      </c>
      <c r="D319">
        <f t="shared" si="21"/>
        <v>0</v>
      </c>
      <c r="E319">
        <f t="shared" si="22"/>
        <v>0</v>
      </c>
      <c r="F319">
        <f t="shared" si="20"/>
        <v>0</v>
      </c>
    </row>
    <row r="320" spans="1:6" x14ac:dyDescent="0.25">
      <c r="A320" s="4" t="s">
        <v>198</v>
      </c>
      <c r="B320">
        <v>623</v>
      </c>
      <c r="C320">
        <f t="shared" si="19"/>
        <v>8190</v>
      </c>
      <c r="D320">
        <f t="shared" si="21"/>
        <v>0</v>
      </c>
      <c r="E320">
        <f t="shared" si="22"/>
        <v>0</v>
      </c>
      <c r="F320">
        <f t="shared" si="20"/>
        <v>0</v>
      </c>
    </row>
    <row r="321" spans="1:6" x14ac:dyDescent="0.25">
      <c r="A321" s="4" t="s">
        <v>199</v>
      </c>
      <c r="B321">
        <v>233</v>
      </c>
      <c r="C321">
        <f t="shared" si="19"/>
        <v>8423</v>
      </c>
      <c r="D321">
        <f t="shared" si="21"/>
        <v>0</v>
      </c>
      <c r="E321">
        <f t="shared" si="22"/>
        <v>0</v>
      </c>
      <c r="F321">
        <f t="shared" si="20"/>
        <v>0</v>
      </c>
    </row>
    <row r="322" spans="1:6" x14ac:dyDescent="0.25">
      <c r="A322" s="4" t="s">
        <v>207</v>
      </c>
      <c r="B322">
        <v>193</v>
      </c>
      <c r="C322">
        <f t="shared" si="19"/>
        <v>8616</v>
      </c>
      <c r="D322">
        <f t="shared" si="21"/>
        <v>0</v>
      </c>
      <c r="E322">
        <f t="shared" si="22"/>
        <v>0</v>
      </c>
      <c r="F322">
        <f t="shared" si="20"/>
        <v>0</v>
      </c>
    </row>
    <row r="323" spans="1:6" x14ac:dyDescent="0.25">
      <c r="A323" s="4" t="s">
        <v>222</v>
      </c>
      <c r="B323">
        <v>453</v>
      </c>
      <c r="C323">
        <f t="shared" si="19"/>
        <v>9069</v>
      </c>
      <c r="D323">
        <f t="shared" si="21"/>
        <v>0</v>
      </c>
      <c r="E323">
        <f t="shared" si="22"/>
        <v>0</v>
      </c>
      <c r="F323">
        <f t="shared" si="20"/>
        <v>0</v>
      </c>
    </row>
    <row r="324" spans="1:6" x14ac:dyDescent="0.25">
      <c r="A324" s="4" t="s">
        <v>231</v>
      </c>
      <c r="B324">
        <v>366</v>
      </c>
      <c r="C324">
        <f t="shared" si="19"/>
        <v>9435</v>
      </c>
      <c r="D324">
        <f t="shared" si="21"/>
        <v>0</v>
      </c>
      <c r="E324">
        <f t="shared" si="22"/>
        <v>0</v>
      </c>
      <c r="F324">
        <f t="shared" si="20"/>
        <v>0</v>
      </c>
    </row>
    <row r="325" spans="1:6" x14ac:dyDescent="0.25">
      <c r="A325" s="4" t="s">
        <v>241</v>
      </c>
      <c r="B325">
        <v>264</v>
      </c>
      <c r="C325">
        <f t="shared" ref="C325:C388" si="23">IF(LEN(A325) &gt;= 12, 0, C324+B325)</f>
        <v>9699</v>
      </c>
      <c r="D325">
        <f t="shared" si="21"/>
        <v>0</v>
      </c>
      <c r="E325">
        <f t="shared" si="22"/>
        <v>0</v>
      </c>
      <c r="F325">
        <f t="shared" si="20"/>
        <v>0</v>
      </c>
    </row>
    <row r="326" spans="1:6" x14ac:dyDescent="0.25">
      <c r="A326" s="4" t="s">
        <v>242</v>
      </c>
      <c r="B326">
        <v>452</v>
      </c>
      <c r="C326">
        <f t="shared" si="23"/>
        <v>10151</v>
      </c>
      <c r="D326">
        <f t="shared" si="21"/>
        <v>0</v>
      </c>
      <c r="E326">
        <f t="shared" si="22"/>
        <v>0</v>
      </c>
      <c r="F326">
        <f t="shared" ref="F326:F389" si="24">IF(AND(D326 = 1, C326 &lt; 20000), B326*5, IF(AND(E326=1, C326 &gt;= 20000),B326*10,0))</f>
        <v>0</v>
      </c>
    </row>
    <row r="327" spans="1:6" x14ac:dyDescent="0.25">
      <c r="A327" s="4" t="s">
        <v>246</v>
      </c>
      <c r="B327">
        <v>402</v>
      </c>
      <c r="C327">
        <f t="shared" si="23"/>
        <v>10553</v>
      </c>
      <c r="D327">
        <f t="shared" si="21"/>
        <v>0</v>
      </c>
      <c r="E327">
        <f t="shared" si="22"/>
        <v>0</v>
      </c>
      <c r="F327">
        <f t="shared" si="24"/>
        <v>0</v>
      </c>
    </row>
    <row r="328" spans="1:6" x14ac:dyDescent="0.25">
      <c r="A328" s="4" t="s">
        <v>250</v>
      </c>
      <c r="B328">
        <v>374</v>
      </c>
      <c r="C328">
        <f t="shared" si="23"/>
        <v>10927</v>
      </c>
      <c r="D328">
        <f t="shared" si="21"/>
        <v>0</v>
      </c>
      <c r="E328">
        <f t="shared" si="22"/>
        <v>0</v>
      </c>
      <c r="F328">
        <f t="shared" si="24"/>
        <v>0</v>
      </c>
    </row>
    <row r="329" spans="1:6" x14ac:dyDescent="0.25">
      <c r="A329" s="4" t="s">
        <v>269</v>
      </c>
      <c r="B329">
        <v>155</v>
      </c>
      <c r="C329">
        <f t="shared" si="23"/>
        <v>11082</v>
      </c>
      <c r="D329">
        <f t="shared" si="21"/>
        <v>0</v>
      </c>
      <c r="E329">
        <f t="shared" si="22"/>
        <v>0</v>
      </c>
      <c r="F329">
        <f t="shared" si="24"/>
        <v>0</v>
      </c>
    </row>
    <row r="330" spans="1:6" x14ac:dyDescent="0.25">
      <c r="A330" s="4" t="s">
        <v>271</v>
      </c>
      <c r="B330">
        <v>177</v>
      </c>
      <c r="C330">
        <f t="shared" si="23"/>
        <v>11259</v>
      </c>
      <c r="D330">
        <f t="shared" si="21"/>
        <v>0</v>
      </c>
      <c r="E330">
        <f t="shared" si="22"/>
        <v>0</v>
      </c>
      <c r="F330">
        <f t="shared" si="24"/>
        <v>0</v>
      </c>
    </row>
    <row r="331" spans="1:6" x14ac:dyDescent="0.25">
      <c r="A331" s="4" t="s">
        <v>272</v>
      </c>
      <c r="B331">
        <v>346</v>
      </c>
      <c r="C331">
        <f t="shared" si="23"/>
        <v>11605</v>
      </c>
      <c r="D331">
        <f t="shared" si="21"/>
        <v>0</v>
      </c>
      <c r="E331">
        <f t="shared" si="22"/>
        <v>0</v>
      </c>
      <c r="F331">
        <f t="shared" si="24"/>
        <v>0</v>
      </c>
    </row>
    <row r="332" spans="1:6" x14ac:dyDescent="0.25">
      <c r="A332" s="4" t="s">
        <v>291</v>
      </c>
      <c r="B332">
        <v>249</v>
      </c>
      <c r="C332">
        <f t="shared" si="23"/>
        <v>11854</v>
      </c>
      <c r="D332">
        <f t="shared" si="21"/>
        <v>0</v>
      </c>
      <c r="E332">
        <f t="shared" si="22"/>
        <v>0</v>
      </c>
      <c r="F332">
        <f t="shared" si="24"/>
        <v>0</v>
      </c>
    </row>
    <row r="333" spans="1:6" x14ac:dyDescent="0.25">
      <c r="A333" s="4" t="s">
        <v>300</v>
      </c>
      <c r="B333">
        <v>99</v>
      </c>
      <c r="C333">
        <f t="shared" si="23"/>
        <v>11953</v>
      </c>
      <c r="D333">
        <f t="shared" si="21"/>
        <v>0</v>
      </c>
      <c r="E333">
        <f t="shared" si="22"/>
        <v>0</v>
      </c>
      <c r="F333">
        <f t="shared" si="24"/>
        <v>0</v>
      </c>
    </row>
    <row r="334" spans="1:6" x14ac:dyDescent="0.25">
      <c r="A334" s="4" t="s">
        <v>306</v>
      </c>
      <c r="B334">
        <v>94</v>
      </c>
      <c r="C334">
        <f t="shared" si="23"/>
        <v>12047</v>
      </c>
      <c r="D334">
        <f t="shared" si="21"/>
        <v>0</v>
      </c>
      <c r="E334">
        <f t="shared" si="22"/>
        <v>0</v>
      </c>
      <c r="F334">
        <f t="shared" si="24"/>
        <v>0</v>
      </c>
    </row>
    <row r="335" spans="1:6" x14ac:dyDescent="0.25">
      <c r="A335" s="4" t="s">
        <v>321</v>
      </c>
      <c r="B335">
        <v>716</v>
      </c>
      <c r="C335">
        <f t="shared" si="23"/>
        <v>12763</v>
      </c>
      <c r="D335">
        <f t="shared" si="21"/>
        <v>0</v>
      </c>
      <c r="E335">
        <f t="shared" si="22"/>
        <v>0</v>
      </c>
      <c r="F335">
        <f t="shared" si="24"/>
        <v>0</v>
      </c>
    </row>
    <row r="336" spans="1:6" x14ac:dyDescent="0.25">
      <c r="A336" s="4" t="s">
        <v>322</v>
      </c>
      <c r="B336">
        <v>269</v>
      </c>
      <c r="C336">
        <f t="shared" si="23"/>
        <v>13032</v>
      </c>
      <c r="D336">
        <f t="shared" si="21"/>
        <v>0</v>
      </c>
      <c r="E336">
        <f t="shared" si="22"/>
        <v>0</v>
      </c>
      <c r="F336">
        <f t="shared" si="24"/>
        <v>0</v>
      </c>
    </row>
    <row r="337" spans="1:6" x14ac:dyDescent="0.25">
      <c r="A337" s="4" t="s">
        <v>333</v>
      </c>
      <c r="B337">
        <v>340</v>
      </c>
      <c r="C337">
        <f t="shared" si="23"/>
        <v>13372</v>
      </c>
      <c r="D337">
        <f t="shared" si="21"/>
        <v>0</v>
      </c>
      <c r="E337">
        <f t="shared" si="22"/>
        <v>0</v>
      </c>
      <c r="F337">
        <f t="shared" si="24"/>
        <v>0</v>
      </c>
    </row>
    <row r="338" spans="1:6" x14ac:dyDescent="0.25">
      <c r="A338" s="4" t="s">
        <v>350</v>
      </c>
      <c r="B338">
        <v>477</v>
      </c>
      <c r="C338">
        <f t="shared" si="23"/>
        <v>13849</v>
      </c>
      <c r="D338">
        <f t="shared" si="21"/>
        <v>0</v>
      </c>
      <c r="E338">
        <f t="shared" si="22"/>
        <v>0</v>
      </c>
      <c r="F338">
        <f t="shared" si="24"/>
        <v>0</v>
      </c>
    </row>
    <row r="339" spans="1:6" x14ac:dyDescent="0.25">
      <c r="A339" s="4" t="s">
        <v>352</v>
      </c>
      <c r="B339">
        <v>128</v>
      </c>
      <c r="C339">
        <f t="shared" si="23"/>
        <v>13977</v>
      </c>
      <c r="D339">
        <f t="shared" si="21"/>
        <v>0</v>
      </c>
      <c r="E339">
        <f t="shared" si="22"/>
        <v>0</v>
      </c>
      <c r="F339">
        <f t="shared" si="24"/>
        <v>0</v>
      </c>
    </row>
    <row r="340" spans="1:6" x14ac:dyDescent="0.25">
      <c r="A340" s="4" t="s">
        <v>361</v>
      </c>
      <c r="B340">
        <v>10</v>
      </c>
      <c r="C340">
        <f t="shared" si="23"/>
        <v>13987</v>
      </c>
      <c r="D340">
        <f t="shared" si="21"/>
        <v>0</v>
      </c>
      <c r="E340">
        <f t="shared" si="22"/>
        <v>0</v>
      </c>
      <c r="F340">
        <f t="shared" si="24"/>
        <v>0</v>
      </c>
    </row>
    <row r="341" spans="1:6" x14ac:dyDescent="0.25">
      <c r="A341" s="4" t="s">
        <v>368</v>
      </c>
      <c r="B341">
        <v>189</v>
      </c>
      <c r="C341">
        <f t="shared" si="23"/>
        <v>14176</v>
      </c>
      <c r="D341">
        <f t="shared" si="21"/>
        <v>0</v>
      </c>
      <c r="E341">
        <f t="shared" si="22"/>
        <v>0</v>
      </c>
      <c r="F341">
        <f t="shared" si="24"/>
        <v>0</v>
      </c>
    </row>
    <row r="342" spans="1:6" x14ac:dyDescent="0.25">
      <c r="A342" s="4" t="s">
        <v>369</v>
      </c>
      <c r="B342">
        <v>103</v>
      </c>
      <c r="C342">
        <f t="shared" si="23"/>
        <v>14279</v>
      </c>
      <c r="D342">
        <f t="shared" si="21"/>
        <v>0</v>
      </c>
      <c r="E342">
        <f t="shared" si="22"/>
        <v>0</v>
      </c>
      <c r="F342">
        <f t="shared" si="24"/>
        <v>0</v>
      </c>
    </row>
    <row r="343" spans="1:6" x14ac:dyDescent="0.25">
      <c r="A343" s="4" t="s">
        <v>373</v>
      </c>
      <c r="B343">
        <v>461</v>
      </c>
      <c r="C343">
        <f t="shared" si="23"/>
        <v>14740</v>
      </c>
      <c r="D343">
        <f t="shared" si="21"/>
        <v>0</v>
      </c>
      <c r="E343">
        <f t="shared" si="22"/>
        <v>0</v>
      </c>
      <c r="F343">
        <f t="shared" si="24"/>
        <v>0</v>
      </c>
    </row>
    <row r="344" spans="1:6" x14ac:dyDescent="0.25">
      <c r="A344" s="4" t="s">
        <v>393</v>
      </c>
      <c r="B344">
        <v>338</v>
      </c>
      <c r="C344">
        <f t="shared" si="23"/>
        <v>15078</v>
      </c>
      <c r="D344">
        <f t="shared" si="21"/>
        <v>1</v>
      </c>
      <c r="E344">
        <f t="shared" si="22"/>
        <v>0</v>
      </c>
      <c r="F344">
        <f t="shared" si="24"/>
        <v>1690</v>
      </c>
    </row>
    <row r="345" spans="1:6" x14ac:dyDescent="0.25">
      <c r="A345" s="4" t="s">
        <v>394</v>
      </c>
      <c r="B345">
        <v>689</v>
      </c>
      <c r="C345">
        <f t="shared" si="23"/>
        <v>15767</v>
      </c>
      <c r="D345">
        <f t="shared" si="21"/>
        <v>1</v>
      </c>
      <c r="E345">
        <f t="shared" si="22"/>
        <v>0</v>
      </c>
      <c r="F345">
        <f t="shared" si="24"/>
        <v>3445</v>
      </c>
    </row>
    <row r="346" spans="1:6" x14ac:dyDescent="0.25">
      <c r="A346" s="4" t="s">
        <v>401</v>
      </c>
      <c r="B346">
        <v>395</v>
      </c>
      <c r="C346">
        <f t="shared" si="23"/>
        <v>16162</v>
      </c>
      <c r="D346">
        <f t="shared" si="21"/>
        <v>1</v>
      </c>
      <c r="E346">
        <f t="shared" si="22"/>
        <v>0</v>
      </c>
      <c r="F346">
        <f t="shared" si="24"/>
        <v>1975</v>
      </c>
    </row>
    <row r="347" spans="1:6" x14ac:dyDescent="0.25">
      <c r="A347" s="3" t="s">
        <v>33</v>
      </c>
      <c r="B347">
        <v>19464</v>
      </c>
      <c r="C347">
        <f t="shared" si="23"/>
        <v>0</v>
      </c>
      <c r="D347">
        <f t="shared" si="21"/>
        <v>0</v>
      </c>
      <c r="E347">
        <f t="shared" si="22"/>
        <v>0</v>
      </c>
      <c r="F347">
        <f t="shared" si="24"/>
        <v>0</v>
      </c>
    </row>
    <row r="348" spans="1:6" x14ac:dyDescent="0.25">
      <c r="A348" s="4" t="s">
        <v>95</v>
      </c>
      <c r="B348">
        <v>522</v>
      </c>
      <c r="C348">
        <f t="shared" si="23"/>
        <v>522</v>
      </c>
      <c r="D348">
        <f t="shared" si="21"/>
        <v>0</v>
      </c>
      <c r="E348">
        <f t="shared" si="22"/>
        <v>0</v>
      </c>
      <c r="F348">
        <f t="shared" si="24"/>
        <v>0</v>
      </c>
    </row>
    <row r="349" spans="1:6" x14ac:dyDescent="0.25">
      <c r="A349" s="4" t="s">
        <v>101</v>
      </c>
      <c r="B349">
        <v>579</v>
      </c>
      <c r="C349">
        <f t="shared" si="23"/>
        <v>1101</v>
      </c>
      <c r="D349">
        <f t="shared" si="21"/>
        <v>0</v>
      </c>
      <c r="E349">
        <f t="shared" si="22"/>
        <v>0</v>
      </c>
      <c r="F349">
        <f t="shared" si="24"/>
        <v>0</v>
      </c>
    </row>
    <row r="350" spans="1:6" x14ac:dyDescent="0.25">
      <c r="A350" s="4" t="s">
        <v>105</v>
      </c>
      <c r="B350">
        <v>378</v>
      </c>
      <c r="C350">
        <f t="shared" si="23"/>
        <v>1479</v>
      </c>
      <c r="D350">
        <f t="shared" si="21"/>
        <v>0</v>
      </c>
      <c r="E350">
        <f t="shared" si="22"/>
        <v>0</v>
      </c>
      <c r="F350">
        <f t="shared" si="24"/>
        <v>0</v>
      </c>
    </row>
    <row r="351" spans="1:6" x14ac:dyDescent="0.25">
      <c r="A351" s="4" t="s">
        <v>107</v>
      </c>
      <c r="B351">
        <v>543</v>
      </c>
      <c r="C351">
        <f t="shared" si="23"/>
        <v>2022</v>
      </c>
      <c r="D351">
        <f t="shared" si="21"/>
        <v>0</v>
      </c>
      <c r="E351">
        <f t="shared" si="22"/>
        <v>0</v>
      </c>
      <c r="F351">
        <f t="shared" si="24"/>
        <v>0</v>
      </c>
    </row>
    <row r="352" spans="1:6" x14ac:dyDescent="0.25">
      <c r="A352" s="4" t="s">
        <v>140</v>
      </c>
      <c r="B352">
        <v>133</v>
      </c>
      <c r="C352">
        <f t="shared" si="23"/>
        <v>2155</v>
      </c>
      <c r="D352">
        <f t="shared" si="21"/>
        <v>0</v>
      </c>
      <c r="E352">
        <f t="shared" si="22"/>
        <v>0</v>
      </c>
      <c r="F352">
        <f t="shared" si="24"/>
        <v>0</v>
      </c>
    </row>
    <row r="353" spans="1:6" x14ac:dyDescent="0.25">
      <c r="A353" s="4" t="s">
        <v>142</v>
      </c>
      <c r="B353">
        <v>223</v>
      </c>
      <c r="C353">
        <f t="shared" si="23"/>
        <v>2378</v>
      </c>
      <c r="D353">
        <f t="shared" si="21"/>
        <v>0</v>
      </c>
      <c r="E353">
        <f t="shared" si="22"/>
        <v>0</v>
      </c>
      <c r="F353">
        <f t="shared" si="24"/>
        <v>0</v>
      </c>
    </row>
    <row r="354" spans="1:6" x14ac:dyDescent="0.25">
      <c r="A354" s="4" t="s">
        <v>143</v>
      </c>
      <c r="B354">
        <v>537</v>
      </c>
      <c r="C354">
        <f t="shared" si="23"/>
        <v>2915</v>
      </c>
      <c r="D354">
        <f t="shared" si="21"/>
        <v>0</v>
      </c>
      <c r="E354">
        <f t="shared" si="22"/>
        <v>0</v>
      </c>
      <c r="F354">
        <f t="shared" si="24"/>
        <v>0</v>
      </c>
    </row>
    <row r="355" spans="1:6" x14ac:dyDescent="0.25">
      <c r="A355" s="4" t="s">
        <v>145</v>
      </c>
      <c r="B355">
        <v>364</v>
      </c>
      <c r="C355">
        <f t="shared" si="23"/>
        <v>3279</v>
      </c>
      <c r="D355">
        <f t="shared" si="21"/>
        <v>0</v>
      </c>
      <c r="E355">
        <f t="shared" si="22"/>
        <v>0</v>
      </c>
      <c r="F355">
        <f t="shared" si="24"/>
        <v>0</v>
      </c>
    </row>
    <row r="356" spans="1:6" x14ac:dyDescent="0.25">
      <c r="A356" s="4" t="s">
        <v>150</v>
      </c>
      <c r="B356">
        <v>372</v>
      </c>
      <c r="C356">
        <f t="shared" si="23"/>
        <v>3651</v>
      </c>
      <c r="D356">
        <f t="shared" si="21"/>
        <v>0</v>
      </c>
      <c r="E356">
        <f t="shared" si="22"/>
        <v>0</v>
      </c>
      <c r="F356">
        <f t="shared" si="24"/>
        <v>0</v>
      </c>
    </row>
    <row r="357" spans="1:6" x14ac:dyDescent="0.25">
      <c r="A357" s="4" t="s">
        <v>151</v>
      </c>
      <c r="B357">
        <v>408</v>
      </c>
      <c r="C357">
        <f t="shared" si="23"/>
        <v>4059</v>
      </c>
      <c r="D357">
        <f t="shared" si="21"/>
        <v>0</v>
      </c>
      <c r="E357">
        <f t="shared" si="22"/>
        <v>0</v>
      </c>
      <c r="F357">
        <f t="shared" si="24"/>
        <v>0</v>
      </c>
    </row>
    <row r="358" spans="1:6" x14ac:dyDescent="0.25">
      <c r="A358" s="4" t="s">
        <v>159</v>
      </c>
      <c r="B358">
        <v>73</v>
      </c>
      <c r="C358">
        <f t="shared" si="23"/>
        <v>4132</v>
      </c>
      <c r="D358">
        <f t="shared" si="21"/>
        <v>0</v>
      </c>
      <c r="E358">
        <f t="shared" si="22"/>
        <v>0</v>
      </c>
      <c r="F358">
        <f t="shared" si="24"/>
        <v>0</v>
      </c>
    </row>
    <row r="359" spans="1:6" x14ac:dyDescent="0.25">
      <c r="A359" s="4" t="s">
        <v>161</v>
      </c>
      <c r="B359">
        <v>490</v>
      </c>
      <c r="C359">
        <f t="shared" si="23"/>
        <v>4622</v>
      </c>
      <c r="D359">
        <f t="shared" si="21"/>
        <v>0</v>
      </c>
      <c r="E359">
        <f t="shared" si="22"/>
        <v>0</v>
      </c>
      <c r="F359">
        <f t="shared" si="24"/>
        <v>0</v>
      </c>
    </row>
    <row r="360" spans="1:6" x14ac:dyDescent="0.25">
      <c r="A360" s="4" t="s">
        <v>163</v>
      </c>
      <c r="B360">
        <v>424</v>
      </c>
      <c r="C360">
        <f t="shared" si="23"/>
        <v>5046</v>
      </c>
      <c r="D360">
        <f t="shared" si="21"/>
        <v>0</v>
      </c>
      <c r="E360">
        <f t="shared" si="22"/>
        <v>0</v>
      </c>
      <c r="F360">
        <f t="shared" si="24"/>
        <v>0</v>
      </c>
    </row>
    <row r="361" spans="1:6" x14ac:dyDescent="0.25">
      <c r="A361" s="4" t="s">
        <v>166</v>
      </c>
      <c r="B361">
        <v>466</v>
      </c>
      <c r="C361">
        <f t="shared" si="23"/>
        <v>5512</v>
      </c>
      <c r="D361">
        <f t="shared" si="21"/>
        <v>0</v>
      </c>
      <c r="E361">
        <f t="shared" si="22"/>
        <v>0</v>
      </c>
      <c r="F361">
        <f t="shared" si="24"/>
        <v>0</v>
      </c>
    </row>
    <row r="362" spans="1:6" x14ac:dyDescent="0.25">
      <c r="A362" s="4" t="s">
        <v>186</v>
      </c>
      <c r="B362">
        <v>577</v>
      </c>
      <c r="C362">
        <f t="shared" si="23"/>
        <v>6089</v>
      </c>
      <c r="D362">
        <f t="shared" si="21"/>
        <v>0</v>
      </c>
      <c r="E362">
        <f t="shared" si="22"/>
        <v>0</v>
      </c>
      <c r="F362">
        <f t="shared" si="24"/>
        <v>0</v>
      </c>
    </row>
    <row r="363" spans="1:6" x14ac:dyDescent="0.25">
      <c r="A363" s="4" t="s">
        <v>188</v>
      </c>
      <c r="B363">
        <v>549</v>
      </c>
      <c r="C363">
        <f t="shared" si="23"/>
        <v>6638</v>
      </c>
      <c r="D363">
        <f t="shared" si="21"/>
        <v>0</v>
      </c>
      <c r="E363">
        <f t="shared" si="22"/>
        <v>0</v>
      </c>
      <c r="F363">
        <f t="shared" si="24"/>
        <v>0</v>
      </c>
    </row>
    <row r="364" spans="1:6" x14ac:dyDescent="0.25">
      <c r="A364" s="4" t="s">
        <v>189</v>
      </c>
      <c r="B364">
        <v>319</v>
      </c>
      <c r="C364">
        <f t="shared" si="23"/>
        <v>6957</v>
      </c>
      <c r="D364">
        <f t="shared" si="21"/>
        <v>0</v>
      </c>
      <c r="E364">
        <f t="shared" si="22"/>
        <v>0</v>
      </c>
      <c r="F364">
        <f t="shared" si="24"/>
        <v>0</v>
      </c>
    </row>
    <row r="365" spans="1:6" x14ac:dyDescent="0.25">
      <c r="A365" s="4" t="s">
        <v>193</v>
      </c>
      <c r="B365">
        <v>271</v>
      </c>
      <c r="C365">
        <f t="shared" si="23"/>
        <v>7228</v>
      </c>
      <c r="D365">
        <f t="shared" si="21"/>
        <v>0</v>
      </c>
      <c r="E365">
        <f t="shared" si="22"/>
        <v>0</v>
      </c>
      <c r="F365">
        <f t="shared" si="24"/>
        <v>0</v>
      </c>
    </row>
    <row r="366" spans="1:6" x14ac:dyDescent="0.25">
      <c r="A366" s="4" t="s">
        <v>201</v>
      </c>
      <c r="B366">
        <v>796</v>
      </c>
      <c r="C366">
        <f t="shared" si="23"/>
        <v>8024</v>
      </c>
      <c r="D366">
        <f t="shared" si="21"/>
        <v>0</v>
      </c>
      <c r="E366">
        <f t="shared" si="22"/>
        <v>0</v>
      </c>
      <c r="F366">
        <f t="shared" si="24"/>
        <v>0</v>
      </c>
    </row>
    <row r="367" spans="1:6" x14ac:dyDescent="0.25">
      <c r="A367" s="4" t="s">
        <v>212</v>
      </c>
      <c r="B367">
        <v>546</v>
      </c>
      <c r="C367">
        <f t="shared" si="23"/>
        <v>8570</v>
      </c>
      <c r="D367">
        <f t="shared" si="21"/>
        <v>0</v>
      </c>
      <c r="E367">
        <f t="shared" si="22"/>
        <v>0</v>
      </c>
      <c r="F367">
        <f t="shared" si="24"/>
        <v>0</v>
      </c>
    </row>
    <row r="368" spans="1:6" x14ac:dyDescent="0.25">
      <c r="A368" s="4" t="s">
        <v>216</v>
      </c>
      <c r="B368">
        <v>68</v>
      </c>
      <c r="C368">
        <f t="shared" si="23"/>
        <v>8638</v>
      </c>
      <c r="D368">
        <f t="shared" si="21"/>
        <v>0</v>
      </c>
      <c r="E368">
        <f t="shared" si="22"/>
        <v>0</v>
      </c>
      <c r="F368">
        <f t="shared" si="24"/>
        <v>0</v>
      </c>
    </row>
    <row r="369" spans="1:6" x14ac:dyDescent="0.25">
      <c r="A369" s="4" t="s">
        <v>219</v>
      </c>
      <c r="B369">
        <v>449</v>
      </c>
      <c r="C369">
        <f t="shared" si="23"/>
        <v>9087</v>
      </c>
      <c r="D369">
        <f t="shared" ref="D369:D432" si="25">IF(C369 &gt; 15000, 1, 0)</f>
        <v>0</v>
      </c>
      <c r="E369">
        <f t="shared" ref="E369:E432" si="26">IF(AND(D369 =1,C369 &gt;= 20000),1,0)</f>
        <v>0</v>
      </c>
      <c r="F369">
        <f t="shared" si="24"/>
        <v>0</v>
      </c>
    </row>
    <row r="370" spans="1:6" x14ac:dyDescent="0.25">
      <c r="A370" s="4" t="s">
        <v>222</v>
      </c>
      <c r="B370">
        <v>45</v>
      </c>
      <c r="C370">
        <f t="shared" si="23"/>
        <v>9132</v>
      </c>
      <c r="D370">
        <f t="shared" si="25"/>
        <v>0</v>
      </c>
      <c r="E370">
        <f t="shared" si="26"/>
        <v>0</v>
      </c>
      <c r="F370">
        <f t="shared" si="24"/>
        <v>0</v>
      </c>
    </row>
    <row r="371" spans="1:6" x14ac:dyDescent="0.25">
      <c r="A371" s="4" t="s">
        <v>225</v>
      </c>
      <c r="B371">
        <v>287</v>
      </c>
      <c r="C371">
        <f t="shared" si="23"/>
        <v>9419</v>
      </c>
      <c r="D371">
        <f t="shared" si="25"/>
        <v>0</v>
      </c>
      <c r="E371">
        <f t="shared" si="26"/>
        <v>0</v>
      </c>
      <c r="F371">
        <f t="shared" si="24"/>
        <v>0</v>
      </c>
    </row>
    <row r="372" spans="1:6" x14ac:dyDescent="0.25">
      <c r="A372" s="4" t="s">
        <v>233</v>
      </c>
      <c r="B372">
        <v>73</v>
      </c>
      <c r="C372">
        <f t="shared" si="23"/>
        <v>9492</v>
      </c>
      <c r="D372">
        <f t="shared" si="25"/>
        <v>0</v>
      </c>
      <c r="E372">
        <f t="shared" si="26"/>
        <v>0</v>
      </c>
      <c r="F372">
        <f t="shared" si="24"/>
        <v>0</v>
      </c>
    </row>
    <row r="373" spans="1:6" x14ac:dyDescent="0.25">
      <c r="A373" s="4" t="s">
        <v>237</v>
      </c>
      <c r="B373">
        <v>103</v>
      </c>
      <c r="C373">
        <f t="shared" si="23"/>
        <v>9595</v>
      </c>
      <c r="D373">
        <f t="shared" si="25"/>
        <v>0</v>
      </c>
      <c r="E373">
        <f t="shared" si="26"/>
        <v>0</v>
      </c>
      <c r="F373">
        <f t="shared" si="24"/>
        <v>0</v>
      </c>
    </row>
    <row r="374" spans="1:6" x14ac:dyDescent="0.25">
      <c r="A374" s="4" t="s">
        <v>239</v>
      </c>
      <c r="B374">
        <v>480</v>
      </c>
      <c r="C374">
        <f t="shared" si="23"/>
        <v>10075</v>
      </c>
      <c r="D374">
        <f t="shared" si="25"/>
        <v>0</v>
      </c>
      <c r="E374">
        <f t="shared" si="26"/>
        <v>0</v>
      </c>
      <c r="F374">
        <f t="shared" si="24"/>
        <v>0</v>
      </c>
    </row>
    <row r="375" spans="1:6" x14ac:dyDescent="0.25">
      <c r="A375" s="4" t="s">
        <v>240</v>
      </c>
      <c r="B375">
        <v>124</v>
      </c>
      <c r="C375">
        <f t="shared" si="23"/>
        <v>10199</v>
      </c>
      <c r="D375">
        <f t="shared" si="25"/>
        <v>0</v>
      </c>
      <c r="E375">
        <f t="shared" si="26"/>
        <v>0</v>
      </c>
      <c r="F375">
        <f t="shared" si="24"/>
        <v>0</v>
      </c>
    </row>
    <row r="376" spans="1:6" x14ac:dyDescent="0.25">
      <c r="A376" s="4" t="s">
        <v>249</v>
      </c>
      <c r="B376">
        <v>504</v>
      </c>
      <c r="C376">
        <f t="shared" si="23"/>
        <v>10703</v>
      </c>
      <c r="D376">
        <f t="shared" si="25"/>
        <v>0</v>
      </c>
      <c r="E376">
        <f t="shared" si="26"/>
        <v>0</v>
      </c>
      <c r="F376">
        <f t="shared" si="24"/>
        <v>0</v>
      </c>
    </row>
    <row r="377" spans="1:6" x14ac:dyDescent="0.25">
      <c r="A377" s="4" t="s">
        <v>250</v>
      </c>
      <c r="B377">
        <v>74</v>
      </c>
      <c r="C377">
        <f t="shared" si="23"/>
        <v>10777</v>
      </c>
      <c r="D377">
        <f t="shared" si="25"/>
        <v>0</v>
      </c>
      <c r="E377">
        <f t="shared" si="26"/>
        <v>0</v>
      </c>
      <c r="F377">
        <f t="shared" si="24"/>
        <v>0</v>
      </c>
    </row>
    <row r="378" spans="1:6" x14ac:dyDescent="0.25">
      <c r="A378" s="4" t="s">
        <v>259</v>
      </c>
      <c r="B378">
        <v>313</v>
      </c>
      <c r="C378">
        <f t="shared" si="23"/>
        <v>11090</v>
      </c>
      <c r="D378">
        <f t="shared" si="25"/>
        <v>0</v>
      </c>
      <c r="E378">
        <f t="shared" si="26"/>
        <v>0</v>
      </c>
      <c r="F378">
        <f t="shared" si="24"/>
        <v>0</v>
      </c>
    </row>
    <row r="379" spans="1:6" x14ac:dyDescent="0.25">
      <c r="A379" s="4" t="s">
        <v>261</v>
      </c>
      <c r="B379">
        <v>365</v>
      </c>
      <c r="C379">
        <f t="shared" si="23"/>
        <v>11455</v>
      </c>
      <c r="D379">
        <f t="shared" si="25"/>
        <v>0</v>
      </c>
      <c r="E379">
        <f t="shared" si="26"/>
        <v>0</v>
      </c>
      <c r="F379">
        <f t="shared" si="24"/>
        <v>0</v>
      </c>
    </row>
    <row r="380" spans="1:6" x14ac:dyDescent="0.25">
      <c r="A380" s="4" t="s">
        <v>263</v>
      </c>
      <c r="B380">
        <v>397</v>
      </c>
      <c r="C380">
        <f t="shared" si="23"/>
        <v>11852</v>
      </c>
      <c r="D380">
        <f t="shared" si="25"/>
        <v>0</v>
      </c>
      <c r="E380">
        <f t="shared" si="26"/>
        <v>0</v>
      </c>
      <c r="F380">
        <f t="shared" si="24"/>
        <v>0</v>
      </c>
    </row>
    <row r="381" spans="1:6" x14ac:dyDescent="0.25">
      <c r="A381" s="4" t="s">
        <v>265</v>
      </c>
      <c r="B381">
        <v>302</v>
      </c>
      <c r="C381">
        <f t="shared" si="23"/>
        <v>12154</v>
      </c>
      <c r="D381">
        <f t="shared" si="25"/>
        <v>0</v>
      </c>
      <c r="E381">
        <f t="shared" si="26"/>
        <v>0</v>
      </c>
      <c r="F381">
        <f t="shared" si="24"/>
        <v>0</v>
      </c>
    </row>
    <row r="382" spans="1:6" x14ac:dyDescent="0.25">
      <c r="A382" s="4" t="s">
        <v>269</v>
      </c>
      <c r="B382">
        <v>428</v>
      </c>
      <c r="C382">
        <f t="shared" si="23"/>
        <v>12582</v>
      </c>
      <c r="D382">
        <f t="shared" si="25"/>
        <v>0</v>
      </c>
      <c r="E382">
        <f t="shared" si="26"/>
        <v>0</v>
      </c>
      <c r="F382">
        <f t="shared" si="24"/>
        <v>0</v>
      </c>
    </row>
    <row r="383" spans="1:6" x14ac:dyDescent="0.25">
      <c r="A383" s="4" t="s">
        <v>270</v>
      </c>
      <c r="B383">
        <v>259</v>
      </c>
      <c r="C383">
        <f t="shared" si="23"/>
        <v>12841</v>
      </c>
      <c r="D383">
        <f t="shared" si="25"/>
        <v>0</v>
      </c>
      <c r="E383">
        <f t="shared" si="26"/>
        <v>0</v>
      </c>
      <c r="F383">
        <f t="shared" si="24"/>
        <v>0</v>
      </c>
    </row>
    <row r="384" spans="1:6" x14ac:dyDescent="0.25">
      <c r="A384" s="4" t="s">
        <v>273</v>
      </c>
      <c r="B384">
        <v>165</v>
      </c>
      <c r="C384">
        <f t="shared" si="23"/>
        <v>13006</v>
      </c>
      <c r="D384">
        <f t="shared" si="25"/>
        <v>0</v>
      </c>
      <c r="E384">
        <f t="shared" si="26"/>
        <v>0</v>
      </c>
      <c r="F384">
        <f t="shared" si="24"/>
        <v>0</v>
      </c>
    </row>
    <row r="385" spans="1:6" x14ac:dyDescent="0.25">
      <c r="A385" s="4" t="s">
        <v>286</v>
      </c>
      <c r="B385">
        <v>189</v>
      </c>
      <c r="C385">
        <f t="shared" si="23"/>
        <v>13195</v>
      </c>
      <c r="D385">
        <f t="shared" si="25"/>
        <v>0</v>
      </c>
      <c r="E385">
        <f t="shared" si="26"/>
        <v>0</v>
      </c>
      <c r="F385">
        <f t="shared" si="24"/>
        <v>0</v>
      </c>
    </row>
    <row r="386" spans="1:6" x14ac:dyDescent="0.25">
      <c r="A386" s="4" t="s">
        <v>304</v>
      </c>
      <c r="B386">
        <v>34</v>
      </c>
      <c r="C386">
        <f t="shared" si="23"/>
        <v>13229</v>
      </c>
      <c r="D386">
        <f t="shared" si="25"/>
        <v>0</v>
      </c>
      <c r="E386">
        <f t="shared" si="26"/>
        <v>0</v>
      </c>
      <c r="F386">
        <f t="shared" si="24"/>
        <v>0</v>
      </c>
    </row>
    <row r="387" spans="1:6" x14ac:dyDescent="0.25">
      <c r="A387" s="4" t="s">
        <v>307</v>
      </c>
      <c r="B387">
        <v>434</v>
      </c>
      <c r="C387">
        <f t="shared" si="23"/>
        <v>13663</v>
      </c>
      <c r="D387">
        <f t="shared" si="25"/>
        <v>0</v>
      </c>
      <c r="E387">
        <f t="shared" si="26"/>
        <v>0</v>
      </c>
      <c r="F387">
        <f t="shared" si="24"/>
        <v>0</v>
      </c>
    </row>
    <row r="388" spans="1:6" x14ac:dyDescent="0.25">
      <c r="A388" s="4" t="s">
        <v>311</v>
      </c>
      <c r="B388">
        <v>393</v>
      </c>
      <c r="C388">
        <f t="shared" si="23"/>
        <v>14056</v>
      </c>
      <c r="D388">
        <f t="shared" si="25"/>
        <v>0</v>
      </c>
      <c r="E388">
        <f t="shared" si="26"/>
        <v>0</v>
      </c>
      <c r="F388">
        <f t="shared" si="24"/>
        <v>0</v>
      </c>
    </row>
    <row r="389" spans="1:6" x14ac:dyDescent="0.25">
      <c r="A389" s="4" t="s">
        <v>319</v>
      </c>
      <c r="B389">
        <v>242</v>
      </c>
      <c r="C389">
        <f t="shared" ref="C389:C452" si="27">IF(LEN(A389) &gt;= 12, 0, C388+B389)</f>
        <v>14298</v>
      </c>
      <c r="D389">
        <f t="shared" si="25"/>
        <v>0</v>
      </c>
      <c r="E389">
        <f t="shared" si="26"/>
        <v>0</v>
      </c>
      <c r="F389">
        <f t="shared" si="24"/>
        <v>0</v>
      </c>
    </row>
    <row r="390" spans="1:6" x14ac:dyDescent="0.25">
      <c r="A390" s="4" t="s">
        <v>324</v>
      </c>
      <c r="B390">
        <v>364</v>
      </c>
      <c r="C390">
        <f t="shared" si="27"/>
        <v>14662</v>
      </c>
      <c r="D390">
        <f t="shared" si="25"/>
        <v>0</v>
      </c>
      <c r="E390">
        <f t="shared" si="26"/>
        <v>0</v>
      </c>
      <c r="F390">
        <f t="shared" ref="F390:F453" si="28">IF(AND(D390 = 1, C390 &lt; 20000), B390*5, IF(AND(E390=1, C390 &gt;= 20000),B390*10,0))</f>
        <v>0</v>
      </c>
    </row>
    <row r="391" spans="1:6" x14ac:dyDescent="0.25">
      <c r="A391" s="4" t="s">
        <v>327</v>
      </c>
      <c r="B391">
        <v>314</v>
      </c>
      <c r="C391">
        <f t="shared" si="27"/>
        <v>14976</v>
      </c>
      <c r="D391">
        <f t="shared" si="25"/>
        <v>0</v>
      </c>
      <c r="E391">
        <f t="shared" si="26"/>
        <v>0</v>
      </c>
      <c r="F391">
        <f t="shared" si="28"/>
        <v>0</v>
      </c>
    </row>
    <row r="392" spans="1:6" x14ac:dyDescent="0.25">
      <c r="A392" s="4" t="s">
        <v>338</v>
      </c>
      <c r="B392">
        <v>386</v>
      </c>
      <c r="C392">
        <f t="shared" si="27"/>
        <v>15362</v>
      </c>
      <c r="D392">
        <f t="shared" si="25"/>
        <v>1</v>
      </c>
      <c r="E392">
        <f t="shared" si="26"/>
        <v>0</v>
      </c>
      <c r="F392">
        <f t="shared" si="28"/>
        <v>1930</v>
      </c>
    </row>
    <row r="393" spans="1:6" x14ac:dyDescent="0.25">
      <c r="A393" s="4" t="s">
        <v>348</v>
      </c>
      <c r="B393">
        <v>316</v>
      </c>
      <c r="C393">
        <f t="shared" si="27"/>
        <v>15678</v>
      </c>
      <c r="D393">
        <f t="shared" si="25"/>
        <v>1</v>
      </c>
      <c r="E393">
        <f t="shared" si="26"/>
        <v>0</v>
      </c>
      <c r="F393">
        <f t="shared" si="28"/>
        <v>1580</v>
      </c>
    </row>
    <row r="394" spans="1:6" x14ac:dyDescent="0.25">
      <c r="A394" s="4" t="s">
        <v>351</v>
      </c>
      <c r="B394">
        <v>446</v>
      </c>
      <c r="C394">
        <f t="shared" si="27"/>
        <v>16124</v>
      </c>
      <c r="D394">
        <f t="shared" si="25"/>
        <v>1</v>
      </c>
      <c r="E394">
        <f t="shared" si="26"/>
        <v>0</v>
      </c>
      <c r="F394">
        <f t="shared" si="28"/>
        <v>2230</v>
      </c>
    </row>
    <row r="395" spans="1:6" x14ac:dyDescent="0.25">
      <c r="A395" s="4" t="s">
        <v>355</v>
      </c>
      <c r="B395">
        <v>467</v>
      </c>
      <c r="C395">
        <f t="shared" si="27"/>
        <v>16591</v>
      </c>
      <c r="D395">
        <f t="shared" si="25"/>
        <v>1</v>
      </c>
      <c r="E395">
        <f t="shared" si="26"/>
        <v>0</v>
      </c>
      <c r="F395">
        <f t="shared" si="28"/>
        <v>2335</v>
      </c>
    </row>
    <row r="396" spans="1:6" x14ac:dyDescent="0.25">
      <c r="A396" s="4" t="s">
        <v>374</v>
      </c>
      <c r="B396">
        <v>350</v>
      </c>
      <c r="C396">
        <f t="shared" si="27"/>
        <v>16941</v>
      </c>
      <c r="D396">
        <f t="shared" si="25"/>
        <v>1</v>
      </c>
      <c r="E396">
        <f t="shared" si="26"/>
        <v>0</v>
      </c>
      <c r="F396">
        <f t="shared" si="28"/>
        <v>1750</v>
      </c>
    </row>
    <row r="397" spans="1:6" x14ac:dyDescent="0.25">
      <c r="A397" s="4" t="s">
        <v>375</v>
      </c>
      <c r="B397">
        <v>160</v>
      </c>
      <c r="C397">
        <f t="shared" si="27"/>
        <v>17101</v>
      </c>
      <c r="D397">
        <f t="shared" si="25"/>
        <v>1</v>
      </c>
      <c r="E397">
        <f t="shared" si="26"/>
        <v>0</v>
      </c>
      <c r="F397">
        <f t="shared" si="28"/>
        <v>800</v>
      </c>
    </row>
    <row r="398" spans="1:6" x14ac:dyDescent="0.25">
      <c r="A398" s="4" t="s">
        <v>380</v>
      </c>
      <c r="B398">
        <v>437</v>
      </c>
      <c r="C398">
        <f t="shared" si="27"/>
        <v>17538</v>
      </c>
      <c r="D398">
        <f t="shared" si="25"/>
        <v>1</v>
      </c>
      <c r="E398">
        <f t="shared" si="26"/>
        <v>0</v>
      </c>
      <c r="F398">
        <f t="shared" si="28"/>
        <v>2185</v>
      </c>
    </row>
    <row r="399" spans="1:6" x14ac:dyDescent="0.25">
      <c r="A399" s="4" t="s">
        <v>387</v>
      </c>
      <c r="B399">
        <v>882</v>
      </c>
      <c r="C399">
        <f t="shared" si="27"/>
        <v>18420</v>
      </c>
      <c r="D399">
        <f t="shared" si="25"/>
        <v>1</v>
      </c>
      <c r="E399">
        <f t="shared" si="26"/>
        <v>0</v>
      </c>
      <c r="F399">
        <f t="shared" si="28"/>
        <v>4410</v>
      </c>
    </row>
    <row r="400" spans="1:6" x14ac:dyDescent="0.25">
      <c r="A400" s="4" t="s">
        <v>393</v>
      </c>
      <c r="B400">
        <v>690</v>
      </c>
      <c r="C400">
        <f t="shared" si="27"/>
        <v>19110</v>
      </c>
      <c r="D400">
        <f t="shared" si="25"/>
        <v>1</v>
      </c>
      <c r="E400">
        <f t="shared" si="26"/>
        <v>0</v>
      </c>
      <c r="F400">
        <f t="shared" si="28"/>
        <v>3450</v>
      </c>
    </row>
    <row r="401" spans="1:6" x14ac:dyDescent="0.25">
      <c r="A401" s="4" t="s">
        <v>402</v>
      </c>
      <c r="B401">
        <v>354</v>
      </c>
      <c r="C401">
        <f t="shared" si="27"/>
        <v>19464</v>
      </c>
      <c r="D401">
        <f t="shared" si="25"/>
        <v>1</v>
      </c>
      <c r="E401">
        <f t="shared" si="26"/>
        <v>0</v>
      </c>
      <c r="F401">
        <f t="shared" si="28"/>
        <v>1770</v>
      </c>
    </row>
    <row r="402" spans="1:6" x14ac:dyDescent="0.25">
      <c r="A402" s="3" t="s">
        <v>45</v>
      </c>
      <c r="B402">
        <v>14222</v>
      </c>
      <c r="C402">
        <f t="shared" si="27"/>
        <v>0</v>
      </c>
      <c r="D402">
        <f t="shared" si="25"/>
        <v>0</v>
      </c>
      <c r="E402">
        <f t="shared" si="26"/>
        <v>0</v>
      </c>
      <c r="F402">
        <f t="shared" si="28"/>
        <v>0</v>
      </c>
    </row>
    <row r="403" spans="1:6" x14ac:dyDescent="0.25">
      <c r="A403" s="4" t="s">
        <v>100</v>
      </c>
      <c r="B403">
        <v>450</v>
      </c>
      <c r="C403">
        <f t="shared" si="27"/>
        <v>450</v>
      </c>
      <c r="D403">
        <f t="shared" si="25"/>
        <v>0</v>
      </c>
      <c r="E403">
        <f t="shared" si="26"/>
        <v>0</v>
      </c>
      <c r="F403">
        <f t="shared" si="28"/>
        <v>0</v>
      </c>
    </row>
    <row r="404" spans="1:6" x14ac:dyDescent="0.25">
      <c r="A404" s="4" t="s">
        <v>114</v>
      </c>
      <c r="B404">
        <v>79</v>
      </c>
      <c r="C404">
        <f t="shared" si="27"/>
        <v>529</v>
      </c>
      <c r="D404">
        <f t="shared" si="25"/>
        <v>0</v>
      </c>
      <c r="E404">
        <f t="shared" si="26"/>
        <v>0</v>
      </c>
      <c r="F404">
        <f t="shared" si="28"/>
        <v>0</v>
      </c>
    </row>
    <row r="405" spans="1:6" x14ac:dyDescent="0.25">
      <c r="A405" s="4" t="s">
        <v>125</v>
      </c>
      <c r="B405">
        <v>259</v>
      </c>
      <c r="C405">
        <f t="shared" si="27"/>
        <v>788</v>
      </c>
      <c r="D405">
        <f t="shared" si="25"/>
        <v>0</v>
      </c>
      <c r="E405">
        <f t="shared" si="26"/>
        <v>0</v>
      </c>
      <c r="F405">
        <f t="shared" si="28"/>
        <v>0</v>
      </c>
    </row>
    <row r="406" spans="1:6" x14ac:dyDescent="0.25">
      <c r="A406" s="4" t="s">
        <v>137</v>
      </c>
      <c r="B406">
        <v>390</v>
      </c>
      <c r="C406">
        <f t="shared" si="27"/>
        <v>1178</v>
      </c>
      <c r="D406">
        <f t="shared" si="25"/>
        <v>0</v>
      </c>
      <c r="E406">
        <f t="shared" si="26"/>
        <v>0</v>
      </c>
      <c r="F406">
        <f t="shared" si="28"/>
        <v>0</v>
      </c>
    </row>
    <row r="407" spans="1:6" x14ac:dyDescent="0.25">
      <c r="A407" s="4" t="s">
        <v>140</v>
      </c>
      <c r="B407">
        <v>413</v>
      </c>
      <c r="C407">
        <f t="shared" si="27"/>
        <v>1591</v>
      </c>
      <c r="D407">
        <f t="shared" si="25"/>
        <v>0</v>
      </c>
      <c r="E407">
        <f t="shared" si="26"/>
        <v>0</v>
      </c>
      <c r="F407">
        <f t="shared" si="28"/>
        <v>0</v>
      </c>
    </row>
    <row r="408" spans="1:6" x14ac:dyDescent="0.25">
      <c r="A408" s="4" t="s">
        <v>141</v>
      </c>
      <c r="B408">
        <v>177</v>
      </c>
      <c r="C408">
        <f t="shared" si="27"/>
        <v>1768</v>
      </c>
      <c r="D408">
        <f t="shared" si="25"/>
        <v>0</v>
      </c>
      <c r="E408">
        <f t="shared" si="26"/>
        <v>0</v>
      </c>
      <c r="F408">
        <f t="shared" si="28"/>
        <v>0</v>
      </c>
    </row>
    <row r="409" spans="1:6" x14ac:dyDescent="0.25">
      <c r="A409" s="4" t="s">
        <v>146</v>
      </c>
      <c r="B409">
        <v>459</v>
      </c>
      <c r="C409">
        <f t="shared" si="27"/>
        <v>2227</v>
      </c>
      <c r="D409">
        <f t="shared" si="25"/>
        <v>0</v>
      </c>
      <c r="E409">
        <f t="shared" si="26"/>
        <v>0</v>
      </c>
      <c r="F409">
        <f t="shared" si="28"/>
        <v>0</v>
      </c>
    </row>
    <row r="410" spans="1:6" x14ac:dyDescent="0.25">
      <c r="A410" s="4" t="s">
        <v>153</v>
      </c>
      <c r="B410">
        <v>667</v>
      </c>
      <c r="C410">
        <f t="shared" si="27"/>
        <v>2894</v>
      </c>
      <c r="D410">
        <f t="shared" si="25"/>
        <v>0</v>
      </c>
      <c r="E410">
        <f t="shared" si="26"/>
        <v>0</v>
      </c>
      <c r="F410">
        <f t="shared" si="28"/>
        <v>0</v>
      </c>
    </row>
    <row r="411" spans="1:6" x14ac:dyDescent="0.25">
      <c r="A411" s="4" t="s">
        <v>154</v>
      </c>
      <c r="B411">
        <v>231</v>
      </c>
      <c r="C411">
        <f t="shared" si="27"/>
        <v>3125</v>
      </c>
      <c r="D411">
        <f t="shared" si="25"/>
        <v>0</v>
      </c>
      <c r="E411">
        <f t="shared" si="26"/>
        <v>0</v>
      </c>
      <c r="F411">
        <f t="shared" si="28"/>
        <v>0</v>
      </c>
    </row>
    <row r="412" spans="1:6" x14ac:dyDescent="0.25">
      <c r="A412" s="4" t="s">
        <v>159</v>
      </c>
      <c r="B412">
        <v>249</v>
      </c>
      <c r="C412">
        <f t="shared" si="27"/>
        <v>3374</v>
      </c>
      <c r="D412">
        <f t="shared" si="25"/>
        <v>0</v>
      </c>
      <c r="E412">
        <f t="shared" si="26"/>
        <v>0</v>
      </c>
      <c r="F412">
        <f t="shared" si="28"/>
        <v>0</v>
      </c>
    </row>
    <row r="413" spans="1:6" x14ac:dyDescent="0.25">
      <c r="A413" s="4" t="s">
        <v>163</v>
      </c>
      <c r="B413">
        <v>361</v>
      </c>
      <c r="C413">
        <f t="shared" si="27"/>
        <v>3735</v>
      </c>
      <c r="D413">
        <f t="shared" si="25"/>
        <v>0</v>
      </c>
      <c r="E413">
        <f t="shared" si="26"/>
        <v>0</v>
      </c>
      <c r="F413">
        <f t="shared" si="28"/>
        <v>0</v>
      </c>
    </row>
    <row r="414" spans="1:6" x14ac:dyDescent="0.25">
      <c r="A414" s="4" t="s">
        <v>177</v>
      </c>
      <c r="B414">
        <v>564</v>
      </c>
      <c r="C414">
        <f t="shared" si="27"/>
        <v>4299</v>
      </c>
      <c r="D414">
        <f t="shared" si="25"/>
        <v>0</v>
      </c>
      <c r="E414">
        <f t="shared" si="26"/>
        <v>0</v>
      </c>
      <c r="F414">
        <f t="shared" si="28"/>
        <v>0</v>
      </c>
    </row>
    <row r="415" spans="1:6" x14ac:dyDescent="0.25">
      <c r="A415" s="4" t="s">
        <v>182</v>
      </c>
      <c r="B415">
        <v>656</v>
      </c>
      <c r="C415">
        <f t="shared" si="27"/>
        <v>4955</v>
      </c>
      <c r="D415">
        <f t="shared" si="25"/>
        <v>0</v>
      </c>
      <c r="E415">
        <f t="shared" si="26"/>
        <v>0</v>
      </c>
      <c r="F415">
        <f t="shared" si="28"/>
        <v>0</v>
      </c>
    </row>
    <row r="416" spans="1:6" x14ac:dyDescent="0.25">
      <c r="A416" s="4" t="s">
        <v>183</v>
      </c>
      <c r="B416">
        <v>222</v>
      </c>
      <c r="C416">
        <f t="shared" si="27"/>
        <v>5177</v>
      </c>
      <c r="D416">
        <f t="shared" si="25"/>
        <v>0</v>
      </c>
      <c r="E416">
        <f t="shared" si="26"/>
        <v>0</v>
      </c>
      <c r="F416">
        <f t="shared" si="28"/>
        <v>0</v>
      </c>
    </row>
    <row r="417" spans="1:6" x14ac:dyDescent="0.25">
      <c r="A417" s="4" t="s">
        <v>194</v>
      </c>
      <c r="B417">
        <v>291</v>
      </c>
      <c r="C417">
        <f t="shared" si="27"/>
        <v>5468</v>
      </c>
      <c r="D417">
        <f t="shared" si="25"/>
        <v>0</v>
      </c>
      <c r="E417">
        <f t="shared" si="26"/>
        <v>0</v>
      </c>
      <c r="F417">
        <f t="shared" si="28"/>
        <v>0</v>
      </c>
    </row>
    <row r="418" spans="1:6" x14ac:dyDescent="0.25">
      <c r="A418" s="4" t="s">
        <v>197</v>
      </c>
      <c r="B418">
        <v>504</v>
      </c>
      <c r="C418">
        <f t="shared" si="27"/>
        <v>5972</v>
      </c>
      <c r="D418">
        <f t="shared" si="25"/>
        <v>0</v>
      </c>
      <c r="E418">
        <f t="shared" si="26"/>
        <v>0</v>
      </c>
      <c r="F418">
        <f t="shared" si="28"/>
        <v>0</v>
      </c>
    </row>
    <row r="419" spans="1:6" x14ac:dyDescent="0.25">
      <c r="A419" s="4" t="s">
        <v>207</v>
      </c>
      <c r="B419">
        <v>126</v>
      </c>
      <c r="C419">
        <f t="shared" si="27"/>
        <v>6098</v>
      </c>
      <c r="D419">
        <f t="shared" si="25"/>
        <v>0</v>
      </c>
      <c r="E419">
        <f t="shared" si="26"/>
        <v>0</v>
      </c>
      <c r="F419">
        <f t="shared" si="28"/>
        <v>0</v>
      </c>
    </row>
    <row r="420" spans="1:6" x14ac:dyDescent="0.25">
      <c r="A420" s="4" t="s">
        <v>209</v>
      </c>
      <c r="B420">
        <v>109</v>
      </c>
      <c r="C420">
        <f t="shared" si="27"/>
        <v>6207</v>
      </c>
      <c r="D420">
        <f t="shared" si="25"/>
        <v>0</v>
      </c>
      <c r="E420">
        <f t="shared" si="26"/>
        <v>0</v>
      </c>
      <c r="F420">
        <f t="shared" si="28"/>
        <v>0</v>
      </c>
    </row>
    <row r="421" spans="1:6" x14ac:dyDescent="0.25">
      <c r="A421" s="4" t="s">
        <v>223</v>
      </c>
      <c r="B421">
        <v>473</v>
      </c>
      <c r="C421">
        <f t="shared" si="27"/>
        <v>6680</v>
      </c>
      <c r="D421">
        <f t="shared" si="25"/>
        <v>0</v>
      </c>
      <c r="E421">
        <f t="shared" si="26"/>
        <v>0</v>
      </c>
      <c r="F421">
        <f t="shared" si="28"/>
        <v>0</v>
      </c>
    </row>
    <row r="422" spans="1:6" x14ac:dyDescent="0.25">
      <c r="A422" s="4" t="s">
        <v>235</v>
      </c>
      <c r="B422">
        <v>32</v>
      </c>
      <c r="C422">
        <f t="shared" si="27"/>
        <v>6712</v>
      </c>
      <c r="D422">
        <f t="shared" si="25"/>
        <v>0</v>
      </c>
      <c r="E422">
        <f t="shared" si="26"/>
        <v>0</v>
      </c>
      <c r="F422">
        <f t="shared" si="28"/>
        <v>0</v>
      </c>
    </row>
    <row r="423" spans="1:6" x14ac:dyDescent="0.25">
      <c r="A423" s="4" t="s">
        <v>255</v>
      </c>
      <c r="B423">
        <v>626</v>
      </c>
      <c r="C423">
        <f t="shared" si="27"/>
        <v>7338</v>
      </c>
      <c r="D423">
        <f t="shared" si="25"/>
        <v>0</v>
      </c>
      <c r="E423">
        <f t="shared" si="26"/>
        <v>0</v>
      </c>
      <c r="F423">
        <f t="shared" si="28"/>
        <v>0</v>
      </c>
    </row>
    <row r="424" spans="1:6" x14ac:dyDescent="0.25">
      <c r="A424" s="4" t="s">
        <v>266</v>
      </c>
      <c r="B424">
        <v>347</v>
      </c>
      <c r="C424">
        <f t="shared" si="27"/>
        <v>7685</v>
      </c>
      <c r="D424">
        <f t="shared" si="25"/>
        <v>0</v>
      </c>
      <c r="E424">
        <f t="shared" si="26"/>
        <v>0</v>
      </c>
      <c r="F424">
        <f t="shared" si="28"/>
        <v>0</v>
      </c>
    </row>
    <row r="425" spans="1:6" x14ac:dyDescent="0.25">
      <c r="A425" s="4" t="s">
        <v>267</v>
      </c>
      <c r="B425">
        <v>314</v>
      </c>
      <c r="C425">
        <f t="shared" si="27"/>
        <v>7999</v>
      </c>
      <c r="D425">
        <f t="shared" si="25"/>
        <v>0</v>
      </c>
      <c r="E425">
        <f t="shared" si="26"/>
        <v>0</v>
      </c>
      <c r="F425">
        <f t="shared" si="28"/>
        <v>0</v>
      </c>
    </row>
    <row r="426" spans="1:6" x14ac:dyDescent="0.25">
      <c r="A426" s="4" t="s">
        <v>270</v>
      </c>
      <c r="B426">
        <v>334</v>
      </c>
      <c r="C426">
        <f t="shared" si="27"/>
        <v>8333</v>
      </c>
      <c r="D426">
        <f t="shared" si="25"/>
        <v>0</v>
      </c>
      <c r="E426">
        <f t="shared" si="26"/>
        <v>0</v>
      </c>
      <c r="F426">
        <f t="shared" si="28"/>
        <v>0</v>
      </c>
    </row>
    <row r="427" spans="1:6" x14ac:dyDescent="0.25">
      <c r="A427" s="4" t="s">
        <v>278</v>
      </c>
      <c r="B427">
        <v>421</v>
      </c>
      <c r="C427">
        <f t="shared" si="27"/>
        <v>8754</v>
      </c>
      <c r="D427">
        <f t="shared" si="25"/>
        <v>0</v>
      </c>
      <c r="E427">
        <f t="shared" si="26"/>
        <v>0</v>
      </c>
      <c r="F427">
        <f t="shared" si="28"/>
        <v>0</v>
      </c>
    </row>
    <row r="428" spans="1:6" x14ac:dyDescent="0.25">
      <c r="A428" s="4" t="s">
        <v>279</v>
      </c>
      <c r="B428">
        <v>230</v>
      </c>
      <c r="C428">
        <f t="shared" si="27"/>
        <v>8984</v>
      </c>
      <c r="D428">
        <f t="shared" si="25"/>
        <v>0</v>
      </c>
      <c r="E428">
        <f t="shared" si="26"/>
        <v>0</v>
      </c>
      <c r="F428">
        <f t="shared" si="28"/>
        <v>0</v>
      </c>
    </row>
    <row r="429" spans="1:6" x14ac:dyDescent="0.25">
      <c r="A429" s="4" t="s">
        <v>294</v>
      </c>
      <c r="B429">
        <v>306</v>
      </c>
      <c r="C429">
        <f t="shared" si="27"/>
        <v>9290</v>
      </c>
      <c r="D429">
        <f t="shared" si="25"/>
        <v>0</v>
      </c>
      <c r="E429">
        <f t="shared" si="26"/>
        <v>0</v>
      </c>
      <c r="F429">
        <f t="shared" si="28"/>
        <v>0</v>
      </c>
    </row>
    <row r="430" spans="1:6" x14ac:dyDescent="0.25">
      <c r="A430" s="4" t="s">
        <v>297</v>
      </c>
      <c r="B430">
        <v>664</v>
      </c>
      <c r="C430">
        <f t="shared" si="27"/>
        <v>9954</v>
      </c>
      <c r="D430">
        <f t="shared" si="25"/>
        <v>0</v>
      </c>
      <c r="E430">
        <f t="shared" si="26"/>
        <v>0</v>
      </c>
      <c r="F430">
        <f t="shared" si="28"/>
        <v>0</v>
      </c>
    </row>
    <row r="431" spans="1:6" x14ac:dyDescent="0.25">
      <c r="A431" s="4" t="s">
        <v>306</v>
      </c>
      <c r="B431">
        <v>348</v>
      </c>
      <c r="C431">
        <f t="shared" si="27"/>
        <v>10302</v>
      </c>
      <c r="D431">
        <f t="shared" si="25"/>
        <v>0</v>
      </c>
      <c r="E431">
        <f t="shared" si="26"/>
        <v>0</v>
      </c>
      <c r="F431">
        <f t="shared" si="28"/>
        <v>0</v>
      </c>
    </row>
    <row r="432" spans="1:6" x14ac:dyDescent="0.25">
      <c r="A432" s="4" t="s">
        <v>309</v>
      </c>
      <c r="B432">
        <v>398</v>
      </c>
      <c r="C432">
        <f t="shared" si="27"/>
        <v>10700</v>
      </c>
      <c r="D432">
        <f t="shared" si="25"/>
        <v>0</v>
      </c>
      <c r="E432">
        <f t="shared" si="26"/>
        <v>0</v>
      </c>
      <c r="F432">
        <f t="shared" si="28"/>
        <v>0</v>
      </c>
    </row>
    <row r="433" spans="1:6" x14ac:dyDescent="0.25">
      <c r="A433" s="4" t="s">
        <v>313</v>
      </c>
      <c r="B433">
        <v>198</v>
      </c>
      <c r="C433">
        <f t="shared" si="27"/>
        <v>10898</v>
      </c>
      <c r="D433">
        <f t="shared" ref="D433:D496" si="29">IF(C433 &gt; 15000, 1, 0)</f>
        <v>0</v>
      </c>
      <c r="E433">
        <f t="shared" ref="E433:E496" si="30">IF(AND(D433 =1,C433 &gt;= 20000),1,0)</f>
        <v>0</v>
      </c>
      <c r="F433">
        <f t="shared" si="28"/>
        <v>0</v>
      </c>
    </row>
    <row r="434" spans="1:6" x14ac:dyDescent="0.25">
      <c r="A434" s="4" t="s">
        <v>314</v>
      </c>
      <c r="B434">
        <v>325</v>
      </c>
      <c r="C434">
        <f t="shared" si="27"/>
        <v>11223</v>
      </c>
      <c r="D434">
        <f t="shared" si="29"/>
        <v>0</v>
      </c>
      <c r="E434">
        <f t="shared" si="30"/>
        <v>0</v>
      </c>
      <c r="F434">
        <f t="shared" si="28"/>
        <v>0</v>
      </c>
    </row>
    <row r="435" spans="1:6" x14ac:dyDescent="0.25">
      <c r="A435" s="4" t="s">
        <v>315</v>
      </c>
      <c r="B435">
        <v>553</v>
      </c>
      <c r="C435">
        <f t="shared" si="27"/>
        <v>11776</v>
      </c>
      <c r="D435">
        <f t="shared" si="29"/>
        <v>0</v>
      </c>
      <c r="E435">
        <f t="shared" si="30"/>
        <v>0</v>
      </c>
      <c r="F435">
        <f t="shared" si="28"/>
        <v>0</v>
      </c>
    </row>
    <row r="436" spans="1:6" x14ac:dyDescent="0.25">
      <c r="A436" s="4" t="s">
        <v>318</v>
      </c>
      <c r="B436">
        <v>101</v>
      </c>
      <c r="C436">
        <f t="shared" si="27"/>
        <v>11877</v>
      </c>
      <c r="D436">
        <f t="shared" si="29"/>
        <v>0</v>
      </c>
      <c r="E436">
        <f t="shared" si="30"/>
        <v>0</v>
      </c>
      <c r="F436">
        <f t="shared" si="28"/>
        <v>0</v>
      </c>
    </row>
    <row r="437" spans="1:6" x14ac:dyDescent="0.25">
      <c r="A437" s="4" t="s">
        <v>327</v>
      </c>
      <c r="B437">
        <v>612</v>
      </c>
      <c r="C437">
        <f t="shared" si="27"/>
        <v>12489</v>
      </c>
      <c r="D437">
        <f t="shared" si="29"/>
        <v>0</v>
      </c>
      <c r="E437">
        <f t="shared" si="30"/>
        <v>0</v>
      </c>
      <c r="F437">
        <f t="shared" si="28"/>
        <v>0</v>
      </c>
    </row>
    <row r="438" spans="1:6" x14ac:dyDescent="0.25">
      <c r="A438" s="4" t="s">
        <v>329</v>
      </c>
      <c r="B438">
        <v>132</v>
      </c>
      <c r="C438">
        <f t="shared" si="27"/>
        <v>12621</v>
      </c>
      <c r="D438">
        <f t="shared" si="29"/>
        <v>0</v>
      </c>
      <c r="E438">
        <f t="shared" si="30"/>
        <v>0</v>
      </c>
      <c r="F438">
        <f t="shared" si="28"/>
        <v>0</v>
      </c>
    </row>
    <row r="439" spans="1:6" x14ac:dyDescent="0.25">
      <c r="A439" s="4" t="s">
        <v>332</v>
      </c>
      <c r="B439">
        <v>268</v>
      </c>
      <c r="C439">
        <f t="shared" si="27"/>
        <v>12889</v>
      </c>
      <c r="D439">
        <f t="shared" si="29"/>
        <v>0</v>
      </c>
      <c r="E439">
        <f t="shared" si="30"/>
        <v>0</v>
      </c>
      <c r="F439">
        <f t="shared" si="28"/>
        <v>0</v>
      </c>
    </row>
    <row r="440" spans="1:6" x14ac:dyDescent="0.25">
      <c r="A440" s="4" t="s">
        <v>346</v>
      </c>
      <c r="B440">
        <v>492</v>
      </c>
      <c r="C440">
        <f t="shared" si="27"/>
        <v>13381</v>
      </c>
      <c r="D440">
        <f t="shared" si="29"/>
        <v>0</v>
      </c>
      <c r="E440">
        <f t="shared" si="30"/>
        <v>0</v>
      </c>
      <c r="F440">
        <f t="shared" si="28"/>
        <v>0</v>
      </c>
    </row>
    <row r="441" spans="1:6" x14ac:dyDescent="0.25">
      <c r="A441" s="4" t="s">
        <v>350</v>
      </c>
      <c r="B441">
        <v>19</v>
      </c>
      <c r="C441">
        <f t="shared" si="27"/>
        <v>13400</v>
      </c>
      <c r="D441">
        <f t="shared" si="29"/>
        <v>0</v>
      </c>
      <c r="E441">
        <f t="shared" si="30"/>
        <v>0</v>
      </c>
      <c r="F441">
        <f t="shared" si="28"/>
        <v>0</v>
      </c>
    </row>
    <row r="442" spans="1:6" x14ac:dyDescent="0.25">
      <c r="A442" s="4" t="s">
        <v>359</v>
      </c>
      <c r="B442">
        <v>318</v>
      </c>
      <c r="C442">
        <f t="shared" si="27"/>
        <v>13718</v>
      </c>
      <c r="D442">
        <f t="shared" si="29"/>
        <v>0</v>
      </c>
      <c r="E442">
        <f t="shared" si="30"/>
        <v>0</v>
      </c>
      <c r="F442">
        <f t="shared" si="28"/>
        <v>0</v>
      </c>
    </row>
    <row r="443" spans="1:6" x14ac:dyDescent="0.25">
      <c r="A443" s="4" t="s">
        <v>379</v>
      </c>
      <c r="B443">
        <v>398</v>
      </c>
      <c r="C443">
        <f t="shared" si="27"/>
        <v>14116</v>
      </c>
      <c r="D443">
        <f t="shared" si="29"/>
        <v>0</v>
      </c>
      <c r="E443">
        <f t="shared" si="30"/>
        <v>0</v>
      </c>
      <c r="F443">
        <f t="shared" si="28"/>
        <v>0</v>
      </c>
    </row>
    <row r="444" spans="1:6" x14ac:dyDescent="0.25">
      <c r="A444" s="4" t="s">
        <v>399</v>
      </c>
      <c r="B444">
        <v>106</v>
      </c>
      <c r="C444">
        <f t="shared" si="27"/>
        <v>14222</v>
      </c>
      <c r="D444">
        <f t="shared" si="29"/>
        <v>0</v>
      </c>
      <c r="E444">
        <f t="shared" si="30"/>
        <v>0</v>
      </c>
      <c r="F444">
        <f t="shared" si="28"/>
        <v>0</v>
      </c>
    </row>
    <row r="445" spans="1:6" x14ac:dyDescent="0.25">
      <c r="A445" s="3" t="s">
        <v>46</v>
      </c>
      <c r="B445">
        <v>12879</v>
      </c>
      <c r="C445">
        <f t="shared" si="27"/>
        <v>0</v>
      </c>
      <c r="D445">
        <f t="shared" si="29"/>
        <v>0</v>
      </c>
      <c r="E445">
        <f t="shared" si="30"/>
        <v>0</v>
      </c>
      <c r="F445">
        <f t="shared" si="28"/>
        <v>0</v>
      </c>
    </row>
    <row r="446" spans="1:6" x14ac:dyDescent="0.25">
      <c r="A446" s="4" t="s">
        <v>93</v>
      </c>
      <c r="B446">
        <v>464</v>
      </c>
      <c r="C446">
        <f t="shared" si="27"/>
        <v>464</v>
      </c>
      <c r="D446">
        <f t="shared" si="29"/>
        <v>0</v>
      </c>
      <c r="E446">
        <f t="shared" si="30"/>
        <v>0</v>
      </c>
      <c r="F446">
        <f t="shared" si="28"/>
        <v>0</v>
      </c>
    </row>
    <row r="447" spans="1:6" x14ac:dyDescent="0.25">
      <c r="A447" s="4" t="s">
        <v>103</v>
      </c>
      <c r="B447">
        <v>115</v>
      </c>
      <c r="C447">
        <f t="shared" si="27"/>
        <v>579</v>
      </c>
      <c r="D447">
        <f t="shared" si="29"/>
        <v>0</v>
      </c>
      <c r="E447">
        <f t="shared" si="30"/>
        <v>0</v>
      </c>
      <c r="F447">
        <f t="shared" si="28"/>
        <v>0</v>
      </c>
    </row>
    <row r="448" spans="1:6" x14ac:dyDescent="0.25">
      <c r="A448" s="4" t="s">
        <v>112</v>
      </c>
      <c r="B448">
        <v>447</v>
      </c>
      <c r="C448">
        <f t="shared" si="27"/>
        <v>1026</v>
      </c>
      <c r="D448">
        <f t="shared" si="29"/>
        <v>0</v>
      </c>
      <c r="E448">
        <f t="shared" si="30"/>
        <v>0</v>
      </c>
      <c r="F448">
        <f t="shared" si="28"/>
        <v>0</v>
      </c>
    </row>
    <row r="449" spans="1:6" x14ac:dyDescent="0.25">
      <c r="A449" s="4" t="s">
        <v>113</v>
      </c>
      <c r="B449">
        <v>350</v>
      </c>
      <c r="C449">
        <f t="shared" si="27"/>
        <v>1376</v>
      </c>
      <c r="D449">
        <f t="shared" si="29"/>
        <v>0</v>
      </c>
      <c r="E449">
        <f t="shared" si="30"/>
        <v>0</v>
      </c>
      <c r="F449">
        <f t="shared" si="28"/>
        <v>0</v>
      </c>
    </row>
    <row r="450" spans="1:6" x14ac:dyDescent="0.25">
      <c r="A450" s="4" t="s">
        <v>114</v>
      </c>
      <c r="B450">
        <v>625</v>
      </c>
      <c r="C450">
        <f t="shared" si="27"/>
        <v>2001</v>
      </c>
      <c r="D450">
        <f t="shared" si="29"/>
        <v>0</v>
      </c>
      <c r="E450">
        <f t="shared" si="30"/>
        <v>0</v>
      </c>
      <c r="F450">
        <f t="shared" si="28"/>
        <v>0</v>
      </c>
    </row>
    <row r="451" spans="1:6" x14ac:dyDescent="0.25">
      <c r="A451" s="4" t="s">
        <v>126</v>
      </c>
      <c r="B451">
        <v>421</v>
      </c>
      <c r="C451">
        <f t="shared" si="27"/>
        <v>2422</v>
      </c>
      <c r="D451">
        <f t="shared" si="29"/>
        <v>0</v>
      </c>
      <c r="E451">
        <f t="shared" si="30"/>
        <v>0</v>
      </c>
      <c r="F451">
        <f t="shared" si="28"/>
        <v>0</v>
      </c>
    </row>
    <row r="452" spans="1:6" x14ac:dyDescent="0.25">
      <c r="A452" s="4" t="s">
        <v>129</v>
      </c>
      <c r="B452">
        <v>263</v>
      </c>
      <c r="C452">
        <f t="shared" si="27"/>
        <v>2685</v>
      </c>
      <c r="D452">
        <f t="shared" si="29"/>
        <v>0</v>
      </c>
      <c r="E452">
        <f t="shared" si="30"/>
        <v>0</v>
      </c>
      <c r="F452">
        <f t="shared" si="28"/>
        <v>0</v>
      </c>
    </row>
    <row r="453" spans="1:6" x14ac:dyDescent="0.25">
      <c r="A453" s="4" t="s">
        <v>144</v>
      </c>
      <c r="B453">
        <v>438</v>
      </c>
      <c r="C453">
        <f t="shared" ref="C453:C516" si="31">IF(LEN(A453) &gt;= 12, 0, C452+B453)</f>
        <v>3123</v>
      </c>
      <c r="D453">
        <f t="shared" si="29"/>
        <v>0</v>
      </c>
      <c r="E453">
        <f t="shared" si="30"/>
        <v>0</v>
      </c>
      <c r="F453">
        <f t="shared" si="28"/>
        <v>0</v>
      </c>
    </row>
    <row r="454" spans="1:6" x14ac:dyDescent="0.25">
      <c r="A454" s="4" t="s">
        <v>151</v>
      </c>
      <c r="B454">
        <v>17</v>
      </c>
      <c r="C454">
        <f t="shared" si="31"/>
        <v>3140</v>
      </c>
      <c r="D454">
        <f t="shared" si="29"/>
        <v>0</v>
      </c>
      <c r="E454">
        <f t="shared" si="30"/>
        <v>0</v>
      </c>
      <c r="F454">
        <f t="shared" ref="F454:F517" si="32">IF(AND(D454 = 1, C454 &lt; 20000), B454*5, IF(AND(E454=1, C454 &gt;= 20000),B454*10,0))</f>
        <v>0</v>
      </c>
    </row>
    <row r="455" spans="1:6" x14ac:dyDescent="0.25">
      <c r="A455" s="4" t="s">
        <v>156</v>
      </c>
      <c r="B455">
        <v>599</v>
      </c>
      <c r="C455">
        <f t="shared" si="31"/>
        <v>3739</v>
      </c>
      <c r="D455">
        <f t="shared" si="29"/>
        <v>0</v>
      </c>
      <c r="E455">
        <f t="shared" si="30"/>
        <v>0</v>
      </c>
      <c r="F455">
        <f t="shared" si="32"/>
        <v>0</v>
      </c>
    </row>
    <row r="456" spans="1:6" x14ac:dyDescent="0.25">
      <c r="A456" s="4" t="s">
        <v>171</v>
      </c>
      <c r="B456">
        <v>214</v>
      </c>
      <c r="C456">
        <f t="shared" si="31"/>
        <v>3953</v>
      </c>
      <c r="D456">
        <f t="shared" si="29"/>
        <v>0</v>
      </c>
      <c r="E456">
        <f t="shared" si="30"/>
        <v>0</v>
      </c>
      <c r="F456">
        <f t="shared" si="32"/>
        <v>0</v>
      </c>
    </row>
    <row r="457" spans="1:6" x14ac:dyDescent="0.25">
      <c r="A457" s="4" t="s">
        <v>177</v>
      </c>
      <c r="B457">
        <v>633</v>
      </c>
      <c r="C457">
        <f t="shared" si="31"/>
        <v>4586</v>
      </c>
      <c r="D457">
        <f t="shared" si="29"/>
        <v>0</v>
      </c>
      <c r="E457">
        <f t="shared" si="30"/>
        <v>0</v>
      </c>
      <c r="F457">
        <f t="shared" si="32"/>
        <v>0</v>
      </c>
    </row>
    <row r="458" spans="1:6" x14ac:dyDescent="0.25">
      <c r="A458" s="4" t="s">
        <v>184</v>
      </c>
      <c r="B458">
        <v>390</v>
      </c>
      <c r="C458">
        <f t="shared" si="31"/>
        <v>4976</v>
      </c>
      <c r="D458">
        <f t="shared" si="29"/>
        <v>0</v>
      </c>
      <c r="E458">
        <f t="shared" si="30"/>
        <v>0</v>
      </c>
      <c r="F458">
        <f t="shared" si="32"/>
        <v>0</v>
      </c>
    </row>
    <row r="459" spans="1:6" x14ac:dyDescent="0.25">
      <c r="A459" s="4" t="s">
        <v>185</v>
      </c>
      <c r="B459">
        <v>354</v>
      </c>
      <c r="C459">
        <f t="shared" si="31"/>
        <v>5330</v>
      </c>
      <c r="D459">
        <f t="shared" si="29"/>
        <v>0</v>
      </c>
      <c r="E459">
        <f t="shared" si="30"/>
        <v>0</v>
      </c>
      <c r="F459">
        <f t="shared" si="32"/>
        <v>0</v>
      </c>
    </row>
    <row r="460" spans="1:6" x14ac:dyDescent="0.25">
      <c r="A460" s="4" t="s">
        <v>188</v>
      </c>
      <c r="B460">
        <v>483</v>
      </c>
      <c r="C460">
        <f t="shared" si="31"/>
        <v>5813</v>
      </c>
      <c r="D460">
        <f t="shared" si="29"/>
        <v>0</v>
      </c>
      <c r="E460">
        <f t="shared" si="30"/>
        <v>0</v>
      </c>
      <c r="F460">
        <f t="shared" si="32"/>
        <v>0</v>
      </c>
    </row>
    <row r="461" spans="1:6" x14ac:dyDescent="0.25">
      <c r="A461" s="4" t="s">
        <v>198</v>
      </c>
      <c r="B461">
        <v>423</v>
      </c>
      <c r="C461">
        <f t="shared" si="31"/>
        <v>6236</v>
      </c>
      <c r="D461">
        <f t="shared" si="29"/>
        <v>0</v>
      </c>
      <c r="E461">
        <f t="shared" si="30"/>
        <v>0</v>
      </c>
      <c r="F461">
        <f t="shared" si="32"/>
        <v>0</v>
      </c>
    </row>
    <row r="462" spans="1:6" x14ac:dyDescent="0.25">
      <c r="A462" s="4" t="s">
        <v>201</v>
      </c>
      <c r="B462">
        <v>376</v>
      </c>
      <c r="C462">
        <f t="shared" si="31"/>
        <v>6612</v>
      </c>
      <c r="D462">
        <f t="shared" si="29"/>
        <v>0</v>
      </c>
      <c r="E462">
        <f t="shared" si="30"/>
        <v>0</v>
      </c>
      <c r="F462">
        <f t="shared" si="32"/>
        <v>0</v>
      </c>
    </row>
    <row r="463" spans="1:6" x14ac:dyDescent="0.25">
      <c r="A463" s="4" t="s">
        <v>202</v>
      </c>
      <c r="B463">
        <v>521</v>
      </c>
      <c r="C463">
        <f t="shared" si="31"/>
        <v>7133</v>
      </c>
      <c r="D463">
        <f t="shared" si="29"/>
        <v>0</v>
      </c>
      <c r="E463">
        <f t="shared" si="30"/>
        <v>0</v>
      </c>
      <c r="F463">
        <f t="shared" si="32"/>
        <v>0</v>
      </c>
    </row>
    <row r="464" spans="1:6" x14ac:dyDescent="0.25">
      <c r="A464" s="4" t="s">
        <v>221</v>
      </c>
      <c r="B464">
        <v>354</v>
      </c>
      <c r="C464">
        <f t="shared" si="31"/>
        <v>7487</v>
      </c>
      <c r="D464">
        <f t="shared" si="29"/>
        <v>0</v>
      </c>
      <c r="E464">
        <f t="shared" si="30"/>
        <v>0</v>
      </c>
      <c r="F464">
        <f t="shared" si="32"/>
        <v>0</v>
      </c>
    </row>
    <row r="465" spans="1:6" x14ac:dyDescent="0.25">
      <c r="A465" s="4" t="s">
        <v>231</v>
      </c>
      <c r="B465">
        <v>375</v>
      </c>
      <c r="C465">
        <f t="shared" si="31"/>
        <v>7862</v>
      </c>
      <c r="D465">
        <f t="shared" si="29"/>
        <v>0</v>
      </c>
      <c r="E465">
        <f t="shared" si="30"/>
        <v>0</v>
      </c>
      <c r="F465">
        <f t="shared" si="32"/>
        <v>0</v>
      </c>
    </row>
    <row r="466" spans="1:6" x14ac:dyDescent="0.25">
      <c r="A466" s="4" t="s">
        <v>238</v>
      </c>
      <c r="B466">
        <v>55</v>
      </c>
      <c r="C466">
        <f t="shared" si="31"/>
        <v>7917</v>
      </c>
      <c r="D466">
        <f t="shared" si="29"/>
        <v>0</v>
      </c>
      <c r="E466">
        <f t="shared" si="30"/>
        <v>0</v>
      </c>
      <c r="F466">
        <f t="shared" si="32"/>
        <v>0</v>
      </c>
    </row>
    <row r="467" spans="1:6" x14ac:dyDescent="0.25">
      <c r="A467" s="4" t="s">
        <v>244</v>
      </c>
      <c r="B467">
        <v>761</v>
      </c>
      <c r="C467">
        <f t="shared" si="31"/>
        <v>8678</v>
      </c>
      <c r="D467">
        <f t="shared" si="29"/>
        <v>0</v>
      </c>
      <c r="E467">
        <f t="shared" si="30"/>
        <v>0</v>
      </c>
      <c r="F467">
        <f t="shared" si="32"/>
        <v>0</v>
      </c>
    </row>
    <row r="468" spans="1:6" x14ac:dyDescent="0.25">
      <c r="A468" s="4" t="s">
        <v>246</v>
      </c>
      <c r="B468">
        <v>66</v>
      </c>
      <c r="C468">
        <f t="shared" si="31"/>
        <v>8744</v>
      </c>
      <c r="D468">
        <f t="shared" si="29"/>
        <v>0</v>
      </c>
      <c r="E468">
        <f t="shared" si="30"/>
        <v>0</v>
      </c>
      <c r="F468">
        <f t="shared" si="32"/>
        <v>0</v>
      </c>
    </row>
    <row r="469" spans="1:6" x14ac:dyDescent="0.25">
      <c r="A469" s="4" t="s">
        <v>260</v>
      </c>
      <c r="B469">
        <v>355</v>
      </c>
      <c r="C469">
        <f t="shared" si="31"/>
        <v>9099</v>
      </c>
      <c r="D469">
        <f t="shared" si="29"/>
        <v>0</v>
      </c>
      <c r="E469">
        <f t="shared" si="30"/>
        <v>0</v>
      </c>
      <c r="F469">
        <f t="shared" si="32"/>
        <v>0</v>
      </c>
    </row>
    <row r="470" spans="1:6" x14ac:dyDescent="0.25">
      <c r="A470" s="4" t="s">
        <v>290</v>
      </c>
      <c r="B470">
        <v>383</v>
      </c>
      <c r="C470">
        <f t="shared" si="31"/>
        <v>9482</v>
      </c>
      <c r="D470">
        <f t="shared" si="29"/>
        <v>0</v>
      </c>
      <c r="E470">
        <f t="shared" si="30"/>
        <v>0</v>
      </c>
      <c r="F470">
        <f t="shared" si="32"/>
        <v>0</v>
      </c>
    </row>
    <row r="471" spans="1:6" x14ac:dyDescent="0.25">
      <c r="A471" s="4" t="s">
        <v>291</v>
      </c>
      <c r="B471">
        <v>383</v>
      </c>
      <c r="C471">
        <f t="shared" si="31"/>
        <v>9865</v>
      </c>
      <c r="D471">
        <f t="shared" si="29"/>
        <v>0</v>
      </c>
      <c r="E471">
        <f t="shared" si="30"/>
        <v>0</v>
      </c>
      <c r="F471">
        <f t="shared" si="32"/>
        <v>0</v>
      </c>
    </row>
    <row r="472" spans="1:6" x14ac:dyDescent="0.25">
      <c r="A472" s="4" t="s">
        <v>298</v>
      </c>
      <c r="B472">
        <v>444</v>
      </c>
      <c r="C472">
        <f t="shared" si="31"/>
        <v>10309</v>
      </c>
      <c r="D472">
        <f t="shared" si="29"/>
        <v>0</v>
      </c>
      <c r="E472">
        <f t="shared" si="30"/>
        <v>0</v>
      </c>
      <c r="F472">
        <f t="shared" si="32"/>
        <v>0</v>
      </c>
    </row>
    <row r="473" spans="1:6" x14ac:dyDescent="0.25">
      <c r="A473" s="4" t="s">
        <v>301</v>
      </c>
      <c r="B473">
        <v>271</v>
      </c>
      <c r="C473">
        <f t="shared" si="31"/>
        <v>10580</v>
      </c>
      <c r="D473">
        <f t="shared" si="29"/>
        <v>0</v>
      </c>
      <c r="E473">
        <f t="shared" si="30"/>
        <v>0</v>
      </c>
      <c r="F473">
        <f t="shared" si="32"/>
        <v>0</v>
      </c>
    </row>
    <row r="474" spans="1:6" x14ac:dyDescent="0.25">
      <c r="A474" s="4" t="s">
        <v>305</v>
      </c>
      <c r="B474">
        <v>17</v>
      </c>
      <c r="C474">
        <f t="shared" si="31"/>
        <v>10597</v>
      </c>
      <c r="D474">
        <f t="shared" si="29"/>
        <v>0</v>
      </c>
      <c r="E474">
        <f t="shared" si="30"/>
        <v>0</v>
      </c>
      <c r="F474">
        <f t="shared" si="32"/>
        <v>0</v>
      </c>
    </row>
    <row r="475" spans="1:6" x14ac:dyDescent="0.25">
      <c r="A475" s="4" t="s">
        <v>306</v>
      </c>
      <c r="B475">
        <v>397</v>
      </c>
      <c r="C475">
        <f t="shared" si="31"/>
        <v>10994</v>
      </c>
      <c r="D475">
        <f t="shared" si="29"/>
        <v>0</v>
      </c>
      <c r="E475">
        <f t="shared" si="30"/>
        <v>0</v>
      </c>
      <c r="F475">
        <f t="shared" si="32"/>
        <v>0</v>
      </c>
    </row>
    <row r="476" spans="1:6" x14ac:dyDescent="0.25">
      <c r="A476" s="4" t="s">
        <v>309</v>
      </c>
      <c r="B476">
        <v>227</v>
      </c>
      <c r="C476">
        <f t="shared" si="31"/>
        <v>11221</v>
      </c>
      <c r="D476">
        <f t="shared" si="29"/>
        <v>0</v>
      </c>
      <c r="E476">
        <f t="shared" si="30"/>
        <v>0</v>
      </c>
      <c r="F476">
        <f t="shared" si="32"/>
        <v>0</v>
      </c>
    </row>
    <row r="477" spans="1:6" x14ac:dyDescent="0.25">
      <c r="A477" s="4" t="s">
        <v>315</v>
      </c>
      <c r="B477">
        <v>37</v>
      </c>
      <c r="C477">
        <f t="shared" si="31"/>
        <v>11258</v>
      </c>
      <c r="D477">
        <f t="shared" si="29"/>
        <v>0</v>
      </c>
      <c r="E477">
        <f t="shared" si="30"/>
        <v>0</v>
      </c>
      <c r="F477">
        <f t="shared" si="32"/>
        <v>0</v>
      </c>
    </row>
    <row r="478" spans="1:6" x14ac:dyDescent="0.25">
      <c r="A478" s="4" t="s">
        <v>329</v>
      </c>
      <c r="B478">
        <v>135</v>
      </c>
      <c r="C478">
        <f t="shared" si="31"/>
        <v>11393</v>
      </c>
      <c r="D478">
        <f t="shared" si="29"/>
        <v>0</v>
      </c>
      <c r="E478">
        <f t="shared" si="30"/>
        <v>0</v>
      </c>
      <c r="F478">
        <f t="shared" si="32"/>
        <v>0</v>
      </c>
    </row>
    <row r="479" spans="1:6" x14ac:dyDescent="0.25">
      <c r="A479" s="4" t="s">
        <v>344</v>
      </c>
      <c r="B479">
        <v>450</v>
      </c>
      <c r="C479">
        <f t="shared" si="31"/>
        <v>11843</v>
      </c>
      <c r="D479">
        <f t="shared" si="29"/>
        <v>0</v>
      </c>
      <c r="E479">
        <f t="shared" si="30"/>
        <v>0</v>
      </c>
      <c r="F479">
        <f t="shared" si="32"/>
        <v>0</v>
      </c>
    </row>
    <row r="480" spans="1:6" x14ac:dyDescent="0.25">
      <c r="A480" s="4" t="s">
        <v>366</v>
      </c>
      <c r="B480">
        <v>452</v>
      </c>
      <c r="C480">
        <f t="shared" si="31"/>
        <v>12295</v>
      </c>
      <c r="D480">
        <f t="shared" si="29"/>
        <v>0</v>
      </c>
      <c r="E480">
        <f t="shared" si="30"/>
        <v>0</v>
      </c>
      <c r="F480">
        <f t="shared" si="32"/>
        <v>0</v>
      </c>
    </row>
    <row r="481" spans="1:6" x14ac:dyDescent="0.25">
      <c r="A481" s="4" t="s">
        <v>382</v>
      </c>
      <c r="B481">
        <v>298</v>
      </c>
      <c r="C481">
        <f t="shared" si="31"/>
        <v>12593</v>
      </c>
      <c r="D481">
        <f t="shared" si="29"/>
        <v>0</v>
      </c>
      <c r="E481">
        <f t="shared" si="30"/>
        <v>0</v>
      </c>
      <c r="F481">
        <f t="shared" si="32"/>
        <v>0</v>
      </c>
    </row>
    <row r="482" spans="1:6" x14ac:dyDescent="0.25">
      <c r="A482" s="4" t="s">
        <v>399</v>
      </c>
      <c r="B482">
        <v>286</v>
      </c>
      <c r="C482">
        <f t="shared" si="31"/>
        <v>12879</v>
      </c>
      <c r="D482">
        <f t="shared" si="29"/>
        <v>0</v>
      </c>
      <c r="E482">
        <f t="shared" si="30"/>
        <v>0</v>
      </c>
      <c r="F482">
        <f t="shared" si="32"/>
        <v>0</v>
      </c>
    </row>
    <row r="483" spans="1:6" x14ac:dyDescent="0.25">
      <c r="A483" s="3" t="s">
        <v>44</v>
      </c>
      <c r="B483">
        <v>18455</v>
      </c>
      <c r="C483">
        <f t="shared" si="31"/>
        <v>0</v>
      </c>
      <c r="D483">
        <f t="shared" si="29"/>
        <v>0</v>
      </c>
      <c r="E483">
        <f t="shared" si="30"/>
        <v>0</v>
      </c>
      <c r="F483">
        <f t="shared" si="32"/>
        <v>0</v>
      </c>
    </row>
    <row r="484" spans="1:6" x14ac:dyDescent="0.25">
      <c r="A484" s="4" t="s">
        <v>99</v>
      </c>
      <c r="B484">
        <v>32</v>
      </c>
      <c r="C484">
        <f t="shared" si="31"/>
        <v>32</v>
      </c>
      <c r="D484">
        <f t="shared" si="29"/>
        <v>0</v>
      </c>
      <c r="E484">
        <f t="shared" si="30"/>
        <v>0</v>
      </c>
      <c r="F484">
        <f t="shared" si="32"/>
        <v>0</v>
      </c>
    </row>
    <row r="485" spans="1:6" x14ac:dyDescent="0.25">
      <c r="A485" s="4" t="s">
        <v>103</v>
      </c>
      <c r="B485">
        <v>1213</v>
      </c>
      <c r="C485">
        <f t="shared" si="31"/>
        <v>1245</v>
      </c>
      <c r="D485">
        <f t="shared" si="29"/>
        <v>0</v>
      </c>
      <c r="E485">
        <f t="shared" si="30"/>
        <v>0</v>
      </c>
      <c r="F485">
        <f t="shared" si="32"/>
        <v>0</v>
      </c>
    </row>
    <row r="486" spans="1:6" x14ac:dyDescent="0.25">
      <c r="A486" s="4" t="s">
        <v>104</v>
      </c>
      <c r="B486">
        <v>169</v>
      </c>
      <c r="C486">
        <f t="shared" si="31"/>
        <v>1414</v>
      </c>
      <c r="D486">
        <f t="shared" si="29"/>
        <v>0</v>
      </c>
      <c r="E486">
        <f t="shared" si="30"/>
        <v>0</v>
      </c>
      <c r="F486">
        <f t="shared" si="32"/>
        <v>0</v>
      </c>
    </row>
    <row r="487" spans="1:6" x14ac:dyDescent="0.25">
      <c r="A487" s="4" t="s">
        <v>105</v>
      </c>
      <c r="B487">
        <v>256</v>
      </c>
      <c r="C487">
        <f t="shared" si="31"/>
        <v>1670</v>
      </c>
      <c r="D487">
        <f t="shared" si="29"/>
        <v>0</v>
      </c>
      <c r="E487">
        <f t="shared" si="30"/>
        <v>0</v>
      </c>
      <c r="F487">
        <f t="shared" si="32"/>
        <v>0</v>
      </c>
    </row>
    <row r="488" spans="1:6" x14ac:dyDescent="0.25">
      <c r="A488" s="4" t="s">
        <v>111</v>
      </c>
      <c r="B488">
        <v>341</v>
      </c>
      <c r="C488">
        <f t="shared" si="31"/>
        <v>2011</v>
      </c>
      <c r="D488">
        <f t="shared" si="29"/>
        <v>0</v>
      </c>
      <c r="E488">
        <f t="shared" si="30"/>
        <v>0</v>
      </c>
      <c r="F488">
        <f t="shared" si="32"/>
        <v>0</v>
      </c>
    </row>
    <row r="489" spans="1:6" x14ac:dyDescent="0.25">
      <c r="A489" s="4" t="s">
        <v>117</v>
      </c>
      <c r="B489">
        <v>1293</v>
      </c>
      <c r="C489">
        <f t="shared" si="31"/>
        <v>3304</v>
      </c>
      <c r="D489">
        <f t="shared" si="29"/>
        <v>0</v>
      </c>
      <c r="E489">
        <f t="shared" si="30"/>
        <v>0</v>
      </c>
      <c r="F489">
        <f t="shared" si="32"/>
        <v>0</v>
      </c>
    </row>
    <row r="490" spans="1:6" x14ac:dyDescent="0.25">
      <c r="A490" s="4" t="s">
        <v>119</v>
      </c>
      <c r="B490">
        <v>429</v>
      </c>
      <c r="C490">
        <f t="shared" si="31"/>
        <v>3733</v>
      </c>
      <c r="D490">
        <f t="shared" si="29"/>
        <v>0</v>
      </c>
      <c r="E490">
        <f t="shared" si="30"/>
        <v>0</v>
      </c>
      <c r="F490">
        <f t="shared" si="32"/>
        <v>0</v>
      </c>
    </row>
    <row r="491" spans="1:6" x14ac:dyDescent="0.25">
      <c r="A491" s="4" t="s">
        <v>123</v>
      </c>
      <c r="B491">
        <v>185</v>
      </c>
      <c r="C491">
        <f t="shared" si="31"/>
        <v>3918</v>
      </c>
      <c r="D491">
        <f t="shared" si="29"/>
        <v>0</v>
      </c>
      <c r="E491">
        <f t="shared" si="30"/>
        <v>0</v>
      </c>
      <c r="F491">
        <f t="shared" si="32"/>
        <v>0</v>
      </c>
    </row>
    <row r="492" spans="1:6" x14ac:dyDescent="0.25">
      <c r="A492" s="4" t="s">
        <v>130</v>
      </c>
      <c r="B492">
        <v>154</v>
      </c>
      <c r="C492">
        <f t="shared" si="31"/>
        <v>4072</v>
      </c>
      <c r="D492">
        <f t="shared" si="29"/>
        <v>0</v>
      </c>
      <c r="E492">
        <f t="shared" si="30"/>
        <v>0</v>
      </c>
      <c r="F492">
        <f t="shared" si="32"/>
        <v>0</v>
      </c>
    </row>
    <row r="493" spans="1:6" x14ac:dyDescent="0.25">
      <c r="A493" s="4" t="s">
        <v>135</v>
      </c>
      <c r="B493">
        <v>292</v>
      </c>
      <c r="C493">
        <f t="shared" si="31"/>
        <v>4364</v>
      </c>
      <c r="D493">
        <f t="shared" si="29"/>
        <v>0</v>
      </c>
      <c r="E493">
        <f t="shared" si="30"/>
        <v>0</v>
      </c>
      <c r="F493">
        <f t="shared" si="32"/>
        <v>0</v>
      </c>
    </row>
    <row r="494" spans="1:6" x14ac:dyDescent="0.25">
      <c r="A494" s="4" t="s">
        <v>140</v>
      </c>
      <c r="B494">
        <v>628</v>
      </c>
      <c r="C494">
        <f t="shared" si="31"/>
        <v>4992</v>
      </c>
      <c r="D494">
        <f t="shared" si="29"/>
        <v>0</v>
      </c>
      <c r="E494">
        <f t="shared" si="30"/>
        <v>0</v>
      </c>
      <c r="F494">
        <f t="shared" si="32"/>
        <v>0</v>
      </c>
    </row>
    <row r="495" spans="1:6" x14ac:dyDescent="0.25">
      <c r="A495" s="4" t="s">
        <v>149</v>
      </c>
      <c r="B495">
        <v>112</v>
      </c>
      <c r="C495">
        <f t="shared" si="31"/>
        <v>5104</v>
      </c>
      <c r="D495">
        <f t="shared" si="29"/>
        <v>0</v>
      </c>
      <c r="E495">
        <f t="shared" si="30"/>
        <v>0</v>
      </c>
      <c r="F495">
        <f t="shared" si="32"/>
        <v>0</v>
      </c>
    </row>
    <row r="496" spans="1:6" x14ac:dyDescent="0.25">
      <c r="A496" s="4" t="s">
        <v>157</v>
      </c>
      <c r="B496">
        <v>364</v>
      </c>
      <c r="C496">
        <f t="shared" si="31"/>
        <v>5468</v>
      </c>
      <c r="D496">
        <f t="shared" si="29"/>
        <v>0</v>
      </c>
      <c r="E496">
        <f t="shared" si="30"/>
        <v>0</v>
      </c>
      <c r="F496">
        <f t="shared" si="32"/>
        <v>0</v>
      </c>
    </row>
    <row r="497" spans="1:6" x14ac:dyDescent="0.25">
      <c r="A497" s="4" t="s">
        <v>162</v>
      </c>
      <c r="B497">
        <v>123</v>
      </c>
      <c r="C497">
        <f t="shared" si="31"/>
        <v>5591</v>
      </c>
      <c r="D497">
        <f t="shared" ref="D497:D560" si="33">IF(C497 &gt; 15000, 1, 0)</f>
        <v>0</v>
      </c>
      <c r="E497">
        <f t="shared" ref="E497:E560" si="34">IF(AND(D497 =1,C497 &gt;= 20000),1,0)</f>
        <v>0</v>
      </c>
      <c r="F497">
        <f t="shared" si="32"/>
        <v>0</v>
      </c>
    </row>
    <row r="498" spans="1:6" x14ac:dyDescent="0.25">
      <c r="A498" s="4" t="s">
        <v>167</v>
      </c>
      <c r="B498">
        <v>323</v>
      </c>
      <c r="C498">
        <f t="shared" si="31"/>
        <v>5914</v>
      </c>
      <c r="D498">
        <f t="shared" si="33"/>
        <v>0</v>
      </c>
      <c r="E498">
        <f t="shared" si="34"/>
        <v>0</v>
      </c>
      <c r="F498">
        <f t="shared" si="32"/>
        <v>0</v>
      </c>
    </row>
    <row r="499" spans="1:6" x14ac:dyDescent="0.25">
      <c r="A499" s="4" t="s">
        <v>168</v>
      </c>
      <c r="B499">
        <v>338</v>
      </c>
      <c r="C499">
        <f t="shared" si="31"/>
        <v>6252</v>
      </c>
      <c r="D499">
        <f t="shared" si="33"/>
        <v>0</v>
      </c>
      <c r="E499">
        <f t="shared" si="34"/>
        <v>0</v>
      </c>
      <c r="F499">
        <f t="shared" si="32"/>
        <v>0</v>
      </c>
    </row>
    <row r="500" spans="1:6" x14ac:dyDescent="0.25">
      <c r="A500" s="4" t="s">
        <v>171</v>
      </c>
      <c r="B500">
        <v>477</v>
      </c>
      <c r="C500">
        <f t="shared" si="31"/>
        <v>6729</v>
      </c>
      <c r="D500">
        <f t="shared" si="33"/>
        <v>0</v>
      </c>
      <c r="E500">
        <f t="shared" si="34"/>
        <v>0</v>
      </c>
      <c r="F500">
        <f t="shared" si="32"/>
        <v>0</v>
      </c>
    </row>
    <row r="501" spans="1:6" x14ac:dyDescent="0.25">
      <c r="A501" s="4" t="s">
        <v>185</v>
      </c>
      <c r="B501">
        <v>189</v>
      </c>
      <c r="C501">
        <f t="shared" si="31"/>
        <v>6918</v>
      </c>
      <c r="D501">
        <f t="shared" si="33"/>
        <v>0</v>
      </c>
      <c r="E501">
        <f t="shared" si="34"/>
        <v>0</v>
      </c>
      <c r="F501">
        <f t="shared" si="32"/>
        <v>0</v>
      </c>
    </row>
    <row r="502" spans="1:6" x14ac:dyDescent="0.25">
      <c r="A502" s="4" t="s">
        <v>201</v>
      </c>
      <c r="B502">
        <v>44</v>
      </c>
      <c r="C502">
        <f t="shared" si="31"/>
        <v>6962</v>
      </c>
      <c r="D502">
        <f t="shared" si="33"/>
        <v>0</v>
      </c>
      <c r="E502">
        <f t="shared" si="34"/>
        <v>0</v>
      </c>
      <c r="F502">
        <f t="shared" si="32"/>
        <v>0</v>
      </c>
    </row>
    <row r="503" spans="1:6" x14ac:dyDescent="0.25">
      <c r="A503" s="4" t="s">
        <v>209</v>
      </c>
      <c r="B503">
        <v>685</v>
      </c>
      <c r="C503">
        <f t="shared" si="31"/>
        <v>7647</v>
      </c>
      <c r="D503">
        <f t="shared" si="33"/>
        <v>0</v>
      </c>
      <c r="E503">
        <f t="shared" si="34"/>
        <v>0</v>
      </c>
      <c r="F503">
        <f t="shared" si="32"/>
        <v>0</v>
      </c>
    </row>
    <row r="504" spans="1:6" x14ac:dyDescent="0.25">
      <c r="A504" s="4" t="s">
        <v>216</v>
      </c>
      <c r="B504">
        <v>467</v>
      </c>
      <c r="C504">
        <f t="shared" si="31"/>
        <v>8114</v>
      </c>
      <c r="D504">
        <f t="shared" si="33"/>
        <v>0</v>
      </c>
      <c r="E504">
        <f t="shared" si="34"/>
        <v>0</v>
      </c>
      <c r="F504">
        <f t="shared" si="32"/>
        <v>0</v>
      </c>
    </row>
    <row r="505" spans="1:6" x14ac:dyDescent="0.25">
      <c r="A505" s="4" t="s">
        <v>218</v>
      </c>
      <c r="B505">
        <v>542</v>
      </c>
      <c r="C505">
        <f t="shared" si="31"/>
        <v>8656</v>
      </c>
      <c r="D505">
        <f t="shared" si="33"/>
        <v>0</v>
      </c>
      <c r="E505">
        <f t="shared" si="34"/>
        <v>0</v>
      </c>
      <c r="F505">
        <f t="shared" si="32"/>
        <v>0</v>
      </c>
    </row>
    <row r="506" spans="1:6" x14ac:dyDescent="0.25">
      <c r="A506" s="4" t="s">
        <v>235</v>
      </c>
      <c r="B506">
        <v>865</v>
      </c>
      <c r="C506">
        <f t="shared" si="31"/>
        <v>9521</v>
      </c>
      <c r="D506">
        <f t="shared" si="33"/>
        <v>0</v>
      </c>
      <c r="E506">
        <f t="shared" si="34"/>
        <v>0</v>
      </c>
      <c r="F506">
        <f t="shared" si="32"/>
        <v>0</v>
      </c>
    </row>
    <row r="507" spans="1:6" x14ac:dyDescent="0.25">
      <c r="A507" s="4" t="s">
        <v>241</v>
      </c>
      <c r="B507">
        <v>384</v>
      </c>
      <c r="C507">
        <f t="shared" si="31"/>
        <v>9905</v>
      </c>
      <c r="D507">
        <f t="shared" si="33"/>
        <v>0</v>
      </c>
      <c r="E507">
        <f t="shared" si="34"/>
        <v>0</v>
      </c>
      <c r="F507">
        <f t="shared" si="32"/>
        <v>0</v>
      </c>
    </row>
    <row r="508" spans="1:6" x14ac:dyDescent="0.25">
      <c r="A508" s="4" t="s">
        <v>257</v>
      </c>
      <c r="B508">
        <v>150</v>
      </c>
      <c r="C508">
        <f t="shared" si="31"/>
        <v>10055</v>
      </c>
      <c r="D508">
        <f t="shared" si="33"/>
        <v>0</v>
      </c>
      <c r="E508">
        <f t="shared" si="34"/>
        <v>0</v>
      </c>
      <c r="F508">
        <f t="shared" si="32"/>
        <v>0</v>
      </c>
    </row>
    <row r="509" spans="1:6" x14ac:dyDescent="0.25">
      <c r="A509" s="4" t="s">
        <v>259</v>
      </c>
      <c r="B509">
        <v>227</v>
      </c>
      <c r="C509">
        <f t="shared" si="31"/>
        <v>10282</v>
      </c>
      <c r="D509">
        <f t="shared" si="33"/>
        <v>0</v>
      </c>
      <c r="E509">
        <f t="shared" si="34"/>
        <v>0</v>
      </c>
      <c r="F509">
        <f t="shared" si="32"/>
        <v>0</v>
      </c>
    </row>
    <row r="510" spans="1:6" x14ac:dyDescent="0.25">
      <c r="A510" s="4" t="s">
        <v>267</v>
      </c>
      <c r="B510">
        <v>748</v>
      </c>
      <c r="C510">
        <f t="shared" si="31"/>
        <v>11030</v>
      </c>
      <c r="D510">
        <f t="shared" si="33"/>
        <v>0</v>
      </c>
      <c r="E510">
        <f t="shared" si="34"/>
        <v>0</v>
      </c>
      <c r="F510">
        <f t="shared" si="32"/>
        <v>0</v>
      </c>
    </row>
    <row r="511" spans="1:6" x14ac:dyDescent="0.25">
      <c r="A511" s="4" t="s">
        <v>278</v>
      </c>
      <c r="B511">
        <v>23</v>
      </c>
      <c r="C511">
        <f t="shared" si="31"/>
        <v>11053</v>
      </c>
      <c r="D511">
        <f t="shared" si="33"/>
        <v>0</v>
      </c>
      <c r="E511">
        <f t="shared" si="34"/>
        <v>0</v>
      </c>
      <c r="F511">
        <f t="shared" si="32"/>
        <v>0</v>
      </c>
    </row>
    <row r="512" spans="1:6" x14ac:dyDescent="0.25">
      <c r="A512" s="4" t="s">
        <v>280</v>
      </c>
      <c r="B512">
        <v>179</v>
      </c>
      <c r="C512">
        <f t="shared" si="31"/>
        <v>11232</v>
      </c>
      <c r="D512">
        <f t="shared" si="33"/>
        <v>0</v>
      </c>
      <c r="E512">
        <f t="shared" si="34"/>
        <v>0</v>
      </c>
      <c r="F512">
        <f t="shared" si="32"/>
        <v>0</v>
      </c>
    </row>
    <row r="513" spans="1:6" x14ac:dyDescent="0.25">
      <c r="A513" s="4" t="s">
        <v>283</v>
      </c>
      <c r="B513">
        <v>413</v>
      </c>
      <c r="C513">
        <f t="shared" si="31"/>
        <v>11645</v>
      </c>
      <c r="D513">
        <f t="shared" si="33"/>
        <v>0</v>
      </c>
      <c r="E513">
        <f t="shared" si="34"/>
        <v>0</v>
      </c>
      <c r="F513">
        <f t="shared" si="32"/>
        <v>0</v>
      </c>
    </row>
    <row r="514" spans="1:6" x14ac:dyDescent="0.25">
      <c r="A514" s="4" t="s">
        <v>295</v>
      </c>
      <c r="B514">
        <v>15</v>
      </c>
      <c r="C514">
        <f t="shared" si="31"/>
        <v>11660</v>
      </c>
      <c r="D514">
        <f t="shared" si="33"/>
        <v>0</v>
      </c>
      <c r="E514">
        <f t="shared" si="34"/>
        <v>0</v>
      </c>
      <c r="F514">
        <f t="shared" si="32"/>
        <v>0</v>
      </c>
    </row>
    <row r="515" spans="1:6" x14ac:dyDescent="0.25">
      <c r="A515" s="4" t="s">
        <v>297</v>
      </c>
      <c r="B515">
        <v>812</v>
      </c>
      <c r="C515">
        <f t="shared" si="31"/>
        <v>12472</v>
      </c>
      <c r="D515">
        <f t="shared" si="33"/>
        <v>0</v>
      </c>
      <c r="E515">
        <f t="shared" si="34"/>
        <v>0</v>
      </c>
      <c r="F515">
        <f t="shared" si="32"/>
        <v>0</v>
      </c>
    </row>
    <row r="516" spans="1:6" x14ac:dyDescent="0.25">
      <c r="A516" s="4" t="s">
        <v>309</v>
      </c>
      <c r="B516">
        <v>370</v>
      </c>
      <c r="C516">
        <f t="shared" si="31"/>
        <v>12842</v>
      </c>
      <c r="D516">
        <f t="shared" si="33"/>
        <v>0</v>
      </c>
      <c r="E516">
        <f t="shared" si="34"/>
        <v>0</v>
      </c>
      <c r="F516">
        <f t="shared" si="32"/>
        <v>0</v>
      </c>
    </row>
    <row r="517" spans="1:6" x14ac:dyDescent="0.25">
      <c r="A517" s="4" t="s">
        <v>321</v>
      </c>
      <c r="B517">
        <v>444</v>
      </c>
      <c r="C517">
        <f t="shared" ref="C517:C580" si="35">IF(LEN(A517) &gt;= 12, 0, C516+B517)</f>
        <v>13286</v>
      </c>
      <c r="D517">
        <f t="shared" si="33"/>
        <v>0</v>
      </c>
      <c r="E517">
        <f t="shared" si="34"/>
        <v>0</v>
      </c>
      <c r="F517">
        <f t="shared" si="32"/>
        <v>0</v>
      </c>
    </row>
    <row r="518" spans="1:6" x14ac:dyDescent="0.25">
      <c r="A518" s="4" t="s">
        <v>322</v>
      </c>
      <c r="B518">
        <v>215</v>
      </c>
      <c r="C518">
        <f t="shared" si="35"/>
        <v>13501</v>
      </c>
      <c r="D518">
        <f t="shared" si="33"/>
        <v>0</v>
      </c>
      <c r="E518">
        <f t="shared" si="34"/>
        <v>0</v>
      </c>
      <c r="F518">
        <f t="shared" ref="F518:F581" si="36">IF(AND(D518 = 1, C518 &lt; 20000), B518*5, IF(AND(E518=1, C518 &gt;= 20000),B518*10,0))</f>
        <v>0</v>
      </c>
    </row>
    <row r="519" spans="1:6" x14ac:dyDescent="0.25">
      <c r="A519" s="4" t="s">
        <v>327</v>
      </c>
      <c r="B519">
        <v>46</v>
      </c>
      <c r="C519">
        <f t="shared" si="35"/>
        <v>13547</v>
      </c>
      <c r="D519">
        <f t="shared" si="33"/>
        <v>0</v>
      </c>
      <c r="E519">
        <f t="shared" si="34"/>
        <v>0</v>
      </c>
      <c r="F519">
        <f t="shared" si="36"/>
        <v>0</v>
      </c>
    </row>
    <row r="520" spans="1:6" x14ac:dyDescent="0.25">
      <c r="A520" s="4" t="s">
        <v>330</v>
      </c>
      <c r="B520">
        <v>465</v>
      </c>
      <c r="C520">
        <f t="shared" si="35"/>
        <v>14012</v>
      </c>
      <c r="D520">
        <f t="shared" si="33"/>
        <v>0</v>
      </c>
      <c r="E520">
        <f t="shared" si="34"/>
        <v>0</v>
      </c>
      <c r="F520">
        <f t="shared" si="36"/>
        <v>0</v>
      </c>
    </row>
    <row r="521" spans="1:6" x14ac:dyDescent="0.25">
      <c r="A521" s="4" t="s">
        <v>338</v>
      </c>
      <c r="B521">
        <v>487</v>
      </c>
      <c r="C521">
        <f t="shared" si="35"/>
        <v>14499</v>
      </c>
      <c r="D521">
        <f t="shared" si="33"/>
        <v>0</v>
      </c>
      <c r="E521">
        <f t="shared" si="34"/>
        <v>0</v>
      </c>
      <c r="F521">
        <f t="shared" si="36"/>
        <v>0</v>
      </c>
    </row>
    <row r="522" spans="1:6" x14ac:dyDescent="0.25">
      <c r="A522" s="4" t="s">
        <v>341</v>
      </c>
      <c r="B522">
        <v>24</v>
      </c>
      <c r="C522">
        <f t="shared" si="35"/>
        <v>14523</v>
      </c>
      <c r="D522">
        <f t="shared" si="33"/>
        <v>0</v>
      </c>
      <c r="E522">
        <f t="shared" si="34"/>
        <v>0</v>
      </c>
      <c r="F522">
        <f t="shared" si="36"/>
        <v>0</v>
      </c>
    </row>
    <row r="523" spans="1:6" x14ac:dyDescent="0.25">
      <c r="A523" s="4" t="s">
        <v>342</v>
      </c>
      <c r="B523">
        <v>376</v>
      </c>
      <c r="C523">
        <f t="shared" si="35"/>
        <v>14899</v>
      </c>
      <c r="D523">
        <f t="shared" si="33"/>
        <v>0</v>
      </c>
      <c r="E523">
        <f t="shared" si="34"/>
        <v>0</v>
      </c>
      <c r="F523">
        <f t="shared" si="36"/>
        <v>0</v>
      </c>
    </row>
    <row r="524" spans="1:6" x14ac:dyDescent="0.25">
      <c r="A524" s="4" t="s">
        <v>344</v>
      </c>
      <c r="B524">
        <v>357</v>
      </c>
      <c r="C524">
        <f t="shared" si="35"/>
        <v>15256</v>
      </c>
      <c r="D524">
        <f t="shared" si="33"/>
        <v>1</v>
      </c>
      <c r="E524">
        <f t="shared" si="34"/>
        <v>0</v>
      </c>
      <c r="F524">
        <f t="shared" si="36"/>
        <v>1785</v>
      </c>
    </row>
    <row r="525" spans="1:6" x14ac:dyDescent="0.25">
      <c r="A525" s="4" t="s">
        <v>351</v>
      </c>
      <c r="B525">
        <v>358</v>
      </c>
      <c r="C525">
        <f t="shared" si="35"/>
        <v>15614</v>
      </c>
      <c r="D525">
        <f t="shared" si="33"/>
        <v>1</v>
      </c>
      <c r="E525">
        <f t="shared" si="34"/>
        <v>0</v>
      </c>
      <c r="F525">
        <f t="shared" si="36"/>
        <v>1790</v>
      </c>
    </row>
    <row r="526" spans="1:6" x14ac:dyDescent="0.25">
      <c r="A526" s="4" t="s">
        <v>355</v>
      </c>
      <c r="B526">
        <v>250</v>
      </c>
      <c r="C526">
        <f t="shared" si="35"/>
        <v>15864</v>
      </c>
      <c r="D526">
        <f t="shared" si="33"/>
        <v>1</v>
      </c>
      <c r="E526">
        <f t="shared" si="34"/>
        <v>0</v>
      </c>
      <c r="F526">
        <f t="shared" si="36"/>
        <v>1250</v>
      </c>
    </row>
    <row r="527" spans="1:6" x14ac:dyDescent="0.25">
      <c r="A527" s="4" t="s">
        <v>359</v>
      </c>
      <c r="B527">
        <v>349</v>
      </c>
      <c r="C527">
        <f t="shared" si="35"/>
        <v>16213</v>
      </c>
      <c r="D527">
        <f t="shared" si="33"/>
        <v>1</v>
      </c>
      <c r="E527">
        <f t="shared" si="34"/>
        <v>0</v>
      </c>
      <c r="F527">
        <f t="shared" si="36"/>
        <v>1745</v>
      </c>
    </row>
    <row r="528" spans="1:6" x14ac:dyDescent="0.25">
      <c r="A528" s="4" t="s">
        <v>365</v>
      </c>
      <c r="B528">
        <v>353</v>
      </c>
      <c r="C528">
        <f t="shared" si="35"/>
        <v>16566</v>
      </c>
      <c r="D528">
        <f t="shared" si="33"/>
        <v>1</v>
      </c>
      <c r="E528">
        <f t="shared" si="34"/>
        <v>0</v>
      </c>
      <c r="F528">
        <f t="shared" si="36"/>
        <v>1765</v>
      </c>
    </row>
    <row r="529" spans="1:6" x14ac:dyDescent="0.25">
      <c r="A529" s="4" t="s">
        <v>366</v>
      </c>
      <c r="B529">
        <v>288</v>
      </c>
      <c r="C529">
        <f t="shared" si="35"/>
        <v>16854</v>
      </c>
      <c r="D529">
        <f t="shared" si="33"/>
        <v>1</v>
      </c>
      <c r="E529">
        <f t="shared" si="34"/>
        <v>0</v>
      </c>
      <c r="F529">
        <f t="shared" si="36"/>
        <v>1440</v>
      </c>
    </row>
    <row r="530" spans="1:6" x14ac:dyDescent="0.25">
      <c r="A530" s="4" t="s">
        <v>371</v>
      </c>
      <c r="B530">
        <v>107</v>
      </c>
      <c r="C530">
        <f t="shared" si="35"/>
        <v>16961</v>
      </c>
      <c r="D530">
        <f t="shared" si="33"/>
        <v>1</v>
      </c>
      <c r="E530">
        <f t="shared" si="34"/>
        <v>0</v>
      </c>
      <c r="F530">
        <f t="shared" si="36"/>
        <v>535</v>
      </c>
    </row>
    <row r="531" spans="1:6" x14ac:dyDescent="0.25">
      <c r="A531" s="4" t="s">
        <v>373</v>
      </c>
      <c r="B531">
        <v>84</v>
      </c>
      <c r="C531">
        <f t="shared" si="35"/>
        <v>17045</v>
      </c>
      <c r="D531">
        <f t="shared" si="33"/>
        <v>1</v>
      </c>
      <c r="E531">
        <f t="shared" si="34"/>
        <v>0</v>
      </c>
      <c r="F531">
        <f t="shared" si="36"/>
        <v>420</v>
      </c>
    </row>
    <row r="532" spans="1:6" x14ac:dyDescent="0.25">
      <c r="A532" s="4" t="s">
        <v>375</v>
      </c>
      <c r="B532">
        <v>262</v>
      </c>
      <c r="C532">
        <f t="shared" si="35"/>
        <v>17307</v>
      </c>
      <c r="D532">
        <f t="shared" si="33"/>
        <v>1</v>
      </c>
      <c r="E532">
        <f t="shared" si="34"/>
        <v>0</v>
      </c>
      <c r="F532">
        <f t="shared" si="36"/>
        <v>1310</v>
      </c>
    </row>
    <row r="533" spans="1:6" x14ac:dyDescent="0.25">
      <c r="A533" s="4" t="s">
        <v>381</v>
      </c>
      <c r="B533">
        <v>132</v>
      </c>
      <c r="C533">
        <f t="shared" si="35"/>
        <v>17439</v>
      </c>
      <c r="D533">
        <f t="shared" si="33"/>
        <v>1</v>
      </c>
      <c r="E533">
        <f t="shared" si="34"/>
        <v>0</v>
      </c>
      <c r="F533">
        <f t="shared" si="36"/>
        <v>660</v>
      </c>
    </row>
    <row r="534" spans="1:6" x14ac:dyDescent="0.25">
      <c r="A534" s="4" t="s">
        <v>383</v>
      </c>
      <c r="B534">
        <v>454</v>
      </c>
      <c r="C534">
        <f t="shared" si="35"/>
        <v>17893</v>
      </c>
      <c r="D534">
        <f t="shared" si="33"/>
        <v>1</v>
      </c>
      <c r="E534">
        <f t="shared" si="34"/>
        <v>0</v>
      </c>
      <c r="F534">
        <f t="shared" si="36"/>
        <v>2270</v>
      </c>
    </row>
    <row r="535" spans="1:6" x14ac:dyDescent="0.25">
      <c r="A535" s="4" t="s">
        <v>399</v>
      </c>
      <c r="B535">
        <v>562</v>
      </c>
      <c r="C535">
        <f t="shared" si="35"/>
        <v>18455</v>
      </c>
      <c r="D535">
        <f t="shared" si="33"/>
        <v>1</v>
      </c>
      <c r="E535">
        <f t="shared" si="34"/>
        <v>0</v>
      </c>
      <c r="F535">
        <f t="shared" si="36"/>
        <v>2810</v>
      </c>
    </row>
    <row r="536" spans="1:6" x14ac:dyDescent="0.25">
      <c r="A536" s="3" t="s">
        <v>23</v>
      </c>
      <c r="B536">
        <v>12531</v>
      </c>
      <c r="C536">
        <f t="shared" si="35"/>
        <v>0</v>
      </c>
      <c r="D536">
        <f t="shared" si="33"/>
        <v>0</v>
      </c>
      <c r="E536">
        <f t="shared" si="34"/>
        <v>0</v>
      </c>
      <c r="F536">
        <f t="shared" si="36"/>
        <v>0</v>
      </c>
    </row>
    <row r="537" spans="1:6" x14ac:dyDescent="0.25">
      <c r="A537" s="4" t="s">
        <v>93</v>
      </c>
      <c r="B537">
        <v>570</v>
      </c>
      <c r="C537">
        <f t="shared" si="35"/>
        <v>570</v>
      </c>
      <c r="D537">
        <f t="shared" si="33"/>
        <v>0</v>
      </c>
      <c r="E537">
        <f t="shared" si="34"/>
        <v>0</v>
      </c>
      <c r="F537">
        <f t="shared" si="36"/>
        <v>0</v>
      </c>
    </row>
    <row r="538" spans="1:6" x14ac:dyDescent="0.25">
      <c r="A538" s="4" t="s">
        <v>102</v>
      </c>
      <c r="B538">
        <v>92</v>
      </c>
      <c r="C538">
        <f t="shared" si="35"/>
        <v>662</v>
      </c>
      <c r="D538">
        <f t="shared" si="33"/>
        <v>0</v>
      </c>
      <c r="E538">
        <f t="shared" si="34"/>
        <v>0</v>
      </c>
      <c r="F538">
        <f t="shared" si="36"/>
        <v>0</v>
      </c>
    </row>
    <row r="539" spans="1:6" x14ac:dyDescent="0.25">
      <c r="A539" s="4" t="s">
        <v>111</v>
      </c>
      <c r="B539">
        <v>591</v>
      </c>
      <c r="C539">
        <f t="shared" si="35"/>
        <v>1253</v>
      </c>
      <c r="D539">
        <f t="shared" si="33"/>
        <v>0</v>
      </c>
      <c r="E539">
        <f t="shared" si="34"/>
        <v>0</v>
      </c>
      <c r="F539">
        <f t="shared" si="36"/>
        <v>0</v>
      </c>
    </row>
    <row r="540" spans="1:6" x14ac:dyDescent="0.25">
      <c r="A540" s="4" t="s">
        <v>120</v>
      </c>
      <c r="B540">
        <v>551</v>
      </c>
      <c r="C540">
        <f t="shared" si="35"/>
        <v>1804</v>
      </c>
      <c r="D540">
        <f t="shared" si="33"/>
        <v>0</v>
      </c>
      <c r="E540">
        <f t="shared" si="34"/>
        <v>0</v>
      </c>
      <c r="F540">
        <f t="shared" si="36"/>
        <v>0</v>
      </c>
    </row>
    <row r="541" spans="1:6" x14ac:dyDescent="0.25">
      <c r="A541" s="4" t="s">
        <v>133</v>
      </c>
      <c r="B541">
        <v>483</v>
      </c>
      <c r="C541">
        <f t="shared" si="35"/>
        <v>2287</v>
      </c>
      <c r="D541">
        <f t="shared" si="33"/>
        <v>0</v>
      </c>
      <c r="E541">
        <f t="shared" si="34"/>
        <v>0</v>
      </c>
      <c r="F541">
        <f t="shared" si="36"/>
        <v>0</v>
      </c>
    </row>
    <row r="542" spans="1:6" x14ac:dyDescent="0.25">
      <c r="A542" s="4" t="s">
        <v>145</v>
      </c>
      <c r="B542">
        <v>224</v>
      </c>
      <c r="C542">
        <f t="shared" si="35"/>
        <v>2511</v>
      </c>
      <c r="D542">
        <f t="shared" si="33"/>
        <v>0</v>
      </c>
      <c r="E542">
        <f t="shared" si="34"/>
        <v>0</v>
      </c>
      <c r="F542">
        <f t="shared" si="36"/>
        <v>0</v>
      </c>
    </row>
    <row r="543" spans="1:6" x14ac:dyDescent="0.25">
      <c r="A543" s="4" t="s">
        <v>146</v>
      </c>
      <c r="B543">
        <v>418</v>
      </c>
      <c r="C543">
        <f t="shared" si="35"/>
        <v>2929</v>
      </c>
      <c r="D543">
        <f t="shared" si="33"/>
        <v>0</v>
      </c>
      <c r="E543">
        <f t="shared" si="34"/>
        <v>0</v>
      </c>
      <c r="F543">
        <f t="shared" si="36"/>
        <v>0</v>
      </c>
    </row>
    <row r="544" spans="1:6" x14ac:dyDescent="0.25">
      <c r="A544" s="4" t="s">
        <v>156</v>
      </c>
      <c r="B544">
        <v>362</v>
      </c>
      <c r="C544">
        <f t="shared" si="35"/>
        <v>3291</v>
      </c>
      <c r="D544">
        <f t="shared" si="33"/>
        <v>0</v>
      </c>
      <c r="E544">
        <f t="shared" si="34"/>
        <v>0</v>
      </c>
      <c r="F544">
        <f t="shared" si="36"/>
        <v>0</v>
      </c>
    </row>
    <row r="545" spans="1:6" x14ac:dyDescent="0.25">
      <c r="A545" s="4" t="s">
        <v>159</v>
      </c>
      <c r="B545">
        <v>51</v>
      </c>
      <c r="C545">
        <f t="shared" si="35"/>
        <v>3342</v>
      </c>
      <c r="D545">
        <f t="shared" si="33"/>
        <v>0</v>
      </c>
      <c r="E545">
        <f t="shared" si="34"/>
        <v>0</v>
      </c>
      <c r="F545">
        <f t="shared" si="36"/>
        <v>0</v>
      </c>
    </row>
    <row r="546" spans="1:6" x14ac:dyDescent="0.25">
      <c r="A546" s="4" t="s">
        <v>165</v>
      </c>
      <c r="B546">
        <v>466</v>
      </c>
      <c r="C546">
        <f t="shared" si="35"/>
        <v>3808</v>
      </c>
      <c r="D546">
        <f t="shared" si="33"/>
        <v>0</v>
      </c>
      <c r="E546">
        <f t="shared" si="34"/>
        <v>0</v>
      </c>
      <c r="F546">
        <f t="shared" si="36"/>
        <v>0</v>
      </c>
    </row>
    <row r="547" spans="1:6" x14ac:dyDescent="0.25">
      <c r="A547" s="4" t="s">
        <v>168</v>
      </c>
      <c r="B547">
        <v>83</v>
      </c>
      <c r="C547">
        <f t="shared" si="35"/>
        <v>3891</v>
      </c>
      <c r="D547">
        <f t="shared" si="33"/>
        <v>0</v>
      </c>
      <c r="E547">
        <f t="shared" si="34"/>
        <v>0</v>
      </c>
      <c r="F547">
        <f t="shared" si="36"/>
        <v>0</v>
      </c>
    </row>
    <row r="548" spans="1:6" x14ac:dyDescent="0.25">
      <c r="A548" s="4" t="s">
        <v>169</v>
      </c>
      <c r="B548">
        <v>399</v>
      </c>
      <c r="C548">
        <f t="shared" si="35"/>
        <v>4290</v>
      </c>
      <c r="D548">
        <f t="shared" si="33"/>
        <v>0</v>
      </c>
      <c r="E548">
        <f t="shared" si="34"/>
        <v>0</v>
      </c>
      <c r="F548">
        <f t="shared" si="36"/>
        <v>0</v>
      </c>
    </row>
    <row r="549" spans="1:6" x14ac:dyDescent="0.25">
      <c r="A549" s="4" t="s">
        <v>170</v>
      </c>
      <c r="B549">
        <v>406</v>
      </c>
      <c r="C549">
        <f t="shared" si="35"/>
        <v>4696</v>
      </c>
      <c r="D549">
        <f t="shared" si="33"/>
        <v>0</v>
      </c>
      <c r="E549">
        <f t="shared" si="34"/>
        <v>0</v>
      </c>
      <c r="F549">
        <f t="shared" si="36"/>
        <v>0</v>
      </c>
    </row>
    <row r="550" spans="1:6" x14ac:dyDescent="0.25">
      <c r="A550" s="4" t="s">
        <v>181</v>
      </c>
      <c r="B550">
        <v>1095</v>
      </c>
      <c r="C550">
        <f t="shared" si="35"/>
        <v>5791</v>
      </c>
      <c r="D550">
        <f t="shared" si="33"/>
        <v>0</v>
      </c>
      <c r="E550">
        <f t="shared" si="34"/>
        <v>0</v>
      </c>
      <c r="F550">
        <f t="shared" si="36"/>
        <v>0</v>
      </c>
    </row>
    <row r="551" spans="1:6" x14ac:dyDescent="0.25">
      <c r="A551" s="4" t="s">
        <v>225</v>
      </c>
      <c r="B551">
        <v>476</v>
      </c>
      <c r="C551">
        <f t="shared" si="35"/>
        <v>6267</v>
      </c>
      <c r="D551">
        <f t="shared" si="33"/>
        <v>0</v>
      </c>
      <c r="E551">
        <f t="shared" si="34"/>
        <v>0</v>
      </c>
      <c r="F551">
        <f t="shared" si="36"/>
        <v>0</v>
      </c>
    </row>
    <row r="552" spans="1:6" x14ac:dyDescent="0.25">
      <c r="A552" s="4" t="s">
        <v>233</v>
      </c>
      <c r="B552">
        <v>372</v>
      </c>
      <c r="C552">
        <f t="shared" si="35"/>
        <v>6639</v>
      </c>
      <c r="D552">
        <f t="shared" si="33"/>
        <v>0</v>
      </c>
      <c r="E552">
        <f t="shared" si="34"/>
        <v>0</v>
      </c>
      <c r="F552">
        <f t="shared" si="36"/>
        <v>0</v>
      </c>
    </row>
    <row r="553" spans="1:6" x14ac:dyDescent="0.25">
      <c r="A553" s="4" t="s">
        <v>245</v>
      </c>
      <c r="B553">
        <v>456</v>
      </c>
      <c r="C553">
        <f t="shared" si="35"/>
        <v>7095</v>
      </c>
      <c r="D553">
        <f t="shared" si="33"/>
        <v>0</v>
      </c>
      <c r="E553">
        <f t="shared" si="34"/>
        <v>0</v>
      </c>
      <c r="F553">
        <f t="shared" si="36"/>
        <v>0</v>
      </c>
    </row>
    <row r="554" spans="1:6" x14ac:dyDescent="0.25">
      <c r="A554" s="4" t="s">
        <v>247</v>
      </c>
      <c r="B554">
        <v>191</v>
      </c>
      <c r="C554">
        <f t="shared" si="35"/>
        <v>7286</v>
      </c>
      <c r="D554">
        <f t="shared" si="33"/>
        <v>0</v>
      </c>
      <c r="E554">
        <f t="shared" si="34"/>
        <v>0</v>
      </c>
      <c r="F554">
        <f t="shared" si="36"/>
        <v>0</v>
      </c>
    </row>
    <row r="555" spans="1:6" x14ac:dyDescent="0.25">
      <c r="A555" s="4" t="s">
        <v>261</v>
      </c>
      <c r="B555">
        <v>77</v>
      </c>
      <c r="C555">
        <f t="shared" si="35"/>
        <v>7363</v>
      </c>
      <c r="D555">
        <f t="shared" si="33"/>
        <v>0</v>
      </c>
      <c r="E555">
        <f t="shared" si="34"/>
        <v>0</v>
      </c>
      <c r="F555">
        <f t="shared" si="36"/>
        <v>0</v>
      </c>
    </row>
    <row r="556" spans="1:6" x14ac:dyDescent="0.25">
      <c r="A556" s="4" t="s">
        <v>263</v>
      </c>
      <c r="B556">
        <v>154</v>
      </c>
      <c r="C556">
        <f t="shared" si="35"/>
        <v>7517</v>
      </c>
      <c r="D556">
        <f t="shared" si="33"/>
        <v>0</v>
      </c>
      <c r="E556">
        <f t="shared" si="34"/>
        <v>0</v>
      </c>
      <c r="F556">
        <f t="shared" si="36"/>
        <v>0</v>
      </c>
    </row>
    <row r="557" spans="1:6" x14ac:dyDescent="0.25">
      <c r="A557" s="4" t="s">
        <v>269</v>
      </c>
      <c r="B557">
        <v>215</v>
      </c>
      <c r="C557">
        <f t="shared" si="35"/>
        <v>7732</v>
      </c>
      <c r="D557">
        <f t="shared" si="33"/>
        <v>0</v>
      </c>
      <c r="E557">
        <f t="shared" si="34"/>
        <v>0</v>
      </c>
      <c r="F557">
        <f t="shared" si="36"/>
        <v>0</v>
      </c>
    </row>
    <row r="558" spans="1:6" x14ac:dyDescent="0.25">
      <c r="A558" s="4" t="s">
        <v>272</v>
      </c>
      <c r="B558">
        <v>157</v>
      </c>
      <c r="C558">
        <f t="shared" si="35"/>
        <v>7889</v>
      </c>
      <c r="D558">
        <f t="shared" si="33"/>
        <v>0</v>
      </c>
      <c r="E558">
        <f t="shared" si="34"/>
        <v>0</v>
      </c>
      <c r="F558">
        <f t="shared" si="36"/>
        <v>0</v>
      </c>
    </row>
    <row r="559" spans="1:6" x14ac:dyDescent="0.25">
      <c r="A559" s="4" t="s">
        <v>278</v>
      </c>
      <c r="B559">
        <v>169</v>
      </c>
      <c r="C559">
        <f t="shared" si="35"/>
        <v>8058</v>
      </c>
      <c r="D559">
        <f t="shared" si="33"/>
        <v>0</v>
      </c>
      <c r="E559">
        <f t="shared" si="34"/>
        <v>0</v>
      </c>
      <c r="F559">
        <f t="shared" si="36"/>
        <v>0</v>
      </c>
    </row>
    <row r="560" spans="1:6" x14ac:dyDescent="0.25">
      <c r="A560" s="4" t="s">
        <v>280</v>
      </c>
      <c r="B560">
        <v>357</v>
      </c>
      <c r="C560">
        <f t="shared" si="35"/>
        <v>8415</v>
      </c>
      <c r="D560">
        <f t="shared" si="33"/>
        <v>0</v>
      </c>
      <c r="E560">
        <f t="shared" si="34"/>
        <v>0</v>
      </c>
      <c r="F560">
        <f t="shared" si="36"/>
        <v>0</v>
      </c>
    </row>
    <row r="561" spans="1:6" x14ac:dyDescent="0.25">
      <c r="A561" s="4" t="s">
        <v>290</v>
      </c>
      <c r="B561">
        <v>426</v>
      </c>
      <c r="C561">
        <f t="shared" si="35"/>
        <v>8841</v>
      </c>
      <c r="D561">
        <f t="shared" ref="D561:D624" si="37">IF(C561 &gt; 15000, 1, 0)</f>
        <v>0</v>
      </c>
      <c r="E561">
        <f t="shared" ref="E561:E624" si="38">IF(AND(D561 =1,C561 &gt;= 20000),1,0)</f>
        <v>0</v>
      </c>
      <c r="F561">
        <f t="shared" si="36"/>
        <v>0</v>
      </c>
    </row>
    <row r="562" spans="1:6" x14ac:dyDescent="0.25">
      <c r="A562" s="4" t="s">
        <v>314</v>
      </c>
      <c r="B562">
        <v>173</v>
      </c>
      <c r="C562">
        <f t="shared" si="35"/>
        <v>9014</v>
      </c>
      <c r="D562">
        <f t="shared" si="37"/>
        <v>0</v>
      </c>
      <c r="E562">
        <f t="shared" si="38"/>
        <v>0</v>
      </c>
      <c r="F562">
        <f t="shared" si="36"/>
        <v>0</v>
      </c>
    </row>
    <row r="563" spans="1:6" x14ac:dyDescent="0.25">
      <c r="A563" s="4" t="s">
        <v>340</v>
      </c>
      <c r="B563">
        <v>274</v>
      </c>
      <c r="C563">
        <f t="shared" si="35"/>
        <v>9288</v>
      </c>
      <c r="D563">
        <f t="shared" si="37"/>
        <v>0</v>
      </c>
      <c r="E563">
        <f t="shared" si="38"/>
        <v>0</v>
      </c>
      <c r="F563">
        <f t="shared" si="36"/>
        <v>0</v>
      </c>
    </row>
    <row r="564" spans="1:6" x14ac:dyDescent="0.25">
      <c r="A564" s="4" t="s">
        <v>348</v>
      </c>
      <c r="B564">
        <v>283</v>
      </c>
      <c r="C564">
        <f t="shared" si="35"/>
        <v>9571</v>
      </c>
      <c r="D564">
        <f t="shared" si="37"/>
        <v>0</v>
      </c>
      <c r="E564">
        <f t="shared" si="38"/>
        <v>0</v>
      </c>
      <c r="F564">
        <f t="shared" si="36"/>
        <v>0</v>
      </c>
    </row>
    <row r="565" spans="1:6" x14ac:dyDescent="0.25">
      <c r="A565" s="4" t="s">
        <v>351</v>
      </c>
      <c r="B565">
        <v>259</v>
      </c>
      <c r="C565">
        <f t="shared" si="35"/>
        <v>9830</v>
      </c>
      <c r="D565">
        <f t="shared" si="37"/>
        <v>0</v>
      </c>
      <c r="E565">
        <f t="shared" si="38"/>
        <v>0</v>
      </c>
      <c r="F565">
        <f t="shared" si="36"/>
        <v>0</v>
      </c>
    </row>
    <row r="566" spans="1:6" x14ac:dyDescent="0.25">
      <c r="A566" s="4" t="s">
        <v>361</v>
      </c>
      <c r="B566">
        <v>242</v>
      </c>
      <c r="C566">
        <f t="shared" si="35"/>
        <v>10072</v>
      </c>
      <c r="D566">
        <f t="shared" si="37"/>
        <v>0</v>
      </c>
      <c r="E566">
        <f t="shared" si="38"/>
        <v>0</v>
      </c>
      <c r="F566">
        <f t="shared" si="36"/>
        <v>0</v>
      </c>
    </row>
    <row r="567" spans="1:6" x14ac:dyDescent="0.25">
      <c r="A567" s="4" t="s">
        <v>364</v>
      </c>
      <c r="B567">
        <v>462</v>
      </c>
      <c r="C567">
        <f t="shared" si="35"/>
        <v>10534</v>
      </c>
      <c r="D567">
        <f t="shared" si="37"/>
        <v>0</v>
      </c>
      <c r="E567">
        <f t="shared" si="38"/>
        <v>0</v>
      </c>
      <c r="F567">
        <f t="shared" si="36"/>
        <v>0</v>
      </c>
    </row>
    <row r="568" spans="1:6" x14ac:dyDescent="0.25">
      <c r="A568" s="4" t="s">
        <v>369</v>
      </c>
      <c r="B568">
        <v>116</v>
      </c>
      <c r="C568">
        <f t="shared" si="35"/>
        <v>10650</v>
      </c>
      <c r="D568">
        <f t="shared" si="37"/>
        <v>0</v>
      </c>
      <c r="E568">
        <f t="shared" si="38"/>
        <v>0</v>
      </c>
      <c r="F568">
        <f t="shared" si="36"/>
        <v>0</v>
      </c>
    </row>
    <row r="569" spans="1:6" x14ac:dyDescent="0.25">
      <c r="A569" s="4" t="s">
        <v>370</v>
      </c>
      <c r="B569">
        <v>453</v>
      </c>
      <c r="C569">
        <f t="shared" si="35"/>
        <v>11103</v>
      </c>
      <c r="D569">
        <f t="shared" si="37"/>
        <v>0</v>
      </c>
      <c r="E569">
        <f t="shared" si="38"/>
        <v>0</v>
      </c>
      <c r="F569">
        <f t="shared" si="36"/>
        <v>0</v>
      </c>
    </row>
    <row r="570" spans="1:6" x14ac:dyDescent="0.25">
      <c r="A570" s="4" t="s">
        <v>375</v>
      </c>
      <c r="B570">
        <v>389</v>
      </c>
      <c r="C570">
        <f t="shared" si="35"/>
        <v>11492</v>
      </c>
      <c r="D570">
        <f t="shared" si="37"/>
        <v>0</v>
      </c>
      <c r="E570">
        <f t="shared" si="38"/>
        <v>0</v>
      </c>
      <c r="F570">
        <f t="shared" si="36"/>
        <v>0</v>
      </c>
    </row>
    <row r="571" spans="1:6" x14ac:dyDescent="0.25">
      <c r="A571" s="4" t="s">
        <v>388</v>
      </c>
      <c r="B571">
        <v>256</v>
      </c>
      <c r="C571">
        <f t="shared" si="35"/>
        <v>11748</v>
      </c>
      <c r="D571">
        <f t="shared" si="37"/>
        <v>0</v>
      </c>
      <c r="E571">
        <f t="shared" si="38"/>
        <v>0</v>
      </c>
      <c r="F571">
        <f t="shared" si="36"/>
        <v>0</v>
      </c>
    </row>
    <row r="572" spans="1:6" x14ac:dyDescent="0.25">
      <c r="A572" s="4" t="s">
        <v>397</v>
      </c>
      <c r="B572">
        <v>665</v>
      </c>
      <c r="C572">
        <f t="shared" si="35"/>
        <v>12413</v>
      </c>
      <c r="D572">
        <f t="shared" si="37"/>
        <v>0</v>
      </c>
      <c r="E572">
        <f t="shared" si="38"/>
        <v>0</v>
      </c>
      <c r="F572">
        <f t="shared" si="36"/>
        <v>0</v>
      </c>
    </row>
    <row r="573" spans="1:6" x14ac:dyDescent="0.25">
      <c r="A573" s="4" t="s">
        <v>404</v>
      </c>
      <c r="B573">
        <v>118</v>
      </c>
      <c r="C573">
        <f t="shared" si="35"/>
        <v>12531</v>
      </c>
      <c r="D573">
        <f t="shared" si="37"/>
        <v>0</v>
      </c>
      <c r="E573">
        <f t="shared" si="38"/>
        <v>0</v>
      </c>
      <c r="F573">
        <f t="shared" si="36"/>
        <v>0</v>
      </c>
    </row>
    <row r="574" spans="1:6" x14ac:dyDescent="0.25">
      <c r="A574" s="3" t="s">
        <v>21</v>
      </c>
      <c r="B574">
        <v>15027</v>
      </c>
      <c r="C574">
        <f t="shared" si="35"/>
        <v>0</v>
      </c>
      <c r="D574">
        <f t="shared" si="37"/>
        <v>0</v>
      </c>
      <c r="E574">
        <f t="shared" si="38"/>
        <v>0</v>
      </c>
      <c r="F574">
        <f t="shared" si="36"/>
        <v>0</v>
      </c>
    </row>
    <row r="575" spans="1:6" x14ac:dyDescent="0.25">
      <c r="A575" s="4" t="s">
        <v>93</v>
      </c>
      <c r="B575">
        <v>533</v>
      </c>
      <c r="C575">
        <f t="shared" si="35"/>
        <v>533</v>
      </c>
      <c r="D575">
        <f t="shared" si="37"/>
        <v>0</v>
      </c>
      <c r="E575">
        <f t="shared" si="38"/>
        <v>0</v>
      </c>
      <c r="F575">
        <f t="shared" si="36"/>
        <v>0</v>
      </c>
    </row>
    <row r="576" spans="1:6" x14ac:dyDescent="0.25">
      <c r="A576" s="4" t="s">
        <v>101</v>
      </c>
      <c r="B576">
        <v>89</v>
      </c>
      <c r="C576">
        <f t="shared" si="35"/>
        <v>622</v>
      </c>
      <c r="D576">
        <f t="shared" si="37"/>
        <v>0</v>
      </c>
      <c r="E576">
        <f t="shared" si="38"/>
        <v>0</v>
      </c>
      <c r="F576">
        <f t="shared" si="36"/>
        <v>0</v>
      </c>
    </row>
    <row r="577" spans="1:6" x14ac:dyDescent="0.25">
      <c r="A577" s="4" t="s">
        <v>102</v>
      </c>
      <c r="B577">
        <v>269</v>
      </c>
      <c r="C577">
        <f t="shared" si="35"/>
        <v>891</v>
      </c>
      <c r="D577">
        <f t="shared" si="37"/>
        <v>0</v>
      </c>
      <c r="E577">
        <f t="shared" si="38"/>
        <v>0</v>
      </c>
      <c r="F577">
        <f t="shared" si="36"/>
        <v>0</v>
      </c>
    </row>
    <row r="578" spans="1:6" x14ac:dyDescent="0.25">
      <c r="A578" s="4" t="s">
        <v>130</v>
      </c>
      <c r="B578">
        <v>475</v>
      </c>
      <c r="C578">
        <f t="shared" si="35"/>
        <v>1366</v>
      </c>
      <c r="D578">
        <f t="shared" si="37"/>
        <v>0</v>
      </c>
      <c r="E578">
        <f t="shared" si="38"/>
        <v>0</v>
      </c>
      <c r="F578">
        <f t="shared" si="36"/>
        <v>0</v>
      </c>
    </row>
    <row r="579" spans="1:6" x14ac:dyDescent="0.25">
      <c r="A579" s="4" t="s">
        <v>135</v>
      </c>
      <c r="B579">
        <v>693</v>
      </c>
      <c r="C579">
        <f t="shared" si="35"/>
        <v>2059</v>
      </c>
      <c r="D579">
        <f t="shared" si="37"/>
        <v>0</v>
      </c>
      <c r="E579">
        <f t="shared" si="38"/>
        <v>0</v>
      </c>
      <c r="F579">
        <f t="shared" si="36"/>
        <v>0</v>
      </c>
    </row>
    <row r="580" spans="1:6" x14ac:dyDescent="0.25">
      <c r="A580" s="4" t="s">
        <v>138</v>
      </c>
      <c r="B580">
        <v>328</v>
      </c>
      <c r="C580">
        <f t="shared" si="35"/>
        <v>2387</v>
      </c>
      <c r="D580">
        <f t="shared" si="37"/>
        <v>0</v>
      </c>
      <c r="E580">
        <f t="shared" si="38"/>
        <v>0</v>
      </c>
      <c r="F580">
        <f t="shared" si="36"/>
        <v>0</v>
      </c>
    </row>
    <row r="581" spans="1:6" x14ac:dyDescent="0.25">
      <c r="A581" s="4" t="s">
        <v>140</v>
      </c>
      <c r="B581">
        <v>556</v>
      </c>
      <c r="C581">
        <f t="shared" ref="C581:C644" si="39">IF(LEN(A581) &gt;= 12, 0, C580+B581)</f>
        <v>2943</v>
      </c>
      <c r="D581">
        <f t="shared" si="37"/>
        <v>0</v>
      </c>
      <c r="E581">
        <f t="shared" si="38"/>
        <v>0</v>
      </c>
      <c r="F581">
        <f t="shared" si="36"/>
        <v>0</v>
      </c>
    </row>
    <row r="582" spans="1:6" x14ac:dyDescent="0.25">
      <c r="A582" s="4" t="s">
        <v>142</v>
      </c>
      <c r="B582">
        <v>337</v>
      </c>
      <c r="C582">
        <f t="shared" si="39"/>
        <v>3280</v>
      </c>
      <c r="D582">
        <f t="shared" si="37"/>
        <v>0</v>
      </c>
      <c r="E582">
        <f t="shared" si="38"/>
        <v>0</v>
      </c>
      <c r="F582">
        <f t="shared" ref="F582:F645" si="40">IF(AND(D582 = 1, C582 &lt; 20000), B582*5, IF(AND(E582=1, C582 &gt;= 20000),B582*10,0))</f>
        <v>0</v>
      </c>
    </row>
    <row r="583" spans="1:6" x14ac:dyDescent="0.25">
      <c r="A583" s="4" t="s">
        <v>146</v>
      </c>
      <c r="B583">
        <v>213</v>
      </c>
      <c r="C583">
        <f t="shared" si="39"/>
        <v>3493</v>
      </c>
      <c r="D583">
        <f t="shared" si="37"/>
        <v>0</v>
      </c>
      <c r="E583">
        <f t="shared" si="38"/>
        <v>0</v>
      </c>
      <c r="F583">
        <f t="shared" si="40"/>
        <v>0</v>
      </c>
    </row>
    <row r="584" spans="1:6" x14ac:dyDescent="0.25">
      <c r="A584" s="4" t="s">
        <v>150</v>
      </c>
      <c r="B584">
        <v>34</v>
      </c>
      <c r="C584">
        <f t="shared" si="39"/>
        <v>3527</v>
      </c>
      <c r="D584">
        <f t="shared" si="37"/>
        <v>0</v>
      </c>
      <c r="E584">
        <f t="shared" si="38"/>
        <v>0</v>
      </c>
      <c r="F584">
        <f t="shared" si="40"/>
        <v>0</v>
      </c>
    </row>
    <row r="585" spans="1:6" x14ac:dyDescent="0.25">
      <c r="A585" s="4" t="s">
        <v>160</v>
      </c>
      <c r="B585">
        <v>108</v>
      </c>
      <c r="C585">
        <f t="shared" si="39"/>
        <v>3635</v>
      </c>
      <c r="D585">
        <f t="shared" si="37"/>
        <v>0</v>
      </c>
      <c r="E585">
        <f t="shared" si="38"/>
        <v>0</v>
      </c>
      <c r="F585">
        <f t="shared" si="40"/>
        <v>0</v>
      </c>
    </row>
    <row r="586" spans="1:6" x14ac:dyDescent="0.25">
      <c r="A586" s="4" t="s">
        <v>163</v>
      </c>
      <c r="B586">
        <v>117</v>
      </c>
      <c r="C586">
        <f t="shared" si="39"/>
        <v>3752</v>
      </c>
      <c r="D586">
        <f t="shared" si="37"/>
        <v>0</v>
      </c>
      <c r="E586">
        <f t="shared" si="38"/>
        <v>0</v>
      </c>
      <c r="F586">
        <f t="shared" si="40"/>
        <v>0</v>
      </c>
    </row>
    <row r="587" spans="1:6" x14ac:dyDescent="0.25">
      <c r="A587" s="4" t="s">
        <v>164</v>
      </c>
      <c r="B587">
        <v>256</v>
      </c>
      <c r="C587">
        <f t="shared" si="39"/>
        <v>4008</v>
      </c>
      <c r="D587">
        <f t="shared" si="37"/>
        <v>0</v>
      </c>
      <c r="E587">
        <f t="shared" si="38"/>
        <v>0</v>
      </c>
      <c r="F587">
        <f t="shared" si="40"/>
        <v>0</v>
      </c>
    </row>
    <row r="588" spans="1:6" x14ac:dyDescent="0.25">
      <c r="A588" s="4" t="s">
        <v>171</v>
      </c>
      <c r="B588">
        <v>608</v>
      </c>
      <c r="C588">
        <f t="shared" si="39"/>
        <v>4616</v>
      </c>
      <c r="D588">
        <f t="shared" si="37"/>
        <v>0</v>
      </c>
      <c r="E588">
        <f t="shared" si="38"/>
        <v>0</v>
      </c>
      <c r="F588">
        <f t="shared" si="40"/>
        <v>0</v>
      </c>
    </row>
    <row r="589" spans="1:6" x14ac:dyDescent="0.25">
      <c r="A589" s="4" t="s">
        <v>176</v>
      </c>
      <c r="B589">
        <v>213</v>
      </c>
      <c r="C589">
        <f t="shared" si="39"/>
        <v>4829</v>
      </c>
      <c r="D589">
        <f t="shared" si="37"/>
        <v>0</v>
      </c>
      <c r="E589">
        <f t="shared" si="38"/>
        <v>0</v>
      </c>
      <c r="F589">
        <f t="shared" si="40"/>
        <v>0</v>
      </c>
    </row>
    <row r="590" spans="1:6" x14ac:dyDescent="0.25">
      <c r="A590" s="4" t="s">
        <v>178</v>
      </c>
      <c r="B590">
        <v>95</v>
      </c>
      <c r="C590">
        <f t="shared" si="39"/>
        <v>4924</v>
      </c>
      <c r="D590">
        <f t="shared" si="37"/>
        <v>0</v>
      </c>
      <c r="E590">
        <f t="shared" si="38"/>
        <v>0</v>
      </c>
      <c r="F590">
        <f t="shared" si="40"/>
        <v>0</v>
      </c>
    </row>
    <row r="591" spans="1:6" x14ac:dyDescent="0.25">
      <c r="A591" s="4" t="s">
        <v>217</v>
      </c>
      <c r="B591">
        <v>37</v>
      </c>
      <c r="C591">
        <f t="shared" si="39"/>
        <v>4961</v>
      </c>
      <c r="D591">
        <f t="shared" si="37"/>
        <v>0</v>
      </c>
      <c r="E591">
        <f t="shared" si="38"/>
        <v>0</v>
      </c>
      <c r="F591">
        <f t="shared" si="40"/>
        <v>0</v>
      </c>
    </row>
    <row r="592" spans="1:6" x14ac:dyDescent="0.25">
      <c r="A592" s="4" t="s">
        <v>225</v>
      </c>
      <c r="B592">
        <v>58</v>
      </c>
      <c r="C592">
        <f t="shared" si="39"/>
        <v>5019</v>
      </c>
      <c r="D592">
        <f t="shared" si="37"/>
        <v>0</v>
      </c>
      <c r="E592">
        <f t="shared" si="38"/>
        <v>0</v>
      </c>
      <c r="F592">
        <f t="shared" si="40"/>
        <v>0</v>
      </c>
    </row>
    <row r="593" spans="1:6" x14ac:dyDescent="0.25">
      <c r="A593" s="4" t="s">
        <v>230</v>
      </c>
      <c r="B593">
        <v>363</v>
      </c>
      <c r="C593">
        <f t="shared" si="39"/>
        <v>5382</v>
      </c>
      <c r="D593">
        <f t="shared" si="37"/>
        <v>0</v>
      </c>
      <c r="E593">
        <f t="shared" si="38"/>
        <v>0</v>
      </c>
      <c r="F593">
        <f t="shared" si="40"/>
        <v>0</v>
      </c>
    </row>
    <row r="594" spans="1:6" x14ac:dyDescent="0.25">
      <c r="A594" s="4" t="s">
        <v>239</v>
      </c>
      <c r="B594">
        <v>288</v>
      </c>
      <c r="C594">
        <f t="shared" si="39"/>
        <v>5670</v>
      </c>
      <c r="D594">
        <f t="shared" si="37"/>
        <v>0</v>
      </c>
      <c r="E594">
        <f t="shared" si="38"/>
        <v>0</v>
      </c>
      <c r="F594">
        <f t="shared" si="40"/>
        <v>0</v>
      </c>
    </row>
    <row r="595" spans="1:6" x14ac:dyDescent="0.25">
      <c r="A595" s="4" t="s">
        <v>241</v>
      </c>
      <c r="B595">
        <v>606</v>
      </c>
      <c r="C595">
        <f t="shared" si="39"/>
        <v>6276</v>
      </c>
      <c r="D595">
        <f t="shared" si="37"/>
        <v>0</v>
      </c>
      <c r="E595">
        <f t="shared" si="38"/>
        <v>0</v>
      </c>
      <c r="F595">
        <f t="shared" si="40"/>
        <v>0</v>
      </c>
    </row>
    <row r="596" spans="1:6" x14ac:dyDescent="0.25">
      <c r="A596" s="4" t="s">
        <v>244</v>
      </c>
      <c r="B596">
        <v>439</v>
      </c>
      <c r="C596">
        <f t="shared" si="39"/>
        <v>6715</v>
      </c>
      <c r="D596">
        <f t="shared" si="37"/>
        <v>0</v>
      </c>
      <c r="E596">
        <f t="shared" si="38"/>
        <v>0</v>
      </c>
      <c r="F596">
        <f t="shared" si="40"/>
        <v>0</v>
      </c>
    </row>
    <row r="597" spans="1:6" x14ac:dyDescent="0.25">
      <c r="A597" s="4" t="s">
        <v>245</v>
      </c>
      <c r="B597">
        <v>461</v>
      </c>
      <c r="C597">
        <f t="shared" si="39"/>
        <v>7176</v>
      </c>
      <c r="D597">
        <f t="shared" si="37"/>
        <v>0</v>
      </c>
      <c r="E597">
        <f t="shared" si="38"/>
        <v>0</v>
      </c>
      <c r="F597">
        <f t="shared" si="40"/>
        <v>0</v>
      </c>
    </row>
    <row r="598" spans="1:6" x14ac:dyDescent="0.25">
      <c r="A598" s="4" t="s">
        <v>246</v>
      </c>
      <c r="B598">
        <v>314</v>
      </c>
      <c r="C598">
        <f t="shared" si="39"/>
        <v>7490</v>
      </c>
      <c r="D598">
        <f t="shared" si="37"/>
        <v>0</v>
      </c>
      <c r="E598">
        <f t="shared" si="38"/>
        <v>0</v>
      </c>
      <c r="F598">
        <f t="shared" si="40"/>
        <v>0</v>
      </c>
    </row>
    <row r="599" spans="1:6" x14ac:dyDescent="0.25">
      <c r="A599" s="4" t="s">
        <v>249</v>
      </c>
      <c r="B599">
        <v>265</v>
      </c>
      <c r="C599">
        <f t="shared" si="39"/>
        <v>7755</v>
      </c>
      <c r="D599">
        <f t="shared" si="37"/>
        <v>0</v>
      </c>
      <c r="E599">
        <f t="shared" si="38"/>
        <v>0</v>
      </c>
      <c r="F599">
        <f t="shared" si="40"/>
        <v>0</v>
      </c>
    </row>
    <row r="600" spans="1:6" x14ac:dyDescent="0.25">
      <c r="A600" s="4" t="s">
        <v>250</v>
      </c>
      <c r="B600">
        <v>179</v>
      </c>
      <c r="C600">
        <f t="shared" si="39"/>
        <v>7934</v>
      </c>
      <c r="D600">
        <f t="shared" si="37"/>
        <v>0</v>
      </c>
      <c r="E600">
        <f t="shared" si="38"/>
        <v>0</v>
      </c>
      <c r="F600">
        <f t="shared" si="40"/>
        <v>0</v>
      </c>
    </row>
    <row r="601" spans="1:6" x14ac:dyDescent="0.25">
      <c r="A601" s="4" t="s">
        <v>254</v>
      </c>
      <c r="B601">
        <v>479</v>
      </c>
      <c r="C601">
        <f t="shared" si="39"/>
        <v>8413</v>
      </c>
      <c r="D601">
        <f t="shared" si="37"/>
        <v>0</v>
      </c>
      <c r="E601">
        <f t="shared" si="38"/>
        <v>0</v>
      </c>
      <c r="F601">
        <f t="shared" si="40"/>
        <v>0</v>
      </c>
    </row>
    <row r="602" spans="1:6" x14ac:dyDescent="0.25">
      <c r="A602" s="4" t="s">
        <v>265</v>
      </c>
      <c r="B602">
        <v>392</v>
      </c>
      <c r="C602">
        <f t="shared" si="39"/>
        <v>8805</v>
      </c>
      <c r="D602">
        <f t="shared" si="37"/>
        <v>0</v>
      </c>
      <c r="E602">
        <f t="shared" si="38"/>
        <v>0</v>
      </c>
      <c r="F602">
        <f t="shared" si="40"/>
        <v>0</v>
      </c>
    </row>
    <row r="603" spans="1:6" x14ac:dyDescent="0.25">
      <c r="A603" s="4" t="s">
        <v>267</v>
      </c>
      <c r="B603">
        <v>112</v>
      </c>
      <c r="C603">
        <f t="shared" si="39"/>
        <v>8917</v>
      </c>
      <c r="D603">
        <f t="shared" si="37"/>
        <v>0</v>
      </c>
      <c r="E603">
        <f t="shared" si="38"/>
        <v>0</v>
      </c>
      <c r="F603">
        <f t="shared" si="40"/>
        <v>0</v>
      </c>
    </row>
    <row r="604" spans="1:6" x14ac:dyDescent="0.25">
      <c r="A604" s="4" t="s">
        <v>273</v>
      </c>
      <c r="B604">
        <v>429</v>
      </c>
      <c r="C604">
        <f t="shared" si="39"/>
        <v>9346</v>
      </c>
      <c r="D604">
        <f t="shared" si="37"/>
        <v>0</v>
      </c>
      <c r="E604">
        <f t="shared" si="38"/>
        <v>0</v>
      </c>
      <c r="F604">
        <f t="shared" si="40"/>
        <v>0</v>
      </c>
    </row>
    <row r="605" spans="1:6" x14ac:dyDescent="0.25">
      <c r="A605" s="4" t="s">
        <v>274</v>
      </c>
      <c r="B605">
        <v>39</v>
      </c>
      <c r="C605">
        <f t="shared" si="39"/>
        <v>9385</v>
      </c>
      <c r="D605">
        <f t="shared" si="37"/>
        <v>0</v>
      </c>
      <c r="E605">
        <f t="shared" si="38"/>
        <v>0</v>
      </c>
      <c r="F605">
        <f t="shared" si="40"/>
        <v>0</v>
      </c>
    </row>
    <row r="606" spans="1:6" x14ac:dyDescent="0.25">
      <c r="A606" s="4" t="s">
        <v>301</v>
      </c>
      <c r="B606">
        <v>93</v>
      </c>
      <c r="C606">
        <f t="shared" si="39"/>
        <v>9478</v>
      </c>
      <c r="D606">
        <f t="shared" si="37"/>
        <v>0</v>
      </c>
      <c r="E606">
        <f t="shared" si="38"/>
        <v>0</v>
      </c>
      <c r="F606">
        <f t="shared" si="40"/>
        <v>0</v>
      </c>
    </row>
    <row r="607" spans="1:6" x14ac:dyDescent="0.25">
      <c r="A607" s="4" t="s">
        <v>303</v>
      </c>
      <c r="B607">
        <v>207</v>
      </c>
      <c r="C607">
        <f t="shared" si="39"/>
        <v>9685</v>
      </c>
      <c r="D607">
        <f t="shared" si="37"/>
        <v>0</v>
      </c>
      <c r="E607">
        <f t="shared" si="38"/>
        <v>0</v>
      </c>
      <c r="F607">
        <f t="shared" si="40"/>
        <v>0</v>
      </c>
    </row>
    <row r="608" spans="1:6" x14ac:dyDescent="0.25">
      <c r="A608" s="4" t="s">
        <v>307</v>
      </c>
      <c r="B608">
        <v>380</v>
      </c>
      <c r="C608">
        <f t="shared" si="39"/>
        <v>10065</v>
      </c>
      <c r="D608">
        <f t="shared" si="37"/>
        <v>0</v>
      </c>
      <c r="E608">
        <f t="shared" si="38"/>
        <v>0</v>
      </c>
      <c r="F608">
        <f t="shared" si="40"/>
        <v>0</v>
      </c>
    </row>
    <row r="609" spans="1:6" x14ac:dyDescent="0.25">
      <c r="A609" s="4" t="s">
        <v>315</v>
      </c>
      <c r="B609">
        <v>432</v>
      </c>
      <c r="C609">
        <f t="shared" si="39"/>
        <v>10497</v>
      </c>
      <c r="D609">
        <f t="shared" si="37"/>
        <v>0</v>
      </c>
      <c r="E609">
        <f t="shared" si="38"/>
        <v>0</v>
      </c>
      <c r="F609">
        <f t="shared" si="40"/>
        <v>0</v>
      </c>
    </row>
    <row r="610" spans="1:6" x14ac:dyDescent="0.25">
      <c r="A610" s="4" t="s">
        <v>317</v>
      </c>
      <c r="B610">
        <v>136</v>
      </c>
      <c r="C610">
        <f t="shared" si="39"/>
        <v>10633</v>
      </c>
      <c r="D610">
        <f t="shared" si="37"/>
        <v>0</v>
      </c>
      <c r="E610">
        <f t="shared" si="38"/>
        <v>0</v>
      </c>
      <c r="F610">
        <f t="shared" si="40"/>
        <v>0</v>
      </c>
    </row>
    <row r="611" spans="1:6" x14ac:dyDescent="0.25">
      <c r="A611" s="4" t="s">
        <v>325</v>
      </c>
      <c r="B611">
        <v>333</v>
      </c>
      <c r="C611">
        <f t="shared" si="39"/>
        <v>10966</v>
      </c>
      <c r="D611">
        <f t="shared" si="37"/>
        <v>0</v>
      </c>
      <c r="E611">
        <f t="shared" si="38"/>
        <v>0</v>
      </c>
      <c r="F611">
        <f t="shared" si="40"/>
        <v>0</v>
      </c>
    </row>
    <row r="612" spans="1:6" x14ac:dyDescent="0.25">
      <c r="A612" s="4" t="s">
        <v>327</v>
      </c>
      <c r="B612">
        <v>238</v>
      </c>
      <c r="C612">
        <f t="shared" si="39"/>
        <v>11204</v>
      </c>
      <c r="D612">
        <f t="shared" si="37"/>
        <v>0</v>
      </c>
      <c r="E612">
        <f t="shared" si="38"/>
        <v>0</v>
      </c>
      <c r="F612">
        <f t="shared" si="40"/>
        <v>0</v>
      </c>
    </row>
    <row r="613" spans="1:6" x14ac:dyDescent="0.25">
      <c r="A613" s="4" t="s">
        <v>335</v>
      </c>
      <c r="B613">
        <v>475</v>
      </c>
      <c r="C613">
        <f t="shared" si="39"/>
        <v>11679</v>
      </c>
      <c r="D613">
        <f t="shared" si="37"/>
        <v>0</v>
      </c>
      <c r="E613">
        <f t="shared" si="38"/>
        <v>0</v>
      </c>
      <c r="F613">
        <f t="shared" si="40"/>
        <v>0</v>
      </c>
    </row>
    <row r="614" spans="1:6" x14ac:dyDescent="0.25">
      <c r="A614" s="4" t="s">
        <v>337</v>
      </c>
      <c r="B614">
        <v>232</v>
      </c>
      <c r="C614">
        <f t="shared" si="39"/>
        <v>11911</v>
      </c>
      <c r="D614">
        <f t="shared" si="37"/>
        <v>0</v>
      </c>
      <c r="E614">
        <f t="shared" si="38"/>
        <v>0</v>
      </c>
      <c r="F614">
        <f t="shared" si="40"/>
        <v>0</v>
      </c>
    </row>
    <row r="615" spans="1:6" x14ac:dyDescent="0.25">
      <c r="A615" s="4" t="s">
        <v>340</v>
      </c>
      <c r="B615">
        <v>15</v>
      </c>
      <c r="C615">
        <f t="shared" si="39"/>
        <v>11926</v>
      </c>
      <c r="D615">
        <f t="shared" si="37"/>
        <v>0</v>
      </c>
      <c r="E615">
        <f t="shared" si="38"/>
        <v>0</v>
      </c>
      <c r="F615">
        <f t="shared" si="40"/>
        <v>0</v>
      </c>
    </row>
    <row r="616" spans="1:6" x14ac:dyDescent="0.25">
      <c r="A616" s="4" t="s">
        <v>349</v>
      </c>
      <c r="B616">
        <v>102</v>
      </c>
      <c r="C616">
        <f t="shared" si="39"/>
        <v>12028</v>
      </c>
      <c r="D616">
        <f t="shared" si="37"/>
        <v>0</v>
      </c>
      <c r="E616">
        <f t="shared" si="38"/>
        <v>0</v>
      </c>
      <c r="F616">
        <f t="shared" si="40"/>
        <v>0</v>
      </c>
    </row>
    <row r="617" spans="1:6" x14ac:dyDescent="0.25">
      <c r="A617" s="4" t="s">
        <v>350</v>
      </c>
      <c r="B617">
        <v>133</v>
      </c>
      <c r="C617">
        <f t="shared" si="39"/>
        <v>12161</v>
      </c>
      <c r="D617">
        <f t="shared" si="37"/>
        <v>0</v>
      </c>
      <c r="E617">
        <f t="shared" si="38"/>
        <v>0</v>
      </c>
      <c r="F617">
        <f t="shared" si="40"/>
        <v>0</v>
      </c>
    </row>
    <row r="618" spans="1:6" x14ac:dyDescent="0.25">
      <c r="A618" s="4" t="s">
        <v>356</v>
      </c>
      <c r="B618">
        <v>756</v>
      </c>
      <c r="C618">
        <f t="shared" si="39"/>
        <v>12917</v>
      </c>
      <c r="D618">
        <f t="shared" si="37"/>
        <v>0</v>
      </c>
      <c r="E618">
        <f t="shared" si="38"/>
        <v>0</v>
      </c>
      <c r="F618">
        <f t="shared" si="40"/>
        <v>0</v>
      </c>
    </row>
    <row r="619" spans="1:6" x14ac:dyDescent="0.25">
      <c r="A619" s="4" t="s">
        <v>367</v>
      </c>
      <c r="B619">
        <v>72</v>
      </c>
      <c r="C619">
        <f t="shared" si="39"/>
        <v>12989</v>
      </c>
      <c r="D619">
        <f t="shared" si="37"/>
        <v>0</v>
      </c>
      <c r="E619">
        <f t="shared" si="38"/>
        <v>0</v>
      </c>
      <c r="F619">
        <f t="shared" si="40"/>
        <v>0</v>
      </c>
    </row>
    <row r="620" spans="1:6" x14ac:dyDescent="0.25">
      <c r="A620" s="4" t="s">
        <v>374</v>
      </c>
      <c r="B620">
        <v>85</v>
      </c>
      <c r="C620">
        <f t="shared" si="39"/>
        <v>13074</v>
      </c>
      <c r="D620">
        <f t="shared" si="37"/>
        <v>0</v>
      </c>
      <c r="E620">
        <f t="shared" si="38"/>
        <v>0</v>
      </c>
      <c r="F620">
        <f t="shared" si="40"/>
        <v>0</v>
      </c>
    </row>
    <row r="621" spans="1:6" x14ac:dyDescent="0.25">
      <c r="A621" s="4" t="s">
        <v>378</v>
      </c>
      <c r="B621">
        <v>397</v>
      </c>
      <c r="C621">
        <f t="shared" si="39"/>
        <v>13471</v>
      </c>
      <c r="D621">
        <f t="shared" si="37"/>
        <v>0</v>
      </c>
      <c r="E621">
        <f t="shared" si="38"/>
        <v>0</v>
      </c>
      <c r="F621">
        <f t="shared" si="40"/>
        <v>0</v>
      </c>
    </row>
    <row r="622" spans="1:6" x14ac:dyDescent="0.25">
      <c r="A622" s="4" t="s">
        <v>379</v>
      </c>
      <c r="B622">
        <v>207</v>
      </c>
      <c r="C622">
        <f t="shared" si="39"/>
        <v>13678</v>
      </c>
      <c r="D622">
        <f t="shared" si="37"/>
        <v>0</v>
      </c>
      <c r="E622">
        <f t="shared" si="38"/>
        <v>0</v>
      </c>
      <c r="F622">
        <f t="shared" si="40"/>
        <v>0</v>
      </c>
    </row>
    <row r="623" spans="1:6" x14ac:dyDescent="0.25">
      <c r="A623" s="4" t="s">
        <v>383</v>
      </c>
      <c r="B623">
        <v>501</v>
      </c>
      <c r="C623">
        <f t="shared" si="39"/>
        <v>14179</v>
      </c>
      <c r="D623">
        <f t="shared" si="37"/>
        <v>0</v>
      </c>
      <c r="E623">
        <f t="shared" si="38"/>
        <v>0</v>
      </c>
      <c r="F623">
        <f t="shared" si="40"/>
        <v>0</v>
      </c>
    </row>
    <row r="624" spans="1:6" x14ac:dyDescent="0.25">
      <c r="A624" s="4" t="s">
        <v>399</v>
      </c>
      <c r="B624">
        <v>219</v>
      </c>
      <c r="C624">
        <f t="shared" si="39"/>
        <v>14398</v>
      </c>
      <c r="D624">
        <f t="shared" si="37"/>
        <v>0</v>
      </c>
      <c r="E624">
        <f t="shared" si="38"/>
        <v>0</v>
      </c>
      <c r="F624">
        <f t="shared" si="40"/>
        <v>0</v>
      </c>
    </row>
    <row r="625" spans="1:6" x14ac:dyDescent="0.25">
      <c r="A625" s="4" t="s">
        <v>404</v>
      </c>
      <c r="B625">
        <v>629</v>
      </c>
      <c r="C625">
        <f t="shared" si="39"/>
        <v>15027</v>
      </c>
      <c r="D625">
        <f t="shared" ref="D625:D688" si="41">IF(C625 &gt; 15000, 1, 0)</f>
        <v>1</v>
      </c>
      <c r="E625">
        <f t="shared" ref="E625:E688" si="42">IF(AND(D625 =1,C625 &gt;= 20000),1,0)</f>
        <v>0</v>
      </c>
      <c r="F625">
        <f t="shared" si="40"/>
        <v>3145</v>
      </c>
    </row>
    <row r="626" spans="1:6" x14ac:dyDescent="0.25">
      <c r="A626" s="3" t="s">
        <v>18</v>
      </c>
      <c r="B626">
        <v>16321</v>
      </c>
      <c r="C626">
        <f t="shared" si="39"/>
        <v>0</v>
      </c>
      <c r="D626">
        <f t="shared" si="41"/>
        <v>0</v>
      </c>
      <c r="E626">
        <f t="shared" si="42"/>
        <v>0</v>
      </c>
      <c r="F626">
        <f t="shared" si="40"/>
        <v>0</v>
      </c>
    </row>
    <row r="627" spans="1:6" x14ac:dyDescent="0.25">
      <c r="A627" s="4" t="s">
        <v>103</v>
      </c>
      <c r="B627">
        <v>463</v>
      </c>
      <c r="C627">
        <f t="shared" si="39"/>
        <v>463</v>
      </c>
      <c r="D627">
        <f t="shared" si="41"/>
        <v>0</v>
      </c>
      <c r="E627">
        <f t="shared" si="42"/>
        <v>0</v>
      </c>
      <c r="F627">
        <f t="shared" si="40"/>
        <v>0</v>
      </c>
    </row>
    <row r="628" spans="1:6" x14ac:dyDescent="0.25">
      <c r="A628" s="4" t="s">
        <v>108</v>
      </c>
      <c r="B628">
        <v>478</v>
      </c>
      <c r="C628">
        <f t="shared" si="39"/>
        <v>941</v>
      </c>
      <c r="D628">
        <f t="shared" si="41"/>
        <v>0</v>
      </c>
      <c r="E628">
        <f t="shared" si="42"/>
        <v>0</v>
      </c>
      <c r="F628">
        <f t="shared" si="40"/>
        <v>0</v>
      </c>
    </row>
    <row r="629" spans="1:6" x14ac:dyDescent="0.25">
      <c r="A629" s="4" t="s">
        <v>109</v>
      </c>
      <c r="B629">
        <v>361</v>
      </c>
      <c r="C629">
        <f t="shared" si="39"/>
        <v>1302</v>
      </c>
      <c r="D629">
        <f t="shared" si="41"/>
        <v>0</v>
      </c>
      <c r="E629">
        <f t="shared" si="42"/>
        <v>0</v>
      </c>
      <c r="F629">
        <f t="shared" si="40"/>
        <v>0</v>
      </c>
    </row>
    <row r="630" spans="1:6" x14ac:dyDescent="0.25">
      <c r="A630" s="4" t="s">
        <v>111</v>
      </c>
      <c r="B630">
        <v>1045</v>
      </c>
      <c r="C630">
        <f t="shared" si="39"/>
        <v>2347</v>
      </c>
      <c r="D630">
        <f t="shared" si="41"/>
        <v>0</v>
      </c>
      <c r="E630">
        <f t="shared" si="42"/>
        <v>0</v>
      </c>
      <c r="F630">
        <f t="shared" si="40"/>
        <v>0</v>
      </c>
    </row>
    <row r="631" spans="1:6" x14ac:dyDescent="0.25">
      <c r="A631" s="4" t="s">
        <v>117</v>
      </c>
      <c r="B631">
        <v>555</v>
      </c>
      <c r="C631">
        <f t="shared" si="39"/>
        <v>2902</v>
      </c>
      <c r="D631">
        <f t="shared" si="41"/>
        <v>0</v>
      </c>
      <c r="E631">
        <f t="shared" si="42"/>
        <v>0</v>
      </c>
      <c r="F631">
        <f t="shared" si="40"/>
        <v>0</v>
      </c>
    </row>
    <row r="632" spans="1:6" x14ac:dyDescent="0.25">
      <c r="A632" s="4" t="s">
        <v>129</v>
      </c>
      <c r="B632">
        <v>150</v>
      </c>
      <c r="C632">
        <f t="shared" si="39"/>
        <v>3052</v>
      </c>
      <c r="D632">
        <f t="shared" si="41"/>
        <v>0</v>
      </c>
      <c r="E632">
        <f t="shared" si="42"/>
        <v>0</v>
      </c>
      <c r="F632">
        <f t="shared" si="40"/>
        <v>0</v>
      </c>
    </row>
    <row r="633" spans="1:6" x14ac:dyDescent="0.25">
      <c r="A633" s="4" t="s">
        <v>135</v>
      </c>
      <c r="B633">
        <v>430</v>
      </c>
      <c r="C633">
        <f t="shared" si="39"/>
        <v>3482</v>
      </c>
      <c r="D633">
        <f t="shared" si="41"/>
        <v>0</v>
      </c>
      <c r="E633">
        <f t="shared" si="42"/>
        <v>0</v>
      </c>
      <c r="F633">
        <f t="shared" si="40"/>
        <v>0</v>
      </c>
    </row>
    <row r="634" spans="1:6" x14ac:dyDescent="0.25">
      <c r="A634" s="4" t="s">
        <v>140</v>
      </c>
      <c r="B634">
        <v>491</v>
      </c>
      <c r="C634">
        <f t="shared" si="39"/>
        <v>3973</v>
      </c>
      <c r="D634">
        <f t="shared" si="41"/>
        <v>0</v>
      </c>
      <c r="E634">
        <f t="shared" si="42"/>
        <v>0</v>
      </c>
      <c r="F634">
        <f t="shared" si="40"/>
        <v>0</v>
      </c>
    </row>
    <row r="635" spans="1:6" x14ac:dyDescent="0.25">
      <c r="A635" s="4" t="s">
        <v>166</v>
      </c>
      <c r="B635">
        <v>505</v>
      </c>
      <c r="C635">
        <f t="shared" si="39"/>
        <v>4478</v>
      </c>
      <c r="D635">
        <f t="shared" si="41"/>
        <v>0</v>
      </c>
      <c r="E635">
        <f t="shared" si="42"/>
        <v>0</v>
      </c>
      <c r="F635">
        <f t="shared" si="40"/>
        <v>0</v>
      </c>
    </row>
    <row r="636" spans="1:6" x14ac:dyDescent="0.25">
      <c r="A636" s="4" t="s">
        <v>173</v>
      </c>
      <c r="B636">
        <v>383</v>
      </c>
      <c r="C636">
        <f t="shared" si="39"/>
        <v>4861</v>
      </c>
      <c r="D636">
        <f t="shared" si="41"/>
        <v>0</v>
      </c>
      <c r="E636">
        <f t="shared" si="42"/>
        <v>0</v>
      </c>
      <c r="F636">
        <f t="shared" si="40"/>
        <v>0</v>
      </c>
    </row>
    <row r="637" spans="1:6" x14ac:dyDescent="0.25">
      <c r="A637" s="4" t="s">
        <v>184</v>
      </c>
      <c r="B637">
        <v>558</v>
      </c>
      <c r="C637">
        <f t="shared" si="39"/>
        <v>5419</v>
      </c>
      <c r="D637">
        <f t="shared" si="41"/>
        <v>0</v>
      </c>
      <c r="E637">
        <f t="shared" si="42"/>
        <v>0</v>
      </c>
      <c r="F637">
        <f t="shared" si="40"/>
        <v>0</v>
      </c>
    </row>
    <row r="638" spans="1:6" x14ac:dyDescent="0.25">
      <c r="A638" s="4" t="s">
        <v>185</v>
      </c>
      <c r="B638">
        <v>349</v>
      </c>
      <c r="C638">
        <f t="shared" si="39"/>
        <v>5768</v>
      </c>
      <c r="D638">
        <f t="shared" si="41"/>
        <v>0</v>
      </c>
      <c r="E638">
        <f t="shared" si="42"/>
        <v>0</v>
      </c>
      <c r="F638">
        <f t="shared" si="40"/>
        <v>0</v>
      </c>
    </row>
    <row r="639" spans="1:6" x14ac:dyDescent="0.25">
      <c r="A639" s="4" t="s">
        <v>187</v>
      </c>
      <c r="B639">
        <v>266</v>
      </c>
      <c r="C639">
        <f t="shared" si="39"/>
        <v>6034</v>
      </c>
      <c r="D639">
        <f t="shared" si="41"/>
        <v>0</v>
      </c>
      <c r="E639">
        <f t="shared" si="42"/>
        <v>0</v>
      </c>
      <c r="F639">
        <f t="shared" si="40"/>
        <v>0</v>
      </c>
    </row>
    <row r="640" spans="1:6" x14ac:dyDescent="0.25">
      <c r="A640" s="4" t="s">
        <v>191</v>
      </c>
      <c r="B640">
        <v>467</v>
      </c>
      <c r="C640">
        <f t="shared" si="39"/>
        <v>6501</v>
      </c>
      <c r="D640">
        <f t="shared" si="41"/>
        <v>0</v>
      </c>
      <c r="E640">
        <f t="shared" si="42"/>
        <v>0</v>
      </c>
      <c r="F640">
        <f t="shared" si="40"/>
        <v>0</v>
      </c>
    </row>
    <row r="641" spans="1:6" x14ac:dyDescent="0.25">
      <c r="A641" s="4" t="s">
        <v>198</v>
      </c>
      <c r="B641">
        <v>548</v>
      </c>
      <c r="C641">
        <f t="shared" si="39"/>
        <v>7049</v>
      </c>
      <c r="D641">
        <f t="shared" si="41"/>
        <v>0</v>
      </c>
      <c r="E641">
        <f t="shared" si="42"/>
        <v>0</v>
      </c>
      <c r="F641">
        <f t="shared" si="40"/>
        <v>0</v>
      </c>
    </row>
    <row r="642" spans="1:6" x14ac:dyDescent="0.25">
      <c r="A642" s="4" t="s">
        <v>200</v>
      </c>
      <c r="B642">
        <v>120</v>
      </c>
      <c r="C642">
        <f t="shared" si="39"/>
        <v>7169</v>
      </c>
      <c r="D642">
        <f t="shared" si="41"/>
        <v>0</v>
      </c>
      <c r="E642">
        <f t="shared" si="42"/>
        <v>0</v>
      </c>
      <c r="F642">
        <f t="shared" si="40"/>
        <v>0</v>
      </c>
    </row>
    <row r="643" spans="1:6" x14ac:dyDescent="0.25">
      <c r="A643" s="4" t="s">
        <v>213</v>
      </c>
      <c r="B643">
        <v>135</v>
      </c>
      <c r="C643">
        <f t="shared" si="39"/>
        <v>7304</v>
      </c>
      <c r="D643">
        <f t="shared" si="41"/>
        <v>0</v>
      </c>
      <c r="E643">
        <f t="shared" si="42"/>
        <v>0</v>
      </c>
      <c r="F643">
        <f t="shared" si="40"/>
        <v>0</v>
      </c>
    </row>
    <row r="644" spans="1:6" x14ac:dyDescent="0.25">
      <c r="A644" s="4" t="s">
        <v>226</v>
      </c>
      <c r="B644">
        <v>466</v>
      </c>
      <c r="C644">
        <f t="shared" si="39"/>
        <v>7770</v>
      </c>
      <c r="D644">
        <f t="shared" si="41"/>
        <v>0</v>
      </c>
      <c r="E644">
        <f t="shared" si="42"/>
        <v>0</v>
      </c>
      <c r="F644">
        <f t="shared" si="40"/>
        <v>0</v>
      </c>
    </row>
    <row r="645" spans="1:6" x14ac:dyDescent="0.25">
      <c r="A645" s="4" t="s">
        <v>247</v>
      </c>
      <c r="B645">
        <v>412</v>
      </c>
      <c r="C645">
        <f t="shared" ref="C645:C708" si="43">IF(LEN(A645) &gt;= 12, 0, C644+B645)</f>
        <v>8182</v>
      </c>
      <c r="D645">
        <f t="shared" si="41"/>
        <v>0</v>
      </c>
      <c r="E645">
        <f t="shared" si="42"/>
        <v>0</v>
      </c>
      <c r="F645">
        <f t="shared" si="40"/>
        <v>0</v>
      </c>
    </row>
    <row r="646" spans="1:6" x14ac:dyDescent="0.25">
      <c r="A646" s="4" t="s">
        <v>249</v>
      </c>
      <c r="B646">
        <v>531</v>
      </c>
      <c r="C646">
        <f t="shared" si="43"/>
        <v>8713</v>
      </c>
      <c r="D646">
        <f t="shared" si="41"/>
        <v>0</v>
      </c>
      <c r="E646">
        <f t="shared" si="42"/>
        <v>0</v>
      </c>
      <c r="F646">
        <f t="shared" ref="F646:F709" si="44">IF(AND(D646 = 1, C646 &lt; 20000), B646*5, IF(AND(E646=1, C646 &gt;= 20000),B646*10,0))</f>
        <v>0</v>
      </c>
    </row>
    <row r="647" spans="1:6" x14ac:dyDescent="0.25">
      <c r="A647" s="4" t="s">
        <v>255</v>
      </c>
      <c r="B647">
        <v>155</v>
      </c>
      <c r="C647">
        <f t="shared" si="43"/>
        <v>8868</v>
      </c>
      <c r="D647">
        <f t="shared" si="41"/>
        <v>0</v>
      </c>
      <c r="E647">
        <f t="shared" si="42"/>
        <v>0</v>
      </c>
      <c r="F647">
        <f t="shared" si="44"/>
        <v>0</v>
      </c>
    </row>
    <row r="648" spans="1:6" x14ac:dyDescent="0.25">
      <c r="A648" s="4" t="s">
        <v>259</v>
      </c>
      <c r="B648">
        <v>414</v>
      </c>
      <c r="C648">
        <f t="shared" si="43"/>
        <v>9282</v>
      </c>
      <c r="D648">
        <f t="shared" si="41"/>
        <v>0</v>
      </c>
      <c r="E648">
        <f t="shared" si="42"/>
        <v>0</v>
      </c>
      <c r="F648">
        <f t="shared" si="44"/>
        <v>0</v>
      </c>
    </row>
    <row r="649" spans="1:6" x14ac:dyDescent="0.25">
      <c r="A649" s="4" t="s">
        <v>266</v>
      </c>
      <c r="B649">
        <v>126</v>
      </c>
      <c r="C649">
        <f t="shared" si="43"/>
        <v>9408</v>
      </c>
      <c r="D649">
        <f t="shared" si="41"/>
        <v>0</v>
      </c>
      <c r="E649">
        <f t="shared" si="42"/>
        <v>0</v>
      </c>
      <c r="F649">
        <f t="shared" si="44"/>
        <v>0</v>
      </c>
    </row>
    <row r="650" spans="1:6" x14ac:dyDescent="0.25">
      <c r="A650" s="4" t="s">
        <v>272</v>
      </c>
      <c r="B650">
        <v>125</v>
      </c>
      <c r="C650">
        <f t="shared" si="43"/>
        <v>9533</v>
      </c>
      <c r="D650">
        <f t="shared" si="41"/>
        <v>0</v>
      </c>
      <c r="E650">
        <f t="shared" si="42"/>
        <v>0</v>
      </c>
      <c r="F650">
        <f t="shared" si="44"/>
        <v>0</v>
      </c>
    </row>
    <row r="651" spans="1:6" x14ac:dyDescent="0.25">
      <c r="A651" s="4" t="s">
        <v>274</v>
      </c>
      <c r="B651">
        <v>333</v>
      </c>
      <c r="C651">
        <f t="shared" si="43"/>
        <v>9866</v>
      </c>
      <c r="D651">
        <f t="shared" si="41"/>
        <v>0</v>
      </c>
      <c r="E651">
        <f t="shared" si="42"/>
        <v>0</v>
      </c>
      <c r="F651">
        <f t="shared" si="44"/>
        <v>0</v>
      </c>
    </row>
    <row r="652" spans="1:6" x14ac:dyDescent="0.25">
      <c r="A652" s="4" t="s">
        <v>276</v>
      </c>
      <c r="B652">
        <v>143</v>
      </c>
      <c r="C652">
        <f t="shared" si="43"/>
        <v>10009</v>
      </c>
      <c r="D652">
        <f t="shared" si="41"/>
        <v>0</v>
      </c>
      <c r="E652">
        <f t="shared" si="42"/>
        <v>0</v>
      </c>
      <c r="F652">
        <f t="shared" si="44"/>
        <v>0</v>
      </c>
    </row>
    <row r="653" spans="1:6" x14ac:dyDescent="0.25">
      <c r="A653" s="4" t="s">
        <v>278</v>
      </c>
      <c r="B653">
        <v>49</v>
      </c>
      <c r="C653">
        <f t="shared" si="43"/>
        <v>10058</v>
      </c>
      <c r="D653">
        <f t="shared" si="41"/>
        <v>0</v>
      </c>
      <c r="E653">
        <f t="shared" si="42"/>
        <v>0</v>
      </c>
      <c r="F653">
        <f t="shared" si="44"/>
        <v>0</v>
      </c>
    </row>
    <row r="654" spans="1:6" x14ac:dyDescent="0.25">
      <c r="A654" s="4" t="s">
        <v>281</v>
      </c>
      <c r="B654">
        <v>419</v>
      </c>
      <c r="C654">
        <f t="shared" si="43"/>
        <v>10477</v>
      </c>
      <c r="D654">
        <f t="shared" si="41"/>
        <v>0</v>
      </c>
      <c r="E654">
        <f t="shared" si="42"/>
        <v>0</v>
      </c>
      <c r="F654">
        <f t="shared" si="44"/>
        <v>0</v>
      </c>
    </row>
    <row r="655" spans="1:6" x14ac:dyDescent="0.25">
      <c r="A655" s="4" t="s">
        <v>284</v>
      </c>
      <c r="B655">
        <v>51</v>
      </c>
      <c r="C655">
        <f t="shared" si="43"/>
        <v>10528</v>
      </c>
      <c r="D655">
        <f t="shared" si="41"/>
        <v>0</v>
      </c>
      <c r="E655">
        <f t="shared" si="42"/>
        <v>0</v>
      </c>
      <c r="F655">
        <f t="shared" si="44"/>
        <v>0</v>
      </c>
    </row>
    <row r="656" spans="1:6" x14ac:dyDescent="0.25">
      <c r="A656" s="4" t="s">
        <v>302</v>
      </c>
      <c r="B656">
        <v>261</v>
      </c>
      <c r="C656">
        <f t="shared" si="43"/>
        <v>10789</v>
      </c>
      <c r="D656">
        <f t="shared" si="41"/>
        <v>0</v>
      </c>
      <c r="E656">
        <f t="shared" si="42"/>
        <v>0</v>
      </c>
      <c r="F656">
        <f t="shared" si="44"/>
        <v>0</v>
      </c>
    </row>
    <row r="657" spans="1:6" x14ac:dyDescent="0.25">
      <c r="A657" s="4" t="s">
        <v>316</v>
      </c>
      <c r="B657">
        <v>82</v>
      </c>
      <c r="C657">
        <f t="shared" si="43"/>
        <v>10871</v>
      </c>
      <c r="D657">
        <f t="shared" si="41"/>
        <v>0</v>
      </c>
      <c r="E657">
        <f t="shared" si="42"/>
        <v>0</v>
      </c>
      <c r="F657">
        <f t="shared" si="44"/>
        <v>0</v>
      </c>
    </row>
    <row r="658" spans="1:6" x14ac:dyDescent="0.25">
      <c r="A658" s="4" t="s">
        <v>339</v>
      </c>
      <c r="B658">
        <v>569</v>
      </c>
      <c r="C658">
        <f t="shared" si="43"/>
        <v>11440</v>
      </c>
      <c r="D658">
        <f t="shared" si="41"/>
        <v>0</v>
      </c>
      <c r="E658">
        <f t="shared" si="42"/>
        <v>0</v>
      </c>
      <c r="F658">
        <f t="shared" si="44"/>
        <v>0</v>
      </c>
    </row>
    <row r="659" spans="1:6" x14ac:dyDescent="0.25">
      <c r="A659" s="4" t="s">
        <v>343</v>
      </c>
      <c r="B659">
        <v>421</v>
      </c>
      <c r="C659">
        <f t="shared" si="43"/>
        <v>11861</v>
      </c>
      <c r="D659">
        <f t="shared" si="41"/>
        <v>0</v>
      </c>
      <c r="E659">
        <f t="shared" si="42"/>
        <v>0</v>
      </c>
      <c r="F659">
        <f t="shared" si="44"/>
        <v>0</v>
      </c>
    </row>
    <row r="660" spans="1:6" x14ac:dyDescent="0.25">
      <c r="A660" s="4" t="s">
        <v>348</v>
      </c>
      <c r="B660">
        <v>395</v>
      </c>
      <c r="C660">
        <f t="shared" si="43"/>
        <v>12256</v>
      </c>
      <c r="D660">
        <f t="shared" si="41"/>
        <v>0</v>
      </c>
      <c r="E660">
        <f t="shared" si="42"/>
        <v>0</v>
      </c>
      <c r="F660">
        <f t="shared" si="44"/>
        <v>0</v>
      </c>
    </row>
    <row r="661" spans="1:6" x14ac:dyDescent="0.25">
      <c r="A661" s="4" t="s">
        <v>350</v>
      </c>
      <c r="B661">
        <v>242</v>
      </c>
      <c r="C661">
        <f t="shared" si="43"/>
        <v>12498</v>
      </c>
      <c r="D661">
        <f t="shared" si="41"/>
        <v>0</v>
      </c>
      <c r="E661">
        <f t="shared" si="42"/>
        <v>0</v>
      </c>
      <c r="F661">
        <f t="shared" si="44"/>
        <v>0</v>
      </c>
    </row>
    <row r="662" spans="1:6" x14ac:dyDescent="0.25">
      <c r="A662" s="4" t="s">
        <v>352</v>
      </c>
      <c r="B662">
        <v>444</v>
      </c>
      <c r="C662">
        <f t="shared" si="43"/>
        <v>12942</v>
      </c>
      <c r="D662">
        <f t="shared" si="41"/>
        <v>0</v>
      </c>
      <c r="E662">
        <f t="shared" si="42"/>
        <v>0</v>
      </c>
      <c r="F662">
        <f t="shared" si="44"/>
        <v>0</v>
      </c>
    </row>
    <row r="663" spans="1:6" x14ac:dyDescent="0.25">
      <c r="A663" s="4" t="s">
        <v>362</v>
      </c>
      <c r="B663">
        <v>172</v>
      </c>
      <c r="C663">
        <f t="shared" si="43"/>
        <v>13114</v>
      </c>
      <c r="D663">
        <f t="shared" si="41"/>
        <v>0</v>
      </c>
      <c r="E663">
        <f t="shared" si="42"/>
        <v>0</v>
      </c>
      <c r="F663">
        <f t="shared" si="44"/>
        <v>0</v>
      </c>
    </row>
    <row r="664" spans="1:6" x14ac:dyDescent="0.25">
      <c r="A664" s="4" t="s">
        <v>364</v>
      </c>
      <c r="B664">
        <v>264</v>
      </c>
      <c r="C664">
        <f t="shared" si="43"/>
        <v>13378</v>
      </c>
      <c r="D664">
        <f t="shared" si="41"/>
        <v>0</v>
      </c>
      <c r="E664">
        <f t="shared" si="42"/>
        <v>0</v>
      </c>
      <c r="F664">
        <f t="shared" si="44"/>
        <v>0</v>
      </c>
    </row>
    <row r="665" spans="1:6" x14ac:dyDescent="0.25">
      <c r="A665" s="4" t="s">
        <v>366</v>
      </c>
      <c r="B665">
        <v>172</v>
      </c>
      <c r="C665">
        <f t="shared" si="43"/>
        <v>13550</v>
      </c>
      <c r="D665">
        <f t="shared" si="41"/>
        <v>0</v>
      </c>
      <c r="E665">
        <f t="shared" si="42"/>
        <v>0</v>
      </c>
      <c r="F665">
        <f t="shared" si="44"/>
        <v>0</v>
      </c>
    </row>
    <row r="666" spans="1:6" x14ac:dyDescent="0.25">
      <c r="A666" s="4" t="s">
        <v>370</v>
      </c>
      <c r="B666">
        <v>110</v>
      </c>
      <c r="C666">
        <f t="shared" si="43"/>
        <v>13660</v>
      </c>
      <c r="D666">
        <f t="shared" si="41"/>
        <v>0</v>
      </c>
      <c r="E666">
        <f t="shared" si="42"/>
        <v>0</v>
      </c>
      <c r="F666">
        <f t="shared" si="44"/>
        <v>0</v>
      </c>
    </row>
    <row r="667" spans="1:6" x14ac:dyDescent="0.25">
      <c r="A667" s="4" t="s">
        <v>371</v>
      </c>
      <c r="B667">
        <v>495</v>
      </c>
      <c r="C667">
        <f t="shared" si="43"/>
        <v>14155</v>
      </c>
      <c r="D667">
        <f t="shared" si="41"/>
        <v>0</v>
      </c>
      <c r="E667">
        <f t="shared" si="42"/>
        <v>0</v>
      </c>
      <c r="F667">
        <f t="shared" si="44"/>
        <v>0</v>
      </c>
    </row>
    <row r="668" spans="1:6" x14ac:dyDescent="0.25">
      <c r="A668" s="4" t="s">
        <v>376</v>
      </c>
      <c r="B668">
        <v>17</v>
      </c>
      <c r="C668">
        <f t="shared" si="43"/>
        <v>14172</v>
      </c>
      <c r="D668">
        <f t="shared" si="41"/>
        <v>0</v>
      </c>
      <c r="E668">
        <f t="shared" si="42"/>
        <v>0</v>
      </c>
      <c r="F668">
        <f t="shared" si="44"/>
        <v>0</v>
      </c>
    </row>
    <row r="669" spans="1:6" x14ac:dyDescent="0.25">
      <c r="A669" s="4" t="s">
        <v>379</v>
      </c>
      <c r="B669">
        <v>458</v>
      </c>
      <c r="C669">
        <f t="shared" si="43"/>
        <v>14630</v>
      </c>
      <c r="D669">
        <f t="shared" si="41"/>
        <v>0</v>
      </c>
      <c r="E669">
        <f t="shared" si="42"/>
        <v>0</v>
      </c>
      <c r="F669">
        <f t="shared" si="44"/>
        <v>0</v>
      </c>
    </row>
    <row r="670" spans="1:6" x14ac:dyDescent="0.25">
      <c r="A670" s="4" t="s">
        <v>382</v>
      </c>
      <c r="B670">
        <v>142</v>
      </c>
      <c r="C670">
        <f t="shared" si="43"/>
        <v>14772</v>
      </c>
      <c r="D670">
        <f t="shared" si="41"/>
        <v>0</v>
      </c>
      <c r="E670">
        <f t="shared" si="42"/>
        <v>0</v>
      </c>
      <c r="F670">
        <f t="shared" si="44"/>
        <v>0</v>
      </c>
    </row>
    <row r="671" spans="1:6" x14ac:dyDescent="0.25">
      <c r="A671" s="4" t="s">
        <v>384</v>
      </c>
      <c r="B671">
        <v>382</v>
      </c>
      <c r="C671">
        <f t="shared" si="43"/>
        <v>15154</v>
      </c>
      <c r="D671">
        <f t="shared" si="41"/>
        <v>1</v>
      </c>
      <c r="E671">
        <f t="shared" si="42"/>
        <v>0</v>
      </c>
      <c r="F671">
        <f t="shared" si="44"/>
        <v>1910</v>
      </c>
    </row>
    <row r="672" spans="1:6" x14ac:dyDescent="0.25">
      <c r="A672" s="4" t="s">
        <v>394</v>
      </c>
      <c r="B672">
        <v>337</v>
      </c>
      <c r="C672">
        <f t="shared" si="43"/>
        <v>15491</v>
      </c>
      <c r="D672">
        <f t="shared" si="41"/>
        <v>1</v>
      </c>
      <c r="E672">
        <f t="shared" si="42"/>
        <v>0</v>
      </c>
      <c r="F672">
        <f t="shared" si="44"/>
        <v>1685</v>
      </c>
    </row>
    <row r="673" spans="1:6" x14ac:dyDescent="0.25">
      <c r="A673" s="4" t="s">
        <v>397</v>
      </c>
      <c r="B673">
        <v>549</v>
      </c>
      <c r="C673">
        <f t="shared" si="43"/>
        <v>16040</v>
      </c>
      <c r="D673">
        <f t="shared" si="41"/>
        <v>1</v>
      </c>
      <c r="E673">
        <f t="shared" si="42"/>
        <v>0</v>
      </c>
      <c r="F673">
        <f t="shared" si="44"/>
        <v>2745</v>
      </c>
    </row>
    <row r="674" spans="1:6" x14ac:dyDescent="0.25">
      <c r="A674" s="4" t="s">
        <v>404</v>
      </c>
      <c r="B674">
        <v>281</v>
      </c>
      <c r="C674">
        <f t="shared" si="43"/>
        <v>16321</v>
      </c>
      <c r="D674">
        <f t="shared" si="41"/>
        <v>1</v>
      </c>
      <c r="E674">
        <f t="shared" si="42"/>
        <v>0</v>
      </c>
      <c r="F674">
        <f t="shared" si="44"/>
        <v>1405</v>
      </c>
    </row>
    <row r="675" spans="1:6" x14ac:dyDescent="0.25">
      <c r="A675" s="3" t="s">
        <v>24</v>
      </c>
      <c r="B675">
        <v>13977</v>
      </c>
      <c r="C675">
        <f t="shared" si="43"/>
        <v>0</v>
      </c>
      <c r="D675">
        <f t="shared" si="41"/>
        <v>0</v>
      </c>
      <c r="E675">
        <f t="shared" si="42"/>
        <v>0</v>
      </c>
      <c r="F675">
        <f t="shared" si="44"/>
        <v>0</v>
      </c>
    </row>
    <row r="676" spans="1:6" x14ac:dyDescent="0.25">
      <c r="A676" s="4" t="s">
        <v>100</v>
      </c>
      <c r="B676">
        <v>254</v>
      </c>
      <c r="C676">
        <f t="shared" si="43"/>
        <v>254</v>
      </c>
      <c r="D676">
        <f t="shared" si="41"/>
        <v>0</v>
      </c>
      <c r="E676">
        <f t="shared" si="42"/>
        <v>0</v>
      </c>
      <c r="F676">
        <f t="shared" si="44"/>
        <v>0</v>
      </c>
    </row>
    <row r="677" spans="1:6" x14ac:dyDescent="0.25">
      <c r="A677" s="4" t="s">
        <v>109</v>
      </c>
      <c r="B677">
        <v>482</v>
      </c>
      <c r="C677">
        <f t="shared" si="43"/>
        <v>736</v>
      </c>
      <c r="D677">
        <f t="shared" si="41"/>
        <v>0</v>
      </c>
      <c r="E677">
        <f t="shared" si="42"/>
        <v>0</v>
      </c>
      <c r="F677">
        <f t="shared" si="44"/>
        <v>0</v>
      </c>
    </row>
    <row r="678" spans="1:6" x14ac:dyDescent="0.25">
      <c r="A678" s="4" t="s">
        <v>111</v>
      </c>
      <c r="B678">
        <v>23</v>
      </c>
      <c r="C678">
        <f t="shared" si="43"/>
        <v>759</v>
      </c>
      <c r="D678">
        <f t="shared" si="41"/>
        <v>0</v>
      </c>
      <c r="E678">
        <f t="shared" si="42"/>
        <v>0</v>
      </c>
      <c r="F678">
        <f t="shared" si="44"/>
        <v>0</v>
      </c>
    </row>
    <row r="679" spans="1:6" x14ac:dyDescent="0.25">
      <c r="A679" s="4" t="s">
        <v>116</v>
      </c>
      <c r="B679">
        <v>129</v>
      </c>
      <c r="C679">
        <f t="shared" si="43"/>
        <v>888</v>
      </c>
      <c r="D679">
        <f t="shared" si="41"/>
        <v>0</v>
      </c>
      <c r="E679">
        <f t="shared" si="42"/>
        <v>0</v>
      </c>
      <c r="F679">
        <f t="shared" si="44"/>
        <v>0</v>
      </c>
    </row>
    <row r="680" spans="1:6" x14ac:dyDescent="0.25">
      <c r="A680" s="4" t="s">
        <v>129</v>
      </c>
      <c r="B680">
        <v>489</v>
      </c>
      <c r="C680">
        <f t="shared" si="43"/>
        <v>1377</v>
      </c>
      <c r="D680">
        <f t="shared" si="41"/>
        <v>0</v>
      </c>
      <c r="E680">
        <f t="shared" si="42"/>
        <v>0</v>
      </c>
      <c r="F680">
        <f t="shared" si="44"/>
        <v>0</v>
      </c>
    </row>
    <row r="681" spans="1:6" x14ac:dyDescent="0.25">
      <c r="A681" s="4" t="s">
        <v>130</v>
      </c>
      <c r="B681">
        <v>884</v>
      </c>
      <c r="C681">
        <f t="shared" si="43"/>
        <v>2261</v>
      </c>
      <c r="D681">
        <f t="shared" si="41"/>
        <v>0</v>
      </c>
      <c r="E681">
        <f t="shared" si="42"/>
        <v>0</v>
      </c>
      <c r="F681">
        <f t="shared" si="44"/>
        <v>0</v>
      </c>
    </row>
    <row r="682" spans="1:6" x14ac:dyDescent="0.25">
      <c r="A682" s="4" t="s">
        <v>137</v>
      </c>
      <c r="B682">
        <v>305</v>
      </c>
      <c r="C682">
        <f t="shared" si="43"/>
        <v>2566</v>
      </c>
      <c r="D682">
        <f t="shared" si="41"/>
        <v>0</v>
      </c>
      <c r="E682">
        <f t="shared" si="42"/>
        <v>0</v>
      </c>
      <c r="F682">
        <f t="shared" si="44"/>
        <v>0</v>
      </c>
    </row>
    <row r="683" spans="1:6" x14ac:dyDescent="0.25">
      <c r="A683" s="4" t="s">
        <v>145</v>
      </c>
      <c r="B683">
        <v>274</v>
      </c>
      <c r="C683">
        <f t="shared" si="43"/>
        <v>2840</v>
      </c>
      <c r="D683">
        <f t="shared" si="41"/>
        <v>0</v>
      </c>
      <c r="E683">
        <f t="shared" si="42"/>
        <v>0</v>
      </c>
      <c r="F683">
        <f t="shared" si="44"/>
        <v>0</v>
      </c>
    </row>
    <row r="684" spans="1:6" x14ac:dyDescent="0.25">
      <c r="A684" s="4" t="s">
        <v>153</v>
      </c>
      <c r="B684">
        <v>454</v>
      </c>
      <c r="C684">
        <f t="shared" si="43"/>
        <v>3294</v>
      </c>
      <c r="D684">
        <f t="shared" si="41"/>
        <v>0</v>
      </c>
      <c r="E684">
        <f t="shared" si="42"/>
        <v>0</v>
      </c>
      <c r="F684">
        <f t="shared" si="44"/>
        <v>0</v>
      </c>
    </row>
    <row r="685" spans="1:6" x14ac:dyDescent="0.25">
      <c r="A685" s="4" t="s">
        <v>157</v>
      </c>
      <c r="B685">
        <v>222</v>
      </c>
      <c r="C685">
        <f t="shared" si="43"/>
        <v>3516</v>
      </c>
      <c r="D685">
        <f t="shared" si="41"/>
        <v>0</v>
      </c>
      <c r="E685">
        <f t="shared" si="42"/>
        <v>0</v>
      </c>
      <c r="F685">
        <f t="shared" si="44"/>
        <v>0</v>
      </c>
    </row>
    <row r="686" spans="1:6" x14ac:dyDescent="0.25">
      <c r="A686" s="4" t="s">
        <v>166</v>
      </c>
      <c r="B686">
        <v>695</v>
      </c>
      <c r="C686">
        <f t="shared" si="43"/>
        <v>4211</v>
      </c>
      <c r="D686">
        <f t="shared" si="41"/>
        <v>0</v>
      </c>
      <c r="E686">
        <f t="shared" si="42"/>
        <v>0</v>
      </c>
      <c r="F686">
        <f t="shared" si="44"/>
        <v>0</v>
      </c>
    </row>
    <row r="687" spans="1:6" x14ac:dyDescent="0.25">
      <c r="A687" s="4" t="s">
        <v>194</v>
      </c>
      <c r="B687">
        <v>433</v>
      </c>
      <c r="C687">
        <f t="shared" si="43"/>
        <v>4644</v>
      </c>
      <c r="D687">
        <f t="shared" si="41"/>
        <v>0</v>
      </c>
      <c r="E687">
        <f t="shared" si="42"/>
        <v>0</v>
      </c>
      <c r="F687">
        <f t="shared" si="44"/>
        <v>0</v>
      </c>
    </row>
    <row r="688" spans="1:6" x14ac:dyDescent="0.25">
      <c r="A688" s="4" t="s">
        <v>195</v>
      </c>
      <c r="B688">
        <v>350</v>
      </c>
      <c r="C688">
        <f t="shared" si="43"/>
        <v>4994</v>
      </c>
      <c r="D688">
        <f t="shared" si="41"/>
        <v>0</v>
      </c>
      <c r="E688">
        <f t="shared" si="42"/>
        <v>0</v>
      </c>
      <c r="F688">
        <f t="shared" si="44"/>
        <v>0</v>
      </c>
    </row>
    <row r="689" spans="1:6" x14ac:dyDescent="0.25">
      <c r="A689" s="4" t="s">
        <v>200</v>
      </c>
      <c r="B689">
        <v>12</v>
      </c>
      <c r="C689">
        <f t="shared" si="43"/>
        <v>5006</v>
      </c>
      <c r="D689">
        <f t="shared" ref="D689:D752" si="45">IF(C689 &gt; 15000, 1, 0)</f>
        <v>0</v>
      </c>
      <c r="E689">
        <f t="shared" ref="E689:E752" si="46">IF(AND(D689 =1,C689 &gt;= 20000),1,0)</f>
        <v>0</v>
      </c>
      <c r="F689">
        <f t="shared" si="44"/>
        <v>0</v>
      </c>
    </row>
    <row r="690" spans="1:6" x14ac:dyDescent="0.25">
      <c r="A690" s="4" t="s">
        <v>201</v>
      </c>
      <c r="B690">
        <v>525</v>
      </c>
      <c r="C690">
        <f t="shared" si="43"/>
        <v>5531</v>
      </c>
      <c r="D690">
        <f t="shared" si="45"/>
        <v>0</v>
      </c>
      <c r="E690">
        <f t="shared" si="46"/>
        <v>0</v>
      </c>
      <c r="F690">
        <f t="shared" si="44"/>
        <v>0</v>
      </c>
    </row>
    <row r="691" spans="1:6" x14ac:dyDescent="0.25">
      <c r="A691" s="4" t="s">
        <v>205</v>
      </c>
      <c r="B691">
        <v>391</v>
      </c>
      <c r="C691">
        <f t="shared" si="43"/>
        <v>5922</v>
      </c>
      <c r="D691">
        <f t="shared" si="45"/>
        <v>0</v>
      </c>
      <c r="E691">
        <f t="shared" si="46"/>
        <v>0</v>
      </c>
      <c r="F691">
        <f t="shared" si="44"/>
        <v>0</v>
      </c>
    </row>
    <row r="692" spans="1:6" x14ac:dyDescent="0.25">
      <c r="A692" s="4" t="s">
        <v>211</v>
      </c>
      <c r="B692">
        <v>670</v>
      </c>
      <c r="C692">
        <f t="shared" si="43"/>
        <v>6592</v>
      </c>
      <c r="D692">
        <f t="shared" si="45"/>
        <v>0</v>
      </c>
      <c r="E692">
        <f t="shared" si="46"/>
        <v>0</v>
      </c>
      <c r="F692">
        <f t="shared" si="44"/>
        <v>0</v>
      </c>
    </row>
    <row r="693" spans="1:6" x14ac:dyDescent="0.25">
      <c r="A693" s="4" t="s">
        <v>217</v>
      </c>
      <c r="B693">
        <v>396</v>
      </c>
      <c r="C693">
        <f t="shared" si="43"/>
        <v>6988</v>
      </c>
      <c r="D693">
        <f t="shared" si="45"/>
        <v>0</v>
      </c>
      <c r="E693">
        <f t="shared" si="46"/>
        <v>0</v>
      </c>
      <c r="F693">
        <f t="shared" si="44"/>
        <v>0</v>
      </c>
    </row>
    <row r="694" spans="1:6" x14ac:dyDescent="0.25">
      <c r="A694" s="4" t="s">
        <v>225</v>
      </c>
      <c r="B694">
        <v>102</v>
      </c>
      <c r="C694">
        <f t="shared" si="43"/>
        <v>7090</v>
      </c>
      <c r="D694">
        <f t="shared" si="45"/>
        <v>0</v>
      </c>
      <c r="E694">
        <f t="shared" si="46"/>
        <v>0</v>
      </c>
      <c r="F694">
        <f t="shared" si="44"/>
        <v>0</v>
      </c>
    </row>
    <row r="695" spans="1:6" x14ac:dyDescent="0.25">
      <c r="A695" s="4" t="s">
        <v>229</v>
      </c>
      <c r="B695">
        <v>55</v>
      </c>
      <c r="C695">
        <f t="shared" si="43"/>
        <v>7145</v>
      </c>
      <c r="D695">
        <f t="shared" si="45"/>
        <v>0</v>
      </c>
      <c r="E695">
        <f t="shared" si="46"/>
        <v>0</v>
      </c>
      <c r="F695">
        <f t="shared" si="44"/>
        <v>0</v>
      </c>
    </row>
    <row r="696" spans="1:6" x14ac:dyDescent="0.25">
      <c r="A696" s="4" t="s">
        <v>242</v>
      </c>
      <c r="B696">
        <v>320</v>
      </c>
      <c r="C696">
        <f t="shared" si="43"/>
        <v>7465</v>
      </c>
      <c r="D696">
        <f t="shared" si="45"/>
        <v>0</v>
      </c>
      <c r="E696">
        <f t="shared" si="46"/>
        <v>0</v>
      </c>
      <c r="F696">
        <f t="shared" si="44"/>
        <v>0</v>
      </c>
    </row>
    <row r="697" spans="1:6" x14ac:dyDescent="0.25">
      <c r="A697" s="4" t="s">
        <v>245</v>
      </c>
      <c r="B697">
        <v>25</v>
      </c>
      <c r="C697">
        <f t="shared" si="43"/>
        <v>7490</v>
      </c>
      <c r="D697">
        <f t="shared" si="45"/>
        <v>0</v>
      </c>
      <c r="E697">
        <f t="shared" si="46"/>
        <v>0</v>
      </c>
      <c r="F697">
        <f t="shared" si="44"/>
        <v>0</v>
      </c>
    </row>
    <row r="698" spans="1:6" x14ac:dyDescent="0.25">
      <c r="A698" s="4" t="s">
        <v>247</v>
      </c>
      <c r="B698">
        <v>16</v>
      </c>
      <c r="C698">
        <f t="shared" si="43"/>
        <v>7506</v>
      </c>
      <c r="D698">
        <f t="shared" si="45"/>
        <v>0</v>
      </c>
      <c r="E698">
        <f t="shared" si="46"/>
        <v>0</v>
      </c>
      <c r="F698">
        <f t="shared" si="44"/>
        <v>0</v>
      </c>
    </row>
    <row r="699" spans="1:6" x14ac:dyDescent="0.25">
      <c r="A699" s="4" t="s">
        <v>262</v>
      </c>
      <c r="B699">
        <v>52</v>
      </c>
      <c r="C699">
        <f t="shared" si="43"/>
        <v>7558</v>
      </c>
      <c r="D699">
        <f t="shared" si="45"/>
        <v>0</v>
      </c>
      <c r="E699">
        <f t="shared" si="46"/>
        <v>0</v>
      </c>
      <c r="F699">
        <f t="shared" si="44"/>
        <v>0</v>
      </c>
    </row>
    <row r="700" spans="1:6" x14ac:dyDescent="0.25">
      <c r="A700" s="4" t="s">
        <v>272</v>
      </c>
      <c r="B700">
        <v>267</v>
      </c>
      <c r="C700">
        <f t="shared" si="43"/>
        <v>7825</v>
      </c>
      <c r="D700">
        <f t="shared" si="45"/>
        <v>0</v>
      </c>
      <c r="E700">
        <f t="shared" si="46"/>
        <v>0</v>
      </c>
      <c r="F700">
        <f t="shared" si="44"/>
        <v>0</v>
      </c>
    </row>
    <row r="701" spans="1:6" x14ac:dyDescent="0.25">
      <c r="A701" s="4" t="s">
        <v>274</v>
      </c>
      <c r="B701">
        <v>115</v>
      </c>
      <c r="C701">
        <f t="shared" si="43"/>
        <v>7940</v>
      </c>
      <c r="D701">
        <f t="shared" si="45"/>
        <v>0</v>
      </c>
      <c r="E701">
        <f t="shared" si="46"/>
        <v>0</v>
      </c>
      <c r="F701">
        <f t="shared" si="44"/>
        <v>0</v>
      </c>
    </row>
    <row r="702" spans="1:6" x14ac:dyDescent="0.25">
      <c r="A702" s="4" t="s">
        <v>275</v>
      </c>
      <c r="B702">
        <v>113</v>
      </c>
      <c r="C702">
        <f t="shared" si="43"/>
        <v>8053</v>
      </c>
      <c r="D702">
        <f t="shared" si="45"/>
        <v>0</v>
      </c>
      <c r="E702">
        <f t="shared" si="46"/>
        <v>0</v>
      </c>
      <c r="F702">
        <f t="shared" si="44"/>
        <v>0</v>
      </c>
    </row>
    <row r="703" spans="1:6" x14ac:dyDescent="0.25">
      <c r="A703" s="4" t="s">
        <v>278</v>
      </c>
      <c r="B703">
        <v>137</v>
      </c>
      <c r="C703">
        <f t="shared" si="43"/>
        <v>8190</v>
      </c>
      <c r="D703">
        <f t="shared" si="45"/>
        <v>0</v>
      </c>
      <c r="E703">
        <f t="shared" si="46"/>
        <v>0</v>
      </c>
      <c r="F703">
        <f t="shared" si="44"/>
        <v>0</v>
      </c>
    </row>
    <row r="704" spans="1:6" x14ac:dyDescent="0.25">
      <c r="A704" s="4" t="s">
        <v>279</v>
      </c>
      <c r="B704">
        <v>290</v>
      </c>
      <c r="C704">
        <f t="shared" si="43"/>
        <v>8480</v>
      </c>
      <c r="D704">
        <f t="shared" si="45"/>
        <v>0</v>
      </c>
      <c r="E704">
        <f t="shared" si="46"/>
        <v>0</v>
      </c>
      <c r="F704">
        <f t="shared" si="44"/>
        <v>0</v>
      </c>
    </row>
    <row r="705" spans="1:6" x14ac:dyDescent="0.25">
      <c r="A705" s="4" t="s">
        <v>285</v>
      </c>
      <c r="B705">
        <v>553</v>
      </c>
      <c r="C705">
        <f t="shared" si="43"/>
        <v>9033</v>
      </c>
      <c r="D705">
        <f t="shared" si="45"/>
        <v>0</v>
      </c>
      <c r="E705">
        <f t="shared" si="46"/>
        <v>0</v>
      </c>
      <c r="F705">
        <f t="shared" si="44"/>
        <v>0</v>
      </c>
    </row>
    <row r="706" spans="1:6" x14ac:dyDescent="0.25">
      <c r="A706" s="4" t="s">
        <v>297</v>
      </c>
      <c r="B706">
        <v>143</v>
      </c>
      <c r="C706">
        <f t="shared" si="43"/>
        <v>9176</v>
      </c>
      <c r="D706">
        <f t="shared" si="45"/>
        <v>0</v>
      </c>
      <c r="E706">
        <f t="shared" si="46"/>
        <v>0</v>
      </c>
      <c r="F706">
        <f t="shared" si="44"/>
        <v>0</v>
      </c>
    </row>
    <row r="707" spans="1:6" x14ac:dyDescent="0.25">
      <c r="A707" s="4" t="s">
        <v>298</v>
      </c>
      <c r="B707">
        <v>379</v>
      </c>
      <c r="C707">
        <f t="shared" si="43"/>
        <v>9555</v>
      </c>
      <c r="D707">
        <f t="shared" si="45"/>
        <v>0</v>
      </c>
      <c r="E707">
        <f t="shared" si="46"/>
        <v>0</v>
      </c>
      <c r="F707">
        <f t="shared" si="44"/>
        <v>0</v>
      </c>
    </row>
    <row r="708" spans="1:6" x14ac:dyDescent="0.25">
      <c r="A708" s="4" t="s">
        <v>317</v>
      </c>
      <c r="B708">
        <v>281</v>
      </c>
      <c r="C708">
        <f t="shared" si="43"/>
        <v>9836</v>
      </c>
      <c r="D708">
        <f t="shared" si="45"/>
        <v>0</v>
      </c>
      <c r="E708">
        <f t="shared" si="46"/>
        <v>0</v>
      </c>
      <c r="F708">
        <f t="shared" si="44"/>
        <v>0</v>
      </c>
    </row>
    <row r="709" spans="1:6" x14ac:dyDescent="0.25">
      <c r="A709" s="4" t="s">
        <v>318</v>
      </c>
      <c r="B709">
        <v>290</v>
      </c>
      <c r="C709">
        <f t="shared" ref="C709:C772" si="47">IF(LEN(A709) &gt;= 12, 0, C708+B709)</f>
        <v>10126</v>
      </c>
      <c r="D709">
        <f t="shared" si="45"/>
        <v>0</v>
      </c>
      <c r="E709">
        <f t="shared" si="46"/>
        <v>0</v>
      </c>
      <c r="F709">
        <f t="shared" si="44"/>
        <v>0</v>
      </c>
    </row>
    <row r="710" spans="1:6" x14ac:dyDescent="0.25">
      <c r="A710" s="4" t="s">
        <v>325</v>
      </c>
      <c r="B710">
        <v>128</v>
      </c>
      <c r="C710">
        <f t="shared" si="47"/>
        <v>10254</v>
      </c>
      <c r="D710">
        <f t="shared" si="45"/>
        <v>0</v>
      </c>
      <c r="E710">
        <f t="shared" si="46"/>
        <v>0</v>
      </c>
      <c r="F710">
        <f t="shared" ref="F710:F773" si="48">IF(AND(D710 = 1, C710 &lt; 20000), B710*5, IF(AND(E710=1, C710 &gt;= 20000),B710*10,0))</f>
        <v>0</v>
      </c>
    </row>
    <row r="711" spans="1:6" x14ac:dyDescent="0.25">
      <c r="A711" s="4" t="s">
        <v>328</v>
      </c>
      <c r="B711">
        <v>84</v>
      </c>
      <c r="C711">
        <f t="shared" si="47"/>
        <v>10338</v>
      </c>
      <c r="D711">
        <f t="shared" si="45"/>
        <v>0</v>
      </c>
      <c r="E711">
        <f t="shared" si="46"/>
        <v>0</v>
      </c>
      <c r="F711">
        <f t="shared" si="48"/>
        <v>0</v>
      </c>
    </row>
    <row r="712" spans="1:6" x14ac:dyDescent="0.25">
      <c r="A712" s="4" t="s">
        <v>332</v>
      </c>
      <c r="B712">
        <v>24</v>
      </c>
      <c r="C712">
        <f t="shared" si="47"/>
        <v>10362</v>
      </c>
      <c r="D712">
        <f t="shared" si="45"/>
        <v>0</v>
      </c>
      <c r="E712">
        <f t="shared" si="46"/>
        <v>0</v>
      </c>
      <c r="F712">
        <f t="shared" si="48"/>
        <v>0</v>
      </c>
    </row>
    <row r="713" spans="1:6" x14ac:dyDescent="0.25">
      <c r="A713" s="4" t="s">
        <v>337</v>
      </c>
      <c r="B713">
        <v>254</v>
      </c>
      <c r="C713">
        <f t="shared" si="47"/>
        <v>10616</v>
      </c>
      <c r="D713">
        <f t="shared" si="45"/>
        <v>0</v>
      </c>
      <c r="E713">
        <f t="shared" si="46"/>
        <v>0</v>
      </c>
      <c r="F713">
        <f t="shared" si="48"/>
        <v>0</v>
      </c>
    </row>
    <row r="714" spans="1:6" x14ac:dyDescent="0.25">
      <c r="A714" s="4" t="s">
        <v>340</v>
      </c>
      <c r="B714">
        <v>342</v>
      </c>
      <c r="C714">
        <f t="shared" si="47"/>
        <v>10958</v>
      </c>
      <c r="D714">
        <f t="shared" si="45"/>
        <v>0</v>
      </c>
      <c r="E714">
        <f t="shared" si="46"/>
        <v>0</v>
      </c>
      <c r="F714">
        <f t="shared" si="48"/>
        <v>0</v>
      </c>
    </row>
    <row r="715" spans="1:6" x14ac:dyDescent="0.25">
      <c r="A715" s="4" t="s">
        <v>349</v>
      </c>
      <c r="B715">
        <v>329</v>
      </c>
      <c r="C715">
        <f t="shared" si="47"/>
        <v>11287</v>
      </c>
      <c r="D715">
        <f t="shared" si="45"/>
        <v>0</v>
      </c>
      <c r="E715">
        <f t="shared" si="46"/>
        <v>0</v>
      </c>
      <c r="F715">
        <f t="shared" si="48"/>
        <v>0</v>
      </c>
    </row>
    <row r="716" spans="1:6" x14ac:dyDescent="0.25">
      <c r="A716" s="4" t="s">
        <v>351</v>
      </c>
      <c r="B716">
        <v>127</v>
      </c>
      <c r="C716">
        <f t="shared" si="47"/>
        <v>11414</v>
      </c>
      <c r="D716">
        <f t="shared" si="45"/>
        <v>0</v>
      </c>
      <c r="E716">
        <f t="shared" si="46"/>
        <v>0</v>
      </c>
      <c r="F716">
        <f t="shared" si="48"/>
        <v>0</v>
      </c>
    </row>
    <row r="717" spans="1:6" x14ac:dyDescent="0.25">
      <c r="A717" s="4" t="s">
        <v>353</v>
      </c>
      <c r="B717">
        <v>298</v>
      </c>
      <c r="C717">
        <f t="shared" si="47"/>
        <v>11712</v>
      </c>
      <c r="D717">
        <f t="shared" si="45"/>
        <v>0</v>
      </c>
      <c r="E717">
        <f t="shared" si="46"/>
        <v>0</v>
      </c>
      <c r="F717">
        <f t="shared" si="48"/>
        <v>0</v>
      </c>
    </row>
    <row r="718" spans="1:6" x14ac:dyDescent="0.25">
      <c r="A718" s="4" t="s">
        <v>365</v>
      </c>
      <c r="B718">
        <v>109</v>
      </c>
      <c r="C718">
        <f t="shared" si="47"/>
        <v>11821</v>
      </c>
      <c r="D718">
        <f t="shared" si="45"/>
        <v>0</v>
      </c>
      <c r="E718">
        <f t="shared" si="46"/>
        <v>0</v>
      </c>
      <c r="F718">
        <f t="shared" si="48"/>
        <v>0</v>
      </c>
    </row>
    <row r="719" spans="1:6" x14ac:dyDescent="0.25">
      <c r="A719" s="4" t="s">
        <v>370</v>
      </c>
      <c r="B719">
        <v>108</v>
      </c>
      <c r="C719">
        <f t="shared" si="47"/>
        <v>11929</v>
      </c>
      <c r="D719">
        <f t="shared" si="45"/>
        <v>0</v>
      </c>
      <c r="E719">
        <f t="shared" si="46"/>
        <v>0</v>
      </c>
      <c r="F719">
        <f t="shared" si="48"/>
        <v>0</v>
      </c>
    </row>
    <row r="720" spans="1:6" x14ac:dyDescent="0.25">
      <c r="A720" s="4" t="s">
        <v>371</v>
      </c>
      <c r="B720">
        <v>411</v>
      </c>
      <c r="C720">
        <f t="shared" si="47"/>
        <v>12340</v>
      </c>
      <c r="D720">
        <f t="shared" si="45"/>
        <v>0</v>
      </c>
      <c r="E720">
        <f t="shared" si="46"/>
        <v>0</v>
      </c>
      <c r="F720">
        <f t="shared" si="48"/>
        <v>0</v>
      </c>
    </row>
    <row r="721" spans="1:6" x14ac:dyDescent="0.25">
      <c r="A721" s="4" t="s">
        <v>378</v>
      </c>
      <c r="B721">
        <v>160</v>
      </c>
      <c r="C721">
        <f t="shared" si="47"/>
        <v>12500</v>
      </c>
      <c r="D721">
        <f t="shared" si="45"/>
        <v>0</v>
      </c>
      <c r="E721">
        <f t="shared" si="46"/>
        <v>0</v>
      </c>
      <c r="F721">
        <f t="shared" si="48"/>
        <v>0</v>
      </c>
    </row>
    <row r="722" spans="1:6" x14ac:dyDescent="0.25">
      <c r="A722" s="4" t="s">
        <v>387</v>
      </c>
      <c r="B722">
        <v>555</v>
      </c>
      <c r="C722">
        <f t="shared" si="47"/>
        <v>13055</v>
      </c>
      <c r="D722">
        <f t="shared" si="45"/>
        <v>0</v>
      </c>
      <c r="E722">
        <f t="shared" si="46"/>
        <v>0</v>
      </c>
      <c r="F722">
        <f t="shared" si="48"/>
        <v>0</v>
      </c>
    </row>
    <row r="723" spans="1:6" x14ac:dyDescent="0.25">
      <c r="A723" s="4" t="s">
        <v>398</v>
      </c>
      <c r="B723">
        <v>368</v>
      </c>
      <c r="C723">
        <f t="shared" si="47"/>
        <v>13423</v>
      </c>
      <c r="D723">
        <f t="shared" si="45"/>
        <v>0</v>
      </c>
      <c r="E723">
        <f t="shared" si="46"/>
        <v>0</v>
      </c>
      <c r="F723">
        <f t="shared" si="48"/>
        <v>0</v>
      </c>
    </row>
    <row r="724" spans="1:6" x14ac:dyDescent="0.25">
      <c r="A724" s="4" t="s">
        <v>401</v>
      </c>
      <c r="B724">
        <v>313</v>
      </c>
      <c r="C724">
        <f t="shared" si="47"/>
        <v>13736</v>
      </c>
      <c r="D724">
        <f t="shared" si="45"/>
        <v>0</v>
      </c>
      <c r="E724">
        <f t="shared" si="46"/>
        <v>0</v>
      </c>
      <c r="F724">
        <f t="shared" si="48"/>
        <v>0</v>
      </c>
    </row>
    <row r="725" spans="1:6" x14ac:dyDescent="0.25">
      <c r="A725" s="4" t="s">
        <v>404</v>
      </c>
      <c r="B725">
        <v>241</v>
      </c>
      <c r="C725">
        <f t="shared" si="47"/>
        <v>13977</v>
      </c>
      <c r="D725">
        <f t="shared" si="45"/>
        <v>0</v>
      </c>
      <c r="E725">
        <f t="shared" si="46"/>
        <v>0</v>
      </c>
      <c r="F725">
        <f t="shared" si="48"/>
        <v>0</v>
      </c>
    </row>
    <row r="726" spans="1:6" x14ac:dyDescent="0.25">
      <c r="A726" s="3" t="s">
        <v>53</v>
      </c>
      <c r="B726">
        <v>16353</v>
      </c>
      <c r="C726">
        <f t="shared" si="47"/>
        <v>0</v>
      </c>
      <c r="D726">
        <f t="shared" si="45"/>
        <v>0</v>
      </c>
      <c r="E726">
        <f t="shared" si="46"/>
        <v>0</v>
      </c>
      <c r="F726">
        <f t="shared" si="48"/>
        <v>0</v>
      </c>
    </row>
    <row r="727" spans="1:6" x14ac:dyDescent="0.25">
      <c r="A727" s="4" t="s">
        <v>97</v>
      </c>
      <c r="B727">
        <v>715</v>
      </c>
      <c r="C727">
        <f t="shared" si="47"/>
        <v>715</v>
      </c>
      <c r="D727">
        <f t="shared" si="45"/>
        <v>0</v>
      </c>
      <c r="E727">
        <f t="shared" si="46"/>
        <v>0</v>
      </c>
      <c r="F727">
        <f t="shared" si="48"/>
        <v>0</v>
      </c>
    </row>
    <row r="728" spans="1:6" x14ac:dyDescent="0.25">
      <c r="A728" s="4" t="s">
        <v>115</v>
      </c>
      <c r="B728">
        <v>12</v>
      </c>
      <c r="C728">
        <f t="shared" si="47"/>
        <v>727</v>
      </c>
      <c r="D728">
        <f t="shared" si="45"/>
        <v>0</v>
      </c>
      <c r="E728">
        <f t="shared" si="46"/>
        <v>0</v>
      </c>
      <c r="F728">
        <f t="shared" si="48"/>
        <v>0</v>
      </c>
    </row>
    <row r="729" spans="1:6" x14ac:dyDescent="0.25">
      <c r="A729" s="4" t="s">
        <v>127</v>
      </c>
      <c r="B729">
        <v>609</v>
      </c>
      <c r="C729">
        <f t="shared" si="47"/>
        <v>1336</v>
      </c>
      <c r="D729">
        <f t="shared" si="45"/>
        <v>0</v>
      </c>
      <c r="E729">
        <f t="shared" si="46"/>
        <v>0</v>
      </c>
      <c r="F729">
        <f t="shared" si="48"/>
        <v>0</v>
      </c>
    </row>
    <row r="730" spans="1:6" x14ac:dyDescent="0.25">
      <c r="A730" s="4" t="s">
        <v>131</v>
      </c>
      <c r="B730">
        <v>221</v>
      </c>
      <c r="C730">
        <f t="shared" si="47"/>
        <v>1557</v>
      </c>
      <c r="D730">
        <f t="shared" si="45"/>
        <v>0</v>
      </c>
      <c r="E730">
        <f t="shared" si="46"/>
        <v>0</v>
      </c>
      <c r="F730">
        <f t="shared" si="48"/>
        <v>0</v>
      </c>
    </row>
    <row r="731" spans="1:6" x14ac:dyDescent="0.25">
      <c r="A731" s="4" t="s">
        <v>132</v>
      </c>
      <c r="B731">
        <v>522</v>
      </c>
      <c r="C731">
        <f t="shared" si="47"/>
        <v>2079</v>
      </c>
      <c r="D731">
        <f t="shared" si="45"/>
        <v>0</v>
      </c>
      <c r="E731">
        <f t="shared" si="46"/>
        <v>0</v>
      </c>
      <c r="F731">
        <f t="shared" si="48"/>
        <v>0</v>
      </c>
    </row>
    <row r="732" spans="1:6" x14ac:dyDescent="0.25">
      <c r="A732" s="4" t="s">
        <v>135</v>
      </c>
      <c r="B732">
        <v>408</v>
      </c>
      <c r="C732">
        <f t="shared" si="47"/>
        <v>2487</v>
      </c>
      <c r="D732">
        <f t="shared" si="45"/>
        <v>0</v>
      </c>
      <c r="E732">
        <f t="shared" si="46"/>
        <v>0</v>
      </c>
      <c r="F732">
        <f t="shared" si="48"/>
        <v>0</v>
      </c>
    </row>
    <row r="733" spans="1:6" x14ac:dyDescent="0.25">
      <c r="A733" s="4" t="s">
        <v>139</v>
      </c>
      <c r="B733">
        <v>603</v>
      </c>
      <c r="C733">
        <f t="shared" si="47"/>
        <v>3090</v>
      </c>
      <c r="D733">
        <f t="shared" si="45"/>
        <v>0</v>
      </c>
      <c r="E733">
        <f t="shared" si="46"/>
        <v>0</v>
      </c>
      <c r="F733">
        <f t="shared" si="48"/>
        <v>0</v>
      </c>
    </row>
    <row r="734" spans="1:6" x14ac:dyDescent="0.25">
      <c r="A734" s="4" t="s">
        <v>141</v>
      </c>
      <c r="B734">
        <v>480</v>
      </c>
      <c r="C734">
        <f t="shared" si="47"/>
        <v>3570</v>
      </c>
      <c r="D734">
        <f t="shared" si="45"/>
        <v>0</v>
      </c>
      <c r="E734">
        <f t="shared" si="46"/>
        <v>0</v>
      </c>
      <c r="F734">
        <f t="shared" si="48"/>
        <v>0</v>
      </c>
    </row>
    <row r="735" spans="1:6" x14ac:dyDescent="0.25">
      <c r="A735" s="4" t="s">
        <v>150</v>
      </c>
      <c r="B735">
        <v>420</v>
      </c>
      <c r="C735">
        <f t="shared" si="47"/>
        <v>3990</v>
      </c>
      <c r="D735">
        <f t="shared" si="45"/>
        <v>0</v>
      </c>
      <c r="E735">
        <f t="shared" si="46"/>
        <v>0</v>
      </c>
      <c r="F735">
        <f t="shared" si="48"/>
        <v>0</v>
      </c>
    </row>
    <row r="736" spans="1:6" x14ac:dyDescent="0.25">
      <c r="A736" s="4" t="s">
        <v>161</v>
      </c>
      <c r="B736">
        <v>17</v>
      </c>
      <c r="C736">
        <f t="shared" si="47"/>
        <v>4007</v>
      </c>
      <c r="D736">
        <f t="shared" si="45"/>
        <v>0</v>
      </c>
      <c r="E736">
        <f t="shared" si="46"/>
        <v>0</v>
      </c>
      <c r="F736">
        <f t="shared" si="48"/>
        <v>0</v>
      </c>
    </row>
    <row r="737" spans="1:6" x14ac:dyDescent="0.25">
      <c r="A737" s="4" t="s">
        <v>164</v>
      </c>
      <c r="B737">
        <v>662</v>
      </c>
      <c r="C737">
        <f t="shared" si="47"/>
        <v>4669</v>
      </c>
      <c r="D737">
        <f t="shared" si="45"/>
        <v>0</v>
      </c>
      <c r="E737">
        <f t="shared" si="46"/>
        <v>0</v>
      </c>
      <c r="F737">
        <f t="shared" si="48"/>
        <v>0</v>
      </c>
    </row>
    <row r="738" spans="1:6" x14ac:dyDescent="0.25">
      <c r="A738" s="4" t="s">
        <v>169</v>
      </c>
      <c r="B738">
        <v>776</v>
      </c>
      <c r="C738">
        <f t="shared" si="47"/>
        <v>5445</v>
      </c>
      <c r="D738">
        <f t="shared" si="45"/>
        <v>0</v>
      </c>
      <c r="E738">
        <f t="shared" si="46"/>
        <v>0</v>
      </c>
      <c r="F738">
        <f t="shared" si="48"/>
        <v>0</v>
      </c>
    </row>
    <row r="739" spans="1:6" x14ac:dyDescent="0.25">
      <c r="A739" s="4" t="s">
        <v>171</v>
      </c>
      <c r="B739">
        <v>821</v>
      </c>
      <c r="C739">
        <f t="shared" si="47"/>
        <v>6266</v>
      </c>
      <c r="D739">
        <f t="shared" si="45"/>
        <v>0</v>
      </c>
      <c r="E739">
        <f t="shared" si="46"/>
        <v>0</v>
      </c>
      <c r="F739">
        <f t="shared" si="48"/>
        <v>0</v>
      </c>
    </row>
    <row r="740" spans="1:6" x14ac:dyDescent="0.25">
      <c r="A740" s="4" t="s">
        <v>182</v>
      </c>
      <c r="B740">
        <v>317</v>
      </c>
      <c r="C740">
        <f t="shared" si="47"/>
        <v>6583</v>
      </c>
      <c r="D740">
        <f t="shared" si="45"/>
        <v>0</v>
      </c>
      <c r="E740">
        <f t="shared" si="46"/>
        <v>0</v>
      </c>
      <c r="F740">
        <f t="shared" si="48"/>
        <v>0</v>
      </c>
    </row>
    <row r="741" spans="1:6" x14ac:dyDescent="0.25">
      <c r="A741" s="4" t="s">
        <v>189</v>
      </c>
      <c r="B741">
        <v>448</v>
      </c>
      <c r="C741">
        <f t="shared" si="47"/>
        <v>7031</v>
      </c>
      <c r="D741">
        <f t="shared" si="45"/>
        <v>0</v>
      </c>
      <c r="E741">
        <f t="shared" si="46"/>
        <v>0</v>
      </c>
      <c r="F741">
        <f t="shared" si="48"/>
        <v>0</v>
      </c>
    </row>
    <row r="742" spans="1:6" x14ac:dyDescent="0.25">
      <c r="A742" s="4" t="s">
        <v>193</v>
      </c>
      <c r="B742">
        <v>359</v>
      </c>
      <c r="C742">
        <f t="shared" si="47"/>
        <v>7390</v>
      </c>
      <c r="D742">
        <f t="shared" si="45"/>
        <v>0</v>
      </c>
      <c r="E742">
        <f t="shared" si="46"/>
        <v>0</v>
      </c>
      <c r="F742">
        <f t="shared" si="48"/>
        <v>0</v>
      </c>
    </row>
    <row r="743" spans="1:6" x14ac:dyDescent="0.25">
      <c r="A743" s="4" t="s">
        <v>195</v>
      </c>
      <c r="B743">
        <v>395</v>
      </c>
      <c r="C743">
        <f t="shared" si="47"/>
        <v>7785</v>
      </c>
      <c r="D743">
        <f t="shared" si="45"/>
        <v>0</v>
      </c>
      <c r="E743">
        <f t="shared" si="46"/>
        <v>0</v>
      </c>
      <c r="F743">
        <f t="shared" si="48"/>
        <v>0</v>
      </c>
    </row>
    <row r="744" spans="1:6" x14ac:dyDescent="0.25">
      <c r="A744" s="4" t="s">
        <v>219</v>
      </c>
      <c r="B744">
        <v>359</v>
      </c>
      <c r="C744">
        <f t="shared" si="47"/>
        <v>8144</v>
      </c>
      <c r="D744">
        <f t="shared" si="45"/>
        <v>0</v>
      </c>
      <c r="E744">
        <f t="shared" si="46"/>
        <v>0</v>
      </c>
      <c r="F744">
        <f t="shared" si="48"/>
        <v>0</v>
      </c>
    </row>
    <row r="745" spans="1:6" x14ac:dyDescent="0.25">
      <c r="A745" s="4" t="s">
        <v>222</v>
      </c>
      <c r="B745">
        <v>499</v>
      </c>
      <c r="C745">
        <f t="shared" si="47"/>
        <v>8643</v>
      </c>
      <c r="D745">
        <f t="shared" si="45"/>
        <v>0</v>
      </c>
      <c r="E745">
        <f t="shared" si="46"/>
        <v>0</v>
      </c>
      <c r="F745">
        <f t="shared" si="48"/>
        <v>0</v>
      </c>
    </row>
    <row r="746" spans="1:6" x14ac:dyDescent="0.25">
      <c r="A746" s="4" t="s">
        <v>225</v>
      </c>
      <c r="B746">
        <v>30</v>
      </c>
      <c r="C746">
        <f t="shared" si="47"/>
        <v>8673</v>
      </c>
      <c r="D746">
        <f t="shared" si="45"/>
        <v>0</v>
      </c>
      <c r="E746">
        <f t="shared" si="46"/>
        <v>0</v>
      </c>
      <c r="F746">
        <f t="shared" si="48"/>
        <v>0</v>
      </c>
    </row>
    <row r="747" spans="1:6" x14ac:dyDescent="0.25">
      <c r="A747" s="4" t="s">
        <v>231</v>
      </c>
      <c r="B747">
        <v>230</v>
      </c>
      <c r="C747">
        <f t="shared" si="47"/>
        <v>8903</v>
      </c>
      <c r="D747">
        <f t="shared" si="45"/>
        <v>0</v>
      </c>
      <c r="E747">
        <f t="shared" si="46"/>
        <v>0</v>
      </c>
      <c r="F747">
        <f t="shared" si="48"/>
        <v>0</v>
      </c>
    </row>
    <row r="748" spans="1:6" x14ac:dyDescent="0.25">
      <c r="A748" s="4" t="s">
        <v>234</v>
      </c>
      <c r="B748">
        <v>498</v>
      </c>
      <c r="C748">
        <f t="shared" si="47"/>
        <v>9401</v>
      </c>
      <c r="D748">
        <f t="shared" si="45"/>
        <v>0</v>
      </c>
      <c r="E748">
        <f t="shared" si="46"/>
        <v>0</v>
      </c>
      <c r="F748">
        <f t="shared" si="48"/>
        <v>0</v>
      </c>
    </row>
    <row r="749" spans="1:6" x14ac:dyDescent="0.25">
      <c r="A749" s="4" t="s">
        <v>242</v>
      </c>
      <c r="B749">
        <v>182</v>
      </c>
      <c r="C749">
        <f t="shared" si="47"/>
        <v>9583</v>
      </c>
      <c r="D749">
        <f t="shared" si="45"/>
        <v>0</v>
      </c>
      <c r="E749">
        <f t="shared" si="46"/>
        <v>0</v>
      </c>
      <c r="F749">
        <f t="shared" si="48"/>
        <v>0</v>
      </c>
    </row>
    <row r="750" spans="1:6" x14ac:dyDescent="0.25">
      <c r="A750" s="4" t="s">
        <v>249</v>
      </c>
      <c r="B750">
        <v>307</v>
      </c>
      <c r="C750">
        <f t="shared" si="47"/>
        <v>9890</v>
      </c>
      <c r="D750">
        <f t="shared" si="45"/>
        <v>0</v>
      </c>
      <c r="E750">
        <f t="shared" si="46"/>
        <v>0</v>
      </c>
      <c r="F750">
        <f t="shared" si="48"/>
        <v>0</v>
      </c>
    </row>
    <row r="751" spans="1:6" x14ac:dyDescent="0.25">
      <c r="A751" s="4" t="s">
        <v>253</v>
      </c>
      <c r="B751">
        <v>317</v>
      </c>
      <c r="C751">
        <f t="shared" si="47"/>
        <v>10207</v>
      </c>
      <c r="D751">
        <f t="shared" si="45"/>
        <v>0</v>
      </c>
      <c r="E751">
        <f t="shared" si="46"/>
        <v>0</v>
      </c>
      <c r="F751">
        <f t="shared" si="48"/>
        <v>0</v>
      </c>
    </row>
    <row r="752" spans="1:6" x14ac:dyDescent="0.25">
      <c r="A752" s="4" t="s">
        <v>259</v>
      </c>
      <c r="B752">
        <v>421</v>
      </c>
      <c r="C752">
        <f t="shared" si="47"/>
        <v>10628</v>
      </c>
      <c r="D752">
        <f t="shared" si="45"/>
        <v>0</v>
      </c>
      <c r="E752">
        <f t="shared" si="46"/>
        <v>0</v>
      </c>
      <c r="F752">
        <f t="shared" si="48"/>
        <v>0</v>
      </c>
    </row>
    <row r="753" spans="1:6" x14ac:dyDescent="0.25">
      <c r="A753" s="4" t="s">
        <v>280</v>
      </c>
      <c r="B753">
        <v>51</v>
      </c>
      <c r="C753">
        <f t="shared" si="47"/>
        <v>10679</v>
      </c>
      <c r="D753">
        <f t="shared" ref="D753:D816" si="49">IF(C753 &gt; 15000, 1, 0)</f>
        <v>0</v>
      </c>
      <c r="E753">
        <f t="shared" ref="E753:E816" si="50">IF(AND(D753 =1,C753 &gt;= 20000),1,0)</f>
        <v>0</v>
      </c>
      <c r="F753">
        <f t="shared" si="48"/>
        <v>0</v>
      </c>
    </row>
    <row r="754" spans="1:6" x14ac:dyDescent="0.25">
      <c r="A754" s="4" t="s">
        <v>282</v>
      </c>
      <c r="B754">
        <v>309</v>
      </c>
      <c r="C754">
        <f t="shared" si="47"/>
        <v>10988</v>
      </c>
      <c r="D754">
        <f t="shared" si="49"/>
        <v>0</v>
      </c>
      <c r="E754">
        <f t="shared" si="50"/>
        <v>0</v>
      </c>
      <c r="F754">
        <f t="shared" si="48"/>
        <v>0</v>
      </c>
    </row>
    <row r="755" spans="1:6" x14ac:dyDescent="0.25">
      <c r="A755" s="4" t="s">
        <v>297</v>
      </c>
      <c r="B755">
        <v>293</v>
      </c>
      <c r="C755">
        <f t="shared" si="47"/>
        <v>11281</v>
      </c>
      <c r="D755">
        <f t="shared" si="49"/>
        <v>0</v>
      </c>
      <c r="E755">
        <f t="shared" si="50"/>
        <v>0</v>
      </c>
      <c r="F755">
        <f t="shared" si="48"/>
        <v>0</v>
      </c>
    </row>
    <row r="756" spans="1:6" x14ac:dyDescent="0.25">
      <c r="A756" s="4" t="s">
        <v>306</v>
      </c>
      <c r="B756">
        <v>334</v>
      </c>
      <c r="C756">
        <f t="shared" si="47"/>
        <v>11615</v>
      </c>
      <c r="D756">
        <f t="shared" si="49"/>
        <v>0</v>
      </c>
      <c r="E756">
        <f t="shared" si="50"/>
        <v>0</v>
      </c>
      <c r="F756">
        <f t="shared" si="48"/>
        <v>0</v>
      </c>
    </row>
    <row r="757" spans="1:6" x14ac:dyDescent="0.25">
      <c r="A757" s="4" t="s">
        <v>313</v>
      </c>
      <c r="B757">
        <v>355</v>
      </c>
      <c r="C757">
        <f t="shared" si="47"/>
        <v>11970</v>
      </c>
      <c r="D757">
        <f t="shared" si="49"/>
        <v>0</v>
      </c>
      <c r="E757">
        <f t="shared" si="50"/>
        <v>0</v>
      </c>
      <c r="F757">
        <f t="shared" si="48"/>
        <v>0</v>
      </c>
    </row>
    <row r="758" spans="1:6" x14ac:dyDescent="0.25">
      <c r="A758" s="4" t="s">
        <v>314</v>
      </c>
      <c r="B758">
        <v>138</v>
      </c>
      <c r="C758">
        <f t="shared" si="47"/>
        <v>12108</v>
      </c>
      <c r="D758">
        <f t="shared" si="49"/>
        <v>0</v>
      </c>
      <c r="E758">
        <f t="shared" si="50"/>
        <v>0</v>
      </c>
      <c r="F758">
        <f t="shared" si="48"/>
        <v>0</v>
      </c>
    </row>
    <row r="759" spans="1:6" x14ac:dyDescent="0.25">
      <c r="A759" s="4" t="s">
        <v>326</v>
      </c>
      <c r="B759">
        <v>471</v>
      </c>
      <c r="C759">
        <f t="shared" si="47"/>
        <v>12579</v>
      </c>
      <c r="D759">
        <f t="shared" si="49"/>
        <v>0</v>
      </c>
      <c r="E759">
        <f t="shared" si="50"/>
        <v>0</v>
      </c>
      <c r="F759">
        <f t="shared" si="48"/>
        <v>0</v>
      </c>
    </row>
    <row r="760" spans="1:6" x14ac:dyDescent="0.25">
      <c r="A760" s="4" t="s">
        <v>328</v>
      </c>
      <c r="B760">
        <v>312</v>
      </c>
      <c r="C760">
        <f t="shared" si="47"/>
        <v>12891</v>
      </c>
      <c r="D760">
        <f t="shared" si="49"/>
        <v>0</v>
      </c>
      <c r="E760">
        <f t="shared" si="50"/>
        <v>0</v>
      </c>
      <c r="F760">
        <f t="shared" si="48"/>
        <v>0</v>
      </c>
    </row>
    <row r="761" spans="1:6" x14ac:dyDescent="0.25">
      <c r="A761" s="4" t="s">
        <v>339</v>
      </c>
      <c r="B761">
        <v>350</v>
      </c>
      <c r="C761">
        <f t="shared" si="47"/>
        <v>13241</v>
      </c>
      <c r="D761">
        <f t="shared" si="49"/>
        <v>0</v>
      </c>
      <c r="E761">
        <f t="shared" si="50"/>
        <v>0</v>
      </c>
      <c r="F761">
        <f t="shared" si="48"/>
        <v>0</v>
      </c>
    </row>
    <row r="762" spans="1:6" x14ac:dyDescent="0.25">
      <c r="A762" s="4" t="s">
        <v>346</v>
      </c>
      <c r="B762">
        <v>69</v>
      </c>
      <c r="C762">
        <f t="shared" si="47"/>
        <v>13310</v>
      </c>
      <c r="D762">
        <f t="shared" si="49"/>
        <v>0</v>
      </c>
      <c r="E762">
        <f t="shared" si="50"/>
        <v>0</v>
      </c>
      <c r="F762">
        <f t="shared" si="48"/>
        <v>0</v>
      </c>
    </row>
    <row r="763" spans="1:6" x14ac:dyDescent="0.25">
      <c r="A763" s="4" t="s">
        <v>352</v>
      </c>
      <c r="B763">
        <v>244</v>
      </c>
      <c r="C763">
        <f t="shared" si="47"/>
        <v>13554</v>
      </c>
      <c r="D763">
        <f t="shared" si="49"/>
        <v>0</v>
      </c>
      <c r="E763">
        <f t="shared" si="50"/>
        <v>0</v>
      </c>
      <c r="F763">
        <f t="shared" si="48"/>
        <v>0</v>
      </c>
    </row>
    <row r="764" spans="1:6" x14ac:dyDescent="0.25">
      <c r="A764" s="4" t="s">
        <v>355</v>
      </c>
      <c r="B764">
        <v>224</v>
      </c>
      <c r="C764">
        <f t="shared" si="47"/>
        <v>13778</v>
      </c>
      <c r="D764">
        <f t="shared" si="49"/>
        <v>0</v>
      </c>
      <c r="E764">
        <f t="shared" si="50"/>
        <v>0</v>
      </c>
      <c r="F764">
        <f t="shared" si="48"/>
        <v>0</v>
      </c>
    </row>
    <row r="765" spans="1:6" x14ac:dyDescent="0.25">
      <c r="A765" s="4" t="s">
        <v>357</v>
      </c>
      <c r="B765">
        <v>369</v>
      </c>
      <c r="C765">
        <f t="shared" si="47"/>
        <v>14147</v>
      </c>
      <c r="D765">
        <f t="shared" si="49"/>
        <v>0</v>
      </c>
      <c r="E765">
        <f t="shared" si="50"/>
        <v>0</v>
      </c>
      <c r="F765">
        <f t="shared" si="48"/>
        <v>0</v>
      </c>
    </row>
    <row r="766" spans="1:6" x14ac:dyDescent="0.25">
      <c r="A766" s="4" t="s">
        <v>360</v>
      </c>
      <c r="B766">
        <v>407</v>
      </c>
      <c r="C766">
        <f t="shared" si="47"/>
        <v>14554</v>
      </c>
      <c r="D766">
        <f t="shared" si="49"/>
        <v>0</v>
      </c>
      <c r="E766">
        <f t="shared" si="50"/>
        <v>0</v>
      </c>
      <c r="F766">
        <f t="shared" si="48"/>
        <v>0</v>
      </c>
    </row>
    <row r="767" spans="1:6" x14ac:dyDescent="0.25">
      <c r="A767" s="4" t="s">
        <v>363</v>
      </c>
      <c r="B767">
        <v>224</v>
      </c>
      <c r="C767">
        <f t="shared" si="47"/>
        <v>14778</v>
      </c>
      <c r="D767">
        <f t="shared" si="49"/>
        <v>0</v>
      </c>
      <c r="E767">
        <f t="shared" si="50"/>
        <v>0</v>
      </c>
      <c r="F767">
        <f t="shared" si="48"/>
        <v>0</v>
      </c>
    </row>
    <row r="768" spans="1:6" x14ac:dyDescent="0.25">
      <c r="A768" s="4" t="s">
        <v>366</v>
      </c>
      <c r="B768">
        <v>46</v>
      </c>
      <c r="C768">
        <f t="shared" si="47"/>
        <v>14824</v>
      </c>
      <c r="D768">
        <f t="shared" si="49"/>
        <v>0</v>
      </c>
      <c r="E768">
        <f t="shared" si="50"/>
        <v>0</v>
      </c>
      <c r="F768">
        <f t="shared" si="48"/>
        <v>0</v>
      </c>
    </row>
    <row r="769" spans="1:6" x14ac:dyDescent="0.25">
      <c r="A769" s="4" t="s">
        <v>372</v>
      </c>
      <c r="B769">
        <v>363</v>
      </c>
      <c r="C769">
        <f t="shared" si="47"/>
        <v>15187</v>
      </c>
      <c r="D769">
        <f t="shared" si="49"/>
        <v>1</v>
      </c>
      <c r="E769">
        <f t="shared" si="50"/>
        <v>0</v>
      </c>
      <c r="F769">
        <f t="shared" si="48"/>
        <v>1815</v>
      </c>
    </row>
    <row r="770" spans="1:6" x14ac:dyDescent="0.25">
      <c r="A770" s="4" t="s">
        <v>375</v>
      </c>
      <c r="B770">
        <v>100</v>
      </c>
      <c r="C770">
        <f t="shared" si="47"/>
        <v>15287</v>
      </c>
      <c r="D770">
        <f t="shared" si="49"/>
        <v>1</v>
      </c>
      <c r="E770">
        <f t="shared" si="50"/>
        <v>0</v>
      </c>
      <c r="F770">
        <f t="shared" si="48"/>
        <v>500</v>
      </c>
    </row>
    <row r="771" spans="1:6" x14ac:dyDescent="0.25">
      <c r="A771" s="4" t="s">
        <v>387</v>
      </c>
      <c r="B771">
        <v>654</v>
      </c>
      <c r="C771">
        <f t="shared" si="47"/>
        <v>15941</v>
      </c>
      <c r="D771">
        <f t="shared" si="49"/>
        <v>1</v>
      </c>
      <c r="E771">
        <f t="shared" si="50"/>
        <v>0</v>
      </c>
      <c r="F771">
        <f t="shared" si="48"/>
        <v>3270</v>
      </c>
    </row>
    <row r="772" spans="1:6" x14ac:dyDescent="0.25">
      <c r="A772" s="4" t="s">
        <v>397</v>
      </c>
      <c r="B772">
        <v>412</v>
      </c>
      <c r="C772">
        <f t="shared" si="47"/>
        <v>16353</v>
      </c>
      <c r="D772">
        <f t="shared" si="49"/>
        <v>1</v>
      </c>
      <c r="E772">
        <f t="shared" si="50"/>
        <v>0</v>
      </c>
      <c r="F772">
        <f t="shared" si="48"/>
        <v>2060</v>
      </c>
    </row>
    <row r="773" spans="1:6" x14ac:dyDescent="0.25">
      <c r="A773" s="3" t="s">
        <v>51</v>
      </c>
      <c r="B773">
        <v>17751</v>
      </c>
      <c r="C773">
        <f t="shared" ref="C773:C836" si="51">IF(LEN(A773) &gt;= 12, 0, C772+B773)</f>
        <v>0</v>
      </c>
      <c r="D773">
        <f t="shared" si="49"/>
        <v>0</v>
      </c>
      <c r="E773">
        <f t="shared" si="50"/>
        <v>0</v>
      </c>
      <c r="F773">
        <f t="shared" si="48"/>
        <v>0</v>
      </c>
    </row>
    <row r="774" spans="1:6" x14ac:dyDescent="0.25">
      <c r="A774" s="4" t="s">
        <v>97</v>
      </c>
      <c r="B774">
        <v>505</v>
      </c>
      <c r="C774">
        <f t="shared" si="51"/>
        <v>505</v>
      </c>
      <c r="D774">
        <f t="shared" si="49"/>
        <v>0</v>
      </c>
      <c r="E774">
        <f t="shared" si="50"/>
        <v>0</v>
      </c>
      <c r="F774">
        <f t="shared" ref="F774:F837" si="52">IF(AND(D774 = 1, C774 &lt; 20000), B774*5, IF(AND(E774=1, C774 &gt;= 20000),B774*10,0))</f>
        <v>0</v>
      </c>
    </row>
    <row r="775" spans="1:6" x14ac:dyDescent="0.25">
      <c r="A775" s="4" t="s">
        <v>105</v>
      </c>
      <c r="B775">
        <v>532</v>
      </c>
      <c r="C775">
        <f t="shared" si="51"/>
        <v>1037</v>
      </c>
      <c r="D775">
        <f t="shared" si="49"/>
        <v>0</v>
      </c>
      <c r="E775">
        <f t="shared" si="50"/>
        <v>0</v>
      </c>
      <c r="F775">
        <f t="shared" si="52"/>
        <v>0</v>
      </c>
    </row>
    <row r="776" spans="1:6" x14ac:dyDescent="0.25">
      <c r="A776" s="4" t="s">
        <v>114</v>
      </c>
      <c r="B776">
        <v>257</v>
      </c>
      <c r="C776">
        <f t="shared" si="51"/>
        <v>1294</v>
      </c>
      <c r="D776">
        <f t="shared" si="49"/>
        <v>0</v>
      </c>
      <c r="E776">
        <f t="shared" si="50"/>
        <v>0</v>
      </c>
      <c r="F776">
        <f t="shared" si="52"/>
        <v>0</v>
      </c>
    </row>
    <row r="777" spans="1:6" x14ac:dyDescent="0.25">
      <c r="A777" s="4" t="s">
        <v>118</v>
      </c>
      <c r="B777">
        <v>289</v>
      </c>
      <c r="C777">
        <f t="shared" si="51"/>
        <v>1583</v>
      </c>
      <c r="D777">
        <f t="shared" si="49"/>
        <v>0</v>
      </c>
      <c r="E777">
        <f t="shared" si="50"/>
        <v>0</v>
      </c>
      <c r="F777">
        <f t="shared" si="52"/>
        <v>0</v>
      </c>
    </row>
    <row r="778" spans="1:6" x14ac:dyDescent="0.25">
      <c r="A778" s="4" t="s">
        <v>122</v>
      </c>
      <c r="B778">
        <v>100</v>
      </c>
      <c r="C778">
        <f t="shared" si="51"/>
        <v>1683</v>
      </c>
      <c r="D778">
        <f t="shared" si="49"/>
        <v>0</v>
      </c>
      <c r="E778">
        <f t="shared" si="50"/>
        <v>0</v>
      </c>
      <c r="F778">
        <f t="shared" si="52"/>
        <v>0</v>
      </c>
    </row>
    <row r="779" spans="1:6" x14ac:dyDescent="0.25">
      <c r="A779" s="4" t="s">
        <v>124</v>
      </c>
      <c r="B779">
        <v>356</v>
      </c>
      <c r="C779">
        <f t="shared" si="51"/>
        <v>2039</v>
      </c>
      <c r="D779">
        <f t="shared" si="49"/>
        <v>0</v>
      </c>
      <c r="E779">
        <f t="shared" si="50"/>
        <v>0</v>
      </c>
      <c r="F779">
        <f t="shared" si="52"/>
        <v>0</v>
      </c>
    </row>
    <row r="780" spans="1:6" x14ac:dyDescent="0.25">
      <c r="A780" s="4" t="s">
        <v>125</v>
      </c>
      <c r="B780">
        <v>977</v>
      </c>
      <c r="C780">
        <f t="shared" si="51"/>
        <v>3016</v>
      </c>
      <c r="D780">
        <f t="shared" si="49"/>
        <v>0</v>
      </c>
      <c r="E780">
        <f t="shared" si="50"/>
        <v>0</v>
      </c>
      <c r="F780">
        <f t="shared" si="52"/>
        <v>0</v>
      </c>
    </row>
    <row r="781" spans="1:6" x14ac:dyDescent="0.25">
      <c r="A781" s="4" t="s">
        <v>134</v>
      </c>
      <c r="B781">
        <v>456</v>
      </c>
      <c r="C781">
        <f t="shared" si="51"/>
        <v>3472</v>
      </c>
      <c r="D781">
        <f t="shared" si="49"/>
        <v>0</v>
      </c>
      <c r="E781">
        <f t="shared" si="50"/>
        <v>0</v>
      </c>
      <c r="F781">
        <f t="shared" si="52"/>
        <v>0</v>
      </c>
    </row>
    <row r="782" spans="1:6" x14ac:dyDescent="0.25">
      <c r="A782" s="4" t="s">
        <v>137</v>
      </c>
      <c r="B782">
        <v>395</v>
      </c>
      <c r="C782">
        <f t="shared" si="51"/>
        <v>3867</v>
      </c>
      <c r="D782">
        <f t="shared" si="49"/>
        <v>0</v>
      </c>
      <c r="E782">
        <f t="shared" si="50"/>
        <v>0</v>
      </c>
      <c r="F782">
        <f t="shared" si="52"/>
        <v>0</v>
      </c>
    </row>
    <row r="783" spans="1:6" x14ac:dyDescent="0.25">
      <c r="A783" s="4" t="s">
        <v>148</v>
      </c>
      <c r="B783">
        <v>529</v>
      </c>
      <c r="C783">
        <f t="shared" si="51"/>
        <v>4396</v>
      </c>
      <c r="D783">
        <f t="shared" si="49"/>
        <v>0</v>
      </c>
      <c r="E783">
        <f t="shared" si="50"/>
        <v>0</v>
      </c>
      <c r="F783">
        <f t="shared" si="52"/>
        <v>0</v>
      </c>
    </row>
    <row r="784" spans="1:6" x14ac:dyDescent="0.25">
      <c r="A784" s="4" t="s">
        <v>165</v>
      </c>
      <c r="B784">
        <v>580</v>
      </c>
      <c r="C784">
        <f t="shared" si="51"/>
        <v>4976</v>
      </c>
      <c r="D784">
        <f t="shared" si="49"/>
        <v>0</v>
      </c>
      <c r="E784">
        <f t="shared" si="50"/>
        <v>0</v>
      </c>
      <c r="F784">
        <f t="shared" si="52"/>
        <v>0</v>
      </c>
    </row>
    <row r="785" spans="1:6" x14ac:dyDescent="0.25">
      <c r="A785" s="4" t="s">
        <v>170</v>
      </c>
      <c r="B785">
        <v>372</v>
      </c>
      <c r="C785">
        <f t="shared" si="51"/>
        <v>5348</v>
      </c>
      <c r="D785">
        <f t="shared" si="49"/>
        <v>0</v>
      </c>
      <c r="E785">
        <f t="shared" si="50"/>
        <v>0</v>
      </c>
      <c r="F785">
        <f t="shared" si="52"/>
        <v>0</v>
      </c>
    </row>
    <row r="786" spans="1:6" x14ac:dyDescent="0.25">
      <c r="A786" s="4" t="s">
        <v>182</v>
      </c>
      <c r="B786">
        <v>119</v>
      </c>
      <c r="C786">
        <f t="shared" si="51"/>
        <v>5467</v>
      </c>
      <c r="D786">
        <f t="shared" si="49"/>
        <v>0</v>
      </c>
      <c r="E786">
        <f t="shared" si="50"/>
        <v>0</v>
      </c>
      <c r="F786">
        <f t="shared" si="52"/>
        <v>0</v>
      </c>
    </row>
    <row r="787" spans="1:6" x14ac:dyDescent="0.25">
      <c r="A787" s="4" t="s">
        <v>183</v>
      </c>
      <c r="B787">
        <v>674</v>
      </c>
      <c r="C787">
        <f t="shared" si="51"/>
        <v>6141</v>
      </c>
      <c r="D787">
        <f t="shared" si="49"/>
        <v>0</v>
      </c>
      <c r="E787">
        <f t="shared" si="50"/>
        <v>0</v>
      </c>
      <c r="F787">
        <f t="shared" si="52"/>
        <v>0</v>
      </c>
    </row>
    <row r="788" spans="1:6" x14ac:dyDescent="0.25">
      <c r="A788" s="4" t="s">
        <v>193</v>
      </c>
      <c r="B788">
        <v>1121</v>
      </c>
      <c r="C788">
        <f t="shared" si="51"/>
        <v>7262</v>
      </c>
      <c r="D788">
        <f t="shared" si="49"/>
        <v>0</v>
      </c>
      <c r="E788">
        <f t="shared" si="50"/>
        <v>0</v>
      </c>
      <c r="F788">
        <f t="shared" si="52"/>
        <v>0</v>
      </c>
    </row>
    <row r="789" spans="1:6" x14ac:dyDescent="0.25">
      <c r="A789" s="4" t="s">
        <v>194</v>
      </c>
      <c r="B789">
        <v>368</v>
      </c>
      <c r="C789">
        <f t="shared" si="51"/>
        <v>7630</v>
      </c>
      <c r="D789">
        <f t="shared" si="49"/>
        <v>0</v>
      </c>
      <c r="E789">
        <f t="shared" si="50"/>
        <v>0</v>
      </c>
      <c r="F789">
        <f t="shared" si="52"/>
        <v>0</v>
      </c>
    </row>
    <row r="790" spans="1:6" x14ac:dyDescent="0.25">
      <c r="A790" s="4" t="s">
        <v>207</v>
      </c>
      <c r="B790">
        <v>206</v>
      </c>
      <c r="C790">
        <f t="shared" si="51"/>
        <v>7836</v>
      </c>
      <c r="D790">
        <f t="shared" si="49"/>
        <v>0</v>
      </c>
      <c r="E790">
        <f t="shared" si="50"/>
        <v>0</v>
      </c>
      <c r="F790">
        <f t="shared" si="52"/>
        <v>0</v>
      </c>
    </row>
    <row r="791" spans="1:6" x14ac:dyDescent="0.25">
      <c r="A791" s="4" t="s">
        <v>213</v>
      </c>
      <c r="B791">
        <v>675</v>
      </c>
      <c r="C791">
        <f t="shared" si="51"/>
        <v>8511</v>
      </c>
      <c r="D791">
        <f t="shared" si="49"/>
        <v>0</v>
      </c>
      <c r="E791">
        <f t="shared" si="50"/>
        <v>0</v>
      </c>
      <c r="F791">
        <f t="shared" si="52"/>
        <v>0</v>
      </c>
    </row>
    <row r="792" spans="1:6" x14ac:dyDescent="0.25">
      <c r="A792" s="4" t="s">
        <v>218</v>
      </c>
      <c r="B792">
        <v>477</v>
      </c>
      <c r="C792">
        <f t="shared" si="51"/>
        <v>8988</v>
      </c>
      <c r="D792">
        <f t="shared" si="49"/>
        <v>0</v>
      </c>
      <c r="E792">
        <f t="shared" si="50"/>
        <v>0</v>
      </c>
      <c r="F792">
        <f t="shared" si="52"/>
        <v>0</v>
      </c>
    </row>
    <row r="793" spans="1:6" x14ac:dyDescent="0.25">
      <c r="A793" s="4" t="s">
        <v>219</v>
      </c>
      <c r="B793">
        <v>461</v>
      </c>
      <c r="C793">
        <f t="shared" si="51"/>
        <v>9449</v>
      </c>
      <c r="D793">
        <f t="shared" si="49"/>
        <v>0</v>
      </c>
      <c r="E793">
        <f t="shared" si="50"/>
        <v>0</v>
      </c>
      <c r="F793">
        <f t="shared" si="52"/>
        <v>0</v>
      </c>
    </row>
    <row r="794" spans="1:6" x14ac:dyDescent="0.25">
      <c r="A794" s="4" t="s">
        <v>223</v>
      </c>
      <c r="B794">
        <v>181</v>
      </c>
      <c r="C794">
        <f t="shared" si="51"/>
        <v>9630</v>
      </c>
      <c r="D794">
        <f t="shared" si="49"/>
        <v>0</v>
      </c>
      <c r="E794">
        <f t="shared" si="50"/>
        <v>0</v>
      </c>
      <c r="F794">
        <f t="shared" si="52"/>
        <v>0</v>
      </c>
    </row>
    <row r="795" spans="1:6" x14ac:dyDescent="0.25">
      <c r="A795" s="4" t="s">
        <v>225</v>
      </c>
      <c r="B795">
        <v>339</v>
      </c>
      <c r="C795">
        <f t="shared" si="51"/>
        <v>9969</v>
      </c>
      <c r="D795">
        <f t="shared" si="49"/>
        <v>0</v>
      </c>
      <c r="E795">
        <f t="shared" si="50"/>
        <v>0</v>
      </c>
      <c r="F795">
        <f t="shared" si="52"/>
        <v>0</v>
      </c>
    </row>
    <row r="796" spans="1:6" x14ac:dyDescent="0.25">
      <c r="A796" s="4" t="s">
        <v>227</v>
      </c>
      <c r="B796">
        <v>256</v>
      </c>
      <c r="C796">
        <f t="shared" si="51"/>
        <v>10225</v>
      </c>
      <c r="D796">
        <f t="shared" si="49"/>
        <v>0</v>
      </c>
      <c r="E796">
        <f t="shared" si="50"/>
        <v>0</v>
      </c>
      <c r="F796">
        <f t="shared" si="52"/>
        <v>0</v>
      </c>
    </row>
    <row r="797" spans="1:6" x14ac:dyDescent="0.25">
      <c r="A797" s="4" t="s">
        <v>236</v>
      </c>
      <c r="B797">
        <v>492</v>
      </c>
      <c r="C797">
        <f t="shared" si="51"/>
        <v>10717</v>
      </c>
      <c r="D797">
        <f t="shared" si="49"/>
        <v>0</v>
      </c>
      <c r="E797">
        <f t="shared" si="50"/>
        <v>0</v>
      </c>
      <c r="F797">
        <f t="shared" si="52"/>
        <v>0</v>
      </c>
    </row>
    <row r="798" spans="1:6" x14ac:dyDescent="0.25">
      <c r="A798" s="4" t="s">
        <v>238</v>
      </c>
      <c r="B798">
        <v>287</v>
      </c>
      <c r="C798">
        <f t="shared" si="51"/>
        <v>11004</v>
      </c>
      <c r="D798">
        <f t="shared" si="49"/>
        <v>0</v>
      </c>
      <c r="E798">
        <f t="shared" si="50"/>
        <v>0</v>
      </c>
      <c r="F798">
        <f t="shared" si="52"/>
        <v>0</v>
      </c>
    </row>
    <row r="799" spans="1:6" x14ac:dyDescent="0.25">
      <c r="A799" s="4" t="s">
        <v>241</v>
      </c>
      <c r="B799">
        <v>218</v>
      </c>
      <c r="C799">
        <f t="shared" si="51"/>
        <v>11222</v>
      </c>
      <c r="D799">
        <f t="shared" si="49"/>
        <v>0</v>
      </c>
      <c r="E799">
        <f t="shared" si="50"/>
        <v>0</v>
      </c>
      <c r="F799">
        <f t="shared" si="52"/>
        <v>0</v>
      </c>
    </row>
    <row r="800" spans="1:6" x14ac:dyDescent="0.25">
      <c r="A800" s="4" t="s">
        <v>247</v>
      </c>
      <c r="B800">
        <v>438</v>
      </c>
      <c r="C800">
        <f t="shared" si="51"/>
        <v>11660</v>
      </c>
      <c r="D800">
        <f t="shared" si="49"/>
        <v>0</v>
      </c>
      <c r="E800">
        <f t="shared" si="50"/>
        <v>0</v>
      </c>
      <c r="F800">
        <f t="shared" si="52"/>
        <v>0</v>
      </c>
    </row>
    <row r="801" spans="1:6" x14ac:dyDescent="0.25">
      <c r="A801" s="4" t="s">
        <v>251</v>
      </c>
      <c r="B801">
        <v>240</v>
      </c>
      <c r="C801">
        <f t="shared" si="51"/>
        <v>11900</v>
      </c>
      <c r="D801">
        <f t="shared" si="49"/>
        <v>0</v>
      </c>
      <c r="E801">
        <f t="shared" si="50"/>
        <v>0</v>
      </c>
      <c r="F801">
        <f t="shared" si="52"/>
        <v>0</v>
      </c>
    </row>
    <row r="802" spans="1:6" x14ac:dyDescent="0.25">
      <c r="A802" s="4" t="s">
        <v>253</v>
      </c>
      <c r="B802">
        <v>233</v>
      </c>
      <c r="C802">
        <f t="shared" si="51"/>
        <v>12133</v>
      </c>
      <c r="D802">
        <f t="shared" si="49"/>
        <v>0</v>
      </c>
      <c r="E802">
        <f t="shared" si="50"/>
        <v>0</v>
      </c>
      <c r="F802">
        <f t="shared" si="52"/>
        <v>0</v>
      </c>
    </row>
    <row r="803" spans="1:6" x14ac:dyDescent="0.25">
      <c r="A803" s="4" t="s">
        <v>261</v>
      </c>
      <c r="B803">
        <v>37</v>
      </c>
      <c r="C803">
        <f t="shared" si="51"/>
        <v>12170</v>
      </c>
      <c r="D803">
        <f t="shared" si="49"/>
        <v>0</v>
      </c>
      <c r="E803">
        <f t="shared" si="50"/>
        <v>0</v>
      </c>
      <c r="F803">
        <f t="shared" si="52"/>
        <v>0</v>
      </c>
    </row>
    <row r="804" spans="1:6" x14ac:dyDescent="0.25">
      <c r="A804" s="4" t="s">
        <v>267</v>
      </c>
      <c r="B804">
        <v>282</v>
      </c>
      <c r="C804">
        <f t="shared" si="51"/>
        <v>12452</v>
      </c>
      <c r="D804">
        <f t="shared" si="49"/>
        <v>0</v>
      </c>
      <c r="E804">
        <f t="shared" si="50"/>
        <v>0</v>
      </c>
      <c r="F804">
        <f t="shared" si="52"/>
        <v>0</v>
      </c>
    </row>
    <row r="805" spans="1:6" x14ac:dyDescent="0.25">
      <c r="A805" s="4" t="s">
        <v>270</v>
      </c>
      <c r="B805">
        <v>184</v>
      </c>
      <c r="C805">
        <f t="shared" si="51"/>
        <v>12636</v>
      </c>
      <c r="D805">
        <f t="shared" si="49"/>
        <v>0</v>
      </c>
      <c r="E805">
        <f t="shared" si="50"/>
        <v>0</v>
      </c>
      <c r="F805">
        <f t="shared" si="52"/>
        <v>0</v>
      </c>
    </row>
    <row r="806" spans="1:6" x14ac:dyDescent="0.25">
      <c r="A806" s="4" t="s">
        <v>273</v>
      </c>
      <c r="B806">
        <v>109</v>
      </c>
      <c r="C806">
        <f t="shared" si="51"/>
        <v>12745</v>
      </c>
      <c r="D806">
        <f t="shared" si="49"/>
        <v>0</v>
      </c>
      <c r="E806">
        <f t="shared" si="50"/>
        <v>0</v>
      </c>
      <c r="F806">
        <f t="shared" si="52"/>
        <v>0</v>
      </c>
    </row>
    <row r="807" spans="1:6" x14ac:dyDescent="0.25">
      <c r="A807" s="4" t="s">
        <v>287</v>
      </c>
      <c r="B807">
        <v>219</v>
      </c>
      <c r="C807">
        <f t="shared" si="51"/>
        <v>12964</v>
      </c>
      <c r="D807">
        <f t="shared" si="49"/>
        <v>0</v>
      </c>
      <c r="E807">
        <f t="shared" si="50"/>
        <v>0</v>
      </c>
      <c r="F807">
        <f t="shared" si="52"/>
        <v>0</v>
      </c>
    </row>
    <row r="808" spans="1:6" x14ac:dyDescent="0.25">
      <c r="A808" s="4" t="s">
        <v>312</v>
      </c>
      <c r="B808">
        <v>472</v>
      </c>
      <c r="C808">
        <f t="shared" si="51"/>
        <v>13436</v>
      </c>
      <c r="D808">
        <f t="shared" si="49"/>
        <v>0</v>
      </c>
      <c r="E808">
        <f t="shared" si="50"/>
        <v>0</v>
      </c>
      <c r="F808">
        <f t="shared" si="52"/>
        <v>0</v>
      </c>
    </row>
    <row r="809" spans="1:6" x14ac:dyDescent="0.25">
      <c r="A809" s="4" t="s">
        <v>333</v>
      </c>
      <c r="B809">
        <v>306</v>
      </c>
      <c r="C809">
        <f t="shared" si="51"/>
        <v>13742</v>
      </c>
      <c r="D809">
        <f t="shared" si="49"/>
        <v>0</v>
      </c>
      <c r="E809">
        <f t="shared" si="50"/>
        <v>0</v>
      </c>
      <c r="F809">
        <f t="shared" si="52"/>
        <v>0</v>
      </c>
    </row>
    <row r="810" spans="1:6" x14ac:dyDescent="0.25">
      <c r="A810" s="4" t="s">
        <v>336</v>
      </c>
      <c r="B810">
        <v>478</v>
      </c>
      <c r="C810">
        <f t="shared" si="51"/>
        <v>14220</v>
      </c>
      <c r="D810">
        <f t="shared" si="49"/>
        <v>0</v>
      </c>
      <c r="E810">
        <f t="shared" si="50"/>
        <v>0</v>
      </c>
      <c r="F810">
        <f t="shared" si="52"/>
        <v>0</v>
      </c>
    </row>
    <row r="811" spans="1:6" x14ac:dyDescent="0.25">
      <c r="A811" s="4" t="s">
        <v>340</v>
      </c>
      <c r="B811">
        <v>72</v>
      </c>
      <c r="C811">
        <f t="shared" si="51"/>
        <v>14292</v>
      </c>
      <c r="D811">
        <f t="shared" si="49"/>
        <v>0</v>
      </c>
      <c r="E811">
        <f t="shared" si="50"/>
        <v>0</v>
      </c>
      <c r="F811">
        <f t="shared" si="52"/>
        <v>0</v>
      </c>
    </row>
    <row r="812" spans="1:6" x14ac:dyDescent="0.25">
      <c r="A812" s="4" t="s">
        <v>353</v>
      </c>
      <c r="B812">
        <v>282</v>
      </c>
      <c r="C812">
        <f t="shared" si="51"/>
        <v>14574</v>
      </c>
      <c r="D812">
        <f t="shared" si="49"/>
        <v>0</v>
      </c>
      <c r="E812">
        <f t="shared" si="50"/>
        <v>0</v>
      </c>
      <c r="F812">
        <f t="shared" si="52"/>
        <v>0</v>
      </c>
    </row>
    <row r="813" spans="1:6" x14ac:dyDescent="0.25">
      <c r="A813" s="4" t="s">
        <v>363</v>
      </c>
      <c r="B813">
        <v>172</v>
      </c>
      <c r="C813">
        <f t="shared" si="51"/>
        <v>14746</v>
      </c>
      <c r="D813">
        <f t="shared" si="49"/>
        <v>0</v>
      </c>
      <c r="E813">
        <f t="shared" si="50"/>
        <v>0</v>
      </c>
      <c r="F813">
        <f t="shared" si="52"/>
        <v>0</v>
      </c>
    </row>
    <row r="814" spans="1:6" x14ac:dyDescent="0.25">
      <c r="A814" s="4" t="s">
        <v>364</v>
      </c>
      <c r="B814">
        <v>465</v>
      </c>
      <c r="C814">
        <f t="shared" si="51"/>
        <v>15211</v>
      </c>
      <c r="D814">
        <f t="shared" si="49"/>
        <v>1</v>
      </c>
      <c r="E814">
        <f t="shared" si="50"/>
        <v>0</v>
      </c>
      <c r="F814">
        <f t="shared" si="52"/>
        <v>2325</v>
      </c>
    </row>
    <row r="815" spans="1:6" x14ac:dyDescent="0.25">
      <c r="A815" s="4" t="s">
        <v>365</v>
      </c>
      <c r="B815">
        <v>356</v>
      </c>
      <c r="C815">
        <f t="shared" si="51"/>
        <v>15567</v>
      </c>
      <c r="D815">
        <f t="shared" si="49"/>
        <v>1</v>
      </c>
      <c r="E815">
        <f t="shared" si="50"/>
        <v>0</v>
      </c>
      <c r="F815">
        <f t="shared" si="52"/>
        <v>1780</v>
      </c>
    </row>
    <row r="816" spans="1:6" x14ac:dyDescent="0.25">
      <c r="A816" s="4" t="s">
        <v>377</v>
      </c>
      <c r="B816">
        <v>301</v>
      </c>
      <c r="C816">
        <f t="shared" si="51"/>
        <v>15868</v>
      </c>
      <c r="D816">
        <f t="shared" si="49"/>
        <v>1</v>
      </c>
      <c r="E816">
        <f t="shared" si="50"/>
        <v>0</v>
      </c>
      <c r="F816">
        <f t="shared" si="52"/>
        <v>1505</v>
      </c>
    </row>
    <row r="817" spans="1:6" x14ac:dyDescent="0.25">
      <c r="A817" s="4" t="s">
        <v>382</v>
      </c>
      <c r="B817">
        <v>443</v>
      </c>
      <c r="C817">
        <f t="shared" si="51"/>
        <v>16311</v>
      </c>
      <c r="D817">
        <f t="shared" ref="D817:D880" si="53">IF(C817 &gt; 15000, 1, 0)</f>
        <v>1</v>
      </c>
      <c r="E817">
        <f t="shared" ref="E817:E880" si="54">IF(AND(D817 =1,C817 &gt;= 20000),1,0)</f>
        <v>0</v>
      </c>
      <c r="F817">
        <f t="shared" si="52"/>
        <v>2215</v>
      </c>
    </row>
    <row r="818" spans="1:6" x14ac:dyDescent="0.25">
      <c r="A818" s="4" t="s">
        <v>383</v>
      </c>
      <c r="B818">
        <v>343</v>
      </c>
      <c r="C818">
        <f t="shared" si="51"/>
        <v>16654</v>
      </c>
      <c r="D818">
        <f t="shared" si="53"/>
        <v>1</v>
      </c>
      <c r="E818">
        <f t="shared" si="54"/>
        <v>0</v>
      </c>
      <c r="F818">
        <f t="shared" si="52"/>
        <v>1715</v>
      </c>
    </row>
    <row r="819" spans="1:6" x14ac:dyDescent="0.25">
      <c r="A819" s="4" t="s">
        <v>387</v>
      </c>
      <c r="B819">
        <v>670</v>
      </c>
      <c r="C819">
        <f t="shared" si="51"/>
        <v>17324</v>
      </c>
      <c r="D819">
        <f t="shared" si="53"/>
        <v>1</v>
      </c>
      <c r="E819">
        <f t="shared" si="54"/>
        <v>0</v>
      </c>
      <c r="F819">
        <f t="shared" si="52"/>
        <v>3350</v>
      </c>
    </row>
    <row r="820" spans="1:6" x14ac:dyDescent="0.25">
      <c r="A820" s="4" t="s">
        <v>390</v>
      </c>
      <c r="B820">
        <v>106</v>
      </c>
      <c r="C820">
        <f t="shared" si="51"/>
        <v>17430</v>
      </c>
      <c r="D820">
        <f t="shared" si="53"/>
        <v>1</v>
      </c>
      <c r="E820">
        <f t="shared" si="54"/>
        <v>0</v>
      </c>
      <c r="F820">
        <f t="shared" si="52"/>
        <v>530</v>
      </c>
    </row>
    <row r="821" spans="1:6" x14ac:dyDescent="0.25">
      <c r="A821" s="4" t="s">
        <v>399</v>
      </c>
      <c r="B821">
        <v>321</v>
      </c>
      <c r="C821">
        <f t="shared" si="51"/>
        <v>17751</v>
      </c>
      <c r="D821">
        <f t="shared" si="53"/>
        <v>1</v>
      </c>
      <c r="E821">
        <f t="shared" si="54"/>
        <v>0</v>
      </c>
      <c r="F821">
        <f t="shared" si="52"/>
        <v>1605</v>
      </c>
    </row>
    <row r="822" spans="1:6" x14ac:dyDescent="0.25">
      <c r="A822" s="3" t="s">
        <v>36</v>
      </c>
      <c r="B822">
        <v>14427</v>
      </c>
      <c r="C822">
        <f t="shared" si="51"/>
        <v>0</v>
      </c>
      <c r="D822">
        <f t="shared" si="53"/>
        <v>0</v>
      </c>
      <c r="E822">
        <f t="shared" si="54"/>
        <v>0</v>
      </c>
      <c r="F822">
        <f t="shared" si="52"/>
        <v>0</v>
      </c>
    </row>
    <row r="823" spans="1:6" x14ac:dyDescent="0.25">
      <c r="A823" s="4" t="s">
        <v>96</v>
      </c>
      <c r="B823">
        <v>254</v>
      </c>
      <c r="C823">
        <f t="shared" si="51"/>
        <v>254</v>
      </c>
      <c r="D823">
        <f t="shared" si="53"/>
        <v>0</v>
      </c>
      <c r="E823">
        <f t="shared" si="54"/>
        <v>0</v>
      </c>
      <c r="F823">
        <f t="shared" si="52"/>
        <v>0</v>
      </c>
    </row>
    <row r="824" spans="1:6" x14ac:dyDescent="0.25">
      <c r="A824" s="4" t="s">
        <v>105</v>
      </c>
      <c r="B824">
        <v>374</v>
      </c>
      <c r="C824">
        <f t="shared" si="51"/>
        <v>628</v>
      </c>
      <c r="D824">
        <f t="shared" si="53"/>
        <v>0</v>
      </c>
      <c r="E824">
        <f t="shared" si="54"/>
        <v>0</v>
      </c>
      <c r="F824">
        <f t="shared" si="52"/>
        <v>0</v>
      </c>
    </row>
    <row r="825" spans="1:6" x14ac:dyDescent="0.25">
      <c r="A825" s="4" t="s">
        <v>108</v>
      </c>
      <c r="B825">
        <v>402</v>
      </c>
      <c r="C825">
        <f t="shared" si="51"/>
        <v>1030</v>
      </c>
      <c r="D825">
        <f t="shared" si="53"/>
        <v>0</v>
      </c>
      <c r="E825">
        <f t="shared" si="54"/>
        <v>0</v>
      </c>
      <c r="F825">
        <f t="shared" si="52"/>
        <v>0</v>
      </c>
    </row>
    <row r="826" spans="1:6" x14ac:dyDescent="0.25">
      <c r="A826" s="4" t="s">
        <v>111</v>
      </c>
      <c r="B826">
        <v>136</v>
      </c>
      <c r="C826">
        <f t="shared" si="51"/>
        <v>1166</v>
      </c>
      <c r="D826">
        <f t="shared" si="53"/>
        <v>0</v>
      </c>
      <c r="E826">
        <f t="shared" si="54"/>
        <v>0</v>
      </c>
      <c r="F826">
        <f t="shared" si="52"/>
        <v>0</v>
      </c>
    </row>
    <row r="827" spans="1:6" x14ac:dyDescent="0.25">
      <c r="A827" s="4" t="s">
        <v>117</v>
      </c>
      <c r="B827">
        <v>493</v>
      </c>
      <c r="C827">
        <f t="shared" si="51"/>
        <v>1659</v>
      </c>
      <c r="D827">
        <f t="shared" si="53"/>
        <v>0</v>
      </c>
      <c r="E827">
        <f t="shared" si="54"/>
        <v>0</v>
      </c>
      <c r="F827">
        <f t="shared" si="52"/>
        <v>0</v>
      </c>
    </row>
    <row r="828" spans="1:6" x14ac:dyDescent="0.25">
      <c r="A828" s="4" t="s">
        <v>118</v>
      </c>
      <c r="B828">
        <v>144</v>
      </c>
      <c r="C828">
        <f t="shared" si="51"/>
        <v>1803</v>
      </c>
      <c r="D828">
        <f t="shared" si="53"/>
        <v>0</v>
      </c>
      <c r="E828">
        <f t="shared" si="54"/>
        <v>0</v>
      </c>
      <c r="F828">
        <f t="shared" si="52"/>
        <v>0</v>
      </c>
    </row>
    <row r="829" spans="1:6" x14ac:dyDescent="0.25">
      <c r="A829" s="4" t="s">
        <v>119</v>
      </c>
      <c r="B829">
        <v>100</v>
      </c>
      <c r="C829">
        <f t="shared" si="51"/>
        <v>1903</v>
      </c>
      <c r="D829">
        <f t="shared" si="53"/>
        <v>0</v>
      </c>
      <c r="E829">
        <f t="shared" si="54"/>
        <v>0</v>
      </c>
      <c r="F829">
        <f t="shared" si="52"/>
        <v>0</v>
      </c>
    </row>
    <row r="830" spans="1:6" x14ac:dyDescent="0.25">
      <c r="A830" s="4" t="s">
        <v>129</v>
      </c>
      <c r="B830">
        <v>579</v>
      </c>
      <c r="C830">
        <f t="shared" si="51"/>
        <v>2482</v>
      </c>
      <c r="D830">
        <f t="shared" si="53"/>
        <v>0</v>
      </c>
      <c r="E830">
        <f t="shared" si="54"/>
        <v>0</v>
      </c>
      <c r="F830">
        <f t="shared" si="52"/>
        <v>0</v>
      </c>
    </row>
    <row r="831" spans="1:6" x14ac:dyDescent="0.25">
      <c r="A831" s="4" t="s">
        <v>131</v>
      </c>
      <c r="B831">
        <v>510</v>
      </c>
      <c r="C831">
        <f t="shared" si="51"/>
        <v>2992</v>
      </c>
      <c r="D831">
        <f t="shared" si="53"/>
        <v>0</v>
      </c>
      <c r="E831">
        <f t="shared" si="54"/>
        <v>0</v>
      </c>
      <c r="F831">
        <f t="shared" si="52"/>
        <v>0</v>
      </c>
    </row>
    <row r="832" spans="1:6" x14ac:dyDescent="0.25">
      <c r="A832" s="4" t="s">
        <v>135</v>
      </c>
      <c r="B832">
        <v>332</v>
      </c>
      <c r="C832">
        <f t="shared" si="51"/>
        <v>3324</v>
      </c>
      <c r="D832">
        <f t="shared" si="53"/>
        <v>0</v>
      </c>
      <c r="E832">
        <f t="shared" si="54"/>
        <v>0</v>
      </c>
      <c r="F832">
        <f t="shared" si="52"/>
        <v>0</v>
      </c>
    </row>
    <row r="833" spans="1:6" x14ac:dyDescent="0.25">
      <c r="A833" s="4" t="s">
        <v>148</v>
      </c>
      <c r="B833">
        <v>658</v>
      </c>
      <c r="C833">
        <f t="shared" si="51"/>
        <v>3982</v>
      </c>
      <c r="D833">
        <f t="shared" si="53"/>
        <v>0</v>
      </c>
      <c r="E833">
        <f t="shared" si="54"/>
        <v>0</v>
      </c>
      <c r="F833">
        <f t="shared" si="52"/>
        <v>0</v>
      </c>
    </row>
    <row r="834" spans="1:6" x14ac:dyDescent="0.25">
      <c r="A834" s="4" t="s">
        <v>160</v>
      </c>
      <c r="B834">
        <v>13</v>
      </c>
      <c r="C834">
        <f t="shared" si="51"/>
        <v>3995</v>
      </c>
      <c r="D834">
        <f t="shared" si="53"/>
        <v>0</v>
      </c>
      <c r="E834">
        <f t="shared" si="54"/>
        <v>0</v>
      </c>
      <c r="F834">
        <f t="shared" si="52"/>
        <v>0</v>
      </c>
    </row>
    <row r="835" spans="1:6" x14ac:dyDescent="0.25">
      <c r="A835" s="4" t="s">
        <v>161</v>
      </c>
      <c r="B835">
        <v>282</v>
      </c>
      <c r="C835">
        <f t="shared" si="51"/>
        <v>4277</v>
      </c>
      <c r="D835">
        <f t="shared" si="53"/>
        <v>0</v>
      </c>
      <c r="E835">
        <f t="shared" si="54"/>
        <v>0</v>
      </c>
      <c r="F835">
        <f t="shared" si="52"/>
        <v>0</v>
      </c>
    </row>
    <row r="836" spans="1:6" x14ac:dyDescent="0.25">
      <c r="A836" s="4" t="s">
        <v>166</v>
      </c>
      <c r="B836">
        <v>483</v>
      </c>
      <c r="C836">
        <f t="shared" si="51"/>
        <v>4760</v>
      </c>
      <c r="D836">
        <f t="shared" si="53"/>
        <v>0</v>
      </c>
      <c r="E836">
        <f t="shared" si="54"/>
        <v>0</v>
      </c>
      <c r="F836">
        <f t="shared" si="52"/>
        <v>0</v>
      </c>
    </row>
    <row r="837" spans="1:6" x14ac:dyDescent="0.25">
      <c r="A837" s="4" t="s">
        <v>174</v>
      </c>
      <c r="B837">
        <v>710</v>
      </c>
      <c r="C837">
        <f t="shared" ref="C837:C900" si="55">IF(LEN(A837) &gt;= 12, 0, C836+B837)</f>
        <v>5470</v>
      </c>
      <c r="D837">
        <f t="shared" si="53"/>
        <v>0</v>
      </c>
      <c r="E837">
        <f t="shared" si="54"/>
        <v>0</v>
      </c>
      <c r="F837">
        <f t="shared" si="52"/>
        <v>0</v>
      </c>
    </row>
    <row r="838" spans="1:6" x14ac:dyDescent="0.25">
      <c r="A838" s="4" t="s">
        <v>176</v>
      </c>
      <c r="B838">
        <v>911</v>
      </c>
      <c r="C838">
        <f t="shared" si="55"/>
        <v>6381</v>
      </c>
      <c r="D838">
        <f t="shared" si="53"/>
        <v>0</v>
      </c>
      <c r="E838">
        <f t="shared" si="54"/>
        <v>0</v>
      </c>
      <c r="F838">
        <f t="shared" ref="F838:F901" si="56">IF(AND(D838 = 1, C838 &lt; 20000), B838*5, IF(AND(E838=1, C838 &gt;= 20000),B838*10,0))</f>
        <v>0</v>
      </c>
    </row>
    <row r="839" spans="1:6" x14ac:dyDescent="0.25">
      <c r="A839" s="4" t="s">
        <v>177</v>
      </c>
      <c r="B839">
        <v>94</v>
      </c>
      <c r="C839">
        <f t="shared" si="55"/>
        <v>6475</v>
      </c>
      <c r="D839">
        <f t="shared" si="53"/>
        <v>0</v>
      </c>
      <c r="E839">
        <f t="shared" si="54"/>
        <v>0</v>
      </c>
      <c r="F839">
        <f t="shared" si="56"/>
        <v>0</v>
      </c>
    </row>
    <row r="840" spans="1:6" x14ac:dyDescent="0.25">
      <c r="A840" s="4" t="s">
        <v>186</v>
      </c>
      <c r="B840">
        <v>27</v>
      </c>
      <c r="C840">
        <f t="shared" si="55"/>
        <v>6502</v>
      </c>
      <c r="D840">
        <f t="shared" si="53"/>
        <v>0</v>
      </c>
      <c r="E840">
        <f t="shared" si="54"/>
        <v>0</v>
      </c>
      <c r="F840">
        <f t="shared" si="56"/>
        <v>0</v>
      </c>
    </row>
    <row r="841" spans="1:6" x14ac:dyDescent="0.25">
      <c r="A841" s="4" t="s">
        <v>191</v>
      </c>
      <c r="B841">
        <v>255</v>
      </c>
      <c r="C841">
        <f t="shared" si="55"/>
        <v>6757</v>
      </c>
      <c r="D841">
        <f t="shared" si="53"/>
        <v>0</v>
      </c>
      <c r="E841">
        <f t="shared" si="54"/>
        <v>0</v>
      </c>
      <c r="F841">
        <f t="shared" si="56"/>
        <v>0</v>
      </c>
    </row>
    <row r="842" spans="1:6" x14ac:dyDescent="0.25">
      <c r="A842" s="4" t="s">
        <v>197</v>
      </c>
      <c r="B842">
        <v>143</v>
      </c>
      <c r="C842">
        <f t="shared" si="55"/>
        <v>6900</v>
      </c>
      <c r="D842">
        <f t="shared" si="53"/>
        <v>0</v>
      </c>
      <c r="E842">
        <f t="shared" si="54"/>
        <v>0</v>
      </c>
      <c r="F842">
        <f t="shared" si="56"/>
        <v>0</v>
      </c>
    </row>
    <row r="843" spans="1:6" x14ac:dyDescent="0.25">
      <c r="A843" s="4" t="s">
        <v>201</v>
      </c>
      <c r="B843">
        <v>171</v>
      </c>
      <c r="C843">
        <f t="shared" si="55"/>
        <v>7071</v>
      </c>
      <c r="D843">
        <f t="shared" si="53"/>
        <v>0</v>
      </c>
      <c r="E843">
        <f t="shared" si="54"/>
        <v>0</v>
      </c>
      <c r="F843">
        <f t="shared" si="56"/>
        <v>0</v>
      </c>
    </row>
    <row r="844" spans="1:6" x14ac:dyDescent="0.25">
      <c r="A844" s="4" t="s">
        <v>211</v>
      </c>
      <c r="B844">
        <v>490</v>
      </c>
      <c r="C844">
        <f t="shared" si="55"/>
        <v>7561</v>
      </c>
      <c r="D844">
        <f t="shared" si="53"/>
        <v>0</v>
      </c>
      <c r="E844">
        <f t="shared" si="54"/>
        <v>0</v>
      </c>
      <c r="F844">
        <f t="shared" si="56"/>
        <v>0</v>
      </c>
    </row>
    <row r="845" spans="1:6" x14ac:dyDescent="0.25">
      <c r="A845" s="4" t="s">
        <v>213</v>
      </c>
      <c r="B845">
        <v>350</v>
      </c>
      <c r="C845">
        <f t="shared" si="55"/>
        <v>7911</v>
      </c>
      <c r="D845">
        <f t="shared" si="53"/>
        <v>0</v>
      </c>
      <c r="E845">
        <f t="shared" si="54"/>
        <v>0</v>
      </c>
      <c r="F845">
        <f t="shared" si="56"/>
        <v>0</v>
      </c>
    </row>
    <row r="846" spans="1:6" x14ac:dyDescent="0.25">
      <c r="A846" s="4" t="s">
        <v>224</v>
      </c>
      <c r="B846">
        <v>377</v>
      </c>
      <c r="C846">
        <f t="shared" si="55"/>
        <v>8288</v>
      </c>
      <c r="D846">
        <f t="shared" si="53"/>
        <v>0</v>
      </c>
      <c r="E846">
        <f t="shared" si="54"/>
        <v>0</v>
      </c>
      <c r="F846">
        <f t="shared" si="56"/>
        <v>0</v>
      </c>
    </row>
    <row r="847" spans="1:6" x14ac:dyDescent="0.25">
      <c r="A847" s="4" t="s">
        <v>232</v>
      </c>
      <c r="B847">
        <v>86</v>
      </c>
      <c r="C847">
        <f t="shared" si="55"/>
        <v>8374</v>
      </c>
      <c r="D847">
        <f t="shared" si="53"/>
        <v>0</v>
      </c>
      <c r="E847">
        <f t="shared" si="54"/>
        <v>0</v>
      </c>
      <c r="F847">
        <f t="shared" si="56"/>
        <v>0</v>
      </c>
    </row>
    <row r="848" spans="1:6" x14ac:dyDescent="0.25">
      <c r="A848" s="4" t="s">
        <v>247</v>
      </c>
      <c r="B848">
        <v>298</v>
      </c>
      <c r="C848">
        <f t="shared" si="55"/>
        <v>8672</v>
      </c>
      <c r="D848">
        <f t="shared" si="53"/>
        <v>0</v>
      </c>
      <c r="E848">
        <f t="shared" si="54"/>
        <v>0</v>
      </c>
      <c r="F848">
        <f t="shared" si="56"/>
        <v>0</v>
      </c>
    </row>
    <row r="849" spans="1:6" x14ac:dyDescent="0.25">
      <c r="A849" s="4" t="s">
        <v>252</v>
      </c>
      <c r="B849">
        <v>329</v>
      </c>
      <c r="C849">
        <f t="shared" si="55"/>
        <v>9001</v>
      </c>
      <c r="D849">
        <f t="shared" si="53"/>
        <v>0</v>
      </c>
      <c r="E849">
        <f t="shared" si="54"/>
        <v>0</v>
      </c>
      <c r="F849">
        <f t="shared" si="56"/>
        <v>0</v>
      </c>
    </row>
    <row r="850" spans="1:6" x14ac:dyDescent="0.25">
      <c r="A850" s="4" t="s">
        <v>256</v>
      </c>
      <c r="B850">
        <v>839</v>
      </c>
      <c r="C850">
        <f t="shared" si="55"/>
        <v>9840</v>
      </c>
      <c r="D850">
        <f t="shared" si="53"/>
        <v>0</v>
      </c>
      <c r="E850">
        <f t="shared" si="54"/>
        <v>0</v>
      </c>
      <c r="F850">
        <f t="shared" si="56"/>
        <v>0</v>
      </c>
    </row>
    <row r="851" spans="1:6" x14ac:dyDescent="0.25">
      <c r="A851" s="4" t="s">
        <v>269</v>
      </c>
      <c r="B851">
        <v>408</v>
      </c>
      <c r="C851">
        <f t="shared" si="55"/>
        <v>10248</v>
      </c>
      <c r="D851">
        <f t="shared" si="53"/>
        <v>0</v>
      </c>
      <c r="E851">
        <f t="shared" si="54"/>
        <v>0</v>
      </c>
      <c r="F851">
        <f t="shared" si="56"/>
        <v>0</v>
      </c>
    </row>
    <row r="852" spans="1:6" x14ac:dyDescent="0.25">
      <c r="A852" s="4" t="s">
        <v>291</v>
      </c>
      <c r="B852">
        <v>490</v>
      </c>
      <c r="C852">
        <f t="shared" si="55"/>
        <v>10738</v>
      </c>
      <c r="D852">
        <f t="shared" si="53"/>
        <v>0</v>
      </c>
      <c r="E852">
        <f t="shared" si="54"/>
        <v>0</v>
      </c>
      <c r="F852">
        <f t="shared" si="56"/>
        <v>0</v>
      </c>
    </row>
    <row r="853" spans="1:6" x14ac:dyDescent="0.25">
      <c r="A853" s="4" t="s">
        <v>305</v>
      </c>
      <c r="B853">
        <v>291</v>
      </c>
      <c r="C853">
        <f t="shared" si="55"/>
        <v>11029</v>
      </c>
      <c r="D853">
        <f t="shared" si="53"/>
        <v>0</v>
      </c>
      <c r="E853">
        <f t="shared" si="54"/>
        <v>0</v>
      </c>
      <c r="F853">
        <f t="shared" si="56"/>
        <v>0</v>
      </c>
    </row>
    <row r="854" spans="1:6" x14ac:dyDescent="0.25">
      <c r="A854" s="4" t="s">
        <v>313</v>
      </c>
      <c r="B854">
        <v>348</v>
      </c>
      <c r="C854">
        <f t="shared" si="55"/>
        <v>11377</v>
      </c>
      <c r="D854">
        <f t="shared" si="53"/>
        <v>0</v>
      </c>
      <c r="E854">
        <f t="shared" si="54"/>
        <v>0</v>
      </c>
      <c r="F854">
        <f t="shared" si="56"/>
        <v>0</v>
      </c>
    </row>
    <row r="855" spans="1:6" x14ac:dyDescent="0.25">
      <c r="A855" s="4" t="s">
        <v>318</v>
      </c>
      <c r="B855">
        <v>446</v>
      </c>
      <c r="C855">
        <f t="shared" si="55"/>
        <v>11823</v>
      </c>
      <c r="D855">
        <f t="shared" si="53"/>
        <v>0</v>
      </c>
      <c r="E855">
        <f t="shared" si="54"/>
        <v>0</v>
      </c>
      <c r="F855">
        <f t="shared" si="56"/>
        <v>0</v>
      </c>
    </row>
    <row r="856" spans="1:6" x14ac:dyDescent="0.25">
      <c r="A856" s="4" t="s">
        <v>329</v>
      </c>
      <c r="B856">
        <v>354</v>
      </c>
      <c r="C856">
        <f t="shared" si="55"/>
        <v>12177</v>
      </c>
      <c r="D856">
        <f t="shared" si="53"/>
        <v>0</v>
      </c>
      <c r="E856">
        <f t="shared" si="54"/>
        <v>0</v>
      </c>
      <c r="F856">
        <f t="shared" si="56"/>
        <v>0</v>
      </c>
    </row>
    <row r="857" spans="1:6" x14ac:dyDescent="0.25">
      <c r="A857" s="4" t="s">
        <v>350</v>
      </c>
      <c r="B857">
        <v>10</v>
      </c>
      <c r="C857">
        <f t="shared" si="55"/>
        <v>12187</v>
      </c>
      <c r="D857">
        <f t="shared" si="53"/>
        <v>0</v>
      </c>
      <c r="E857">
        <f t="shared" si="54"/>
        <v>0</v>
      </c>
      <c r="F857">
        <f t="shared" si="56"/>
        <v>0</v>
      </c>
    </row>
    <row r="858" spans="1:6" x14ac:dyDescent="0.25">
      <c r="A858" s="4" t="s">
        <v>351</v>
      </c>
      <c r="B858">
        <v>246</v>
      </c>
      <c r="C858">
        <f t="shared" si="55"/>
        <v>12433</v>
      </c>
      <c r="D858">
        <f t="shared" si="53"/>
        <v>0</v>
      </c>
      <c r="E858">
        <f t="shared" si="54"/>
        <v>0</v>
      </c>
      <c r="F858">
        <f t="shared" si="56"/>
        <v>0</v>
      </c>
    </row>
    <row r="859" spans="1:6" x14ac:dyDescent="0.25">
      <c r="A859" s="4" t="s">
        <v>378</v>
      </c>
      <c r="B859">
        <v>480</v>
      </c>
      <c r="C859">
        <f t="shared" si="55"/>
        <v>12913</v>
      </c>
      <c r="D859">
        <f t="shared" si="53"/>
        <v>0</v>
      </c>
      <c r="E859">
        <f t="shared" si="54"/>
        <v>0</v>
      </c>
      <c r="F859">
        <f t="shared" si="56"/>
        <v>0</v>
      </c>
    </row>
    <row r="860" spans="1:6" x14ac:dyDescent="0.25">
      <c r="A860" s="4" t="s">
        <v>399</v>
      </c>
      <c r="B860">
        <v>553</v>
      </c>
      <c r="C860">
        <f t="shared" si="55"/>
        <v>13466</v>
      </c>
      <c r="D860">
        <f t="shared" si="53"/>
        <v>0</v>
      </c>
      <c r="E860">
        <f t="shared" si="54"/>
        <v>0</v>
      </c>
      <c r="F860">
        <f t="shared" si="56"/>
        <v>0</v>
      </c>
    </row>
    <row r="861" spans="1:6" x14ac:dyDescent="0.25">
      <c r="A861" s="4" t="s">
        <v>400</v>
      </c>
      <c r="B861">
        <v>514</v>
      </c>
      <c r="C861">
        <f t="shared" si="55"/>
        <v>13980</v>
      </c>
      <c r="D861">
        <f t="shared" si="53"/>
        <v>0</v>
      </c>
      <c r="E861">
        <f t="shared" si="54"/>
        <v>0</v>
      </c>
      <c r="F861">
        <f t="shared" si="56"/>
        <v>0</v>
      </c>
    </row>
    <row r="862" spans="1:6" x14ac:dyDescent="0.25">
      <c r="A862" s="4" t="s">
        <v>401</v>
      </c>
      <c r="B862">
        <v>447</v>
      </c>
      <c r="C862">
        <f t="shared" si="55"/>
        <v>14427</v>
      </c>
      <c r="D862">
        <f t="shared" si="53"/>
        <v>0</v>
      </c>
      <c r="E862">
        <f t="shared" si="54"/>
        <v>0</v>
      </c>
      <c r="F862">
        <f t="shared" si="56"/>
        <v>0</v>
      </c>
    </row>
    <row r="863" spans="1:6" x14ac:dyDescent="0.25">
      <c r="A863" s="3" t="s">
        <v>58</v>
      </c>
      <c r="B863">
        <v>13357</v>
      </c>
      <c r="C863">
        <f t="shared" si="55"/>
        <v>0</v>
      </c>
      <c r="D863">
        <f t="shared" si="53"/>
        <v>0</v>
      </c>
      <c r="E863">
        <f t="shared" si="54"/>
        <v>0</v>
      </c>
      <c r="F863">
        <f t="shared" si="56"/>
        <v>0</v>
      </c>
    </row>
    <row r="864" spans="1:6" x14ac:dyDescent="0.25">
      <c r="A864" s="4" t="s">
        <v>93</v>
      </c>
      <c r="B864">
        <v>283</v>
      </c>
      <c r="C864">
        <f t="shared" si="55"/>
        <v>283</v>
      </c>
      <c r="D864">
        <f t="shared" si="53"/>
        <v>0</v>
      </c>
      <c r="E864">
        <f t="shared" si="54"/>
        <v>0</v>
      </c>
      <c r="F864">
        <f t="shared" si="56"/>
        <v>0</v>
      </c>
    </row>
    <row r="865" spans="1:6" x14ac:dyDescent="0.25">
      <c r="A865" s="4" t="s">
        <v>94</v>
      </c>
      <c r="B865">
        <v>34</v>
      </c>
      <c r="C865">
        <f t="shared" si="55"/>
        <v>317</v>
      </c>
      <c r="D865">
        <f t="shared" si="53"/>
        <v>0</v>
      </c>
      <c r="E865">
        <f t="shared" si="54"/>
        <v>0</v>
      </c>
      <c r="F865">
        <f t="shared" si="56"/>
        <v>0</v>
      </c>
    </row>
    <row r="866" spans="1:6" x14ac:dyDescent="0.25">
      <c r="A866" s="4" t="s">
        <v>97</v>
      </c>
      <c r="B866">
        <v>378</v>
      </c>
      <c r="C866">
        <f t="shared" si="55"/>
        <v>695</v>
      </c>
      <c r="D866">
        <f t="shared" si="53"/>
        <v>0</v>
      </c>
      <c r="E866">
        <f t="shared" si="54"/>
        <v>0</v>
      </c>
      <c r="F866">
        <f t="shared" si="56"/>
        <v>0</v>
      </c>
    </row>
    <row r="867" spans="1:6" x14ac:dyDescent="0.25">
      <c r="A867" s="4" t="s">
        <v>103</v>
      </c>
      <c r="B867">
        <v>256</v>
      </c>
      <c r="C867">
        <f t="shared" si="55"/>
        <v>951</v>
      </c>
      <c r="D867">
        <f t="shared" si="53"/>
        <v>0</v>
      </c>
      <c r="E867">
        <f t="shared" si="54"/>
        <v>0</v>
      </c>
      <c r="F867">
        <f t="shared" si="56"/>
        <v>0</v>
      </c>
    </row>
    <row r="868" spans="1:6" x14ac:dyDescent="0.25">
      <c r="A868" s="4" t="s">
        <v>119</v>
      </c>
      <c r="B868">
        <v>483</v>
      </c>
      <c r="C868">
        <f t="shared" si="55"/>
        <v>1434</v>
      </c>
      <c r="D868">
        <f t="shared" si="53"/>
        <v>0</v>
      </c>
      <c r="E868">
        <f t="shared" si="54"/>
        <v>0</v>
      </c>
      <c r="F868">
        <f t="shared" si="56"/>
        <v>0</v>
      </c>
    </row>
    <row r="869" spans="1:6" x14ac:dyDescent="0.25">
      <c r="A869" s="4" t="s">
        <v>122</v>
      </c>
      <c r="B869">
        <v>84</v>
      </c>
      <c r="C869">
        <f t="shared" si="55"/>
        <v>1518</v>
      </c>
      <c r="D869">
        <f t="shared" si="53"/>
        <v>0</v>
      </c>
      <c r="E869">
        <f t="shared" si="54"/>
        <v>0</v>
      </c>
      <c r="F869">
        <f t="shared" si="56"/>
        <v>0</v>
      </c>
    </row>
    <row r="870" spans="1:6" x14ac:dyDescent="0.25">
      <c r="A870" s="4" t="s">
        <v>130</v>
      </c>
      <c r="B870">
        <v>574</v>
      </c>
      <c r="C870">
        <f t="shared" si="55"/>
        <v>2092</v>
      </c>
      <c r="D870">
        <f t="shared" si="53"/>
        <v>0</v>
      </c>
      <c r="E870">
        <f t="shared" si="54"/>
        <v>0</v>
      </c>
      <c r="F870">
        <f t="shared" si="56"/>
        <v>0</v>
      </c>
    </row>
    <row r="871" spans="1:6" x14ac:dyDescent="0.25">
      <c r="A871" s="4" t="s">
        <v>131</v>
      </c>
      <c r="B871">
        <v>463</v>
      </c>
      <c r="C871">
        <f t="shared" si="55"/>
        <v>2555</v>
      </c>
      <c r="D871">
        <f t="shared" si="53"/>
        <v>0</v>
      </c>
      <c r="E871">
        <f t="shared" si="54"/>
        <v>0</v>
      </c>
      <c r="F871">
        <f t="shared" si="56"/>
        <v>0</v>
      </c>
    </row>
    <row r="872" spans="1:6" x14ac:dyDescent="0.25">
      <c r="A872" s="4" t="s">
        <v>146</v>
      </c>
      <c r="B872">
        <v>269</v>
      </c>
      <c r="C872">
        <f t="shared" si="55"/>
        <v>2824</v>
      </c>
      <c r="D872">
        <f t="shared" si="53"/>
        <v>0</v>
      </c>
      <c r="E872">
        <f t="shared" si="54"/>
        <v>0</v>
      </c>
      <c r="F872">
        <f t="shared" si="56"/>
        <v>0</v>
      </c>
    </row>
    <row r="873" spans="1:6" x14ac:dyDescent="0.25">
      <c r="A873" s="4" t="s">
        <v>151</v>
      </c>
      <c r="B873">
        <v>81</v>
      </c>
      <c r="C873">
        <f t="shared" si="55"/>
        <v>2905</v>
      </c>
      <c r="D873">
        <f t="shared" si="53"/>
        <v>0</v>
      </c>
      <c r="E873">
        <f t="shared" si="54"/>
        <v>0</v>
      </c>
      <c r="F873">
        <f t="shared" si="56"/>
        <v>0</v>
      </c>
    </row>
    <row r="874" spans="1:6" x14ac:dyDescent="0.25">
      <c r="A874" s="4" t="s">
        <v>172</v>
      </c>
      <c r="B874">
        <v>342</v>
      </c>
      <c r="C874">
        <f t="shared" si="55"/>
        <v>3247</v>
      </c>
      <c r="D874">
        <f t="shared" si="53"/>
        <v>0</v>
      </c>
      <c r="E874">
        <f t="shared" si="54"/>
        <v>0</v>
      </c>
      <c r="F874">
        <f t="shared" si="56"/>
        <v>0</v>
      </c>
    </row>
    <row r="875" spans="1:6" x14ac:dyDescent="0.25">
      <c r="A875" s="4" t="s">
        <v>174</v>
      </c>
      <c r="B875">
        <v>238</v>
      </c>
      <c r="C875">
        <f t="shared" si="55"/>
        <v>3485</v>
      </c>
      <c r="D875">
        <f t="shared" si="53"/>
        <v>0</v>
      </c>
      <c r="E875">
        <f t="shared" si="54"/>
        <v>0</v>
      </c>
      <c r="F875">
        <f t="shared" si="56"/>
        <v>0</v>
      </c>
    </row>
    <row r="876" spans="1:6" x14ac:dyDescent="0.25">
      <c r="A876" s="4" t="s">
        <v>175</v>
      </c>
      <c r="B876">
        <v>107</v>
      </c>
      <c r="C876">
        <f t="shared" si="55"/>
        <v>3592</v>
      </c>
      <c r="D876">
        <f t="shared" si="53"/>
        <v>0</v>
      </c>
      <c r="E876">
        <f t="shared" si="54"/>
        <v>0</v>
      </c>
      <c r="F876">
        <f t="shared" si="56"/>
        <v>0</v>
      </c>
    </row>
    <row r="877" spans="1:6" x14ac:dyDescent="0.25">
      <c r="A877" s="4" t="s">
        <v>176</v>
      </c>
      <c r="B877">
        <v>638</v>
      </c>
      <c r="C877">
        <f t="shared" si="55"/>
        <v>4230</v>
      </c>
      <c r="D877">
        <f t="shared" si="53"/>
        <v>0</v>
      </c>
      <c r="E877">
        <f t="shared" si="54"/>
        <v>0</v>
      </c>
      <c r="F877">
        <f t="shared" si="56"/>
        <v>0</v>
      </c>
    </row>
    <row r="878" spans="1:6" x14ac:dyDescent="0.25">
      <c r="A878" s="4" t="s">
        <v>189</v>
      </c>
      <c r="B878">
        <v>623</v>
      </c>
      <c r="C878">
        <f t="shared" si="55"/>
        <v>4853</v>
      </c>
      <c r="D878">
        <f t="shared" si="53"/>
        <v>0</v>
      </c>
      <c r="E878">
        <f t="shared" si="54"/>
        <v>0</v>
      </c>
      <c r="F878">
        <f t="shared" si="56"/>
        <v>0</v>
      </c>
    </row>
    <row r="879" spans="1:6" x14ac:dyDescent="0.25">
      <c r="A879" s="4" t="s">
        <v>195</v>
      </c>
      <c r="B879">
        <v>535</v>
      </c>
      <c r="C879">
        <f t="shared" si="55"/>
        <v>5388</v>
      </c>
      <c r="D879">
        <f t="shared" si="53"/>
        <v>0</v>
      </c>
      <c r="E879">
        <f t="shared" si="54"/>
        <v>0</v>
      </c>
      <c r="F879">
        <f t="shared" si="56"/>
        <v>0</v>
      </c>
    </row>
    <row r="880" spans="1:6" x14ac:dyDescent="0.25">
      <c r="A880" s="4" t="s">
        <v>196</v>
      </c>
      <c r="B880">
        <v>457</v>
      </c>
      <c r="C880">
        <f t="shared" si="55"/>
        <v>5845</v>
      </c>
      <c r="D880">
        <f t="shared" si="53"/>
        <v>0</v>
      </c>
      <c r="E880">
        <f t="shared" si="54"/>
        <v>0</v>
      </c>
      <c r="F880">
        <f t="shared" si="56"/>
        <v>0</v>
      </c>
    </row>
    <row r="881" spans="1:6" x14ac:dyDescent="0.25">
      <c r="A881" s="4" t="s">
        <v>197</v>
      </c>
      <c r="B881">
        <v>745</v>
      </c>
      <c r="C881">
        <f t="shared" si="55"/>
        <v>6590</v>
      </c>
      <c r="D881">
        <f t="shared" ref="D881:D944" si="57">IF(C881 &gt; 15000, 1, 0)</f>
        <v>0</v>
      </c>
      <c r="E881">
        <f t="shared" ref="E881:E944" si="58">IF(AND(D881 =1,C881 &gt;= 20000),1,0)</f>
        <v>0</v>
      </c>
      <c r="F881">
        <f t="shared" si="56"/>
        <v>0</v>
      </c>
    </row>
    <row r="882" spans="1:6" x14ac:dyDescent="0.25">
      <c r="A882" s="4" t="s">
        <v>206</v>
      </c>
      <c r="B882">
        <v>550</v>
      </c>
      <c r="C882">
        <f t="shared" si="55"/>
        <v>7140</v>
      </c>
      <c r="D882">
        <f t="shared" si="57"/>
        <v>0</v>
      </c>
      <c r="E882">
        <f t="shared" si="58"/>
        <v>0</v>
      </c>
      <c r="F882">
        <f t="shared" si="56"/>
        <v>0</v>
      </c>
    </row>
    <row r="883" spans="1:6" x14ac:dyDescent="0.25">
      <c r="A883" s="4" t="s">
        <v>218</v>
      </c>
      <c r="B883">
        <v>319</v>
      </c>
      <c r="C883">
        <f t="shared" si="55"/>
        <v>7459</v>
      </c>
      <c r="D883">
        <f t="shared" si="57"/>
        <v>0</v>
      </c>
      <c r="E883">
        <f t="shared" si="58"/>
        <v>0</v>
      </c>
      <c r="F883">
        <f t="shared" si="56"/>
        <v>0</v>
      </c>
    </row>
    <row r="884" spans="1:6" x14ac:dyDescent="0.25">
      <c r="A884" s="4" t="s">
        <v>225</v>
      </c>
      <c r="B884">
        <v>50</v>
      </c>
      <c r="C884">
        <f t="shared" si="55"/>
        <v>7509</v>
      </c>
      <c r="D884">
        <f t="shared" si="57"/>
        <v>0</v>
      </c>
      <c r="E884">
        <f t="shared" si="58"/>
        <v>0</v>
      </c>
      <c r="F884">
        <f t="shared" si="56"/>
        <v>0</v>
      </c>
    </row>
    <row r="885" spans="1:6" x14ac:dyDescent="0.25">
      <c r="A885" s="4" t="s">
        <v>241</v>
      </c>
      <c r="B885">
        <v>53</v>
      </c>
      <c r="C885">
        <f t="shared" si="55"/>
        <v>7562</v>
      </c>
      <c r="D885">
        <f t="shared" si="57"/>
        <v>0</v>
      </c>
      <c r="E885">
        <f t="shared" si="58"/>
        <v>0</v>
      </c>
      <c r="F885">
        <f t="shared" si="56"/>
        <v>0</v>
      </c>
    </row>
    <row r="886" spans="1:6" x14ac:dyDescent="0.25">
      <c r="A886" s="4" t="s">
        <v>244</v>
      </c>
      <c r="B886">
        <v>29</v>
      </c>
      <c r="C886">
        <f t="shared" si="55"/>
        <v>7591</v>
      </c>
      <c r="D886">
        <f t="shared" si="57"/>
        <v>0</v>
      </c>
      <c r="E886">
        <f t="shared" si="58"/>
        <v>0</v>
      </c>
      <c r="F886">
        <f t="shared" si="56"/>
        <v>0</v>
      </c>
    </row>
    <row r="887" spans="1:6" x14ac:dyDescent="0.25">
      <c r="A887" s="4" t="s">
        <v>261</v>
      </c>
      <c r="B887">
        <v>120</v>
      </c>
      <c r="C887">
        <f t="shared" si="55"/>
        <v>7711</v>
      </c>
      <c r="D887">
        <f t="shared" si="57"/>
        <v>0</v>
      </c>
      <c r="E887">
        <f t="shared" si="58"/>
        <v>0</v>
      </c>
      <c r="F887">
        <f t="shared" si="56"/>
        <v>0</v>
      </c>
    </row>
    <row r="888" spans="1:6" x14ac:dyDescent="0.25">
      <c r="A888" s="4" t="s">
        <v>264</v>
      </c>
      <c r="B888">
        <v>73</v>
      </c>
      <c r="C888">
        <f t="shared" si="55"/>
        <v>7784</v>
      </c>
      <c r="D888">
        <f t="shared" si="57"/>
        <v>0</v>
      </c>
      <c r="E888">
        <f t="shared" si="58"/>
        <v>0</v>
      </c>
      <c r="F888">
        <f t="shared" si="56"/>
        <v>0</v>
      </c>
    </row>
    <row r="889" spans="1:6" x14ac:dyDescent="0.25">
      <c r="A889" s="4" t="s">
        <v>271</v>
      </c>
      <c r="B889">
        <v>82</v>
      </c>
      <c r="C889">
        <f t="shared" si="55"/>
        <v>7866</v>
      </c>
      <c r="D889">
        <f t="shared" si="57"/>
        <v>0</v>
      </c>
      <c r="E889">
        <f t="shared" si="58"/>
        <v>0</v>
      </c>
      <c r="F889">
        <f t="shared" si="56"/>
        <v>0</v>
      </c>
    </row>
    <row r="890" spans="1:6" x14ac:dyDescent="0.25">
      <c r="A890" s="4" t="s">
        <v>272</v>
      </c>
      <c r="B890">
        <v>346</v>
      </c>
      <c r="C890">
        <f t="shared" si="55"/>
        <v>8212</v>
      </c>
      <c r="D890">
        <f t="shared" si="57"/>
        <v>0</v>
      </c>
      <c r="E890">
        <f t="shared" si="58"/>
        <v>0</v>
      </c>
      <c r="F890">
        <f t="shared" si="56"/>
        <v>0</v>
      </c>
    </row>
    <row r="891" spans="1:6" x14ac:dyDescent="0.25">
      <c r="A891" s="4" t="s">
        <v>273</v>
      </c>
      <c r="B891">
        <v>108</v>
      </c>
      <c r="C891">
        <f t="shared" si="55"/>
        <v>8320</v>
      </c>
      <c r="D891">
        <f t="shared" si="57"/>
        <v>0</v>
      </c>
      <c r="E891">
        <f t="shared" si="58"/>
        <v>0</v>
      </c>
      <c r="F891">
        <f t="shared" si="56"/>
        <v>0</v>
      </c>
    </row>
    <row r="892" spans="1:6" x14ac:dyDescent="0.25">
      <c r="A892" s="4" t="s">
        <v>279</v>
      </c>
      <c r="B892">
        <v>327</v>
      </c>
      <c r="C892">
        <f t="shared" si="55"/>
        <v>8647</v>
      </c>
      <c r="D892">
        <f t="shared" si="57"/>
        <v>0</v>
      </c>
      <c r="E892">
        <f t="shared" si="58"/>
        <v>0</v>
      </c>
      <c r="F892">
        <f t="shared" si="56"/>
        <v>0</v>
      </c>
    </row>
    <row r="893" spans="1:6" x14ac:dyDescent="0.25">
      <c r="A893" s="4" t="s">
        <v>295</v>
      </c>
      <c r="B893">
        <v>392</v>
      </c>
      <c r="C893">
        <f t="shared" si="55"/>
        <v>9039</v>
      </c>
      <c r="D893">
        <f t="shared" si="57"/>
        <v>0</v>
      </c>
      <c r="E893">
        <f t="shared" si="58"/>
        <v>0</v>
      </c>
      <c r="F893">
        <f t="shared" si="56"/>
        <v>0</v>
      </c>
    </row>
    <row r="894" spans="1:6" x14ac:dyDescent="0.25">
      <c r="A894" s="4" t="s">
        <v>297</v>
      </c>
      <c r="B894">
        <v>630</v>
      </c>
      <c r="C894">
        <f t="shared" si="55"/>
        <v>9669</v>
      </c>
      <c r="D894">
        <f t="shared" si="57"/>
        <v>0</v>
      </c>
      <c r="E894">
        <f t="shared" si="58"/>
        <v>0</v>
      </c>
      <c r="F894">
        <f t="shared" si="56"/>
        <v>0</v>
      </c>
    </row>
    <row r="895" spans="1:6" x14ac:dyDescent="0.25">
      <c r="A895" s="4" t="s">
        <v>298</v>
      </c>
      <c r="B895">
        <v>421</v>
      </c>
      <c r="C895">
        <f t="shared" si="55"/>
        <v>10090</v>
      </c>
      <c r="D895">
        <f t="shared" si="57"/>
        <v>0</v>
      </c>
      <c r="E895">
        <f t="shared" si="58"/>
        <v>0</v>
      </c>
      <c r="F895">
        <f t="shared" si="56"/>
        <v>0</v>
      </c>
    </row>
    <row r="896" spans="1:6" x14ac:dyDescent="0.25">
      <c r="A896" s="4" t="s">
        <v>301</v>
      </c>
      <c r="B896">
        <v>275</v>
      </c>
      <c r="C896">
        <f t="shared" si="55"/>
        <v>10365</v>
      </c>
      <c r="D896">
        <f t="shared" si="57"/>
        <v>0</v>
      </c>
      <c r="E896">
        <f t="shared" si="58"/>
        <v>0</v>
      </c>
      <c r="F896">
        <f t="shared" si="56"/>
        <v>0</v>
      </c>
    </row>
    <row r="897" spans="1:6" x14ac:dyDescent="0.25">
      <c r="A897" s="4" t="s">
        <v>304</v>
      </c>
      <c r="B897">
        <v>29</v>
      </c>
      <c r="C897">
        <f t="shared" si="55"/>
        <v>10394</v>
      </c>
      <c r="D897">
        <f t="shared" si="57"/>
        <v>0</v>
      </c>
      <c r="E897">
        <f t="shared" si="58"/>
        <v>0</v>
      </c>
      <c r="F897">
        <f t="shared" si="56"/>
        <v>0</v>
      </c>
    </row>
    <row r="898" spans="1:6" x14ac:dyDescent="0.25">
      <c r="A898" s="4" t="s">
        <v>347</v>
      </c>
      <c r="B898">
        <v>369</v>
      </c>
      <c r="C898">
        <f t="shared" si="55"/>
        <v>10763</v>
      </c>
      <c r="D898">
        <f t="shared" si="57"/>
        <v>0</v>
      </c>
      <c r="E898">
        <f t="shared" si="58"/>
        <v>0</v>
      </c>
      <c r="F898">
        <f t="shared" si="56"/>
        <v>0</v>
      </c>
    </row>
    <row r="899" spans="1:6" x14ac:dyDescent="0.25">
      <c r="A899" s="4" t="s">
        <v>356</v>
      </c>
      <c r="B899">
        <v>473</v>
      </c>
      <c r="C899">
        <f t="shared" si="55"/>
        <v>11236</v>
      </c>
      <c r="D899">
        <f t="shared" si="57"/>
        <v>0</v>
      </c>
      <c r="E899">
        <f t="shared" si="58"/>
        <v>0</v>
      </c>
      <c r="F899">
        <f t="shared" si="56"/>
        <v>0</v>
      </c>
    </row>
    <row r="900" spans="1:6" x14ac:dyDescent="0.25">
      <c r="A900" s="4" t="s">
        <v>362</v>
      </c>
      <c r="B900">
        <v>52</v>
      </c>
      <c r="C900">
        <f t="shared" si="55"/>
        <v>11288</v>
      </c>
      <c r="D900">
        <f t="shared" si="57"/>
        <v>0</v>
      </c>
      <c r="E900">
        <f t="shared" si="58"/>
        <v>0</v>
      </c>
      <c r="F900">
        <f t="shared" si="56"/>
        <v>0</v>
      </c>
    </row>
    <row r="901" spans="1:6" x14ac:dyDescent="0.25">
      <c r="A901" s="4" t="s">
        <v>368</v>
      </c>
      <c r="B901">
        <v>263</v>
      </c>
      <c r="C901">
        <f t="shared" ref="C901:C964" si="59">IF(LEN(A901) &gt;= 12, 0, C900+B901)</f>
        <v>11551</v>
      </c>
      <c r="D901">
        <f t="shared" si="57"/>
        <v>0</v>
      </c>
      <c r="E901">
        <f t="shared" si="58"/>
        <v>0</v>
      </c>
      <c r="F901">
        <f t="shared" si="56"/>
        <v>0</v>
      </c>
    </row>
    <row r="902" spans="1:6" x14ac:dyDescent="0.25">
      <c r="A902" s="4" t="s">
        <v>377</v>
      </c>
      <c r="B902">
        <v>58</v>
      </c>
      <c r="C902">
        <f t="shared" si="59"/>
        <v>11609</v>
      </c>
      <c r="D902">
        <f t="shared" si="57"/>
        <v>0</v>
      </c>
      <c r="E902">
        <f t="shared" si="58"/>
        <v>0</v>
      </c>
      <c r="F902">
        <f t="shared" ref="F902:F965" si="60">IF(AND(D902 = 1, C902 &lt; 20000), B902*5, IF(AND(E902=1, C902 &gt;= 20000),B902*10,0))</f>
        <v>0</v>
      </c>
    </row>
    <row r="903" spans="1:6" x14ac:dyDescent="0.25">
      <c r="A903" s="4" t="s">
        <v>380</v>
      </c>
      <c r="B903">
        <v>582</v>
      </c>
      <c r="C903">
        <f t="shared" si="59"/>
        <v>12191</v>
      </c>
      <c r="D903">
        <f t="shared" si="57"/>
        <v>0</v>
      </c>
      <c r="E903">
        <f t="shared" si="58"/>
        <v>0</v>
      </c>
      <c r="F903">
        <f t="shared" si="60"/>
        <v>0</v>
      </c>
    </row>
    <row r="904" spans="1:6" x14ac:dyDescent="0.25">
      <c r="A904" s="4" t="s">
        <v>382</v>
      </c>
      <c r="B904">
        <v>457</v>
      </c>
      <c r="C904">
        <f t="shared" si="59"/>
        <v>12648</v>
      </c>
      <c r="D904">
        <f t="shared" si="57"/>
        <v>0</v>
      </c>
      <c r="E904">
        <f t="shared" si="58"/>
        <v>0</v>
      </c>
      <c r="F904">
        <f t="shared" si="60"/>
        <v>0</v>
      </c>
    </row>
    <row r="905" spans="1:6" x14ac:dyDescent="0.25">
      <c r="A905" s="4" t="s">
        <v>393</v>
      </c>
      <c r="B905">
        <v>340</v>
      </c>
      <c r="C905">
        <f t="shared" si="59"/>
        <v>12988</v>
      </c>
      <c r="D905">
        <f t="shared" si="57"/>
        <v>0</v>
      </c>
      <c r="E905">
        <f t="shared" si="58"/>
        <v>0</v>
      </c>
      <c r="F905">
        <f t="shared" si="60"/>
        <v>0</v>
      </c>
    </row>
    <row r="906" spans="1:6" x14ac:dyDescent="0.25">
      <c r="A906" s="4" t="s">
        <v>394</v>
      </c>
      <c r="B906">
        <v>369</v>
      </c>
      <c r="C906">
        <f t="shared" si="59"/>
        <v>13357</v>
      </c>
      <c r="D906">
        <f t="shared" si="57"/>
        <v>0</v>
      </c>
      <c r="E906">
        <f t="shared" si="58"/>
        <v>0</v>
      </c>
      <c r="F906">
        <f t="shared" si="60"/>
        <v>0</v>
      </c>
    </row>
    <row r="907" spans="1:6" x14ac:dyDescent="0.25">
      <c r="A907" s="3" t="s">
        <v>28</v>
      </c>
      <c r="B907">
        <v>14993</v>
      </c>
      <c r="C907">
        <f t="shared" si="59"/>
        <v>0</v>
      </c>
      <c r="D907">
        <f t="shared" si="57"/>
        <v>0</v>
      </c>
      <c r="E907">
        <f t="shared" si="58"/>
        <v>0</v>
      </c>
      <c r="F907">
        <f t="shared" si="60"/>
        <v>0</v>
      </c>
    </row>
    <row r="908" spans="1:6" x14ac:dyDescent="0.25">
      <c r="A908" s="4" t="s">
        <v>94</v>
      </c>
      <c r="B908">
        <v>534</v>
      </c>
      <c r="C908">
        <f t="shared" si="59"/>
        <v>534</v>
      </c>
      <c r="D908">
        <f t="shared" si="57"/>
        <v>0</v>
      </c>
      <c r="E908">
        <f t="shared" si="58"/>
        <v>0</v>
      </c>
      <c r="F908">
        <f t="shared" si="60"/>
        <v>0</v>
      </c>
    </row>
    <row r="909" spans="1:6" x14ac:dyDescent="0.25">
      <c r="A909" s="4" t="s">
        <v>95</v>
      </c>
      <c r="B909">
        <v>378</v>
      </c>
      <c r="C909">
        <f t="shared" si="59"/>
        <v>912</v>
      </c>
      <c r="D909">
        <f t="shared" si="57"/>
        <v>0</v>
      </c>
      <c r="E909">
        <f t="shared" si="58"/>
        <v>0</v>
      </c>
      <c r="F909">
        <f t="shared" si="60"/>
        <v>0</v>
      </c>
    </row>
    <row r="910" spans="1:6" x14ac:dyDescent="0.25">
      <c r="A910" s="4" t="s">
        <v>106</v>
      </c>
      <c r="B910">
        <v>212</v>
      </c>
      <c r="C910">
        <f t="shared" si="59"/>
        <v>1124</v>
      </c>
      <c r="D910">
        <f t="shared" si="57"/>
        <v>0</v>
      </c>
      <c r="E910">
        <f t="shared" si="58"/>
        <v>0</v>
      </c>
      <c r="F910">
        <f t="shared" si="60"/>
        <v>0</v>
      </c>
    </row>
    <row r="911" spans="1:6" x14ac:dyDescent="0.25">
      <c r="A911" s="4" t="s">
        <v>114</v>
      </c>
      <c r="B911">
        <v>389</v>
      </c>
      <c r="C911">
        <f t="shared" si="59"/>
        <v>1513</v>
      </c>
      <c r="D911">
        <f t="shared" si="57"/>
        <v>0</v>
      </c>
      <c r="E911">
        <f t="shared" si="58"/>
        <v>0</v>
      </c>
      <c r="F911">
        <f t="shared" si="60"/>
        <v>0</v>
      </c>
    </row>
    <row r="912" spans="1:6" x14ac:dyDescent="0.25">
      <c r="A912" s="4" t="s">
        <v>121</v>
      </c>
      <c r="B912">
        <v>737</v>
      </c>
      <c r="C912">
        <f t="shared" si="59"/>
        <v>2250</v>
      </c>
      <c r="D912">
        <f t="shared" si="57"/>
        <v>0</v>
      </c>
      <c r="E912">
        <f t="shared" si="58"/>
        <v>0</v>
      </c>
      <c r="F912">
        <f t="shared" si="60"/>
        <v>0</v>
      </c>
    </row>
    <row r="913" spans="1:6" x14ac:dyDescent="0.25">
      <c r="A913" s="4" t="s">
        <v>126</v>
      </c>
      <c r="B913">
        <v>538</v>
      </c>
      <c r="C913">
        <f t="shared" si="59"/>
        <v>2788</v>
      </c>
      <c r="D913">
        <f t="shared" si="57"/>
        <v>0</v>
      </c>
      <c r="E913">
        <f t="shared" si="58"/>
        <v>0</v>
      </c>
      <c r="F913">
        <f t="shared" si="60"/>
        <v>0</v>
      </c>
    </row>
    <row r="914" spans="1:6" x14ac:dyDescent="0.25">
      <c r="A914" s="4" t="s">
        <v>143</v>
      </c>
      <c r="B914">
        <v>345</v>
      </c>
      <c r="C914">
        <f t="shared" si="59"/>
        <v>3133</v>
      </c>
      <c r="D914">
        <f t="shared" si="57"/>
        <v>0</v>
      </c>
      <c r="E914">
        <f t="shared" si="58"/>
        <v>0</v>
      </c>
      <c r="F914">
        <f t="shared" si="60"/>
        <v>0</v>
      </c>
    </row>
    <row r="915" spans="1:6" x14ac:dyDescent="0.25">
      <c r="A915" s="4" t="s">
        <v>150</v>
      </c>
      <c r="B915">
        <v>410</v>
      </c>
      <c r="C915">
        <f t="shared" si="59"/>
        <v>3543</v>
      </c>
      <c r="D915">
        <f t="shared" si="57"/>
        <v>0</v>
      </c>
      <c r="E915">
        <f t="shared" si="58"/>
        <v>0</v>
      </c>
      <c r="F915">
        <f t="shared" si="60"/>
        <v>0</v>
      </c>
    </row>
    <row r="916" spans="1:6" x14ac:dyDescent="0.25">
      <c r="A916" s="4" t="s">
        <v>159</v>
      </c>
      <c r="B916">
        <v>487</v>
      </c>
      <c r="C916">
        <f t="shared" si="59"/>
        <v>4030</v>
      </c>
      <c r="D916">
        <f t="shared" si="57"/>
        <v>0</v>
      </c>
      <c r="E916">
        <f t="shared" si="58"/>
        <v>0</v>
      </c>
      <c r="F916">
        <f t="shared" si="60"/>
        <v>0</v>
      </c>
    </row>
    <row r="917" spans="1:6" x14ac:dyDescent="0.25">
      <c r="A917" s="4" t="s">
        <v>162</v>
      </c>
      <c r="B917">
        <v>75</v>
      </c>
      <c r="C917">
        <f t="shared" si="59"/>
        <v>4105</v>
      </c>
      <c r="D917">
        <f t="shared" si="57"/>
        <v>0</v>
      </c>
      <c r="E917">
        <f t="shared" si="58"/>
        <v>0</v>
      </c>
      <c r="F917">
        <f t="shared" si="60"/>
        <v>0</v>
      </c>
    </row>
    <row r="918" spans="1:6" x14ac:dyDescent="0.25">
      <c r="A918" s="4" t="s">
        <v>168</v>
      </c>
      <c r="B918">
        <v>634</v>
      </c>
      <c r="C918">
        <f t="shared" si="59"/>
        <v>4739</v>
      </c>
      <c r="D918">
        <f t="shared" si="57"/>
        <v>0</v>
      </c>
      <c r="E918">
        <f t="shared" si="58"/>
        <v>0</v>
      </c>
      <c r="F918">
        <f t="shared" si="60"/>
        <v>0</v>
      </c>
    </row>
    <row r="919" spans="1:6" x14ac:dyDescent="0.25">
      <c r="A919" s="4" t="s">
        <v>173</v>
      </c>
      <c r="B919">
        <v>451</v>
      </c>
      <c r="C919">
        <f t="shared" si="59"/>
        <v>5190</v>
      </c>
      <c r="D919">
        <f t="shared" si="57"/>
        <v>0</v>
      </c>
      <c r="E919">
        <f t="shared" si="58"/>
        <v>0</v>
      </c>
      <c r="F919">
        <f t="shared" si="60"/>
        <v>0</v>
      </c>
    </row>
    <row r="920" spans="1:6" x14ac:dyDescent="0.25">
      <c r="A920" s="4" t="s">
        <v>174</v>
      </c>
      <c r="B920">
        <v>229</v>
      </c>
      <c r="C920">
        <f t="shared" si="59"/>
        <v>5419</v>
      </c>
      <c r="D920">
        <f t="shared" si="57"/>
        <v>0</v>
      </c>
      <c r="E920">
        <f t="shared" si="58"/>
        <v>0</v>
      </c>
      <c r="F920">
        <f t="shared" si="60"/>
        <v>0</v>
      </c>
    </row>
    <row r="921" spans="1:6" x14ac:dyDescent="0.25">
      <c r="A921" s="4" t="s">
        <v>180</v>
      </c>
      <c r="B921">
        <v>506</v>
      </c>
      <c r="C921">
        <f t="shared" si="59"/>
        <v>5925</v>
      </c>
      <c r="D921">
        <f t="shared" si="57"/>
        <v>0</v>
      </c>
      <c r="E921">
        <f t="shared" si="58"/>
        <v>0</v>
      </c>
      <c r="F921">
        <f t="shared" si="60"/>
        <v>0</v>
      </c>
    </row>
    <row r="922" spans="1:6" x14ac:dyDescent="0.25">
      <c r="A922" s="4" t="s">
        <v>184</v>
      </c>
      <c r="B922">
        <v>264</v>
      </c>
      <c r="C922">
        <f t="shared" si="59"/>
        <v>6189</v>
      </c>
      <c r="D922">
        <f t="shared" si="57"/>
        <v>0</v>
      </c>
      <c r="E922">
        <f t="shared" si="58"/>
        <v>0</v>
      </c>
      <c r="F922">
        <f t="shared" si="60"/>
        <v>0</v>
      </c>
    </row>
    <row r="923" spans="1:6" x14ac:dyDescent="0.25">
      <c r="A923" s="4" t="s">
        <v>198</v>
      </c>
      <c r="B923">
        <v>87</v>
      </c>
      <c r="C923">
        <f t="shared" si="59"/>
        <v>6276</v>
      </c>
      <c r="D923">
        <f t="shared" si="57"/>
        <v>0</v>
      </c>
      <c r="E923">
        <f t="shared" si="58"/>
        <v>0</v>
      </c>
      <c r="F923">
        <f t="shared" si="60"/>
        <v>0</v>
      </c>
    </row>
    <row r="924" spans="1:6" x14ac:dyDescent="0.25">
      <c r="A924" s="4" t="s">
        <v>207</v>
      </c>
      <c r="B924">
        <v>486</v>
      </c>
      <c r="C924">
        <f t="shared" si="59"/>
        <v>6762</v>
      </c>
      <c r="D924">
        <f t="shared" si="57"/>
        <v>0</v>
      </c>
      <c r="E924">
        <f t="shared" si="58"/>
        <v>0</v>
      </c>
      <c r="F924">
        <f t="shared" si="60"/>
        <v>0</v>
      </c>
    </row>
    <row r="925" spans="1:6" x14ac:dyDescent="0.25">
      <c r="A925" s="4" t="s">
        <v>221</v>
      </c>
      <c r="B925">
        <v>234</v>
      </c>
      <c r="C925">
        <f t="shared" si="59"/>
        <v>6996</v>
      </c>
      <c r="D925">
        <f t="shared" si="57"/>
        <v>0</v>
      </c>
      <c r="E925">
        <f t="shared" si="58"/>
        <v>0</v>
      </c>
      <c r="F925">
        <f t="shared" si="60"/>
        <v>0</v>
      </c>
    </row>
    <row r="926" spans="1:6" x14ac:dyDescent="0.25">
      <c r="A926" s="4" t="s">
        <v>230</v>
      </c>
      <c r="B926">
        <v>39</v>
      </c>
      <c r="C926">
        <f t="shared" si="59"/>
        <v>7035</v>
      </c>
      <c r="D926">
        <f t="shared" si="57"/>
        <v>0</v>
      </c>
      <c r="E926">
        <f t="shared" si="58"/>
        <v>0</v>
      </c>
      <c r="F926">
        <f t="shared" si="60"/>
        <v>0</v>
      </c>
    </row>
    <row r="927" spans="1:6" x14ac:dyDescent="0.25">
      <c r="A927" s="4" t="s">
        <v>231</v>
      </c>
      <c r="B927">
        <v>89</v>
      </c>
      <c r="C927">
        <f t="shared" si="59"/>
        <v>7124</v>
      </c>
      <c r="D927">
        <f t="shared" si="57"/>
        <v>0</v>
      </c>
      <c r="E927">
        <f t="shared" si="58"/>
        <v>0</v>
      </c>
      <c r="F927">
        <f t="shared" si="60"/>
        <v>0</v>
      </c>
    </row>
    <row r="928" spans="1:6" x14ac:dyDescent="0.25">
      <c r="A928" s="4" t="s">
        <v>240</v>
      </c>
      <c r="B928">
        <v>115</v>
      </c>
      <c r="C928">
        <f t="shared" si="59"/>
        <v>7239</v>
      </c>
      <c r="D928">
        <f t="shared" si="57"/>
        <v>0</v>
      </c>
      <c r="E928">
        <f t="shared" si="58"/>
        <v>0</v>
      </c>
      <c r="F928">
        <f t="shared" si="60"/>
        <v>0</v>
      </c>
    </row>
    <row r="929" spans="1:6" x14ac:dyDescent="0.25">
      <c r="A929" s="4" t="s">
        <v>244</v>
      </c>
      <c r="B929">
        <v>377</v>
      </c>
      <c r="C929">
        <f t="shared" si="59"/>
        <v>7616</v>
      </c>
      <c r="D929">
        <f t="shared" si="57"/>
        <v>0</v>
      </c>
      <c r="E929">
        <f t="shared" si="58"/>
        <v>0</v>
      </c>
      <c r="F929">
        <f t="shared" si="60"/>
        <v>0</v>
      </c>
    </row>
    <row r="930" spans="1:6" x14ac:dyDescent="0.25">
      <c r="A930" s="4" t="s">
        <v>245</v>
      </c>
      <c r="B930">
        <v>148</v>
      </c>
      <c r="C930">
        <f t="shared" si="59"/>
        <v>7764</v>
      </c>
      <c r="D930">
        <f t="shared" si="57"/>
        <v>0</v>
      </c>
      <c r="E930">
        <f t="shared" si="58"/>
        <v>0</v>
      </c>
      <c r="F930">
        <f t="shared" si="60"/>
        <v>0</v>
      </c>
    </row>
    <row r="931" spans="1:6" x14ac:dyDescent="0.25">
      <c r="A931" s="4" t="s">
        <v>255</v>
      </c>
      <c r="B931">
        <v>62</v>
      </c>
      <c r="C931">
        <f t="shared" si="59"/>
        <v>7826</v>
      </c>
      <c r="D931">
        <f t="shared" si="57"/>
        <v>0</v>
      </c>
      <c r="E931">
        <f t="shared" si="58"/>
        <v>0</v>
      </c>
      <c r="F931">
        <f t="shared" si="60"/>
        <v>0</v>
      </c>
    </row>
    <row r="932" spans="1:6" x14ac:dyDescent="0.25">
      <c r="A932" s="4" t="s">
        <v>258</v>
      </c>
      <c r="B932">
        <v>275</v>
      </c>
      <c r="C932">
        <f t="shared" si="59"/>
        <v>8101</v>
      </c>
      <c r="D932">
        <f t="shared" si="57"/>
        <v>0</v>
      </c>
      <c r="E932">
        <f t="shared" si="58"/>
        <v>0</v>
      </c>
      <c r="F932">
        <f t="shared" si="60"/>
        <v>0</v>
      </c>
    </row>
    <row r="933" spans="1:6" x14ac:dyDescent="0.25">
      <c r="A933" s="4" t="s">
        <v>262</v>
      </c>
      <c r="B933">
        <v>389</v>
      </c>
      <c r="C933">
        <f t="shared" si="59"/>
        <v>8490</v>
      </c>
      <c r="D933">
        <f t="shared" si="57"/>
        <v>0</v>
      </c>
      <c r="E933">
        <f t="shared" si="58"/>
        <v>0</v>
      </c>
      <c r="F933">
        <f t="shared" si="60"/>
        <v>0</v>
      </c>
    </row>
    <row r="934" spans="1:6" x14ac:dyDescent="0.25">
      <c r="A934" s="4" t="s">
        <v>270</v>
      </c>
      <c r="B934">
        <v>185</v>
      </c>
      <c r="C934">
        <f t="shared" si="59"/>
        <v>8675</v>
      </c>
      <c r="D934">
        <f t="shared" si="57"/>
        <v>0</v>
      </c>
      <c r="E934">
        <f t="shared" si="58"/>
        <v>0</v>
      </c>
      <c r="F934">
        <f t="shared" si="60"/>
        <v>0</v>
      </c>
    </row>
    <row r="935" spans="1:6" x14ac:dyDescent="0.25">
      <c r="A935" s="4" t="s">
        <v>271</v>
      </c>
      <c r="B935">
        <v>438</v>
      </c>
      <c r="C935">
        <f t="shared" si="59"/>
        <v>9113</v>
      </c>
      <c r="D935">
        <f t="shared" si="57"/>
        <v>0</v>
      </c>
      <c r="E935">
        <f t="shared" si="58"/>
        <v>0</v>
      </c>
      <c r="F935">
        <f t="shared" si="60"/>
        <v>0</v>
      </c>
    </row>
    <row r="936" spans="1:6" x14ac:dyDescent="0.25">
      <c r="A936" s="4" t="s">
        <v>279</v>
      </c>
      <c r="B936">
        <v>388</v>
      </c>
      <c r="C936">
        <f t="shared" si="59"/>
        <v>9501</v>
      </c>
      <c r="D936">
        <f t="shared" si="57"/>
        <v>0</v>
      </c>
      <c r="E936">
        <f t="shared" si="58"/>
        <v>0</v>
      </c>
      <c r="F936">
        <f t="shared" si="60"/>
        <v>0</v>
      </c>
    </row>
    <row r="937" spans="1:6" x14ac:dyDescent="0.25">
      <c r="A937" s="4" t="s">
        <v>280</v>
      </c>
      <c r="B937">
        <v>48</v>
      </c>
      <c r="C937">
        <f t="shared" si="59"/>
        <v>9549</v>
      </c>
      <c r="D937">
        <f t="shared" si="57"/>
        <v>0</v>
      </c>
      <c r="E937">
        <f t="shared" si="58"/>
        <v>0</v>
      </c>
      <c r="F937">
        <f t="shared" si="60"/>
        <v>0</v>
      </c>
    </row>
    <row r="938" spans="1:6" x14ac:dyDescent="0.25">
      <c r="A938" s="4" t="s">
        <v>292</v>
      </c>
      <c r="B938">
        <v>472</v>
      </c>
      <c r="C938">
        <f t="shared" si="59"/>
        <v>10021</v>
      </c>
      <c r="D938">
        <f t="shared" si="57"/>
        <v>0</v>
      </c>
      <c r="E938">
        <f t="shared" si="58"/>
        <v>0</v>
      </c>
      <c r="F938">
        <f t="shared" si="60"/>
        <v>0</v>
      </c>
    </row>
    <row r="939" spans="1:6" x14ac:dyDescent="0.25">
      <c r="A939" s="4" t="s">
        <v>308</v>
      </c>
      <c r="B939">
        <v>129</v>
      </c>
      <c r="C939">
        <f t="shared" si="59"/>
        <v>10150</v>
      </c>
      <c r="D939">
        <f t="shared" si="57"/>
        <v>0</v>
      </c>
      <c r="E939">
        <f t="shared" si="58"/>
        <v>0</v>
      </c>
      <c r="F939">
        <f t="shared" si="60"/>
        <v>0</v>
      </c>
    </row>
    <row r="940" spans="1:6" x14ac:dyDescent="0.25">
      <c r="A940" s="4" t="s">
        <v>317</v>
      </c>
      <c r="B940">
        <v>164</v>
      </c>
      <c r="C940">
        <f t="shared" si="59"/>
        <v>10314</v>
      </c>
      <c r="D940">
        <f t="shared" si="57"/>
        <v>0</v>
      </c>
      <c r="E940">
        <f t="shared" si="58"/>
        <v>0</v>
      </c>
      <c r="F940">
        <f t="shared" si="60"/>
        <v>0</v>
      </c>
    </row>
    <row r="941" spans="1:6" x14ac:dyDescent="0.25">
      <c r="A941" s="4" t="s">
        <v>327</v>
      </c>
      <c r="B941">
        <v>217</v>
      </c>
      <c r="C941">
        <f t="shared" si="59"/>
        <v>10531</v>
      </c>
      <c r="D941">
        <f t="shared" si="57"/>
        <v>0</v>
      </c>
      <c r="E941">
        <f t="shared" si="58"/>
        <v>0</v>
      </c>
      <c r="F941">
        <f t="shared" si="60"/>
        <v>0</v>
      </c>
    </row>
    <row r="942" spans="1:6" x14ac:dyDescent="0.25">
      <c r="A942" s="4" t="s">
        <v>331</v>
      </c>
      <c r="B942">
        <v>252</v>
      </c>
      <c r="C942">
        <f t="shared" si="59"/>
        <v>10783</v>
      </c>
      <c r="D942">
        <f t="shared" si="57"/>
        <v>0</v>
      </c>
      <c r="E942">
        <f t="shared" si="58"/>
        <v>0</v>
      </c>
      <c r="F942">
        <f t="shared" si="60"/>
        <v>0</v>
      </c>
    </row>
    <row r="943" spans="1:6" x14ac:dyDescent="0.25">
      <c r="A943" s="4" t="s">
        <v>334</v>
      </c>
      <c r="B943">
        <v>438</v>
      </c>
      <c r="C943">
        <f t="shared" si="59"/>
        <v>11221</v>
      </c>
      <c r="D943">
        <f t="shared" si="57"/>
        <v>0</v>
      </c>
      <c r="E943">
        <f t="shared" si="58"/>
        <v>0</v>
      </c>
      <c r="F943">
        <f t="shared" si="60"/>
        <v>0</v>
      </c>
    </row>
    <row r="944" spans="1:6" x14ac:dyDescent="0.25">
      <c r="A944" s="4" t="s">
        <v>336</v>
      </c>
      <c r="B944">
        <v>379</v>
      </c>
      <c r="C944">
        <f t="shared" si="59"/>
        <v>11600</v>
      </c>
      <c r="D944">
        <f t="shared" si="57"/>
        <v>0</v>
      </c>
      <c r="E944">
        <f t="shared" si="58"/>
        <v>0</v>
      </c>
      <c r="F944">
        <f t="shared" si="60"/>
        <v>0</v>
      </c>
    </row>
    <row r="945" spans="1:6" x14ac:dyDescent="0.25">
      <c r="A945" s="4" t="s">
        <v>338</v>
      </c>
      <c r="B945">
        <v>168</v>
      </c>
      <c r="C945">
        <f t="shared" si="59"/>
        <v>11768</v>
      </c>
      <c r="D945">
        <f t="shared" ref="D945:D1008" si="61">IF(C945 &gt; 15000, 1, 0)</f>
        <v>0</v>
      </c>
      <c r="E945">
        <f t="shared" ref="E945:E1008" si="62">IF(AND(D945 =1,C945 &gt;= 20000),1,0)</f>
        <v>0</v>
      </c>
      <c r="F945">
        <f t="shared" si="60"/>
        <v>0</v>
      </c>
    </row>
    <row r="946" spans="1:6" x14ac:dyDescent="0.25">
      <c r="A946" s="4" t="s">
        <v>345</v>
      </c>
      <c r="B946">
        <v>133</v>
      </c>
      <c r="C946">
        <f t="shared" si="59"/>
        <v>11901</v>
      </c>
      <c r="D946">
        <f t="shared" si="61"/>
        <v>0</v>
      </c>
      <c r="E946">
        <f t="shared" si="62"/>
        <v>0</v>
      </c>
      <c r="F946">
        <f t="shared" si="60"/>
        <v>0</v>
      </c>
    </row>
    <row r="947" spans="1:6" x14ac:dyDescent="0.25">
      <c r="A947" s="4" t="s">
        <v>346</v>
      </c>
      <c r="B947">
        <v>455</v>
      </c>
      <c r="C947">
        <f t="shared" si="59"/>
        <v>12356</v>
      </c>
      <c r="D947">
        <f t="shared" si="61"/>
        <v>0</v>
      </c>
      <c r="E947">
        <f t="shared" si="62"/>
        <v>0</v>
      </c>
      <c r="F947">
        <f t="shared" si="60"/>
        <v>0</v>
      </c>
    </row>
    <row r="948" spans="1:6" x14ac:dyDescent="0.25">
      <c r="A948" s="4" t="s">
        <v>348</v>
      </c>
      <c r="B948">
        <v>365</v>
      </c>
      <c r="C948">
        <f t="shared" si="59"/>
        <v>12721</v>
      </c>
      <c r="D948">
        <f t="shared" si="61"/>
        <v>0</v>
      </c>
      <c r="E948">
        <f t="shared" si="62"/>
        <v>0</v>
      </c>
      <c r="F948">
        <f t="shared" si="60"/>
        <v>0</v>
      </c>
    </row>
    <row r="949" spans="1:6" x14ac:dyDescent="0.25">
      <c r="A949" s="4" t="s">
        <v>351</v>
      </c>
      <c r="B949">
        <v>284</v>
      </c>
      <c r="C949">
        <f t="shared" si="59"/>
        <v>13005</v>
      </c>
      <c r="D949">
        <f t="shared" si="61"/>
        <v>0</v>
      </c>
      <c r="E949">
        <f t="shared" si="62"/>
        <v>0</v>
      </c>
      <c r="F949">
        <f t="shared" si="60"/>
        <v>0</v>
      </c>
    </row>
    <row r="950" spans="1:6" x14ac:dyDescent="0.25">
      <c r="A950" s="4" t="s">
        <v>356</v>
      </c>
      <c r="B950">
        <v>178</v>
      </c>
      <c r="C950">
        <f t="shared" si="59"/>
        <v>13183</v>
      </c>
      <c r="D950">
        <f t="shared" si="61"/>
        <v>0</v>
      </c>
      <c r="E950">
        <f t="shared" si="62"/>
        <v>0</v>
      </c>
      <c r="F950">
        <f t="shared" si="60"/>
        <v>0</v>
      </c>
    </row>
    <row r="951" spans="1:6" x14ac:dyDescent="0.25">
      <c r="A951" s="4" t="s">
        <v>369</v>
      </c>
      <c r="B951">
        <v>297</v>
      </c>
      <c r="C951">
        <f t="shared" si="59"/>
        <v>13480</v>
      </c>
      <c r="D951">
        <f t="shared" si="61"/>
        <v>0</v>
      </c>
      <c r="E951">
        <f t="shared" si="62"/>
        <v>0</v>
      </c>
      <c r="F951">
        <f t="shared" si="60"/>
        <v>0</v>
      </c>
    </row>
    <row r="952" spans="1:6" x14ac:dyDescent="0.25">
      <c r="A952" s="4" t="s">
        <v>370</v>
      </c>
      <c r="B952">
        <v>10</v>
      </c>
      <c r="C952">
        <f t="shared" si="59"/>
        <v>13490</v>
      </c>
      <c r="D952">
        <f t="shared" si="61"/>
        <v>0</v>
      </c>
      <c r="E952">
        <f t="shared" si="62"/>
        <v>0</v>
      </c>
      <c r="F952">
        <f t="shared" si="60"/>
        <v>0</v>
      </c>
    </row>
    <row r="953" spans="1:6" x14ac:dyDescent="0.25">
      <c r="A953" s="4" t="s">
        <v>381</v>
      </c>
      <c r="B953">
        <v>469</v>
      </c>
      <c r="C953">
        <f t="shared" si="59"/>
        <v>13959</v>
      </c>
      <c r="D953">
        <f t="shared" si="61"/>
        <v>0</v>
      </c>
      <c r="E953">
        <f t="shared" si="62"/>
        <v>0</v>
      </c>
      <c r="F953">
        <f t="shared" si="60"/>
        <v>0</v>
      </c>
    </row>
    <row r="954" spans="1:6" x14ac:dyDescent="0.25">
      <c r="A954" s="4" t="s">
        <v>385</v>
      </c>
      <c r="B954">
        <v>263</v>
      </c>
      <c r="C954">
        <f t="shared" si="59"/>
        <v>14222</v>
      </c>
      <c r="D954">
        <f t="shared" si="61"/>
        <v>0</v>
      </c>
      <c r="E954">
        <f t="shared" si="62"/>
        <v>0</v>
      </c>
      <c r="F954">
        <f t="shared" si="60"/>
        <v>0</v>
      </c>
    </row>
    <row r="955" spans="1:6" x14ac:dyDescent="0.25">
      <c r="A955" s="4" t="s">
        <v>388</v>
      </c>
      <c r="B955">
        <v>26</v>
      </c>
      <c r="C955">
        <f t="shared" si="59"/>
        <v>14248</v>
      </c>
      <c r="D955">
        <f t="shared" si="61"/>
        <v>0</v>
      </c>
      <c r="E955">
        <f t="shared" si="62"/>
        <v>0</v>
      </c>
      <c r="F955">
        <f t="shared" si="60"/>
        <v>0</v>
      </c>
    </row>
    <row r="956" spans="1:6" x14ac:dyDescent="0.25">
      <c r="A956" s="4" t="s">
        <v>392</v>
      </c>
      <c r="B956">
        <v>438</v>
      </c>
      <c r="C956">
        <f t="shared" si="59"/>
        <v>14686</v>
      </c>
      <c r="D956">
        <f t="shared" si="61"/>
        <v>0</v>
      </c>
      <c r="E956">
        <f t="shared" si="62"/>
        <v>0</v>
      </c>
      <c r="F956">
        <f t="shared" si="60"/>
        <v>0</v>
      </c>
    </row>
    <row r="957" spans="1:6" x14ac:dyDescent="0.25">
      <c r="A957" s="4" t="s">
        <v>403</v>
      </c>
      <c r="B957">
        <v>307</v>
      </c>
      <c r="C957">
        <f t="shared" si="59"/>
        <v>14993</v>
      </c>
      <c r="D957">
        <f t="shared" si="61"/>
        <v>0</v>
      </c>
      <c r="E957">
        <f t="shared" si="62"/>
        <v>0</v>
      </c>
      <c r="F957">
        <f t="shared" si="60"/>
        <v>0</v>
      </c>
    </row>
    <row r="958" spans="1:6" x14ac:dyDescent="0.25">
      <c r="A958" s="3" t="s">
        <v>32</v>
      </c>
      <c r="B958">
        <v>16622</v>
      </c>
      <c r="C958">
        <f t="shared" si="59"/>
        <v>0</v>
      </c>
      <c r="D958">
        <f t="shared" si="61"/>
        <v>0</v>
      </c>
      <c r="E958">
        <f t="shared" si="62"/>
        <v>0</v>
      </c>
      <c r="F958">
        <f t="shared" si="60"/>
        <v>0</v>
      </c>
    </row>
    <row r="959" spans="1:6" x14ac:dyDescent="0.25">
      <c r="A959" s="4" t="s">
        <v>105</v>
      </c>
      <c r="B959">
        <v>519</v>
      </c>
      <c r="C959">
        <f t="shared" si="59"/>
        <v>519</v>
      </c>
      <c r="D959">
        <f t="shared" si="61"/>
        <v>0</v>
      </c>
      <c r="E959">
        <f t="shared" si="62"/>
        <v>0</v>
      </c>
      <c r="F959">
        <f t="shared" si="60"/>
        <v>0</v>
      </c>
    </row>
    <row r="960" spans="1:6" x14ac:dyDescent="0.25">
      <c r="A960" s="4" t="s">
        <v>107</v>
      </c>
      <c r="B960">
        <v>385</v>
      </c>
      <c r="C960">
        <f t="shared" si="59"/>
        <v>904</v>
      </c>
      <c r="D960">
        <f t="shared" si="61"/>
        <v>0</v>
      </c>
      <c r="E960">
        <f t="shared" si="62"/>
        <v>0</v>
      </c>
      <c r="F960">
        <f t="shared" si="60"/>
        <v>0</v>
      </c>
    </row>
    <row r="961" spans="1:6" x14ac:dyDescent="0.25">
      <c r="A961" s="4" t="s">
        <v>111</v>
      </c>
      <c r="B961">
        <v>186</v>
      </c>
      <c r="C961">
        <f t="shared" si="59"/>
        <v>1090</v>
      </c>
      <c r="D961">
        <f t="shared" si="61"/>
        <v>0</v>
      </c>
      <c r="E961">
        <f t="shared" si="62"/>
        <v>0</v>
      </c>
      <c r="F961">
        <f t="shared" si="60"/>
        <v>0</v>
      </c>
    </row>
    <row r="962" spans="1:6" x14ac:dyDescent="0.25">
      <c r="A962" s="4" t="s">
        <v>116</v>
      </c>
      <c r="B962">
        <v>783</v>
      </c>
      <c r="C962">
        <f t="shared" si="59"/>
        <v>1873</v>
      </c>
      <c r="D962">
        <f t="shared" si="61"/>
        <v>0</v>
      </c>
      <c r="E962">
        <f t="shared" si="62"/>
        <v>0</v>
      </c>
      <c r="F962">
        <f t="shared" si="60"/>
        <v>0</v>
      </c>
    </row>
    <row r="963" spans="1:6" x14ac:dyDescent="0.25">
      <c r="A963" s="4" t="s">
        <v>125</v>
      </c>
      <c r="B963">
        <v>42</v>
      </c>
      <c r="C963">
        <f t="shared" si="59"/>
        <v>1915</v>
      </c>
      <c r="D963">
        <f t="shared" si="61"/>
        <v>0</v>
      </c>
      <c r="E963">
        <f t="shared" si="62"/>
        <v>0</v>
      </c>
      <c r="F963">
        <f t="shared" si="60"/>
        <v>0</v>
      </c>
    </row>
    <row r="964" spans="1:6" x14ac:dyDescent="0.25">
      <c r="A964" s="4" t="s">
        <v>128</v>
      </c>
      <c r="B964">
        <v>421</v>
      </c>
      <c r="C964">
        <f t="shared" si="59"/>
        <v>2336</v>
      </c>
      <c r="D964">
        <f t="shared" si="61"/>
        <v>0</v>
      </c>
      <c r="E964">
        <f t="shared" si="62"/>
        <v>0</v>
      </c>
      <c r="F964">
        <f t="shared" si="60"/>
        <v>0</v>
      </c>
    </row>
    <row r="965" spans="1:6" x14ac:dyDescent="0.25">
      <c r="A965" s="4" t="s">
        <v>135</v>
      </c>
      <c r="B965">
        <v>539</v>
      </c>
      <c r="C965">
        <f t="shared" ref="C965:C1028" si="63">IF(LEN(A965) &gt;= 12, 0, C964+B965)</f>
        <v>2875</v>
      </c>
      <c r="D965">
        <f t="shared" si="61"/>
        <v>0</v>
      </c>
      <c r="E965">
        <f t="shared" si="62"/>
        <v>0</v>
      </c>
      <c r="F965">
        <f t="shared" si="60"/>
        <v>0</v>
      </c>
    </row>
    <row r="966" spans="1:6" x14ac:dyDescent="0.25">
      <c r="A966" s="4" t="s">
        <v>143</v>
      </c>
      <c r="B966">
        <v>536</v>
      </c>
      <c r="C966">
        <f t="shared" si="63"/>
        <v>3411</v>
      </c>
      <c r="D966">
        <f t="shared" si="61"/>
        <v>0</v>
      </c>
      <c r="E966">
        <f t="shared" si="62"/>
        <v>0</v>
      </c>
      <c r="F966">
        <f t="shared" ref="F966:F1029" si="64">IF(AND(D966 = 1, C966 &lt; 20000), B966*5, IF(AND(E966=1, C966 &gt;= 20000),B966*10,0))</f>
        <v>0</v>
      </c>
    </row>
    <row r="967" spans="1:6" x14ac:dyDescent="0.25">
      <c r="A967" s="4" t="s">
        <v>146</v>
      </c>
      <c r="B967">
        <v>495</v>
      </c>
      <c r="C967">
        <f t="shared" si="63"/>
        <v>3906</v>
      </c>
      <c r="D967">
        <f t="shared" si="61"/>
        <v>0</v>
      </c>
      <c r="E967">
        <f t="shared" si="62"/>
        <v>0</v>
      </c>
      <c r="F967">
        <f t="shared" si="64"/>
        <v>0</v>
      </c>
    </row>
    <row r="968" spans="1:6" x14ac:dyDescent="0.25">
      <c r="A968" s="4" t="s">
        <v>157</v>
      </c>
      <c r="B968">
        <v>156</v>
      </c>
      <c r="C968">
        <f t="shared" si="63"/>
        <v>4062</v>
      </c>
      <c r="D968">
        <f t="shared" si="61"/>
        <v>0</v>
      </c>
      <c r="E968">
        <f t="shared" si="62"/>
        <v>0</v>
      </c>
      <c r="F968">
        <f t="shared" si="64"/>
        <v>0</v>
      </c>
    </row>
    <row r="969" spans="1:6" x14ac:dyDescent="0.25">
      <c r="A969" s="4" t="s">
        <v>159</v>
      </c>
      <c r="B969">
        <v>634</v>
      </c>
      <c r="C969">
        <f t="shared" si="63"/>
        <v>4696</v>
      </c>
      <c r="D969">
        <f t="shared" si="61"/>
        <v>0</v>
      </c>
      <c r="E969">
        <f t="shared" si="62"/>
        <v>0</v>
      </c>
      <c r="F969">
        <f t="shared" si="64"/>
        <v>0</v>
      </c>
    </row>
    <row r="970" spans="1:6" x14ac:dyDescent="0.25">
      <c r="A970" s="4" t="s">
        <v>168</v>
      </c>
      <c r="B970">
        <v>361</v>
      </c>
      <c r="C970">
        <f t="shared" si="63"/>
        <v>5057</v>
      </c>
      <c r="D970">
        <f t="shared" si="61"/>
        <v>0</v>
      </c>
      <c r="E970">
        <f t="shared" si="62"/>
        <v>0</v>
      </c>
      <c r="F970">
        <f t="shared" si="64"/>
        <v>0</v>
      </c>
    </row>
    <row r="971" spans="1:6" x14ac:dyDescent="0.25">
      <c r="A971" s="4" t="s">
        <v>169</v>
      </c>
      <c r="B971">
        <v>343</v>
      </c>
      <c r="C971">
        <f t="shared" si="63"/>
        <v>5400</v>
      </c>
      <c r="D971">
        <f t="shared" si="61"/>
        <v>0</v>
      </c>
      <c r="E971">
        <f t="shared" si="62"/>
        <v>0</v>
      </c>
      <c r="F971">
        <f t="shared" si="64"/>
        <v>0</v>
      </c>
    </row>
    <row r="972" spans="1:6" x14ac:dyDescent="0.25">
      <c r="A972" s="4" t="s">
        <v>170</v>
      </c>
      <c r="B972">
        <v>653</v>
      </c>
      <c r="C972">
        <f t="shared" si="63"/>
        <v>6053</v>
      </c>
      <c r="D972">
        <f t="shared" si="61"/>
        <v>0</v>
      </c>
      <c r="E972">
        <f t="shared" si="62"/>
        <v>0</v>
      </c>
      <c r="F972">
        <f t="shared" si="64"/>
        <v>0</v>
      </c>
    </row>
    <row r="973" spans="1:6" x14ac:dyDescent="0.25">
      <c r="A973" s="4" t="s">
        <v>174</v>
      </c>
      <c r="B973">
        <v>20</v>
      </c>
      <c r="C973">
        <f t="shared" si="63"/>
        <v>6073</v>
      </c>
      <c r="D973">
        <f t="shared" si="61"/>
        <v>0</v>
      </c>
      <c r="E973">
        <f t="shared" si="62"/>
        <v>0</v>
      </c>
      <c r="F973">
        <f t="shared" si="64"/>
        <v>0</v>
      </c>
    </row>
    <row r="974" spans="1:6" x14ac:dyDescent="0.25">
      <c r="A974" s="4" t="s">
        <v>177</v>
      </c>
      <c r="B974">
        <v>133</v>
      </c>
      <c r="C974">
        <f t="shared" si="63"/>
        <v>6206</v>
      </c>
      <c r="D974">
        <f t="shared" si="61"/>
        <v>0</v>
      </c>
      <c r="E974">
        <f t="shared" si="62"/>
        <v>0</v>
      </c>
      <c r="F974">
        <f t="shared" si="64"/>
        <v>0</v>
      </c>
    </row>
    <row r="975" spans="1:6" x14ac:dyDescent="0.25">
      <c r="A975" s="4" t="s">
        <v>178</v>
      </c>
      <c r="B975">
        <v>307</v>
      </c>
      <c r="C975">
        <f t="shared" si="63"/>
        <v>6513</v>
      </c>
      <c r="D975">
        <f t="shared" si="61"/>
        <v>0</v>
      </c>
      <c r="E975">
        <f t="shared" si="62"/>
        <v>0</v>
      </c>
      <c r="F975">
        <f t="shared" si="64"/>
        <v>0</v>
      </c>
    </row>
    <row r="976" spans="1:6" x14ac:dyDescent="0.25">
      <c r="A976" s="4" t="s">
        <v>189</v>
      </c>
      <c r="B976">
        <v>178</v>
      </c>
      <c r="C976">
        <f t="shared" si="63"/>
        <v>6691</v>
      </c>
      <c r="D976">
        <f t="shared" si="61"/>
        <v>0</v>
      </c>
      <c r="E976">
        <f t="shared" si="62"/>
        <v>0</v>
      </c>
      <c r="F976">
        <f t="shared" si="64"/>
        <v>0</v>
      </c>
    </row>
    <row r="977" spans="1:6" x14ac:dyDescent="0.25">
      <c r="A977" s="4" t="s">
        <v>199</v>
      </c>
      <c r="B977">
        <v>120</v>
      </c>
      <c r="C977">
        <f t="shared" si="63"/>
        <v>6811</v>
      </c>
      <c r="D977">
        <f t="shared" si="61"/>
        <v>0</v>
      </c>
      <c r="E977">
        <f t="shared" si="62"/>
        <v>0</v>
      </c>
      <c r="F977">
        <f t="shared" si="64"/>
        <v>0</v>
      </c>
    </row>
    <row r="978" spans="1:6" x14ac:dyDescent="0.25">
      <c r="A978" s="4" t="s">
        <v>201</v>
      </c>
      <c r="B978">
        <v>527</v>
      </c>
      <c r="C978">
        <f t="shared" si="63"/>
        <v>7338</v>
      </c>
      <c r="D978">
        <f t="shared" si="61"/>
        <v>0</v>
      </c>
      <c r="E978">
        <f t="shared" si="62"/>
        <v>0</v>
      </c>
      <c r="F978">
        <f t="shared" si="64"/>
        <v>0</v>
      </c>
    </row>
    <row r="979" spans="1:6" x14ac:dyDescent="0.25">
      <c r="A979" s="4" t="s">
        <v>206</v>
      </c>
      <c r="B979">
        <v>358</v>
      </c>
      <c r="C979">
        <f t="shared" si="63"/>
        <v>7696</v>
      </c>
      <c r="D979">
        <f t="shared" si="61"/>
        <v>0</v>
      </c>
      <c r="E979">
        <f t="shared" si="62"/>
        <v>0</v>
      </c>
      <c r="F979">
        <f t="shared" si="64"/>
        <v>0</v>
      </c>
    </row>
    <row r="980" spans="1:6" x14ac:dyDescent="0.25">
      <c r="A980" s="4" t="s">
        <v>211</v>
      </c>
      <c r="B980">
        <v>211</v>
      </c>
      <c r="C980">
        <f t="shared" si="63"/>
        <v>7907</v>
      </c>
      <c r="D980">
        <f t="shared" si="61"/>
        <v>0</v>
      </c>
      <c r="E980">
        <f t="shared" si="62"/>
        <v>0</v>
      </c>
      <c r="F980">
        <f t="shared" si="64"/>
        <v>0</v>
      </c>
    </row>
    <row r="981" spans="1:6" x14ac:dyDescent="0.25">
      <c r="A981" s="4" t="s">
        <v>217</v>
      </c>
      <c r="B981">
        <v>526</v>
      </c>
      <c r="C981">
        <f t="shared" si="63"/>
        <v>8433</v>
      </c>
      <c r="D981">
        <f t="shared" si="61"/>
        <v>0</v>
      </c>
      <c r="E981">
        <f t="shared" si="62"/>
        <v>0</v>
      </c>
      <c r="F981">
        <f t="shared" si="64"/>
        <v>0</v>
      </c>
    </row>
    <row r="982" spans="1:6" x14ac:dyDescent="0.25">
      <c r="A982" s="4" t="s">
        <v>220</v>
      </c>
      <c r="B982">
        <v>575</v>
      </c>
      <c r="C982">
        <f t="shared" si="63"/>
        <v>9008</v>
      </c>
      <c r="D982">
        <f t="shared" si="61"/>
        <v>0</v>
      </c>
      <c r="E982">
        <f t="shared" si="62"/>
        <v>0</v>
      </c>
      <c r="F982">
        <f t="shared" si="64"/>
        <v>0</v>
      </c>
    </row>
    <row r="983" spans="1:6" x14ac:dyDescent="0.25">
      <c r="A983" s="4" t="s">
        <v>235</v>
      </c>
      <c r="B983">
        <v>314</v>
      </c>
      <c r="C983">
        <f t="shared" si="63"/>
        <v>9322</v>
      </c>
      <c r="D983">
        <f t="shared" si="61"/>
        <v>0</v>
      </c>
      <c r="E983">
        <f t="shared" si="62"/>
        <v>0</v>
      </c>
      <c r="F983">
        <f t="shared" si="64"/>
        <v>0</v>
      </c>
    </row>
    <row r="984" spans="1:6" x14ac:dyDescent="0.25">
      <c r="A984" s="4" t="s">
        <v>237</v>
      </c>
      <c r="B984">
        <v>177</v>
      </c>
      <c r="C984">
        <f t="shared" si="63"/>
        <v>9499</v>
      </c>
      <c r="D984">
        <f t="shared" si="61"/>
        <v>0</v>
      </c>
      <c r="E984">
        <f t="shared" si="62"/>
        <v>0</v>
      </c>
      <c r="F984">
        <f t="shared" si="64"/>
        <v>0</v>
      </c>
    </row>
    <row r="985" spans="1:6" x14ac:dyDescent="0.25">
      <c r="A985" s="4" t="s">
        <v>240</v>
      </c>
      <c r="B985">
        <v>435</v>
      </c>
      <c r="C985">
        <f t="shared" si="63"/>
        <v>9934</v>
      </c>
      <c r="D985">
        <f t="shared" si="61"/>
        <v>0</v>
      </c>
      <c r="E985">
        <f t="shared" si="62"/>
        <v>0</v>
      </c>
      <c r="F985">
        <f t="shared" si="64"/>
        <v>0</v>
      </c>
    </row>
    <row r="986" spans="1:6" x14ac:dyDescent="0.25">
      <c r="A986" s="4" t="s">
        <v>243</v>
      </c>
      <c r="B986">
        <v>177</v>
      </c>
      <c r="C986">
        <f t="shared" si="63"/>
        <v>10111</v>
      </c>
      <c r="D986">
        <f t="shared" si="61"/>
        <v>0</v>
      </c>
      <c r="E986">
        <f t="shared" si="62"/>
        <v>0</v>
      </c>
      <c r="F986">
        <f t="shared" si="64"/>
        <v>0</v>
      </c>
    </row>
    <row r="987" spans="1:6" x14ac:dyDescent="0.25">
      <c r="A987" s="4" t="s">
        <v>261</v>
      </c>
      <c r="B987">
        <v>293</v>
      </c>
      <c r="C987">
        <f t="shared" si="63"/>
        <v>10404</v>
      </c>
      <c r="D987">
        <f t="shared" si="61"/>
        <v>0</v>
      </c>
      <c r="E987">
        <f t="shared" si="62"/>
        <v>0</v>
      </c>
      <c r="F987">
        <f t="shared" si="64"/>
        <v>0</v>
      </c>
    </row>
    <row r="988" spans="1:6" x14ac:dyDescent="0.25">
      <c r="A988" s="4" t="s">
        <v>262</v>
      </c>
      <c r="B988">
        <v>201</v>
      </c>
      <c r="C988">
        <f t="shared" si="63"/>
        <v>10605</v>
      </c>
      <c r="D988">
        <f t="shared" si="61"/>
        <v>0</v>
      </c>
      <c r="E988">
        <f t="shared" si="62"/>
        <v>0</v>
      </c>
      <c r="F988">
        <f t="shared" si="64"/>
        <v>0</v>
      </c>
    </row>
    <row r="989" spans="1:6" x14ac:dyDescent="0.25">
      <c r="A989" s="4" t="s">
        <v>279</v>
      </c>
      <c r="B989">
        <v>122</v>
      </c>
      <c r="C989">
        <f t="shared" si="63"/>
        <v>10727</v>
      </c>
      <c r="D989">
        <f t="shared" si="61"/>
        <v>0</v>
      </c>
      <c r="E989">
        <f t="shared" si="62"/>
        <v>0</v>
      </c>
      <c r="F989">
        <f t="shared" si="64"/>
        <v>0</v>
      </c>
    </row>
    <row r="990" spans="1:6" x14ac:dyDescent="0.25">
      <c r="A990" s="4" t="s">
        <v>290</v>
      </c>
      <c r="B990">
        <v>261</v>
      </c>
      <c r="C990">
        <f t="shared" si="63"/>
        <v>10988</v>
      </c>
      <c r="D990">
        <f t="shared" si="61"/>
        <v>0</v>
      </c>
      <c r="E990">
        <f t="shared" si="62"/>
        <v>0</v>
      </c>
      <c r="F990">
        <f t="shared" si="64"/>
        <v>0</v>
      </c>
    </row>
    <row r="991" spans="1:6" x14ac:dyDescent="0.25">
      <c r="A991" s="4" t="s">
        <v>303</v>
      </c>
      <c r="B991">
        <v>132</v>
      </c>
      <c r="C991">
        <f t="shared" si="63"/>
        <v>11120</v>
      </c>
      <c r="D991">
        <f t="shared" si="61"/>
        <v>0</v>
      </c>
      <c r="E991">
        <f t="shared" si="62"/>
        <v>0</v>
      </c>
      <c r="F991">
        <f t="shared" si="64"/>
        <v>0</v>
      </c>
    </row>
    <row r="992" spans="1:6" x14ac:dyDescent="0.25">
      <c r="A992" s="4" t="s">
        <v>320</v>
      </c>
      <c r="B992">
        <v>342</v>
      </c>
      <c r="C992">
        <f t="shared" si="63"/>
        <v>11462</v>
      </c>
      <c r="D992">
        <f t="shared" si="61"/>
        <v>0</v>
      </c>
      <c r="E992">
        <f t="shared" si="62"/>
        <v>0</v>
      </c>
      <c r="F992">
        <f t="shared" si="64"/>
        <v>0</v>
      </c>
    </row>
    <row r="993" spans="1:6" x14ac:dyDescent="0.25">
      <c r="A993" s="4" t="s">
        <v>333</v>
      </c>
      <c r="B993">
        <v>178</v>
      </c>
      <c r="C993">
        <f t="shared" si="63"/>
        <v>11640</v>
      </c>
      <c r="D993">
        <f t="shared" si="61"/>
        <v>0</v>
      </c>
      <c r="E993">
        <f t="shared" si="62"/>
        <v>0</v>
      </c>
      <c r="F993">
        <f t="shared" si="64"/>
        <v>0</v>
      </c>
    </row>
    <row r="994" spans="1:6" x14ac:dyDescent="0.25">
      <c r="A994" s="4" t="s">
        <v>335</v>
      </c>
      <c r="B994">
        <v>292</v>
      </c>
      <c r="C994">
        <f t="shared" si="63"/>
        <v>11932</v>
      </c>
      <c r="D994">
        <f t="shared" si="61"/>
        <v>0</v>
      </c>
      <c r="E994">
        <f t="shared" si="62"/>
        <v>0</v>
      </c>
      <c r="F994">
        <f t="shared" si="64"/>
        <v>0</v>
      </c>
    </row>
    <row r="995" spans="1:6" x14ac:dyDescent="0.25">
      <c r="A995" s="4" t="s">
        <v>339</v>
      </c>
      <c r="B995">
        <v>263</v>
      </c>
      <c r="C995">
        <f t="shared" si="63"/>
        <v>12195</v>
      </c>
      <c r="D995">
        <f t="shared" si="61"/>
        <v>0</v>
      </c>
      <c r="E995">
        <f t="shared" si="62"/>
        <v>0</v>
      </c>
      <c r="F995">
        <f t="shared" si="64"/>
        <v>0</v>
      </c>
    </row>
    <row r="996" spans="1:6" x14ac:dyDescent="0.25">
      <c r="A996" s="4" t="s">
        <v>347</v>
      </c>
      <c r="B996">
        <v>489</v>
      </c>
      <c r="C996">
        <f t="shared" si="63"/>
        <v>12684</v>
      </c>
      <c r="D996">
        <f t="shared" si="61"/>
        <v>0</v>
      </c>
      <c r="E996">
        <f t="shared" si="62"/>
        <v>0</v>
      </c>
      <c r="F996">
        <f t="shared" si="64"/>
        <v>0</v>
      </c>
    </row>
    <row r="997" spans="1:6" x14ac:dyDescent="0.25">
      <c r="A997" s="4" t="s">
        <v>351</v>
      </c>
      <c r="B997">
        <v>41</v>
      </c>
      <c r="C997">
        <f t="shared" si="63"/>
        <v>12725</v>
      </c>
      <c r="D997">
        <f t="shared" si="61"/>
        <v>0</v>
      </c>
      <c r="E997">
        <f t="shared" si="62"/>
        <v>0</v>
      </c>
      <c r="F997">
        <f t="shared" si="64"/>
        <v>0</v>
      </c>
    </row>
    <row r="998" spans="1:6" x14ac:dyDescent="0.25">
      <c r="A998" s="4" t="s">
        <v>355</v>
      </c>
      <c r="B998">
        <v>179</v>
      </c>
      <c r="C998">
        <f t="shared" si="63"/>
        <v>12904</v>
      </c>
      <c r="D998">
        <f t="shared" si="61"/>
        <v>0</v>
      </c>
      <c r="E998">
        <f t="shared" si="62"/>
        <v>0</v>
      </c>
      <c r="F998">
        <f t="shared" si="64"/>
        <v>0</v>
      </c>
    </row>
    <row r="999" spans="1:6" x14ac:dyDescent="0.25">
      <c r="A999" s="4" t="s">
        <v>358</v>
      </c>
      <c r="B999">
        <v>311</v>
      </c>
      <c r="C999">
        <f t="shared" si="63"/>
        <v>13215</v>
      </c>
      <c r="D999">
        <f t="shared" si="61"/>
        <v>0</v>
      </c>
      <c r="E999">
        <f t="shared" si="62"/>
        <v>0</v>
      </c>
      <c r="F999">
        <f t="shared" si="64"/>
        <v>0</v>
      </c>
    </row>
    <row r="1000" spans="1:6" x14ac:dyDescent="0.25">
      <c r="A1000" s="4" t="s">
        <v>367</v>
      </c>
      <c r="B1000">
        <v>433</v>
      </c>
      <c r="C1000">
        <f t="shared" si="63"/>
        <v>13648</v>
      </c>
      <c r="D1000">
        <f t="shared" si="61"/>
        <v>0</v>
      </c>
      <c r="E1000">
        <f t="shared" si="62"/>
        <v>0</v>
      </c>
      <c r="F1000">
        <f t="shared" si="64"/>
        <v>0</v>
      </c>
    </row>
    <row r="1001" spans="1:6" x14ac:dyDescent="0.25">
      <c r="A1001" s="4" t="s">
        <v>370</v>
      </c>
      <c r="B1001">
        <v>213</v>
      </c>
      <c r="C1001">
        <f t="shared" si="63"/>
        <v>13861</v>
      </c>
      <c r="D1001">
        <f t="shared" si="61"/>
        <v>0</v>
      </c>
      <c r="E1001">
        <f t="shared" si="62"/>
        <v>0</v>
      </c>
      <c r="F1001">
        <f t="shared" si="64"/>
        <v>0</v>
      </c>
    </row>
    <row r="1002" spans="1:6" x14ac:dyDescent="0.25">
      <c r="A1002" s="4" t="s">
        <v>381</v>
      </c>
      <c r="B1002">
        <v>33</v>
      </c>
      <c r="C1002">
        <f t="shared" si="63"/>
        <v>13894</v>
      </c>
      <c r="D1002">
        <f t="shared" si="61"/>
        <v>0</v>
      </c>
      <c r="E1002">
        <f t="shared" si="62"/>
        <v>0</v>
      </c>
      <c r="F1002">
        <f t="shared" si="64"/>
        <v>0</v>
      </c>
    </row>
    <row r="1003" spans="1:6" x14ac:dyDescent="0.25">
      <c r="A1003" s="4" t="s">
        <v>382</v>
      </c>
      <c r="B1003">
        <v>347</v>
      </c>
      <c r="C1003">
        <f t="shared" si="63"/>
        <v>14241</v>
      </c>
      <c r="D1003">
        <f t="shared" si="61"/>
        <v>0</v>
      </c>
      <c r="E1003">
        <f t="shared" si="62"/>
        <v>0</v>
      </c>
      <c r="F1003">
        <f t="shared" si="64"/>
        <v>0</v>
      </c>
    </row>
    <row r="1004" spans="1:6" x14ac:dyDescent="0.25">
      <c r="A1004" s="4" t="s">
        <v>390</v>
      </c>
      <c r="B1004">
        <v>167</v>
      </c>
      <c r="C1004">
        <f t="shared" si="63"/>
        <v>14408</v>
      </c>
      <c r="D1004">
        <f t="shared" si="61"/>
        <v>0</v>
      </c>
      <c r="E1004">
        <f t="shared" si="62"/>
        <v>0</v>
      </c>
      <c r="F1004">
        <f t="shared" si="64"/>
        <v>0</v>
      </c>
    </row>
    <row r="1005" spans="1:6" x14ac:dyDescent="0.25">
      <c r="A1005" s="4" t="s">
        <v>397</v>
      </c>
      <c r="B1005">
        <v>572</v>
      </c>
      <c r="C1005">
        <f t="shared" si="63"/>
        <v>14980</v>
      </c>
      <c r="D1005">
        <f t="shared" si="61"/>
        <v>0</v>
      </c>
      <c r="E1005">
        <f t="shared" si="62"/>
        <v>0</v>
      </c>
      <c r="F1005">
        <f t="shared" si="64"/>
        <v>0</v>
      </c>
    </row>
    <row r="1006" spans="1:6" x14ac:dyDescent="0.25">
      <c r="A1006" s="4" t="s">
        <v>399</v>
      </c>
      <c r="B1006">
        <v>1049</v>
      </c>
      <c r="C1006">
        <f t="shared" si="63"/>
        <v>16029</v>
      </c>
      <c r="D1006">
        <f t="shared" si="61"/>
        <v>1</v>
      </c>
      <c r="E1006">
        <f t="shared" si="62"/>
        <v>0</v>
      </c>
      <c r="F1006">
        <f t="shared" si="64"/>
        <v>5245</v>
      </c>
    </row>
    <row r="1007" spans="1:6" x14ac:dyDescent="0.25">
      <c r="A1007" s="4" t="s">
        <v>403</v>
      </c>
      <c r="B1007">
        <v>593</v>
      </c>
      <c r="C1007">
        <f t="shared" si="63"/>
        <v>16622</v>
      </c>
      <c r="D1007">
        <f t="shared" si="61"/>
        <v>1</v>
      </c>
      <c r="E1007">
        <f t="shared" si="62"/>
        <v>0</v>
      </c>
      <c r="F1007">
        <f t="shared" si="64"/>
        <v>2965</v>
      </c>
    </row>
    <row r="1008" spans="1:6" x14ac:dyDescent="0.25">
      <c r="A1008" s="3" t="s">
        <v>64</v>
      </c>
      <c r="B1008">
        <v>17566</v>
      </c>
      <c r="C1008">
        <f t="shared" si="63"/>
        <v>0</v>
      </c>
      <c r="D1008">
        <f t="shared" si="61"/>
        <v>0</v>
      </c>
      <c r="E1008">
        <f t="shared" si="62"/>
        <v>0</v>
      </c>
      <c r="F1008">
        <f t="shared" si="64"/>
        <v>0</v>
      </c>
    </row>
    <row r="1009" spans="1:6" x14ac:dyDescent="0.25">
      <c r="A1009" s="4" t="s">
        <v>93</v>
      </c>
      <c r="B1009">
        <v>284</v>
      </c>
      <c r="C1009">
        <f t="shared" si="63"/>
        <v>284</v>
      </c>
      <c r="D1009">
        <f t="shared" ref="D1009:D1072" si="65">IF(C1009 &gt; 15000, 1, 0)</f>
        <v>0</v>
      </c>
      <c r="E1009">
        <f t="shared" ref="E1009:E1072" si="66">IF(AND(D1009 =1,C1009 &gt;= 20000),1,0)</f>
        <v>0</v>
      </c>
      <c r="F1009">
        <f t="shared" si="64"/>
        <v>0</v>
      </c>
    </row>
    <row r="1010" spans="1:6" x14ac:dyDescent="0.25">
      <c r="A1010" s="4" t="s">
        <v>98</v>
      </c>
      <c r="B1010">
        <v>306</v>
      </c>
      <c r="C1010">
        <f t="shared" si="63"/>
        <v>590</v>
      </c>
      <c r="D1010">
        <f t="shared" si="65"/>
        <v>0</v>
      </c>
      <c r="E1010">
        <f t="shared" si="66"/>
        <v>0</v>
      </c>
      <c r="F1010">
        <f t="shared" si="64"/>
        <v>0</v>
      </c>
    </row>
    <row r="1011" spans="1:6" x14ac:dyDescent="0.25">
      <c r="A1011" s="4" t="s">
        <v>99</v>
      </c>
      <c r="B1011">
        <v>372</v>
      </c>
      <c r="C1011">
        <f t="shared" si="63"/>
        <v>962</v>
      </c>
      <c r="D1011">
        <f t="shared" si="65"/>
        <v>0</v>
      </c>
      <c r="E1011">
        <f t="shared" si="66"/>
        <v>0</v>
      </c>
      <c r="F1011">
        <f t="shared" si="64"/>
        <v>0</v>
      </c>
    </row>
    <row r="1012" spans="1:6" x14ac:dyDescent="0.25">
      <c r="A1012" s="4" t="s">
        <v>101</v>
      </c>
      <c r="B1012">
        <v>412</v>
      </c>
      <c r="C1012">
        <f t="shared" si="63"/>
        <v>1374</v>
      </c>
      <c r="D1012">
        <f t="shared" si="65"/>
        <v>0</v>
      </c>
      <c r="E1012">
        <f t="shared" si="66"/>
        <v>0</v>
      </c>
      <c r="F1012">
        <f t="shared" si="64"/>
        <v>0</v>
      </c>
    </row>
    <row r="1013" spans="1:6" x14ac:dyDescent="0.25">
      <c r="A1013" s="4" t="s">
        <v>126</v>
      </c>
      <c r="B1013">
        <v>93</v>
      </c>
      <c r="C1013">
        <f t="shared" si="63"/>
        <v>1467</v>
      </c>
      <c r="D1013">
        <f t="shared" si="65"/>
        <v>0</v>
      </c>
      <c r="E1013">
        <f t="shared" si="66"/>
        <v>0</v>
      </c>
      <c r="F1013">
        <f t="shared" si="64"/>
        <v>0</v>
      </c>
    </row>
    <row r="1014" spans="1:6" x14ac:dyDescent="0.25">
      <c r="A1014" s="4" t="s">
        <v>147</v>
      </c>
      <c r="B1014">
        <v>165</v>
      </c>
      <c r="C1014">
        <f t="shared" si="63"/>
        <v>1632</v>
      </c>
      <c r="D1014">
        <f t="shared" si="65"/>
        <v>0</v>
      </c>
      <c r="E1014">
        <f t="shared" si="66"/>
        <v>0</v>
      </c>
      <c r="F1014">
        <f t="shared" si="64"/>
        <v>0</v>
      </c>
    </row>
    <row r="1015" spans="1:6" x14ac:dyDescent="0.25">
      <c r="A1015" s="4" t="s">
        <v>150</v>
      </c>
      <c r="B1015">
        <v>905</v>
      </c>
      <c r="C1015">
        <f t="shared" si="63"/>
        <v>2537</v>
      </c>
      <c r="D1015">
        <f t="shared" si="65"/>
        <v>0</v>
      </c>
      <c r="E1015">
        <f t="shared" si="66"/>
        <v>0</v>
      </c>
      <c r="F1015">
        <f t="shared" si="64"/>
        <v>0</v>
      </c>
    </row>
    <row r="1016" spans="1:6" x14ac:dyDescent="0.25">
      <c r="A1016" s="4" t="s">
        <v>152</v>
      </c>
      <c r="B1016">
        <v>359</v>
      </c>
      <c r="C1016">
        <f t="shared" si="63"/>
        <v>2896</v>
      </c>
      <c r="D1016">
        <f t="shared" si="65"/>
        <v>0</v>
      </c>
      <c r="E1016">
        <f t="shared" si="66"/>
        <v>0</v>
      </c>
      <c r="F1016">
        <f t="shared" si="64"/>
        <v>0</v>
      </c>
    </row>
    <row r="1017" spans="1:6" x14ac:dyDescent="0.25">
      <c r="A1017" s="4" t="s">
        <v>168</v>
      </c>
      <c r="B1017">
        <v>294</v>
      </c>
      <c r="C1017">
        <f t="shared" si="63"/>
        <v>3190</v>
      </c>
      <c r="D1017">
        <f t="shared" si="65"/>
        <v>0</v>
      </c>
      <c r="E1017">
        <f t="shared" si="66"/>
        <v>0</v>
      </c>
      <c r="F1017">
        <f t="shared" si="64"/>
        <v>0</v>
      </c>
    </row>
    <row r="1018" spans="1:6" x14ac:dyDescent="0.25">
      <c r="A1018" s="4" t="s">
        <v>169</v>
      </c>
      <c r="B1018">
        <v>609</v>
      </c>
      <c r="C1018">
        <f t="shared" si="63"/>
        <v>3799</v>
      </c>
      <c r="D1018">
        <f t="shared" si="65"/>
        <v>0</v>
      </c>
      <c r="E1018">
        <f t="shared" si="66"/>
        <v>0</v>
      </c>
      <c r="F1018">
        <f t="shared" si="64"/>
        <v>0</v>
      </c>
    </row>
    <row r="1019" spans="1:6" x14ac:dyDescent="0.25">
      <c r="A1019" s="4" t="s">
        <v>177</v>
      </c>
      <c r="B1019">
        <v>403</v>
      </c>
      <c r="C1019">
        <f t="shared" si="63"/>
        <v>4202</v>
      </c>
      <c r="D1019">
        <f t="shared" si="65"/>
        <v>0</v>
      </c>
      <c r="E1019">
        <f t="shared" si="66"/>
        <v>0</v>
      </c>
      <c r="F1019">
        <f t="shared" si="64"/>
        <v>0</v>
      </c>
    </row>
    <row r="1020" spans="1:6" x14ac:dyDescent="0.25">
      <c r="A1020" s="4" t="s">
        <v>179</v>
      </c>
      <c r="B1020">
        <v>474</v>
      </c>
      <c r="C1020">
        <f t="shared" si="63"/>
        <v>4676</v>
      </c>
      <c r="D1020">
        <f t="shared" si="65"/>
        <v>0</v>
      </c>
      <c r="E1020">
        <f t="shared" si="66"/>
        <v>0</v>
      </c>
      <c r="F1020">
        <f t="shared" si="64"/>
        <v>0</v>
      </c>
    </row>
    <row r="1021" spans="1:6" x14ac:dyDescent="0.25">
      <c r="A1021" s="4" t="s">
        <v>183</v>
      </c>
      <c r="B1021">
        <v>440</v>
      </c>
      <c r="C1021">
        <f t="shared" si="63"/>
        <v>5116</v>
      </c>
      <c r="D1021">
        <f t="shared" si="65"/>
        <v>0</v>
      </c>
      <c r="E1021">
        <f t="shared" si="66"/>
        <v>0</v>
      </c>
      <c r="F1021">
        <f t="shared" si="64"/>
        <v>0</v>
      </c>
    </row>
    <row r="1022" spans="1:6" x14ac:dyDescent="0.25">
      <c r="A1022" s="4" t="s">
        <v>187</v>
      </c>
      <c r="B1022">
        <v>356</v>
      </c>
      <c r="C1022">
        <f t="shared" si="63"/>
        <v>5472</v>
      </c>
      <c r="D1022">
        <f t="shared" si="65"/>
        <v>0</v>
      </c>
      <c r="E1022">
        <f t="shared" si="66"/>
        <v>0</v>
      </c>
      <c r="F1022">
        <f t="shared" si="64"/>
        <v>0</v>
      </c>
    </row>
    <row r="1023" spans="1:6" x14ac:dyDescent="0.25">
      <c r="A1023" s="4" t="s">
        <v>189</v>
      </c>
      <c r="B1023">
        <v>403</v>
      </c>
      <c r="C1023">
        <f t="shared" si="63"/>
        <v>5875</v>
      </c>
      <c r="D1023">
        <f t="shared" si="65"/>
        <v>0</v>
      </c>
      <c r="E1023">
        <f t="shared" si="66"/>
        <v>0</v>
      </c>
      <c r="F1023">
        <f t="shared" si="64"/>
        <v>0</v>
      </c>
    </row>
    <row r="1024" spans="1:6" x14ac:dyDescent="0.25">
      <c r="A1024" s="4" t="s">
        <v>190</v>
      </c>
      <c r="B1024">
        <v>338</v>
      </c>
      <c r="C1024">
        <f t="shared" si="63"/>
        <v>6213</v>
      </c>
      <c r="D1024">
        <f t="shared" si="65"/>
        <v>0</v>
      </c>
      <c r="E1024">
        <f t="shared" si="66"/>
        <v>0</v>
      </c>
      <c r="F1024">
        <f t="shared" si="64"/>
        <v>0</v>
      </c>
    </row>
    <row r="1025" spans="1:6" x14ac:dyDescent="0.25">
      <c r="A1025" s="4" t="s">
        <v>191</v>
      </c>
      <c r="B1025">
        <v>383</v>
      </c>
      <c r="C1025">
        <f t="shared" si="63"/>
        <v>6596</v>
      </c>
      <c r="D1025">
        <f t="shared" si="65"/>
        <v>0</v>
      </c>
      <c r="E1025">
        <f t="shared" si="66"/>
        <v>0</v>
      </c>
      <c r="F1025">
        <f t="shared" si="64"/>
        <v>0</v>
      </c>
    </row>
    <row r="1026" spans="1:6" x14ac:dyDescent="0.25">
      <c r="A1026" s="4" t="s">
        <v>205</v>
      </c>
      <c r="B1026">
        <v>394</v>
      </c>
      <c r="C1026">
        <f t="shared" si="63"/>
        <v>6990</v>
      </c>
      <c r="D1026">
        <f t="shared" si="65"/>
        <v>0</v>
      </c>
      <c r="E1026">
        <f t="shared" si="66"/>
        <v>0</v>
      </c>
      <c r="F1026">
        <f t="shared" si="64"/>
        <v>0</v>
      </c>
    </row>
    <row r="1027" spans="1:6" x14ac:dyDescent="0.25">
      <c r="A1027" s="4" t="s">
        <v>206</v>
      </c>
      <c r="B1027">
        <v>190</v>
      </c>
      <c r="C1027">
        <f t="shared" si="63"/>
        <v>7180</v>
      </c>
      <c r="D1027">
        <f t="shared" si="65"/>
        <v>0</v>
      </c>
      <c r="E1027">
        <f t="shared" si="66"/>
        <v>0</v>
      </c>
      <c r="F1027">
        <f t="shared" si="64"/>
        <v>0</v>
      </c>
    </row>
    <row r="1028" spans="1:6" x14ac:dyDescent="0.25">
      <c r="A1028" s="4" t="s">
        <v>215</v>
      </c>
      <c r="B1028">
        <v>313</v>
      </c>
      <c r="C1028">
        <f t="shared" si="63"/>
        <v>7493</v>
      </c>
      <c r="D1028">
        <f t="shared" si="65"/>
        <v>0</v>
      </c>
      <c r="E1028">
        <f t="shared" si="66"/>
        <v>0</v>
      </c>
      <c r="F1028">
        <f t="shared" si="64"/>
        <v>0</v>
      </c>
    </row>
    <row r="1029" spans="1:6" x14ac:dyDescent="0.25">
      <c r="A1029" s="4" t="s">
        <v>224</v>
      </c>
      <c r="B1029">
        <v>101</v>
      </c>
      <c r="C1029">
        <f t="shared" ref="C1029:C1092" si="67">IF(LEN(A1029) &gt;= 12, 0, C1028+B1029)</f>
        <v>7594</v>
      </c>
      <c r="D1029">
        <f t="shared" si="65"/>
        <v>0</v>
      </c>
      <c r="E1029">
        <f t="shared" si="66"/>
        <v>0</v>
      </c>
      <c r="F1029">
        <f t="shared" si="64"/>
        <v>0</v>
      </c>
    </row>
    <row r="1030" spans="1:6" x14ac:dyDescent="0.25">
      <c r="A1030" s="4" t="s">
        <v>243</v>
      </c>
      <c r="B1030">
        <v>313</v>
      </c>
      <c r="C1030">
        <f t="shared" si="67"/>
        <v>7907</v>
      </c>
      <c r="D1030">
        <f t="shared" si="65"/>
        <v>0</v>
      </c>
      <c r="E1030">
        <f t="shared" si="66"/>
        <v>0</v>
      </c>
      <c r="F1030">
        <f t="shared" ref="F1030:F1093" si="68">IF(AND(D1030 = 1, C1030 &lt; 20000), B1030*5, IF(AND(E1030=1, C1030 &gt;= 20000),B1030*10,0))</f>
        <v>0</v>
      </c>
    </row>
    <row r="1031" spans="1:6" x14ac:dyDescent="0.25">
      <c r="A1031" s="4" t="s">
        <v>258</v>
      </c>
      <c r="B1031">
        <v>373</v>
      </c>
      <c r="C1031">
        <f t="shared" si="67"/>
        <v>8280</v>
      </c>
      <c r="D1031">
        <f t="shared" si="65"/>
        <v>0</v>
      </c>
      <c r="E1031">
        <f t="shared" si="66"/>
        <v>0</v>
      </c>
      <c r="F1031">
        <f t="shared" si="68"/>
        <v>0</v>
      </c>
    </row>
    <row r="1032" spans="1:6" x14ac:dyDescent="0.25">
      <c r="A1032" s="4" t="s">
        <v>263</v>
      </c>
      <c r="B1032">
        <v>352</v>
      </c>
      <c r="C1032">
        <f t="shared" si="67"/>
        <v>8632</v>
      </c>
      <c r="D1032">
        <f t="shared" si="65"/>
        <v>0</v>
      </c>
      <c r="E1032">
        <f t="shared" si="66"/>
        <v>0</v>
      </c>
      <c r="F1032">
        <f t="shared" si="68"/>
        <v>0</v>
      </c>
    </row>
    <row r="1033" spans="1:6" x14ac:dyDescent="0.25">
      <c r="A1033" s="4" t="s">
        <v>265</v>
      </c>
      <c r="B1033">
        <v>262</v>
      </c>
      <c r="C1033">
        <f t="shared" si="67"/>
        <v>8894</v>
      </c>
      <c r="D1033">
        <f t="shared" si="65"/>
        <v>0</v>
      </c>
      <c r="E1033">
        <f t="shared" si="66"/>
        <v>0</v>
      </c>
      <c r="F1033">
        <f t="shared" si="68"/>
        <v>0</v>
      </c>
    </row>
    <row r="1034" spans="1:6" x14ac:dyDescent="0.25">
      <c r="A1034" s="4" t="s">
        <v>269</v>
      </c>
      <c r="B1034">
        <v>40</v>
      </c>
      <c r="C1034">
        <f t="shared" si="67"/>
        <v>8934</v>
      </c>
      <c r="D1034">
        <f t="shared" si="65"/>
        <v>0</v>
      </c>
      <c r="E1034">
        <f t="shared" si="66"/>
        <v>0</v>
      </c>
      <c r="F1034">
        <f t="shared" si="68"/>
        <v>0</v>
      </c>
    </row>
    <row r="1035" spans="1:6" x14ac:dyDescent="0.25">
      <c r="A1035" s="4" t="s">
        <v>273</v>
      </c>
      <c r="B1035">
        <v>317</v>
      </c>
      <c r="C1035">
        <f t="shared" si="67"/>
        <v>9251</v>
      </c>
      <c r="D1035">
        <f t="shared" si="65"/>
        <v>0</v>
      </c>
      <c r="E1035">
        <f t="shared" si="66"/>
        <v>0</v>
      </c>
      <c r="F1035">
        <f t="shared" si="68"/>
        <v>0</v>
      </c>
    </row>
    <row r="1036" spans="1:6" x14ac:dyDescent="0.25">
      <c r="A1036" s="4" t="s">
        <v>276</v>
      </c>
      <c r="B1036">
        <v>283</v>
      </c>
      <c r="C1036">
        <f t="shared" si="67"/>
        <v>9534</v>
      </c>
      <c r="D1036">
        <f t="shared" si="65"/>
        <v>0</v>
      </c>
      <c r="E1036">
        <f t="shared" si="66"/>
        <v>0</v>
      </c>
      <c r="F1036">
        <f t="shared" si="68"/>
        <v>0</v>
      </c>
    </row>
    <row r="1037" spans="1:6" x14ac:dyDescent="0.25">
      <c r="A1037" s="4" t="s">
        <v>280</v>
      </c>
      <c r="B1037">
        <v>300</v>
      </c>
      <c r="C1037">
        <f t="shared" si="67"/>
        <v>9834</v>
      </c>
      <c r="D1037">
        <f t="shared" si="65"/>
        <v>0</v>
      </c>
      <c r="E1037">
        <f t="shared" si="66"/>
        <v>0</v>
      </c>
      <c r="F1037">
        <f t="shared" si="68"/>
        <v>0</v>
      </c>
    </row>
    <row r="1038" spans="1:6" x14ac:dyDescent="0.25">
      <c r="A1038" s="4" t="s">
        <v>291</v>
      </c>
      <c r="B1038">
        <v>807</v>
      </c>
      <c r="C1038">
        <f t="shared" si="67"/>
        <v>10641</v>
      </c>
      <c r="D1038">
        <f t="shared" si="65"/>
        <v>0</v>
      </c>
      <c r="E1038">
        <f t="shared" si="66"/>
        <v>0</v>
      </c>
      <c r="F1038">
        <f t="shared" si="68"/>
        <v>0</v>
      </c>
    </row>
    <row r="1039" spans="1:6" x14ac:dyDescent="0.25">
      <c r="A1039" s="4" t="s">
        <v>305</v>
      </c>
      <c r="B1039">
        <v>358</v>
      </c>
      <c r="C1039">
        <f t="shared" si="67"/>
        <v>10999</v>
      </c>
      <c r="D1039">
        <f t="shared" si="65"/>
        <v>0</v>
      </c>
      <c r="E1039">
        <f t="shared" si="66"/>
        <v>0</v>
      </c>
      <c r="F1039">
        <f t="shared" si="68"/>
        <v>0</v>
      </c>
    </row>
    <row r="1040" spans="1:6" x14ac:dyDescent="0.25">
      <c r="A1040" s="4" t="s">
        <v>309</v>
      </c>
      <c r="B1040">
        <v>401</v>
      </c>
      <c r="C1040">
        <f t="shared" si="67"/>
        <v>11400</v>
      </c>
      <c r="D1040">
        <f t="shared" si="65"/>
        <v>0</v>
      </c>
      <c r="E1040">
        <f t="shared" si="66"/>
        <v>0</v>
      </c>
      <c r="F1040">
        <f t="shared" si="68"/>
        <v>0</v>
      </c>
    </row>
    <row r="1041" spans="1:6" x14ac:dyDescent="0.25">
      <c r="A1041" s="4" t="s">
        <v>323</v>
      </c>
      <c r="B1041">
        <v>289</v>
      </c>
      <c r="C1041">
        <f t="shared" si="67"/>
        <v>11689</v>
      </c>
      <c r="D1041">
        <f t="shared" si="65"/>
        <v>0</v>
      </c>
      <c r="E1041">
        <f t="shared" si="66"/>
        <v>0</v>
      </c>
      <c r="F1041">
        <f t="shared" si="68"/>
        <v>0</v>
      </c>
    </row>
    <row r="1042" spans="1:6" x14ac:dyDescent="0.25">
      <c r="A1042" s="4" t="s">
        <v>324</v>
      </c>
      <c r="B1042">
        <v>494</v>
      </c>
      <c r="C1042">
        <f t="shared" si="67"/>
        <v>12183</v>
      </c>
      <c r="D1042">
        <f t="shared" si="65"/>
        <v>0</v>
      </c>
      <c r="E1042">
        <f t="shared" si="66"/>
        <v>0</v>
      </c>
      <c r="F1042">
        <f t="shared" si="68"/>
        <v>0</v>
      </c>
    </row>
    <row r="1043" spans="1:6" x14ac:dyDescent="0.25">
      <c r="A1043" s="4" t="s">
        <v>337</v>
      </c>
      <c r="B1043">
        <v>458</v>
      </c>
      <c r="C1043">
        <f t="shared" si="67"/>
        <v>12641</v>
      </c>
      <c r="D1043">
        <f t="shared" si="65"/>
        <v>0</v>
      </c>
      <c r="E1043">
        <f t="shared" si="66"/>
        <v>0</v>
      </c>
      <c r="F1043">
        <f t="shared" si="68"/>
        <v>0</v>
      </c>
    </row>
    <row r="1044" spans="1:6" x14ac:dyDescent="0.25">
      <c r="A1044" s="4" t="s">
        <v>339</v>
      </c>
      <c r="B1044">
        <v>38</v>
      </c>
      <c r="C1044">
        <f t="shared" si="67"/>
        <v>12679</v>
      </c>
      <c r="D1044">
        <f t="shared" si="65"/>
        <v>0</v>
      </c>
      <c r="E1044">
        <f t="shared" si="66"/>
        <v>0</v>
      </c>
      <c r="F1044">
        <f t="shared" si="68"/>
        <v>0</v>
      </c>
    </row>
    <row r="1045" spans="1:6" x14ac:dyDescent="0.25">
      <c r="A1045" s="4" t="s">
        <v>340</v>
      </c>
      <c r="B1045">
        <v>308</v>
      </c>
      <c r="C1045">
        <f t="shared" si="67"/>
        <v>12987</v>
      </c>
      <c r="D1045">
        <f t="shared" si="65"/>
        <v>0</v>
      </c>
      <c r="E1045">
        <f t="shared" si="66"/>
        <v>0</v>
      </c>
      <c r="F1045">
        <f t="shared" si="68"/>
        <v>0</v>
      </c>
    </row>
    <row r="1046" spans="1:6" x14ac:dyDescent="0.25">
      <c r="A1046" s="4" t="s">
        <v>341</v>
      </c>
      <c r="B1046">
        <v>52</v>
      </c>
      <c r="C1046">
        <f t="shared" si="67"/>
        <v>13039</v>
      </c>
      <c r="D1046">
        <f t="shared" si="65"/>
        <v>0</v>
      </c>
      <c r="E1046">
        <f t="shared" si="66"/>
        <v>0</v>
      </c>
      <c r="F1046">
        <f t="shared" si="68"/>
        <v>0</v>
      </c>
    </row>
    <row r="1047" spans="1:6" x14ac:dyDescent="0.25">
      <c r="A1047" s="4" t="s">
        <v>343</v>
      </c>
      <c r="B1047">
        <v>87</v>
      </c>
      <c r="C1047">
        <f t="shared" si="67"/>
        <v>13126</v>
      </c>
      <c r="D1047">
        <f t="shared" si="65"/>
        <v>0</v>
      </c>
      <c r="E1047">
        <f t="shared" si="66"/>
        <v>0</v>
      </c>
      <c r="F1047">
        <f t="shared" si="68"/>
        <v>0</v>
      </c>
    </row>
    <row r="1048" spans="1:6" x14ac:dyDescent="0.25">
      <c r="A1048" s="4" t="s">
        <v>348</v>
      </c>
      <c r="B1048">
        <v>766</v>
      </c>
      <c r="C1048">
        <f t="shared" si="67"/>
        <v>13892</v>
      </c>
      <c r="D1048">
        <f t="shared" si="65"/>
        <v>0</v>
      </c>
      <c r="E1048">
        <f t="shared" si="66"/>
        <v>0</v>
      </c>
      <c r="F1048">
        <f t="shared" si="68"/>
        <v>0</v>
      </c>
    </row>
    <row r="1049" spans="1:6" x14ac:dyDescent="0.25">
      <c r="A1049" s="4" t="s">
        <v>357</v>
      </c>
      <c r="B1049">
        <v>488</v>
      </c>
      <c r="C1049">
        <f t="shared" si="67"/>
        <v>14380</v>
      </c>
      <c r="D1049">
        <f t="shared" si="65"/>
        <v>0</v>
      </c>
      <c r="E1049">
        <f t="shared" si="66"/>
        <v>0</v>
      </c>
      <c r="F1049">
        <f t="shared" si="68"/>
        <v>0</v>
      </c>
    </row>
    <row r="1050" spans="1:6" x14ac:dyDescent="0.25">
      <c r="A1050" s="4" t="s">
        <v>359</v>
      </c>
      <c r="B1050">
        <v>244</v>
      </c>
      <c r="C1050">
        <f t="shared" si="67"/>
        <v>14624</v>
      </c>
      <c r="D1050">
        <f t="shared" si="65"/>
        <v>0</v>
      </c>
      <c r="E1050">
        <f t="shared" si="66"/>
        <v>0</v>
      </c>
      <c r="F1050">
        <f t="shared" si="68"/>
        <v>0</v>
      </c>
    </row>
    <row r="1051" spans="1:6" x14ac:dyDescent="0.25">
      <c r="A1051" s="4" t="s">
        <v>366</v>
      </c>
      <c r="B1051">
        <v>469</v>
      </c>
      <c r="C1051">
        <f t="shared" si="67"/>
        <v>15093</v>
      </c>
      <c r="D1051">
        <f t="shared" si="65"/>
        <v>1</v>
      </c>
      <c r="E1051">
        <f t="shared" si="66"/>
        <v>0</v>
      </c>
      <c r="F1051">
        <f t="shared" si="68"/>
        <v>2345</v>
      </c>
    </row>
    <row r="1052" spans="1:6" x14ac:dyDescent="0.25">
      <c r="A1052" s="4" t="s">
        <v>368</v>
      </c>
      <c r="B1052">
        <v>396</v>
      </c>
      <c r="C1052">
        <f t="shared" si="67"/>
        <v>15489</v>
      </c>
      <c r="D1052">
        <f t="shared" si="65"/>
        <v>1</v>
      </c>
      <c r="E1052">
        <f t="shared" si="66"/>
        <v>0</v>
      </c>
      <c r="F1052">
        <f t="shared" si="68"/>
        <v>1980</v>
      </c>
    </row>
    <row r="1053" spans="1:6" x14ac:dyDescent="0.25">
      <c r="A1053" s="4" t="s">
        <v>372</v>
      </c>
      <c r="B1053">
        <v>257</v>
      </c>
      <c r="C1053">
        <f t="shared" si="67"/>
        <v>15746</v>
      </c>
      <c r="D1053">
        <f t="shared" si="65"/>
        <v>1</v>
      </c>
      <c r="E1053">
        <f t="shared" si="66"/>
        <v>0</v>
      </c>
      <c r="F1053">
        <f t="shared" si="68"/>
        <v>1285</v>
      </c>
    </row>
    <row r="1054" spans="1:6" x14ac:dyDescent="0.25">
      <c r="A1054" s="4" t="s">
        <v>375</v>
      </c>
      <c r="B1054">
        <v>118</v>
      </c>
      <c r="C1054">
        <f t="shared" si="67"/>
        <v>15864</v>
      </c>
      <c r="D1054">
        <f t="shared" si="65"/>
        <v>1</v>
      </c>
      <c r="E1054">
        <f t="shared" si="66"/>
        <v>0</v>
      </c>
      <c r="F1054">
        <f t="shared" si="68"/>
        <v>590</v>
      </c>
    </row>
    <row r="1055" spans="1:6" x14ac:dyDescent="0.25">
      <c r="A1055" s="4" t="s">
        <v>378</v>
      </c>
      <c r="B1055">
        <v>458</v>
      </c>
      <c r="C1055">
        <f t="shared" si="67"/>
        <v>16322</v>
      </c>
      <c r="D1055">
        <f t="shared" si="65"/>
        <v>1</v>
      </c>
      <c r="E1055">
        <f t="shared" si="66"/>
        <v>0</v>
      </c>
      <c r="F1055">
        <f t="shared" si="68"/>
        <v>2290</v>
      </c>
    </row>
    <row r="1056" spans="1:6" x14ac:dyDescent="0.25">
      <c r="A1056" s="4" t="s">
        <v>381</v>
      </c>
      <c r="B1056">
        <v>540</v>
      </c>
      <c r="C1056">
        <f t="shared" si="67"/>
        <v>16862</v>
      </c>
      <c r="D1056">
        <f t="shared" si="65"/>
        <v>1</v>
      </c>
      <c r="E1056">
        <f t="shared" si="66"/>
        <v>0</v>
      </c>
      <c r="F1056">
        <f t="shared" si="68"/>
        <v>2700</v>
      </c>
    </row>
    <row r="1057" spans="1:6" x14ac:dyDescent="0.25">
      <c r="A1057" s="4" t="s">
        <v>384</v>
      </c>
      <c r="B1057">
        <v>322</v>
      </c>
      <c r="C1057">
        <f t="shared" si="67"/>
        <v>17184</v>
      </c>
      <c r="D1057">
        <f t="shared" si="65"/>
        <v>1</v>
      </c>
      <c r="E1057">
        <f t="shared" si="66"/>
        <v>0</v>
      </c>
      <c r="F1057">
        <f t="shared" si="68"/>
        <v>1610</v>
      </c>
    </row>
    <row r="1058" spans="1:6" x14ac:dyDescent="0.25">
      <c r="A1058" s="4" t="s">
        <v>386</v>
      </c>
      <c r="B1058">
        <v>382</v>
      </c>
      <c r="C1058">
        <f t="shared" si="67"/>
        <v>17566</v>
      </c>
      <c r="D1058">
        <f t="shared" si="65"/>
        <v>1</v>
      </c>
      <c r="E1058">
        <f t="shared" si="66"/>
        <v>0</v>
      </c>
      <c r="F1058">
        <f t="shared" si="68"/>
        <v>1910</v>
      </c>
    </row>
    <row r="1059" spans="1:6" x14ac:dyDescent="0.25">
      <c r="A1059" s="3" t="s">
        <v>25</v>
      </c>
      <c r="B1059">
        <v>18293</v>
      </c>
      <c r="C1059">
        <f t="shared" si="67"/>
        <v>0</v>
      </c>
      <c r="D1059">
        <f t="shared" si="65"/>
        <v>0</v>
      </c>
      <c r="E1059">
        <f t="shared" si="66"/>
        <v>0</v>
      </c>
      <c r="F1059">
        <f t="shared" si="68"/>
        <v>0</v>
      </c>
    </row>
    <row r="1060" spans="1:6" x14ac:dyDescent="0.25">
      <c r="A1060" s="4" t="s">
        <v>93</v>
      </c>
      <c r="B1060">
        <v>159</v>
      </c>
      <c r="C1060">
        <f t="shared" si="67"/>
        <v>159</v>
      </c>
      <c r="D1060">
        <f t="shared" si="65"/>
        <v>0</v>
      </c>
      <c r="E1060">
        <f t="shared" si="66"/>
        <v>0</v>
      </c>
      <c r="F1060">
        <f t="shared" si="68"/>
        <v>0</v>
      </c>
    </row>
    <row r="1061" spans="1:6" x14ac:dyDescent="0.25">
      <c r="A1061" s="4" t="s">
        <v>94</v>
      </c>
      <c r="B1061">
        <v>110</v>
      </c>
      <c r="C1061">
        <f t="shared" si="67"/>
        <v>269</v>
      </c>
      <c r="D1061">
        <f t="shared" si="65"/>
        <v>0</v>
      </c>
      <c r="E1061">
        <f t="shared" si="66"/>
        <v>0</v>
      </c>
      <c r="F1061">
        <f t="shared" si="68"/>
        <v>0</v>
      </c>
    </row>
    <row r="1062" spans="1:6" x14ac:dyDescent="0.25">
      <c r="A1062" s="4" t="s">
        <v>98</v>
      </c>
      <c r="B1062">
        <v>11</v>
      </c>
      <c r="C1062">
        <f t="shared" si="67"/>
        <v>280</v>
      </c>
      <c r="D1062">
        <f t="shared" si="65"/>
        <v>0</v>
      </c>
      <c r="E1062">
        <f t="shared" si="66"/>
        <v>0</v>
      </c>
      <c r="F1062">
        <f t="shared" si="68"/>
        <v>0</v>
      </c>
    </row>
    <row r="1063" spans="1:6" x14ac:dyDescent="0.25">
      <c r="A1063" s="4" t="s">
        <v>99</v>
      </c>
      <c r="B1063">
        <v>323</v>
      </c>
      <c r="C1063">
        <f t="shared" si="67"/>
        <v>603</v>
      </c>
      <c r="D1063">
        <f t="shared" si="65"/>
        <v>0</v>
      </c>
      <c r="E1063">
        <f t="shared" si="66"/>
        <v>0</v>
      </c>
      <c r="F1063">
        <f t="shared" si="68"/>
        <v>0</v>
      </c>
    </row>
    <row r="1064" spans="1:6" x14ac:dyDescent="0.25">
      <c r="A1064" s="4" t="s">
        <v>106</v>
      </c>
      <c r="B1064">
        <v>419</v>
      </c>
      <c r="C1064">
        <f t="shared" si="67"/>
        <v>1022</v>
      </c>
      <c r="D1064">
        <f t="shared" si="65"/>
        <v>0</v>
      </c>
      <c r="E1064">
        <f t="shared" si="66"/>
        <v>0</v>
      </c>
      <c r="F1064">
        <f t="shared" si="68"/>
        <v>0</v>
      </c>
    </row>
    <row r="1065" spans="1:6" x14ac:dyDescent="0.25">
      <c r="A1065" s="4" t="s">
        <v>107</v>
      </c>
      <c r="B1065">
        <v>111</v>
      </c>
      <c r="C1065">
        <f t="shared" si="67"/>
        <v>1133</v>
      </c>
      <c r="D1065">
        <f t="shared" si="65"/>
        <v>0</v>
      </c>
      <c r="E1065">
        <f t="shared" si="66"/>
        <v>0</v>
      </c>
      <c r="F1065">
        <f t="shared" si="68"/>
        <v>0</v>
      </c>
    </row>
    <row r="1066" spans="1:6" x14ac:dyDescent="0.25">
      <c r="A1066" s="4" t="s">
        <v>111</v>
      </c>
      <c r="B1066">
        <v>471</v>
      </c>
      <c r="C1066">
        <f t="shared" si="67"/>
        <v>1604</v>
      </c>
      <c r="D1066">
        <f t="shared" si="65"/>
        <v>0</v>
      </c>
      <c r="E1066">
        <f t="shared" si="66"/>
        <v>0</v>
      </c>
      <c r="F1066">
        <f t="shared" si="68"/>
        <v>0</v>
      </c>
    </row>
    <row r="1067" spans="1:6" x14ac:dyDescent="0.25">
      <c r="A1067" s="4" t="s">
        <v>125</v>
      </c>
      <c r="B1067">
        <v>333</v>
      </c>
      <c r="C1067">
        <f t="shared" si="67"/>
        <v>1937</v>
      </c>
      <c r="D1067">
        <f t="shared" si="65"/>
        <v>0</v>
      </c>
      <c r="E1067">
        <f t="shared" si="66"/>
        <v>0</v>
      </c>
      <c r="F1067">
        <f t="shared" si="68"/>
        <v>0</v>
      </c>
    </row>
    <row r="1068" spans="1:6" x14ac:dyDescent="0.25">
      <c r="A1068" s="4" t="s">
        <v>126</v>
      </c>
      <c r="B1068">
        <v>46</v>
      </c>
      <c r="C1068">
        <f t="shared" si="67"/>
        <v>1983</v>
      </c>
      <c r="D1068">
        <f t="shared" si="65"/>
        <v>0</v>
      </c>
      <c r="E1068">
        <f t="shared" si="66"/>
        <v>0</v>
      </c>
      <c r="F1068">
        <f t="shared" si="68"/>
        <v>0</v>
      </c>
    </row>
    <row r="1069" spans="1:6" x14ac:dyDescent="0.25">
      <c r="A1069" s="4" t="s">
        <v>136</v>
      </c>
      <c r="B1069">
        <v>316</v>
      </c>
      <c r="C1069">
        <f t="shared" si="67"/>
        <v>2299</v>
      </c>
      <c r="D1069">
        <f t="shared" si="65"/>
        <v>0</v>
      </c>
      <c r="E1069">
        <f t="shared" si="66"/>
        <v>0</v>
      </c>
      <c r="F1069">
        <f t="shared" si="68"/>
        <v>0</v>
      </c>
    </row>
    <row r="1070" spans="1:6" x14ac:dyDescent="0.25">
      <c r="A1070" s="4" t="s">
        <v>142</v>
      </c>
      <c r="B1070">
        <v>466</v>
      </c>
      <c r="C1070">
        <f t="shared" si="67"/>
        <v>2765</v>
      </c>
      <c r="D1070">
        <f t="shared" si="65"/>
        <v>0</v>
      </c>
      <c r="E1070">
        <f t="shared" si="66"/>
        <v>0</v>
      </c>
      <c r="F1070">
        <f t="shared" si="68"/>
        <v>0</v>
      </c>
    </row>
    <row r="1071" spans="1:6" x14ac:dyDescent="0.25">
      <c r="A1071" s="4" t="s">
        <v>163</v>
      </c>
      <c r="B1071">
        <v>32</v>
      </c>
      <c r="C1071">
        <f t="shared" si="67"/>
        <v>2797</v>
      </c>
      <c r="D1071">
        <f t="shared" si="65"/>
        <v>0</v>
      </c>
      <c r="E1071">
        <f t="shared" si="66"/>
        <v>0</v>
      </c>
      <c r="F1071">
        <f t="shared" si="68"/>
        <v>0</v>
      </c>
    </row>
    <row r="1072" spans="1:6" x14ac:dyDescent="0.25">
      <c r="A1072" s="4" t="s">
        <v>166</v>
      </c>
      <c r="B1072">
        <v>18</v>
      </c>
      <c r="C1072">
        <f t="shared" si="67"/>
        <v>2815</v>
      </c>
      <c r="D1072">
        <f t="shared" si="65"/>
        <v>0</v>
      </c>
      <c r="E1072">
        <f t="shared" si="66"/>
        <v>0</v>
      </c>
      <c r="F1072">
        <f t="shared" si="68"/>
        <v>0</v>
      </c>
    </row>
    <row r="1073" spans="1:6" x14ac:dyDescent="0.25">
      <c r="A1073" s="4" t="s">
        <v>171</v>
      </c>
      <c r="B1073">
        <v>33</v>
      </c>
      <c r="C1073">
        <f t="shared" si="67"/>
        <v>2848</v>
      </c>
      <c r="D1073">
        <f t="shared" ref="D1073:D1136" si="69">IF(C1073 &gt; 15000, 1, 0)</f>
        <v>0</v>
      </c>
      <c r="E1073">
        <f t="shared" ref="E1073:E1136" si="70">IF(AND(D1073 =1,C1073 &gt;= 20000),1,0)</f>
        <v>0</v>
      </c>
      <c r="F1073">
        <f t="shared" si="68"/>
        <v>0</v>
      </c>
    </row>
    <row r="1074" spans="1:6" x14ac:dyDescent="0.25">
      <c r="A1074" s="4" t="s">
        <v>172</v>
      </c>
      <c r="B1074">
        <v>400</v>
      </c>
      <c r="C1074">
        <f t="shared" si="67"/>
        <v>3248</v>
      </c>
      <c r="D1074">
        <f t="shared" si="69"/>
        <v>0</v>
      </c>
      <c r="E1074">
        <f t="shared" si="70"/>
        <v>0</v>
      </c>
      <c r="F1074">
        <f t="shared" si="68"/>
        <v>0</v>
      </c>
    </row>
    <row r="1075" spans="1:6" x14ac:dyDescent="0.25">
      <c r="A1075" s="4" t="s">
        <v>173</v>
      </c>
      <c r="B1075">
        <v>230</v>
      </c>
      <c r="C1075">
        <f t="shared" si="67"/>
        <v>3478</v>
      </c>
      <c r="D1075">
        <f t="shared" si="69"/>
        <v>0</v>
      </c>
      <c r="E1075">
        <f t="shared" si="70"/>
        <v>0</v>
      </c>
      <c r="F1075">
        <f t="shared" si="68"/>
        <v>0</v>
      </c>
    </row>
    <row r="1076" spans="1:6" x14ac:dyDescent="0.25">
      <c r="A1076" s="4" t="s">
        <v>175</v>
      </c>
      <c r="B1076">
        <v>470</v>
      </c>
      <c r="C1076">
        <f t="shared" si="67"/>
        <v>3948</v>
      </c>
      <c r="D1076">
        <f t="shared" si="69"/>
        <v>0</v>
      </c>
      <c r="E1076">
        <f t="shared" si="70"/>
        <v>0</v>
      </c>
      <c r="F1076">
        <f t="shared" si="68"/>
        <v>0</v>
      </c>
    </row>
    <row r="1077" spans="1:6" x14ac:dyDescent="0.25">
      <c r="A1077" s="4" t="s">
        <v>180</v>
      </c>
      <c r="B1077">
        <v>582</v>
      </c>
      <c r="C1077">
        <f t="shared" si="67"/>
        <v>4530</v>
      </c>
      <c r="D1077">
        <f t="shared" si="69"/>
        <v>0</v>
      </c>
      <c r="E1077">
        <f t="shared" si="70"/>
        <v>0</v>
      </c>
      <c r="F1077">
        <f t="shared" si="68"/>
        <v>0</v>
      </c>
    </row>
    <row r="1078" spans="1:6" x14ac:dyDescent="0.25">
      <c r="A1078" s="4" t="s">
        <v>183</v>
      </c>
      <c r="B1078">
        <v>359</v>
      </c>
      <c r="C1078">
        <f t="shared" si="67"/>
        <v>4889</v>
      </c>
      <c r="D1078">
        <f t="shared" si="69"/>
        <v>0</v>
      </c>
      <c r="E1078">
        <f t="shared" si="70"/>
        <v>0</v>
      </c>
      <c r="F1078">
        <f t="shared" si="68"/>
        <v>0</v>
      </c>
    </row>
    <row r="1079" spans="1:6" x14ac:dyDescent="0.25">
      <c r="A1079" s="4" t="s">
        <v>186</v>
      </c>
      <c r="B1079">
        <v>422</v>
      </c>
      <c r="C1079">
        <f t="shared" si="67"/>
        <v>5311</v>
      </c>
      <c r="D1079">
        <f t="shared" si="69"/>
        <v>0</v>
      </c>
      <c r="E1079">
        <f t="shared" si="70"/>
        <v>0</v>
      </c>
      <c r="F1079">
        <f t="shared" si="68"/>
        <v>0</v>
      </c>
    </row>
    <row r="1080" spans="1:6" x14ac:dyDescent="0.25">
      <c r="A1080" s="4" t="s">
        <v>188</v>
      </c>
      <c r="B1080">
        <v>580</v>
      </c>
      <c r="C1080">
        <f t="shared" si="67"/>
        <v>5891</v>
      </c>
      <c r="D1080">
        <f t="shared" si="69"/>
        <v>0</v>
      </c>
      <c r="E1080">
        <f t="shared" si="70"/>
        <v>0</v>
      </c>
      <c r="F1080">
        <f t="shared" si="68"/>
        <v>0</v>
      </c>
    </row>
    <row r="1081" spans="1:6" x14ac:dyDescent="0.25">
      <c r="A1081" s="4" t="s">
        <v>191</v>
      </c>
      <c r="B1081">
        <v>177</v>
      </c>
      <c r="C1081">
        <f t="shared" si="67"/>
        <v>6068</v>
      </c>
      <c r="D1081">
        <f t="shared" si="69"/>
        <v>0</v>
      </c>
      <c r="E1081">
        <f t="shared" si="70"/>
        <v>0</v>
      </c>
      <c r="F1081">
        <f t="shared" si="68"/>
        <v>0</v>
      </c>
    </row>
    <row r="1082" spans="1:6" x14ac:dyDescent="0.25">
      <c r="A1082" s="4" t="s">
        <v>201</v>
      </c>
      <c r="B1082">
        <v>47</v>
      </c>
      <c r="C1082">
        <f t="shared" si="67"/>
        <v>6115</v>
      </c>
      <c r="D1082">
        <f t="shared" si="69"/>
        <v>0</v>
      </c>
      <c r="E1082">
        <f t="shared" si="70"/>
        <v>0</v>
      </c>
      <c r="F1082">
        <f t="shared" si="68"/>
        <v>0</v>
      </c>
    </row>
    <row r="1083" spans="1:6" x14ac:dyDescent="0.25">
      <c r="A1083" s="4" t="s">
        <v>202</v>
      </c>
      <c r="B1083">
        <v>172</v>
      </c>
      <c r="C1083">
        <f t="shared" si="67"/>
        <v>6287</v>
      </c>
      <c r="D1083">
        <f t="shared" si="69"/>
        <v>0</v>
      </c>
      <c r="E1083">
        <f t="shared" si="70"/>
        <v>0</v>
      </c>
      <c r="F1083">
        <f t="shared" si="68"/>
        <v>0</v>
      </c>
    </row>
    <row r="1084" spans="1:6" x14ac:dyDescent="0.25">
      <c r="A1084" s="4" t="s">
        <v>207</v>
      </c>
      <c r="B1084">
        <v>458</v>
      </c>
      <c r="C1084">
        <f t="shared" si="67"/>
        <v>6745</v>
      </c>
      <c r="D1084">
        <f t="shared" si="69"/>
        <v>0</v>
      </c>
      <c r="E1084">
        <f t="shared" si="70"/>
        <v>0</v>
      </c>
      <c r="F1084">
        <f t="shared" si="68"/>
        <v>0</v>
      </c>
    </row>
    <row r="1085" spans="1:6" x14ac:dyDescent="0.25">
      <c r="A1085" s="4" t="s">
        <v>212</v>
      </c>
      <c r="B1085">
        <v>381</v>
      </c>
      <c r="C1085">
        <f t="shared" si="67"/>
        <v>7126</v>
      </c>
      <c r="D1085">
        <f t="shared" si="69"/>
        <v>0</v>
      </c>
      <c r="E1085">
        <f t="shared" si="70"/>
        <v>0</v>
      </c>
      <c r="F1085">
        <f t="shared" si="68"/>
        <v>0</v>
      </c>
    </row>
    <row r="1086" spans="1:6" x14ac:dyDescent="0.25">
      <c r="A1086" s="4" t="s">
        <v>224</v>
      </c>
      <c r="B1086">
        <v>300</v>
      </c>
      <c r="C1086">
        <f t="shared" si="67"/>
        <v>7426</v>
      </c>
      <c r="D1086">
        <f t="shared" si="69"/>
        <v>0</v>
      </c>
      <c r="E1086">
        <f t="shared" si="70"/>
        <v>0</v>
      </c>
      <c r="F1086">
        <f t="shared" si="68"/>
        <v>0</v>
      </c>
    </row>
    <row r="1087" spans="1:6" x14ac:dyDescent="0.25">
      <c r="A1087" s="4" t="s">
        <v>240</v>
      </c>
      <c r="B1087">
        <v>345</v>
      </c>
      <c r="C1087">
        <f t="shared" si="67"/>
        <v>7771</v>
      </c>
      <c r="D1087">
        <f t="shared" si="69"/>
        <v>0</v>
      </c>
      <c r="E1087">
        <f t="shared" si="70"/>
        <v>0</v>
      </c>
      <c r="F1087">
        <f t="shared" si="68"/>
        <v>0</v>
      </c>
    </row>
    <row r="1088" spans="1:6" x14ac:dyDescent="0.25">
      <c r="A1088" s="4" t="s">
        <v>252</v>
      </c>
      <c r="B1088">
        <v>182</v>
      </c>
      <c r="C1088">
        <f t="shared" si="67"/>
        <v>7953</v>
      </c>
      <c r="D1088">
        <f t="shared" si="69"/>
        <v>0</v>
      </c>
      <c r="E1088">
        <f t="shared" si="70"/>
        <v>0</v>
      </c>
      <c r="F1088">
        <f t="shared" si="68"/>
        <v>0</v>
      </c>
    </row>
    <row r="1089" spans="1:6" x14ac:dyDescent="0.25">
      <c r="A1089" s="4" t="s">
        <v>271</v>
      </c>
      <c r="B1089">
        <v>18</v>
      </c>
      <c r="C1089">
        <f t="shared" si="67"/>
        <v>7971</v>
      </c>
      <c r="D1089">
        <f t="shared" si="69"/>
        <v>0</v>
      </c>
      <c r="E1089">
        <f t="shared" si="70"/>
        <v>0</v>
      </c>
      <c r="F1089">
        <f t="shared" si="68"/>
        <v>0</v>
      </c>
    </row>
    <row r="1090" spans="1:6" x14ac:dyDescent="0.25">
      <c r="A1090" s="4" t="s">
        <v>279</v>
      </c>
      <c r="B1090">
        <v>173</v>
      </c>
      <c r="C1090">
        <f t="shared" si="67"/>
        <v>8144</v>
      </c>
      <c r="D1090">
        <f t="shared" si="69"/>
        <v>0</v>
      </c>
      <c r="E1090">
        <f t="shared" si="70"/>
        <v>0</v>
      </c>
      <c r="F1090">
        <f t="shared" si="68"/>
        <v>0</v>
      </c>
    </row>
    <row r="1091" spans="1:6" x14ac:dyDescent="0.25">
      <c r="A1091" s="4" t="s">
        <v>295</v>
      </c>
      <c r="B1091">
        <v>335</v>
      </c>
      <c r="C1091">
        <f t="shared" si="67"/>
        <v>8479</v>
      </c>
      <c r="D1091">
        <f t="shared" si="69"/>
        <v>0</v>
      </c>
      <c r="E1091">
        <f t="shared" si="70"/>
        <v>0</v>
      </c>
      <c r="F1091">
        <f t="shared" si="68"/>
        <v>0</v>
      </c>
    </row>
    <row r="1092" spans="1:6" x14ac:dyDescent="0.25">
      <c r="A1092" s="4" t="s">
        <v>303</v>
      </c>
      <c r="B1092">
        <v>1109</v>
      </c>
      <c r="C1092">
        <f t="shared" si="67"/>
        <v>9588</v>
      </c>
      <c r="D1092">
        <f t="shared" si="69"/>
        <v>0</v>
      </c>
      <c r="E1092">
        <f t="shared" si="70"/>
        <v>0</v>
      </c>
      <c r="F1092">
        <f t="shared" si="68"/>
        <v>0</v>
      </c>
    </row>
    <row r="1093" spans="1:6" x14ac:dyDescent="0.25">
      <c r="A1093" s="4" t="s">
        <v>312</v>
      </c>
      <c r="B1093">
        <v>345</v>
      </c>
      <c r="C1093">
        <f t="shared" ref="C1093:C1156" si="71">IF(LEN(A1093) &gt;= 12, 0, C1092+B1093)</f>
        <v>9933</v>
      </c>
      <c r="D1093">
        <f t="shared" si="69"/>
        <v>0</v>
      </c>
      <c r="E1093">
        <f t="shared" si="70"/>
        <v>0</v>
      </c>
      <c r="F1093">
        <f t="shared" si="68"/>
        <v>0</v>
      </c>
    </row>
    <row r="1094" spans="1:6" x14ac:dyDescent="0.25">
      <c r="A1094" s="4" t="s">
        <v>314</v>
      </c>
      <c r="B1094">
        <v>425</v>
      </c>
      <c r="C1094">
        <f t="shared" si="71"/>
        <v>10358</v>
      </c>
      <c r="D1094">
        <f t="shared" si="69"/>
        <v>0</v>
      </c>
      <c r="E1094">
        <f t="shared" si="70"/>
        <v>0</v>
      </c>
      <c r="F1094">
        <f t="shared" ref="F1094:F1157" si="72">IF(AND(D1094 = 1, C1094 &lt; 20000), B1094*5, IF(AND(E1094=1, C1094 &gt;= 20000),B1094*10,0))</f>
        <v>0</v>
      </c>
    </row>
    <row r="1095" spans="1:6" x14ac:dyDescent="0.25">
      <c r="A1095" s="4" t="s">
        <v>315</v>
      </c>
      <c r="B1095">
        <v>303</v>
      </c>
      <c r="C1095">
        <f t="shared" si="71"/>
        <v>10661</v>
      </c>
      <c r="D1095">
        <f t="shared" si="69"/>
        <v>0</v>
      </c>
      <c r="E1095">
        <f t="shared" si="70"/>
        <v>0</v>
      </c>
      <c r="F1095">
        <f t="shared" si="72"/>
        <v>0</v>
      </c>
    </row>
    <row r="1096" spans="1:6" x14ac:dyDescent="0.25">
      <c r="A1096" s="4" t="s">
        <v>320</v>
      </c>
      <c r="B1096">
        <v>485</v>
      </c>
      <c r="C1096">
        <f t="shared" si="71"/>
        <v>11146</v>
      </c>
      <c r="D1096">
        <f t="shared" si="69"/>
        <v>0</v>
      </c>
      <c r="E1096">
        <f t="shared" si="70"/>
        <v>0</v>
      </c>
      <c r="F1096">
        <f t="shared" si="72"/>
        <v>0</v>
      </c>
    </row>
    <row r="1097" spans="1:6" x14ac:dyDescent="0.25">
      <c r="A1097" s="4" t="s">
        <v>327</v>
      </c>
      <c r="B1097">
        <v>90</v>
      </c>
      <c r="C1097">
        <f t="shared" si="71"/>
        <v>11236</v>
      </c>
      <c r="D1097">
        <f t="shared" si="69"/>
        <v>0</v>
      </c>
      <c r="E1097">
        <f t="shared" si="70"/>
        <v>0</v>
      </c>
      <c r="F1097">
        <f t="shared" si="72"/>
        <v>0</v>
      </c>
    </row>
    <row r="1098" spans="1:6" x14ac:dyDescent="0.25">
      <c r="A1098" s="4" t="s">
        <v>329</v>
      </c>
      <c r="B1098">
        <v>170</v>
      </c>
      <c r="C1098">
        <f t="shared" si="71"/>
        <v>11406</v>
      </c>
      <c r="D1098">
        <f t="shared" si="69"/>
        <v>0</v>
      </c>
      <c r="E1098">
        <f t="shared" si="70"/>
        <v>0</v>
      </c>
      <c r="F1098">
        <f t="shared" si="72"/>
        <v>0</v>
      </c>
    </row>
    <row r="1099" spans="1:6" x14ac:dyDescent="0.25">
      <c r="A1099" s="4" t="s">
        <v>332</v>
      </c>
      <c r="B1099">
        <v>466</v>
      </c>
      <c r="C1099">
        <f t="shared" si="71"/>
        <v>11872</v>
      </c>
      <c r="D1099">
        <f t="shared" si="69"/>
        <v>0</v>
      </c>
      <c r="E1099">
        <f t="shared" si="70"/>
        <v>0</v>
      </c>
      <c r="F1099">
        <f t="shared" si="72"/>
        <v>0</v>
      </c>
    </row>
    <row r="1100" spans="1:6" x14ac:dyDescent="0.25">
      <c r="A1100" s="4" t="s">
        <v>333</v>
      </c>
      <c r="B1100">
        <v>492</v>
      </c>
      <c r="C1100">
        <f t="shared" si="71"/>
        <v>12364</v>
      </c>
      <c r="D1100">
        <f t="shared" si="69"/>
        <v>0</v>
      </c>
      <c r="E1100">
        <f t="shared" si="70"/>
        <v>0</v>
      </c>
      <c r="F1100">
        <f t="shared" si="72"/>
        <v>0</v>
      </c>
    </row>
    <row r="1101" spans="1:6" x14ac:dyDescent="0.25">
      <c r="A1101" s="4" t="s">
        <v>338</v>
      </c>
      <c r="B1101">
        <v>346</v>
      </c>
      <c r="C1101">
        <f t="shared" si="71"/>
        <v>12710</v>
      </c>
      <c r="D1101">
        <f t="shared" si="69"/>
        <v>0</v>
      </c>
      <c r="E1101">
        <f t="shared" si="70"/>
        <v>0</v>
      </c>
      <c r="F1101">
        <f t="shared" si="72"/>
        <v>0</v>
      </c>
    </row>
    <row r="1102" spans="1:6" x14ac:dyDescent="0.25">
      <c r="A1102" s="4" t="s">
        <v>339</v>
      </c>
      <c r="B1102">
        <v>57</v>
      </c>
      <c r="C1102">
        <f t="shared" si="71"/>
        <v>12767</v>
      </c>
      <c r="D1102">
        <f t="shared" si="69"/>
        <v>0</v>
      </c>
      <c r="E1102">
        <f t="shared" si="70"/>
        <v>0</v>
      </c>
      <c r="F1102">
        <f t="shared" si="72"/>
        <v>0</v>
      </c>
    </row>
    <row r="1103" spans="1:6" x14ac:dyDescent="0.25">
      <c r="A1103" s="4" t="s">
        <v>345</v>
      </c>
      <c r="B1103">
        <v>478</v>
      </c>
      <c r="C1103">
        <f t="shared" si="71"/>
        <v>13245</v>
      </c>
      <c r="D1103">
        <f t="shared" si="69"/>
        <v>0</v>
      </c>
      <c r="E1103">
        <f t="shared" si="70"/>
        <v>0</v>
      </c>
      <c r="F1103">
        <f t="shared" si="72"/>
        <v>0</v>
      </c>
    </row>
    <row r="1104" spans="1:6" x14ac:dyDescent="0.25">
      <c r="A1104" s="4" t="s">
        <v>348</v>
      </c>
      <c r="B1104">
        <v>101</v>
      </c>
      <c r="C1104">
        <f t="shared" si="71"/>
        <v>13346</v>
      </c>
      <c r="D1104">
        <f t="shared" si="69"/>
        <v>0</v>
      </c>
      <c r="E1104">
        <f t="shared" si="70"/>
        <v>0</v>
      </c>
      <c r="F1104">
        <f t="shared" si="72"/>
        <v>0</v>
      </c>
    </row>
    <row r="1105" spans="1:6" x14ac:dyDescent="0.25">
      <c r="A1105" s="4" t="s">
        <v>350</v>
      </c>
      <c r="B1105">
        <v>228</v>
      </c>
      <c r="C1105">
        <f t="shared" si="71"/>
        <v>13574</v>
      </c>
      <c r="D1105">
        <f t="shared" si="69"/>
        <v>0</v>
      </c>
      <c r="E1105">
        <f t="shared" si="70"/>
        <v>0</v>
      </c>
      <c r="F1105">
        <f t="shared" si="72"/>
        <v>0</v>
      </c>
    </row>
    <row r="1106" spans="1:6" x14ac:dyDescent="0.25">
      <c r="A1106" s="4" t="s">
        <v>351</v>
      </c>
      <c r="B1106">
        <v>500</v>
      </c>
      <c r="C1106">
        <f t="shared" si="71"/>
        <v>14074</v>
      </c>
      <c r="D1106">
        <f t="shared" si="69"/>
        <v>0</v>
      </c>
      <c r="E1106">
        <f t="shared" si="70"/>
        <v>0</v>
      </c>
      <c r="F1106">
        <f t="shared" si="72"/>
        <v>0</v>
      </c>
    </row>
    <row r="1107" spans="1:6" x14ac:dyDescent="0.25">
      <c r="A1107" s="4" t="s">
        <v>355</v>
      </c>
      <c r="B1107">
        <v>393</v>
      </c>
      <c r="C1107">
        <f t="shared" si="71"/>
        <v>14467</v>
      </c>
      <c r="D1107">
        <f t="shared" si="69"/>
        <v>0</v>
      </c>
      <c r="E1107">
        <f t="shared" si="70"/>
        <v>0</v>
      </c>
      <c r="F1107">
        <f t="shared" si="72"/>
        <v>0</v>
      </c>
    </row>
    <row r="1108" spans="1:6" x14ac:dyDescent="0.25">
      <c r="A1108" s="4" t="s">
        <v>363</v>
      </c>
      <c r="B1108">
        <v>416</v>
      </c>
      <c r="C1108">
        <f t="shared" si="71"/>
        <v>14883</v>
      </c>
      <c r="D1108">
        <f t="shared" si="69"/>
        <v>0</v>
      </c>
      <c r="E1108">
        <f t="shared" si="70"/>
        <v>0</v>
      </c>
      <c r="F1108">
        <f t="shared" si="72"/>
        <v>0</v>
      </c>
    </row>
    <row r="1109" spans="1:6" x14ac:dyDescent="0.25">
      <c r="A1109" s="4" t="s">
        <v>368</v>
      </c>
      <c r="B1109">
        <v>272</v>
      </c>
      <c r="C1109">
        <f t="shared" si="71"/>
        <v>15155</v>
      </c>
      <c r="D1109">
        <f t="shared" si="69"/>
        <v>1</v>
      </c>
      <c r="E1109">
        <f t="shared" si="70"/>
        <v>0</v>
      </c>
      <c r="F1109">
        <f t="shared" si="72"/>
        <v>1360</v>
      </c>
    </row>
    <row r="1110" spans="1:6" x14ac:dyDescent="0.25">
      <c r="A1110" s="4" t="s">
        <v>375</v>
      </c>
      <c r="B1110">
        <v>890</v>
      </c>
      <c r="C1110">
        <f t="shared" si="71"/>
        <v>16045</v>
      </c>
      <c r="D1110">
        <f t="shared" si="69"/>
        <v>1</v>
      </c>
      <c r="E1110">
        <f t="shared" si="70"/>
        <v>0</v>
      </c>
      <c r="F1110">
        <f t="shared" si="72"/>
        <v>4450</v>
      </c>
    </row>
    <row r="1111" spans="1:6" x14ac:dyDescent="0.25">
      <c r="A1111" s="4" t="s">
        <v>379</v>
      </c>
      <c r="B1111">
        <v>277</v>
      </c>
      <c r="C1111">
        <f t="shared" si="71"/>
        <v>16322</v>
      </c>
      <c r="D1111">
        <f t="shared" si="69"/>
        <v>1</v>
      </c>
      <c r="E1111">
        <f t="shared" si="70"/>
        <v>0</v>
      </c>
      <c r="F1111">
        <f t="shared" si="72"/>
        <v>1385</v>
      </c>
    </row>
    <row r="1112" spans="1:6" x14ac:dyDescent="0.25">
      <c r="A1112" s="4" t="s">
        <v>382</v>
      </c>
      <c r="B1112">
        <v>263</v>
      </c>
      <c r="C1112">
        <f t="shared" si="71"/>
        <v>16585</v>
      </c>
      <c r="D1112">
        <f t="shared" si="69"/>
        <v>1</v>
      </c>
      <c r="E1112">
        <f t="shared" si="70"/>
        <v>0</v>
      </c>
      <c r="F1112">
        <f t="shared" si="72"/>
        <v>1315</v>
      </c>
    </row>
    <row r="1113" spans="1:6" x14ac:dyDescent="0.25">
      <c r="A1113" s="4" t="s">
        <v>387</v>
      </c>
      <c r="B1113">
        <v>464</v>
      </c>
      <c r="C1113">
        <f t="shared" si="71"/>
        <v>17049</v>
      </c>
      <c r="D1113">
        <f t="shared" si="69"/>
        <v>1</v>
      </c>
      <c r="E1113">
        <f t="shared" si="70"/>
        <v>0</v>
      </c>
      <c r="F1113">
        <f t="shared" si="72"/>
        <v>2320</v>
      </c>
    </row>
    <row r="1114" spans="1:6" x14ac:dyDescent="0.25">
      <c r="A1114" s="4" t="s">
        <v>390</v>
      </c>
      <c r="B1114">
        <v>578</v>
      </c>
      <c r="C1114">
        <f t="shared" si="71"/>
        <v>17627</v>
      </c>
      <c r="D1114">
        <f t="shared" si="69"/>
        <v>1</v>
      </c>
      <c r="E1114">
        <f t="shared" si="70"/>
        <v>0</v>
      </c>
      <c r="F1114">
        <f t="shared" si="72"/>
        <v>2890</v>
      </c>
    </row>
    <row r="1115" spans="1:6" x14ac:dyDescent="0.25">
      <c r="A1115" s="4" t="s">
        <v>391</v>
      </c>
      <c r="B1115">
        <v>417</v>
      </c>
      <c r="C1115">
        <f t="shared" si="71"/>
        <v>18044</v>
      </c>
      <c r="D1115">
        <f t="shared" si="69"/>
        <v>1</v>
      </c>
      <c r="E1115">
        <f t="shared" si="70"/>
        <v>0</v>
      </c>
      <c r="F1115">
        <f t="shared" si="72"/>
        <v>2085</v>
      </c>
    </row>
    <row r="1116" spans="1:6" x14ac:dyDescent="0.25">
      <c r="A1116" s="4" t="s">
        <v>393</v>
      </c>
      <c r="B1116">
        <v>170</v>
      </c>
      <c r="C1116">
        <f t="shared" si="71"/>
        <v>18214</v>
      </c>
      <c r="D1116">
        <f t="shared" si="69"/>
        <v>1</v>
      </c>
      <c r="E1116">
        <f t="shared" si="70"/>
        <v>0</v>
      </c>
      <c r="F1116">
        <f t="shared" si="72"/>
        <v>850</v>
      </c>
    </row>
    <row r="1117" spans="1:6" x14ac:dyDescent="0.25">
      <c r="A1117" s="4" t="s">
        <v>404</v>
      </c>
      <c r="B1117">
        <v>79</v>
      </c>
      <c r="C1117">
        <f t="shared" si="71"/>
        <v>18293</v>
      </c>
      <c r="D1117">
        <f t="shared" si="69"/>
        <v>1</v>
      </c>
      <c r="E1117">
        <f t="shared" si="70"/>
        <v>0</v>
      </c>
      <c r="F1117">
        <f t="shared" si="72"/>
        <v>395</v>
      </c>
    </row>
    <row r="1118" spans="1:6" x14ac:dyDescent="0.25">
      <c r="A1118" s="3" t="s">
        <v>34</v>
      </c>
      <c r="B1118">
        <v>17401</v>
      </c>
      <c r="C1118">
        <f t="shared" si="71"/>
        <v>0</v>
      </c>
      <c r="D1118">
        <f t="shared" si="69"/>
        <v>0</v>
      </c>
      <c r="E1118">
        <f t="shared" si="70"/>
        <v>0</v>
      </c>
      <c r="F1118">
        <f t="shared" si="72"/>
        <v>0</v>
      </c>
    </row>
    <row r="1119" spans="1:6" x14ac:dyDescent="0.25">
      <c r="A1119" s="4" t="s">
        <v>98</v>
      </c>
      <c r="B1119">
        <v>288</v>
      </c>
      <c r="C1119">
        <f t="shared" si="71"/>
        <v>288</v>
      </c>
      <c r="D1119">
        <f t="shared" si="69"/>
        <v>0</v>
      </c>
      <c r="E1119">
        <f t="shared" si="70"/>
        <v>0</v>
      </c>
      <c r="F1119">
        <f t="shared" si="72"/>
        <v>0</v>
      </c>
    </row>
    <row r="1120" spans="1:6" x14ac:dyDescent="0.25">
      <c r="A1120" s="4" t="s">
        <v>103</v>
      </c>
      <c r="B1120">
        <v>47</v>
      </c>
      <c r="C1120">
        <f t="shared" si="71"/>
        <v>335</v>
      </c>
      <c r="D1120">
        <f t="shared" si="69"/>
        <v>0</v>
      </c>
      <c r="E1120">
        <f t="shared" si="70"/>
        <v>0</v>
      </c>
      <c r="F1120">
        <f t="shared" si="72"/>
        <v>0</v>
      </c>
    </row>
    <row r="1121" spans="1:6" x14ac:dyDescent="0.25">
      <c r="A1121" s="4" t="s">
        <v>105</v>
      </c>
      <c r="B1121">
        <v>1103</v>
      </c>
      <c r="C1121">
        <f t="shared" si="71"/>
        <v>1438</v>
      </c>
      <c r="D1121">
        <f t="shared" si="69"/>
        <v>0</v>
      </c>
      <c r="E1121">
        <f t="shared" si="70"/>
        <v>0</v>
      </c>
      <c r="F1121">
        <f t="shared" si="72"/>
        <v>0</v>
      </c>
    </row>
    <row r="1122" spans="1:6" x14ac:dyDescent="0.25">
      <c r="A1122" s="4" t="s">
        <v>111</v>
      </c>
      <c r="B1122">
        <v>461</v>
      </c>
      <c r="C1122">
        <f t="shared" si="71"/>
        <v>1899</v>
      </c>
      <c r="D1122">
        <f t="shared" si="69"/>
        <v>0</v>
      </c>
      <c r="E1122">
        <f t="shared" si="70"/>
        <v>0</v>
      </c>
      <c r="F1122">
        <f t="shared" si="72"/>
        <v>0</v>
      </c>
    </row>
    <row r="1123" spans="1:6" x14ac:dyDescent="0.25">
      <c r="A1123" s="4" t="s">
        <v>121</v>
      </c>
      <c r="B1123">
        <v>366</v>
      </c>
      <c r="C1123">
        <f t="shared" si="71"/>
        <v>2265</v>
      </c>
      <c r="D1123">
        <f t="shared" si="69"/>
        <v>0</v>
      </c>
      <c r="E1123">
        <f t="shared" si="70"/>
        <v>0</v>
      </c>
      <c r="F1123">
        <f t="shared" si="72"/>
        <v>0</v>
      </c>
    </row>
    <row r="1124" spans="1:6" x14ac:dyDescent="0.25">
      <c r="A1124" s="4" t="s">
        <v>122</v>
      </c>
      <c r="B1124">
        <v>96</v>
      </c>
      <c r="C1124">
        <f t="shared" si="71"/>
        <v>2361</v>
      </c>
      <c r="D1124">
        <f t="shared" si="69"/>
        <v>0</v>
      </c>
      <c r="E1124">
        <f t="shared" si="70"/>
        <v>0</v>
      </c>
      <c r="F1124">
        <f t="shared" si="72"/>
        <v>0</v>
      </c>
    </row>
    <row r="1125" spans="1:6" x14ac:dyDescent="0.25">
      <c r="A1125" s="4" t="s">
        <v>127</v>
      </c>
      <c r="B1125">
        <v>375</v>
      </c>
      <c r="C1125">
        <f t="shared" si="71"/>
        <v>2736</v>
      </c>
      <c r="D1125">
        <f t="shared" si="69"/>
        <v>0</v>
      </c>
      <c r="E1125">
        <f t="shared" si="70"/>
        <v>0</v>
      </c>
      <c r="F1125">
        <f t="shared" si="72"/>
        <v>0</v>
      </c>
    </row>
    <row r="1126" spans="1:6" x14ac:dyDescent="0.25">
      <c r="A1126" s="4" t="s">
        <v>129</v>
      </c>
      <c r="B1126">
        <v>293</v>
      </c>
      <c r="C1126">
        <f t="shared" si="71"/>
        <v>3029</v>
      </c>
      <c r="D1126">
        <f t="shared" si="69"/>
        <v>0</v>
      </c>
      <c r="E1126">
        <f t="shared" si="70"/>
        <v>0</v>
      </c>
      <c r="F1126">
        <f t="shared" si="72"/>
        <v>0</v>
      </c>
    </row>
    <row r="1127" spans="1:6" x14ac:dyDescent="0.25">
      <c r="A1127" s="4" t="s">
        <v>138</v>
      </c>
      <c r="B1127">
        <v>578</v>
      </c>
      <c r="C1127">
        <f t="shared" si="71"/>
        <v>3607</v>
      </c>
      <c r="D1127">
        <f t="shared" si="69"/>
        <v>0</v>
      </c>
      <c r="E1127">
        <f t="shared" si="70"/>
        <v>0</v>
      </c>
      <c r="F1127">
        <f t="shared" si="72"/>
        <v>0</v>
      </c>
    </row>
    <row r="1128" spans="1:6" x14ac:dyDescent="0.25">
      <c r="A1128" s="4" t="s">
        <v>152</v>
      </c>
      <c r="B1128">
        <v>397</v>
      </c>
      <c r="C1128">
        <f t="shared" si="71"/>
        <v>4004</v>
      </c>
      <c r="D1128">
        <f t="shared" si="69"/>
        <v>0</v>
      </c>
      <c r="E1128">
        <f t="shared" si="70"/>
        <v>0</v>
      </c>
      <c r="F1128">
        <f t="shared" si="72"/>
        <v>0</v>
      </c>
    </row>
    <row r="1129" spans="1:6" x14ac:dyDescent="0.25">
      <c r="A1129" s="4" t="s">
        <v>174</v>
      </c>
      <c r="B1129">
        <v>395</v>
      </c>
      <c r="C1129">
        <f t="shared" si="71"/>
        <v>4399</v>
      </c>
      <c r="D1129">
        <f t="shared" si="69"/>
        <v>0</v>
      </c>
      <c r="E1129">
        <f t="shared" si="70"/>
        <v>0</v>
      </c>
      <c r="F1129">
        <f t="shared" si="72"/>
        <v>0</v>
      </c>
    </row>
    <row r="1130" spans="1:6" x14ac:dyDescent="0.25">
      <c r="A1130" s="4" t="s">
        <v>183</v>
      </c>
      <c r="B1130">
        <v>271</v>
      </c>
      <c r="C1130">
        <f t="shared" si="71"/>
        <v>4670</v>
      </c>
      <c r="D1130">
        <f t="shared" si="69"/>
        <v>0</v>
      </c>
      <c r="E1130">
        <f t="shared" si="70"/>
        <v>0</v>
      </c>
      <c r="F1130">
        <f t="shared" si="72"/>
        <v>0</v>
      </c>
    </row>
    <row r="1131" spans="1:6" x14ac:dyDescent="0.25">
      <c r="A1131" s="4" t="s">
        <v>184</v>
      </c>
      <c r="B1131">
        <v>56</v>
      </c>
      <c r="C1131">
        <f t="shared" si="71"/>
        <v>4726</v>
      </c>
      <c r="D1131">
        <f t="shared" si="69"/>
        <v>0</v>
      </c>
      <c r="E1131">
        <f t="shared" si="70"/>
        <v>0</v>
      </c>
      <c r="F1131">
        <f t="shared" si="72"/>
        <v>0</v>
      </c>
    </row>
    <row r="1132" spans="1:6" x14ac:dyDescent="0.25">
      <c r="A1132" s="4" t="s">
        <v>202</v>
      </c>
      <c r="B1132">
        <v>329</v>
      </c>
      <c r="C1132">
        <f t="shared" si="71"/>
        <v>5055</v>
      </c>
      <c r="D1132">
        <f t="shared" si="69"/>
        <v>0</v>
      </c>
      <c r="E1132">
        <f t="shared" si="70"/>
        <v>0</v>
      </c>
      <c r="F1132">
        <f t="shared" si="72"/>
        <v>0</v>
      </c>
    </row>
    <row r="1133" spans="1:6" x14ac:dyDescent="0.25">
      <c r="A1133" s="4" t="s">
        <v>207</v>
      </c>
      <c r="B1133">
        <v>770</v>
      </c>
      <c r="C1133">
        <f t="shared" si="71"/>
        <v>5825</v>
      </c>
      <c r="D1133">
        <f t="shared" si="69"/>
        <v>0</v>
      </c>
      <c r="E1133">
        <f t="shared" si="70"/>
        <v>0</v>
      </c>
      <c r="F1133">
        <f t="shared" si="72"/>
        <v>0</v>
      </c>
    </row>
    <row r="1134" spans="1:6" x14ac:dyDescent="0.25">
      <c r="A1134" s="4" t="s">
        <v>217</v>
      </c>
      <c r="B1134">
        <v>452</v>
      </c>
      <c r="C1134">
        <f t="shared" si="71"/>
        <v>6277</v>
      </c>
      <c r="D1134">
        <f t="shared" si="69"/>
        <v>0</v>
      </c>
      <c r="E1134">
        <f t="shared" si="70"/>
        <v>0</v>
      </c>
      <c r="F1134">
        <f t="shared" si="72"/>
        <v>0</v>
      </c>
    </row>
    <row r="1135" spans="1:6" x14ac:dyDescent="0.25">
      <c r="A1135" s="4" t="s">
        <v>218</v>
      </c>
      <c r="B1135">
        <v>654</v>
      </c>
      <c r="C1135">
        <f t="shared" si="71"/>
        <v>6931</v>
      </c>
      <c r="D1135">
        <f t="shared" si="69"/>
        <v>0</v>
      </c>
      <c r="E1135">
        <f t="shared" si="70"/>
        <v>0</v>
      </c>
      <c r="F1135">
        <f t="shared" si="72"/>
        <v>0</v>
      </c>
    </row>
    <row r="1136" spans="1:6" x14ac:dyDescent="0.25">
      <c r="A1136" s="4" t="s">
        <v>219</v>
      </c>
      <c r="B1136">
        <v>697</v>
      </c>
      <c r="C1136">
        <f t="shared" si="71"/>
        <v>7628</v>
      </c>
      <c r="D1136">
        <f t="shared" si="69"/>
        <v>0</v>
      </c>
      <c r="E1136">
        <f t="shared" si="70"/>
        <v>0</v>
      </c>
      <c r="F1136">
        <f t="shared" si="72"/>
        <v>0</v>
      </c>
    </row>
    <row r="1137" spans="1:6" x14ac:dyDescent="0.25">
      <c r="A1137" s="4" t="s">
        <v>227</v>
      </c>
      <c r="B1137">
        <v>97</v>
      </c>
      <c r="C1137">
        <f t="shared" si="71"/>
        <v>7725</v>
      </c>
      <c r="D1137">
        <f t="shared" ref="D1137:D1200" si="73">IF(C1137 &gt; 15000, 1, 0)</f>
        <v>0</v>
      </c>
      <c r="E1137">
        <f t="shared" ref="E1137:E1200" si="74">IF(AND(D1137 =1,C1137 &gt;= 20000),1,0)</f>
        <v>0</v>
      </c>
      <c r="F1137">
        <f t="shared" si="72"/>
        <v>0</v>
      </c>
    </row>
    <row r="1138" spans="1:6" x14ac:dyDescent="0.25">
      <c r="A1138" s="4" t="s">
        <v>241</v>
      </c>
      <c r="B1138">
        <v>485</v>
      </c>
      <c r="C1138">
        <f t="shared" si="71"/>
        <v>8210</v>
      </c>
      <c r="D1138">
        <f t="shared" si="73"/>
        <v>0</v>
      </c>
      <c r="E1138">
        <f t="shared" si="74"/>
        <v>0</v>
      </c>
      <c r="F1138">
        <f t="shared" si="72"/>
        <v>0</v>
      </c>
    </row>
    <row r="1139" spans="1:6" x14ac:dyDescent="0.25">
      <c r="A1139" s="4" t="s">
        <v>244</v>
      </c>
      <c r="B1139">
        <v>208</v>
      </c>
      <c r="C1139">
        <f t="shared" si="71"/>
        <v>8418</v>
      </c>
      <c r="D1139">
        <f t="shared" si="73"/>
        <v>0</v>
      </c>
      <c r="E1139">
        <f t="shared" si="74"/>
        <v>0</v>
      </c>
      <c r="F1139">
        <f t="shared" si="72"/>
        <v>0</v>
      </c>
    </row>
    <row r="1140" spans="1:6" x14ac:dyDescent="0.25">
      <c r="A1140" s="4" t="s">
        <v>248</v>
      </c>
      <c r="B1140">
        <v>105</v>
      </c>
      <c r="C1140">
        <f t="shared" si="71"/>
        <v>8523</v>
      </c>
      <c r="D1140">
        <f t="shared" si="73"/>
        <v>0</v>
      </c>
      <c r="E1140">
        <f t="shared" si="74"/>
        <v>0</v>
      </c>
      <c r="F1140">
        <f t="shared" si="72"/>
        <v>0</v>
      </c>
    </row>
    <row r="1141" spans="1:6" x14ac:dyDescent="0.25">
      <c r="A1141" s="4" t="s">
        <v>257</v>
      </c>
      <c r="B1141">
        <v>396</v>
      </c>
      <c r="C1141">
        <f t="shared" si="71"/>
        <v>8919</v>
      </c>
      <c r="D1141">
        <f t="shared" si="73"/>
        <v>0</v>
      </c>
      <c r="E1141">
        <f t="shared" si="74"/>
        <v>0</v>
      </c>
      <c r="F1141">
        <f t="shared" si="72"/>
        <v>0</v>
      </c>
    </row>
    <row r="1142" spans="1:6" x14ac:dyDescent="0.25">
      <c r="A1142" s="4" t="s">
        <v>260</v>
      </c>
      <c r="B1142">
        <v>296</v>
      </c>
      <c r="C1142">
        <f t="shared" si="71"/>
        <v>9215</v>
      </c>
      <c r="D1142">
        <f t="shared" si="73"/>
        <v>0</v>
      </c>
      <c r="E1142">
        <f t="shared" si="74"/>
        <v>0</v>
      </c>
      <c r="F1142">
        <f t="shared" si="72"/>
        <v>0</v>
      </c>
    </row>
    <row r="1143" spans="1:6" x14ac:dyDescent="0.25">
      <c r="A1143" s="4" t="s">
        <v>269</v>
      </c>
      <c r="B1143">
        <v>435</v>
      </c>
      <c r="C1143">
        <f t="shared" si="71"/>
        <v>9650</v>
      </c>
      <c r="D1143">
        <f t="shared" si="73"/>
        <v>0</v>
      </c>
      <c r="E1143">
        <f t="shared" si="74"/>
        <v>0</v>
      </c>
      <c r="F1143">
        <f t="shared" si="72"/>
        <v>0</v>
      </c>
    </row>
    <row r="1144" spans="1:6" x14ac:dyDescent="0.25">
      <c r="A1144" s="4" t="s">
        <v>272</v>
      </c>
      <c r="B1144">
        <v>463</v>
      </c>
      <c r="C1144">
        <f t="shared" si="71"/>
        <v>10113</v>
      </c>
      <c r="D1144">
        <f t="shared" si="73"/>
        <v>0</v>
      </c>
      <c r="E1144">
        <f t="shared" si="74"/>
        <v>0</v>
      </c>
      <c r="F1144">
        <f t="shared" si="72"/>
        <v>0</v>
      </c>
    </row>
    <row r="1145" spans="1:6" x14ac:dyDescent="0.25">
      <c r="A1145" s="4" t="s">
        <v>278</v>
      </c>
      <c r="B1145">
        <v>259</v>
      </c>
      <c r="C1145">
        <f t="shared" si="71"/>
        <v>10372</v>
      </c>
      <c r="D1145">
        <f t="shared" si="73"/>
        <v>0</v>
      </c>
      <c r="E1145">
        <f t="shared" si="74"/>
        <v>0</v>
      </c>
      <c r="F1145">
        <f t="shared" si="72"/>
        <v>0</v>
      </c>
    </row>
    <row r="1146" spans="1:6" x14ac:dyDescent="0.25">
      <c r="A1146" s="4" t="s">
        <v>281</v>
      </c>
      <c r="B1146">
        <v>291</v>
      </c>
      <c r="C1146">
        <f t="shared" si="71"/>
        <v>10663</v>
      </c>
      <c r="D1146">
        <f t="shared" si="73"/>
        <v>0</v>
      </c>
      <c r="E1146">
        <f t="shared" si="74"/>
        <v>0</v>
      </c>
      <c r="F1146">
        <f t="shared" si="72"/>
        <v>0</v>
      </c>
    </row>
    <row r="1147" spans="1:6" x14ac:dyDescent="0.25">
      <c r="A1147" s="4" t="s">
        <v>291</v>
      </c>
      <c r="B1147">
        <v>330</v>
      </c>
      <c r="C1147">
        <f t="shared" si="71"/>
        <v>10993</v>
      </c>
      <c r="D1147">
        <f t="shared" si="73"/>
        <v>0</v>
      </c>
      <c r="E1147">
        <f t="shared" si="74"/>
        <v>0</v>
      </c>
      <c r="F1147">
        <f t="shared" si="72"/>
        <v>0</v>
      </c>
    </row>
    <row r="1148" spans="1:6" x14ac:dyDescent="0.25">
      <c r="A1148" s="4" t="s">
        <v>293</v>
      </c>
      <c r="B1148">
        <v>445</v>
      </c>
      <c r="C1148">
        <f t="shared" si="71"/>
        <v>11438</v>
      </c>
      <c r="D1148">
        <f t="shared" si="73"/>
        <v>0</v>
      </c>
      <c r="E1148">
        <f t="shared" si="74"/>
        <v>0</v>
      </c>
      <c r="F1148">
        <f t="shared" si="72"/>
        <v>0</v>
      </c>
    </row>
    <row r="1149" spans="1:6" x14ac:dyDescent="0.25">
      <c r="A1149" s="4" t="s">
        <v>299</v>
      </c>
      <c r="B1149">
        <v>210</v>
      </c>
      <c r="C1149">
        <f t="shared" si="71"/>
        <v>11648</v>
      </c>
      <c r="D1149">
        <f t="shared" si="73"/>
        <v>0</v>
      </c>
      <c r="E1149">
        <f t="shared" si="74"/>
        <v>0</v>
      </c>
      <c r="F1149">
        <f t="shared" si="72"/>
        <v>0</v>
      </c>
    </row>
    <row r="1150" spans="1:6" x14ac:dyDescent="0.25">
      <c r="A1150" s="4" t="s">
        <v>317</v>
      </c>
      <c r="B1150">
        <v>215</v>
      </c>
      <c r="C1150">
        <f t="shared" si="71"/>
        <v>11863</v>
      </c>
      <c r="D1150">
        <f t="shared" si="73"/>
        <v>0</v>
      </c>
      <c r="E1150">
        <f t="shared" si="74"/>
        <v>0</v>
      </c>
      <c r="F1150">
        <f t="shared" si="72"/>
        <v>0</v>
      </c>
    </row>
    <row r="1151" spans="1:6" x14ac:dyDescent="0.25">
      <c r="A1151" s="4" t="s">
        <v>318</v>
      </c>
      <c r="B1151">
        <v>449</v>
      </c>
      <c r="C1151">
        <f t="shared" si="71"/>
        <v>12312</v>
      </c>
      <c r="D1151">
        <f t="shared" si="73"/>
        <v>0</v>
      </c>
      <c r="E1151">
        <f t="shared" si="74"/>
        <v>0</v>
      </c>
      <c r="F1151">
        <f t="shared" si="72"/>
        <v>0</v>
      </c>
    </row>
    <row r="1152" spans="1:6" x14ac:dyDescent="0.25">
      <c r="A1152" s="4" t="s">
        <v>327</v>
      </c>
      <c r="B1152">
        <v>423</v>
      </c>
      <c r="C1152">
        <f t="shared" si="71"/>
        <v>12735</v>
      </c>
      <c r="D1152">
        <f t="shared" si="73"/>
        <v>0</v>
      </c>
      <c r="E1152">
        <f t="shared" si="74"/>
        <v>0</v>
      </c>
      <c r="F1152">
        <f t="shared" si="72"/>
        <v>0</v>
      </c>
    </row>
    <row r="1153" spans="1:6" x14ac:dyDescent="0.25">
      <c r="A1153" s="4" t="s">
        <v>339</v>
      </c>
      <c r="B1153">
        <v>373</v>
      </c>
      <c r="C1153">
        <f t="shared" si="71"/>
        <v>13108</v>
      </c>
      <c r="D1153">
        <f t="shared" si="73"/>
        <v>0</v>
      </c>
      <c r="E1153">
        <f t="shared" si="74"/>
        <v>0</v>
      </c>
      <c r="F1153">
        <f t="shared" si="72"/>
        <v>0</v>
      </c>
    </row>
    <row r="1154" spans="1:6" x14ac:dyDescent="0.25">
      <c r="A1154" s="4" t="s">
        <v>341</v>
      </c>
      <c r="B1154">
        <v>373</v>
      </c>
      <c r="C1154">
        <f t="shared" si="71"/>
        <v>13481</v>
      </c>
      <c r="D1154">
        <f t="shared" si="73"/>
        <v>0</v>
      </c>
      <c r="E1154">
        <f t="shared" si="74"/>
        <v>0</v>
      </c>
      <c r="F1154">
        <f t="shared" si="72"/>
        <v>0</v>
      </c>
    </row>
    <row r="1155" spans="1:6" x14ac:dyDescent="0.25">
      <c r="A1155" s="4" t="s">
        <v>347</v>
      </c>
      <c r="B1155">
        <v>192</v>
      </c>
      <c r="C1155">
        <f t="shared" si="71"/>
        <v>13673</v>
      </c>
      <c r="D1155">
        <f t="shared" si="73"/>
        <v>0</v>
      </c>
      <c r="E1155">
        <f t="shared" si="74"/>
        <v>0</v>
      </c>
      <c r="F1155">
        <f t="shared" si="72"/>
        <v>0</v>
      </c>
    </row>
    <row r="1156" spans="1:6" x14ac:dyDescent="0.25">
      <c r="A1156" s="4" t="s">
        <v>355</v>
      </c>
      <c r="B1156">
        <v>426</v>
      </c>
      <c r="C1156">
        <f t="shared" si="71"/>
        <v>14099</v>
      </c>
      <c r="D1156">
        <f t="shared" si="73"/>
        <v>0</v>
      </c>
      <c r="E1156">
        <f t="shared" si="74"/>
        <v>0</v>
      </c>
      <c r="F1156">
        <f t="shared" si="72"/>
        <v>0</v>
      </c>
    </row>
    <row r="1157" spans="1:6" x14ac:dyDescent="0.25">
      <c r="A1157" s="4" t="s">
        <v>368</v>
      </c>
      <c r="B1157">
        <v>340</v>
      </c>
      <c r="C1157">
        <f t="shared" ref="C1157:C1220" si="75">IF(LEN(A1157) &gt;= 12, 0, C1156+B1157)</f>
        <v>14439</v>
      </c>
      <c r="D1157">
        <f t="shared" si="73"/>
        <v>0</v>
      </c>
      <c r="E1157">
        <f t="shared" si="74"/>
        <v>0</v>
      </c>
      <c r="F1157">
        <f t="shared" si="72"/>
        <v>0</v>
      </c>
    </row>
    <row r="1158" spans="1:6" x14ac:dyDescent="0.25">
      <c r="A1158" s="4" t="s">
        <v>375</v>
      </c>
      <c r="B1158">
        <v>362</v>
      </c>
      <c r="C1158">
        <f t="shared" si="75"/>
        <v>14801</v>
      </c>
      <c r="D1158">
        <f t="shared" si="73"/>
        <v>0</v>
      </c>
      <c r="E1158">
        <f t="shared" si="74"/>
        <v>0</v>
      </c>
      <c r="F1158">
        <f t="shared" ref="F1158:F1221" si="76">IF(AND(D1158 = 1, C1158 &lt; 20000), B1158*5, IF(AND(E1158=1, C1158 &gt;= 20000),B1158*10,0))</f>
        <v>0</v>
      </c>
    </row>
    <row r="1159" spans="1:6" x14ac:dyDescent="0.25">
      <c r="A1159" s="4" t="s">
        <v>379</v>
      </c>
      <c r="B1159">
        <v>418</v>
      </c>
      <c r="C1159">
        <f t="shared" si="75"/>
        <v>15219</v>
      </c>
      <c r="D1159">
        <f t="shared" si="73"/>
        <v>1</v>
      </c>
      <c r="E1159">
        <f t="shared" si="74"/>
        <v>0</v>
      </c>
      <c r="F1159">
        <f t="shared" si="76"/>
        <v>2090</v>
      </c>
    </row>
    <row r="1160" spans="1:6" x14ac:dyDescent="0.25">
      <c r="A1160" s="4" t="s">
        <v>385</v>
      </c>
      <c r="B1160">
        <v>462</v>
      </c>
      <c r="C1160">
        <f t="shared" si="75"/>
        <v>15681</v>
      </c>
      <c r="D1160">
        <f t="shared" si="73"/>
        <v>1</v>
      </c>
      <c r="E1160">
        <f t="shared" si="74"/>
        <v>0</v>
      </c>
      <c r="F1160">
        <f t="shared" si="76"/>
        <v>2310</v>
      </c>
    </row>
    <row r="1161" spans="1:6" x14ac:dyDescent="0.25">
      <c r="A1161" s="4" t="s">
        <v>388</v>
      </c>
      <c r="B1161">
        <v>866</v>
      </c>
      <c r="C1161">
        <f t="shared" si="75"/>
        <v>16547</v>
      </c>
      <c r="D1161">
        <f t="shared" si="73"/>
        <v>1</v>
      </c>
      <c r="E1161">
        <f t="shared" si="74"/>
        <v>0</v>
      </c>
      <c r="F1161">
        <f t="shared" si="76"/>
        <v>4330</v>
      </c>
    </row>
    <row r="1162" spans="1:6" x14ac:dyDescent="0.25">
      <c r="A1162" s="4" t="s">
        <v>391</v>
      </c>
      <c r="B1162">
        <v>25</v>
      </c>
      <c r="C1162">
        <f t="shared" si="75"/>
        <v>16572</v>
      </c>
      <c r="D1162">
        <f t="shared" si="73"/>
        <v>1</v>
      </c>
      <c r="E1162">
        <f t="shared" si="74"/>
        <v>0</v>
      </c>
      <c r="F1162">
        <f t="shared" si="76"/>
        <v>125</v>
      </c>
    </row>
    <row r="1163" spans="1:6" x14ac:dyDescent="0.25">
      <c r="A1163" s="4" t="s">
        <v>395</v>
      </c>
      <c r="B1163">
        <v>320</v>
      </c>
      <c r="C1163">
        <f t="shared" si="75"/>
        <v>16892</v>
      </c>
      <c r="D1163">
        <f t="shared" si="73"/>
        <v>1</v>
      </c>
      <c r="E1163">
        <f t="shared" si="74"/>
        <v>0</v>
      </c>
      <c r="F1163">
        <f t="shared" si="76"/>
        <v>1600</v>
      </c>
    </row>
    <row r="1164" spans="1:6" x14ac:dyDescent="0.25">
      <c r="A1164" s="4" t="s">
        <v>402</v>
      </c>
      <c r="B1164">
        <v>509</v>
      </c>
      <c r="C1164">
        <f t="shared" si="75"/>
        <v>17401</v>
      </c>
      <c r="D1164">
        <f t="shared" si="73"/>
        <v>1</v>
      </c>
      <c r="E1164">
        <f t="shared" si="74"/>
        <v>0</v>
      </c>
      <c r="F1164">
        <f t="shared" si="76"/>
        <v>2545</v>
      </c>
    </row>
    <row r="1165" spans="1:6" x14ac:dyDescent="0.25">
      <c r="A1165" s="3" t="s">
        <v>60</v>
      </c>
      <c r="B1165">
        <v>15566</v>
      </c>
      <c r="C1165">
        <f t="shared" si="75"/>
        <v>0</v>
      </c>
      <c r="D1165">
        <f t="shared" si="73"/>
        <v>0</v>
      </c>
      <c r="E1165">
        <f t="shared" si="74"/>
        <v>0</v>
      </c>
      <c r="F1165">
        <f t="shared" si="76"/>
        <v>0</v>
      </c>
    </row>
    <row r="1166" spans="1:6" x14ac:dyDescent="0.25">
      <c r="A1166" s="4" t="s">
        <v>103</v>
      </c>
      <c r="B1166">
        <v>368</v>
      </c>
      <c r="C1166">
        <f t="shared" si="75"/>
        <v>368</v>
      </c>
      <c r="D1166">
        <f t="shared" si="73"/>
        <v>0</v>
      </c>
      <c r="E1166">
        <f t="shared" si="74"/>
        <v>0</v>
      </c>
      <c r="F1166">
        <f t="shared" si="76"/>
        <v>0</v>
      </c>
    </row>
    <row r="1167" spans="1:6" x14ac:dyDescent="0.25">
      <c r="A1167" s="4" t="s">
        <v>116</v>
      </c>
      <c r="B1167">
        <v>299</v>
      </c>
      <c r="C1167">
        <f t="shared" si="75"/>
        <v>667</v>
      </c>
      <c r="D1167">
        <f t="shared" si="73"/>
        <v>0</v>
      </c>
      <c r="E1167">
        <f t="shared" si="74"/>
        <v>0</v>
      </c>
      <c r="F1167">
        <f t="shared" si="76"/>
        <v>0</v>
      </c>
    </row>
    <row r="1168" spans="1:6" x14ac:dyDescent="0.25">
      <c r="A1168" s="4" t="s">
        <v>117</v>
      </c>
      <c r="B1168">
        <v>197</v>
      </c>
      <c r="C1168">
        <f t="shared" si="75"/>
        <v>864</v>
      </c>
      <c r="D1168">
        <f t="shared" si="73"/>
        <v>0</v>
      </c>
      <c r="E1168">
        <f t="shared" si="74"/>
        <v>0</v>
      </c>
      <c r="F1168">
        <f t="shared" si="76"/>
        <v>0</v>
      </c>
    </row>
    <row r="1169" spans="1:6" x14ac:dyDescent="0.25">
      <c r="A1169" s="4" t="s">
        <v>130</v>
      </c>
      <c r="B1169">
        <v>294</v>
      </c>
      <c r="C1169">
        <f t="shared" si="75"/>
        <v>1158</v>
      </c>
      <c r="D1169">
        <f t="shared" si="73"/>
        <v>0</v>
      </c>
      <c r="E1169">
        <f t="shared" si="74"/>
        <v>0</v>
      </c>
      <c r="F1169">
        <f t="shared" si="76"/>
        <v>0</v>
      </c>
    </row>
    <row r="1170" spans="1:6" x14ac:dyDescent="0.25">
      <c r="A1170" s="4" t="s">
        <v>131</v>
      </c>
      <c r="B1170">
        <v>25</v>
      </c>
      <c r="C1170">
        <f t="shared" si="75"/>
        <v>1183</v>
      </c>
      <c r="D1170">
        <f t="shared" si="73"/>
        <v>0</v>
      </c>
      <c r="E1170">
        <f t="shared" si="74"/>
        <v>0</v>
      </c>
      <c r="F1170">
        <f t="shared" si="76"/>
        <v>0</v>
      </c>
    </row>
    <row r="1171" spans="1:6" x14ac:dyDescent="0.25">
      <c r="A1171" s="4" t="s">
        <v>134</v>
      </c>
      <c r="B1171">
        <v>398</v>
      </c>
      <c r="C1171">
        <f t="shared" si="75"/>
        <v>1581</v>
      </c>
      <c r="D1171">
        <f t="shared" si="73"/>
        <v>0</v>
      </c>
      <c r="E1171">
        <f t="shared" si="74"/>
        <v>0</v>
      </c>
      <c r="F1171">
        <f t="shared" si="76"/>
        <v>0</v>
      </c>
    </row>
    <row r="1172" spans="1:6" x14ac:dyDescent="0.25">
      <c r="A1172" s="4" t="s">
        <v>142</v>
      </c>
      <c r="B1172">
        <v>321</v>
      </c>
      <c r="C1172">
        <f t="shared" si="75"/>
        <v>1902</v>
      </c>
      <c r="D1172">
        <f t="shared" si="73"/>
        <v>0</v>
      </c>
      <c r="E1172">
        <f t="shared" si="74"/>
        <v>0</v>
      </c>
      <c r="F1172">
        <f t="shared" si="76"/>
        <v>0</v>
      </c>
    </row>
    <row r="1173" spans="1:6" x14ac:dyDescent="0.25">
      <c r="A1173" s="4" t="s">
        <v>145</v>
      </c>
      <c r="B1173">
        <v>563</v>
      </c>
      <c r="C1173">
        <f t="shared" si="75"/>
        <v>2465</v>
      </c>
      <c r="D1173">
        <f t="shared" si="73"/>
        <v>0</v>
      </c>
      <c r="E1173">
        <f t="shared" si="74"/>
        <v>0</v>
      </c>
      <c r="F1173">
        <f t="shared" si="76"/>
        <v>0</v>
      </c>
    </row>
    <row r="1174" spans="1:6" x14ac:dyDescent="0.25">
      <c r="A1174" s="4" t="s">
        <v>152</v>
      </c>
      <c r="B1174">
        <v>324</v>
      </c>
      <c r="C1174">
        <f t="shared" si="75"/>
        <v>2789</v>
      </c>
      <c r="D1174">
        <f t="shared" si="73"/>
        <v>0</v>
      </c>
      <c r="E1174">
        <f t="shared" si="74"/>
        <v>0</v>
      </c>
      <c r="F1174">
        <f t="shared" si="76"/>
        <v>0</v>
      </c>
    </row>
    <row r="1175" spans="1:6" x14ac:dyDescent="0.25">
      <c r="A1175" s="4" t="s">
        <v>154</v>
      </c>
      <c r="B1175">
        <v>408</v>
      </c>
      <c r="C1175">
        <f t="shared" si="75"/>
        <v>3197</v>
      </c>
      <c r="D1175">
        <f t="shared" si="73"/>
        <v>0</v>
      </c>
      <c r="E1175">
        <f t="shared" si="74"/>
        <v>0</v>
      </c>
      <c r="F1175">
        <f t="shared" si="76"/>
        <v>0</v>
      </c>
    </row>
    <row r="1176" spans="1:6" x14ac:dyDescent="0.25">
      <c r="A1176" s="4" t="s">
        <v>156</v>
      </c>
      <c r="B1176">
        <v>709</v>
      </c>
      <c r="C1176">
        <f t="shared" si="75"/>
        <v>3906</v>
      </c>
      <c r="D1176">
        <f t="shared" si="73"/>
        <v>0</v>
      </c>
      <c r="E1176">
        <f t="shared" si="74"/>
        <v>0</v>
      </c>
      <c r="F1176">
        <f t="shared" si="76"/>
        <v>0</v>
      </c>
    </row>
    <row r="1177" spans="1:6" x14ac:dyDescent="0.25">
      <c r="A1177" s="4" t="s">
        <v>164</v>
      </c>
      <c r="B1177">
        <v>106</v>
      </c>
      <c r="C1177">
        <f t="shared" si="75"/>
        <v>4012</v>
      </c>
      <c r="D1177">
        <f t="shared" si="73"/>
        <v>0</v>
      </c>
      <c r="E1177">
        <f t="shared" si="74"/>
        <v>0</v>
      </c>
      <c r="F1177">
        <f t="shared" si="76"/>
        <v>0</v>
      </c>
    </row>
    <row r="1178" spans="1:6" x14ac:dyDescent="0.25">
      <c r="A1178" s="4" t="s">
        <v>166</v>
      </c>
      <c r="B1178">
        <v>722</v>
      </c>
      <c r="C1178">
        <f t="shared" si="75"/>
        <v>4734</v>
      </c>
      <c r="D1178">
        <f t="shared" si="73"/>
        <v>0</v>
      </c>
      <c r="E1178">
        <f t="shared" si="74"/>
        <v>0</v>
      </c>
      <c r="F1178">
        <f t="shared" si="76"/>
        <v>0</v>
      </c>
    </row>
    <row r="1179" spans="1:6" x14ac:dyDescent="0.25">
      <c r="A1179" s="4" t="s">
        <v>169</v>
      </c>
      <c r="B1179">
        <v>129</v>
      </c>
      <c r="C1179">
        <f t="shared" si="75"/>
        <v>4863</v>
      </c>
      <c r="D1179">
        <f t="shared" si="73"/>
        <v>0</v>
      </c>
      <c r="E1179">
        <f t="shared" si="74"/>
        <v>0</v>
      </c>
      <c r="F1179">
        <f t="shared" si="76"/>
        <v>0</v>
      </c>
    </row>
    <row r="1180" spans="1:6" x14ac:dyDescent="0.25">
      <c r="A1180" s="4" t="s">
        <v>171</v>
      </c>
      <c r="B1180">
        <v>60</v>
      </c>
      <c r="C1180">
        <f t="shared" si="75"/>
        <v>4923</v>
      </c>
      <c r="D1180">
        <f t="shared" si="73"/>
        <v>0</v>
      </c>
      <c r="E1180">
        <f t="shared" si="74"/>
        <v>0</v>
      </c>
      <c r="F1180">
        <f t="shared" si="76"/>
        <v>0</v>
      </c>
    </row>
    <row r="1181" spans="1:6" x14ac:dyDescent="0.25">
      <c r="A1181" s="4" t="s">
        <v>174</v>
      </c>
      <c r="B1181">
        <v>688</v>
      </c>
      <c r="C1181">
        <f t="shared" si="75"/>
        <v>5611</v>
      </c>
      <c r="D1181">
        <f t="shared" si="73"/>
        <v>0</v>
      </c>
      <c r="E1181">
        <f t="shared" si="74"/>
        <v>0</v>
      </c>
      <c r="F1181">
        <f t="shared" si="76"/>
        <v>0</v>
      </c>
    </row>
    <row r="1182" spans="1:6" x14ac:dyDescent="0.25">
      <c r="A1182" s="4" t="s">
        <v>182</v>
      </c>
      <c r="B1182">
        <v>156</v>
      </c>
      <c r="C1182">
        <f t="shared" si="75"/>
        <v>5767</v>
      </c>
      <c r="D1182">
        <f t="shared" si="73"/>
        <v>0</v>
      </c>
      <c r="E1182">
        <f t="shared" si="74"/>
        <v>0</v>
      </c>
      <c r="F1182">
        <f t="shared" si="76"/>
        <v>0</v>
      </c>
    </row>
    <row r="1183" spans="1:6" x14ac:dyDescent="0.25">
      <c r="A1183" s="4" t="s">
        <v>184</v>
      </c>
      <c r="B1183">
        <v>288</v>
      </c>
      <c r="C1183">
        <f t="shared" si="75"/>
        <v>6055</v>
      </c>
      <c r="D1183">
        <f t="shared" si="73"/>
        <v>0</v>
      </c>
      <c r="E1183">
        <f t="shared" si="74"/>
        <v>0</v>
      </c>
      <c r="F1183">
        <f t="shared" si="76"/>
        <v>0</v>
      </c>
    </row>
    <row r="1184" spans="1:6" x14ac:dyDescent="0.25">
      <c r="A1184" s="4" t="s">
        <v>192</v>
      </c>
      <c r="B1184">
        <v>411</v>
      </c>
      <c r="C1184">
        <f t="shared" si="75"/>
        <v>6466</v>
      </c>
      <c r="D1184">
        <f t="shared" si="73"/>
        <v>0</v>
      </c>
      <c r="E1184">
        <f t="shared" si="74"/>
        <v>0</v>
      </c>
      <c r="F1184">
        <f t="shared" si="76"/>
        <v>0</v>
      </c>
    </row>
    <row r="1185" spans="1:6" x14ac:dyDescent="0.25">
      <c r="A1185" s="4" t="s">
        <v>195</v>
      </c>
      <c r="B1185">
        <v>797</v>
      </c>
      <c r="C1185">
        <f t="shared" si="75"/>
        <v>7263</v>
      </c>
      <c r="D1185">
        <f t="shared" si="73"/>
        <v>0</v>
      </c>
      <c r="E1185">
        <f t="shared" si="74"/>
        <v>0</v>
      </c>
      <c r="F1185">
        <f t="shared" si="76"/>
        <v>0</v>
      </c>
    </row>
    <row r="1186" spans="1:6" x14ac:dyDescent="0.25">
      <c r="A1186" s="4" t="s">
        <v>196</v>
      </c>
      <c r="B1186">
        <v>513</v>
      </c>
      <c r="C1186">
        <f t="shared" si="75"/>
        <v>7776</v>
      </c>
      <c r="D1186">
        <f t="shared" si="73"/>
        <v>0</v>
      </c>
      <c r="E1186">
        <f t="shared" si="74"/>
        <v>0</v>
      </c>
      <c r="F1186">
        <f t="shared" si="76"/>
        <v>0</v>
      </c>
    </row>
    <row r="1187" spans="1:6" x14ac:dyDescent="0.25">
      <c r="A1187" s="4" t="s">
        <v>209</v>
      </c>
      <c r="B1187">
        <v>697</v>
      </c>
      <c r="C1187">
        <f t="shared" si="75"/>
        <v>8473</v>
      </c>
      <c r="D1187">
        <f t="shared" si="73"/>
        <v>0</v>
      </c>
      <c r="E1187">
        <f t="shared" si="74"/>
        <v>0</v>
      </c>
      <c r="F1187">
        <f t="shared" si="76"/>
        <v>0</v>
      </c>
    </row>
    <row r="1188" spans="1:6" x14ac:dyDescent="0.25">
      <c r="A1188" s="4" t="s">
        <v>224</v>
      </c>
      <c r="B1188">
        <v>235</v>
      </c>
      <c r="C1188">
        <f t="shared" si="75"/>
        <v>8708</v>
      </c>
      <c r="D1188">
        <f t="shared" si="73"/>
        <v>0</v>
      </c>
      <c r="E1188">
        <f t="shared" si="74"/>
        <v>0</v>
      </c>
      <c r="F1188">
        <f t="shared" si="76"/>
        <v>0</v>
      </c>
    </row>
    <row r="1189" spans="1:6" x14ac:dyDescent="0.25">
      <c r="A1189" s="4" t="s">
        <v>229</v>
      </c>
      <c r="B1189">
        <v>758</v>
      </c>
      <c r="C1189">
        <f t="shared" si="75"/>
        <v>9466</v>
      </c>
      <c r="D1189">
        <f t="shared" si="73"/>
        <v>0</v>
      </c>
      <c r="E1189">
        <f t="shared" si="74"/>
        <v>0</v>
      </c>
      <c r="F1189">
        <f t="shared" si="76"/>
        <v>0</v>
      </c>
    </row>
    <row r="1190" spans="1:6" x14ac:dyDescent="0.25">
      <c r="A1190" s="4" t="s">
        <v>231</v>
      </c>
      <c r="B1190">
        <v>140</v>
      </c>
      <c r="C1190">
        <f t="shared" si="75"/>
        <v>9606</v>
      </c>
      <c r="D1190">
        <f t="shared" si="73"/>
        <v>0</v>
      </c>
      <c r="E1190">
        <f t="shared" si="74"/>
        <v>0</v>
      </c>
      <c r="F1190">
        <f t="shared" si="76"/>
        <v>0</v>
      </c>
    </row>
    <row r="1191" spans="1:6" x14ac:dyDescent="0.25">
      <c r="A1191" s="4" t="s">
        <v>236</v>
      </c>
      <c r="B1191">
        <v>256</v>
      </c>
      <c r="C1191">
        <f t="shared" si="75"/>
        <v>9862</v>
      </c>
      <c r="D1191">
        <f t="shared" si="73"/>
        <v>0</v>
      </c>
      <c r="E1191">
        <f t="shared" si="74"/>
        <v>0</v>
      </c>
      <c r="F1191">
        <f t="shared" si="76"/>
        <v>0</v>
      </c>
    </row>
    <row r="1192" spans="1:6" x14ac:dyDescent="0.25">
      <c r="A1192" s="4" t="s">
        <v>242</v>
      </c>
      <c r="B1192">
        <v>52</v>
      </c>
      <c r="C1192">
        <f t="shared" si="75"/>
        <v>9914</v>
      </c>
      <c r="D1192">
        <f t="shared" si="73"/>
        <v>0</v>
      </c>
      <c r="E1192">
        <f t="shared" si="74"/>
        <v>0</v>
      </c>
      <c r="F1192">
        <f t="shared" si="76"/>
        <v>0</v>
      </c>
    </row>
    <row r="1193" spans="1:6" x14ac:dyDescent="0.25">
      <c r="A1193" s="4" t="s">
        <v>255</v>
      </c>
      <c r="B1193">
        <v>353</v>
      </c>
      <c r="C1193">
        <f t="shared" si="75"/>
        <v>10267</v>
      </c>
      <c r="D1193">
        <f t="shared" si="73"/>
        <v>0</v>
      </c>
      <c r="E1193">
        <f t="shared" si="74"/>
        <v>0</v>
      </c>
      <c r="F1193">
        <f t="shared" si="76"/>
        <v>0</v>
      </c>
    </row>
    <row r="1194" spans="1:6" x14ac:dyDescent="0.25">
      <c r="A1194" s="4" t="s">
        <v>260</v>
      </c>
      <c r="B1194">
        <v>30</v>
      </c>
      <c r="C1194">
        <f t="shared" si="75"/>
        <v>10297</v>
      </c>
      <c r="D1194">
        <f t="shared" si="73"/>
        <v>0</v>
      </c>
      <c r="E1194">
        <f t="shared" si="74"/>
        <v>0</v>
      </c>
      <c r="F1194">
        <f t="shared" si="76"/>
        <v>0</v>
      </c>
    </row>
    <row r="1195" spans="1:6" x14ac:dyDescent="0.25">
      <c r="A1195" s="4" t="s">
        <v>263</v>
      </c>
      <c r="B1195">
        <v>498</v>
      </c>
      <c r="C1195">
        <f t="shared" si="75"/>
        <v>10795</v>
      </c>
      <c r="D1195">
        <f t="shared" si="73"/>
        <v>0</v>
      </c>
      <c r="E1195">
        <f t="shared" si="74"/>
        <v>0</v>
      </c>
      <c r="F1195">
        <f t="shared" si="76"/>
        <v>0</v>
      </c>
    </row>
    <row r="1196" spans="1:6" x14ac:dyDescent="0.25">
      <c r="A1196" s="4" t="s">
        <v>269</v>
      </c>
      <c r="B1196">
        <v>97</v>
      </c>
      <c r="C1196">
        <f t="shared" si="75"/>
        <v>10892</v>
      </c>
      <c r="D1196">
        <f t="shared" si="73"/>
        <v>0</v>
      </c>
      <c r="E1196">
        <f t="shared" si="74"/>
        <v>0</v>
      </c>
      <c r="F1196">
        <f t="shared" si="76"/>
        <v>0</v>
      </c>
    </row>
    <row r="1197" spans="1:6" x14ac:dyDescent="0.25">
      <c r="A1197" s="4" t="s">
        <v>288</v>
      </c>
      <c r="B1197">
        <v>335</v>
      </c>
      <c r="C1197">
        <f t="shared" si="75"/>
        <v>11227</v>
      </c>
      <c r="D1197">
        <f t="shared" si="73"/>
        <v>0</v>
      </c>
      <c r="E1197">
        <f t="shared" si="74"/>
        <v>0</v>
      </c>
      <c r="F1197">
        <f t="shared" si="76"/>
        <v>0</v>
      </c>
    </row>
    <row r="1198" spans="1:6" x14ac:dyDescent="0.25">
      <c r="A1198" s="4" t="s">
        <v>297</v>
      </c>
      <c r="B1198">
        <v>350</v>
      </c>
      <c r="C1198">
        <f t="shared" si="75"/>
        <v>11577</v>
      </c>
      <c r="D1198">
        <f t="shared" si="73"/>
        <v>0</v>
      </c>
      <c r="E1198">
        <f t="shared" si="74"/>
        <v>0</v>
      </c>
      <c r="F1198">
        <f t="shared" si="76"/>
        <v>0</v>
      </c>
    </row>
    <row r="1199" spans="1:6" x14ac:dyDescent="0.25">
      <c r="A1199" s="4" t="s">
        <v>298</v>
      </c>
      <c r="B1199">
        <v>180</v>
      </c>
      <c r="C1199">
        <f t="shared" si="75"/>
        <v>11757</v>
      </c>
      <c r="D1199">
        <f t="shared" si="73"/>
        <v>0</v>
      </c>
      <c r="E1199">
        <f t="shared" si="74"/>
        <v>0</v>
      </c>
      <c r="F1199">
        <f t="shared" si="76"/>
        <v>0</v>
      </c>
    </row>
    <row r="1200" spans="1:6" x14ac:dyDescent="0.25">
      <c r="A1200" s="4" t="s">
        <v>300</v>
      </c>
      <c r="B1200">
        <v>629</v>
      </c>
      <c r="C1200">
        <f t="shared" si="75"/>
        <v>12386</v>
      </c>
      <c r="D1200">
        <f t="shared" si="73"/>
        <v>0</v>
      </c>
      <c r="E1200">
        <f t="shared" si="74"/>
        <v>0</v>
      </c>
      <c r="F1200">
        <f t="shared" si="76"/>
        <v>0</v>
      </c>
    </row>
    <row r="1201" spans="1:6" x14ac:dyDescent="0.25">
      <c r="A1201" s="4" t="s">
        <v>309</v>
      </c>
      <c r="B1201">
        <v>80</v>
      </c>
      <c r="C1201">
        <f t="shared" si="75"/>
        <v>12466</v>
      </c>
      <c r="D1201">
        <f t="shared" ref="D1201:D1264" si="77">IF(C1201 &gt; 15000, 1, 0)</f>
        <v>0</v>
      </c>
      <c r="E1201">
        <f t="shared" ref="E1201:E1264" si="78">IF(AND(D1201 =1,C1201 &gt;= 20000),1,0)</f>
        <v>0</v>
      </c>
      <c r="F1201">
        <f t="shared" si="76"/>
        <v>0</v>
      </c>
    </row>
    <row r="1202" spans="1:6" x14ac:dyDescent="0.25">
      <c r="A1202" s="4" t="s">
        <v>315</v>
      </c>
      <c r="B1202">
        <v>62</v>
      </c>
      <c r="C1202">
        <f t="shared" si="75"/>
        <v>12528</v>
      </c>
      <c r="D1202">
        <f t="shared" si="77"/>
        <v>0</v>
      </c>
      <c r="E1202">
        <f t="shared" si="78"/>
        <v>0</v>
      </c>
      <c r="F1202">
        <f t="shared" si="76"/>
        <v>0</v>
      </c>
    </row>
    <row r="1203" spans="1:6" x14ac:dyDescent="0.25">
      <c r="A1203" s="4" t="s">
        <v>317</v>
      </c>
      <c r="B1203">
        <v>236</v>
      </c>
      <c r="C1203">
        <f t="shared" si="75"/>
        <v>12764</v>
      </c>
      <c r="D1203">
        <f t="shared" si="77"/>
        <v>0</v>
      </c>
      <c r="E1203">
        <f t="shared" si="78"/>
        <v>0</v>
      </c>
      <c r="F1203">
        <f t="shared" si="76"/>
        <v>0</v>
      </c>
    </row>
    <row r="1204" spans="1:6" x14ac:dyDescent="0.25">
      <c r="A1204" s="4" t="s">
        <v>318</v>
      </c>
      <c r="B1204">
        <v>24</v>
      </c>
      <c r="C1204">
        <f t="shared" si="75"/>
        <v>12788</v>
      </c>
      <c r="D1204">
        <f t="shared" si="77"/>
        <v>0</v>
      </c>
      <c r="E1204">
        <f t="shared" si="78"/>
        <v>0</v>
      </c>
      <c r="F1204">
        <f t="shared" si="76"/>
        <v>0</v>
      </c>
    </row>
    <row r="1205" spans="1:6" x14ac:dyDescent="0.25">
      <c r="A1205" s="4" t="s">
        <v>319</v>
      </c>
      <c r="B1205">
        <v>294</v>
      </c>
      <c r="C1205">
        <f t="shared" si="75"/>
        <v>13082</v>
      </c>
      <c r="D1205">
        <f t="shared" si="77"/>
        <v>0</v>
      </c>
      <c r="E1205">
        <f t="shared" si="78"/>
        <v>0</v>
      </c>
      <c r="F1205">
        <f t="shared" si="76"/>
        <v>0</v>
      </c>
    </row>
    <row r="1206" spans="1:6" x14ac:dyDescent="0.25">
      <c r="A1206" s="4" t="s">
        <v>351</v>
      </c>
      <c r="B1206">
        <v>370</v>
      </c>
      <c r="C1206">
        <f t="shared" si="75"/>
        <v>13452</v>
      </c>
      <c r="D1206">
        <f t="shared" si="77"/>
        <v>0</v>
      </c>
      <c r="E1206">
        <f t="shared" si="78"/>
        <v>0</v>
      </c>
      <c r="F1206">
        <f t="shared" si="76"/>
        <v>0</v>
      </c>
    </row>
    <row r="1207" spans="1:6" x14ac:dyDescent="0.25">
      <c r="A1207" s="4" t="s">
        <v>373</v>
      </c>
      <c r="B1207">
        <v>369</v>
      </c>
      <c r="C1207">
        <f t="shared" si="75"/>
        <v>13821</v>
      </c>
      <c r="D1207">
        <f t="shared" si="77"/>
        <v>0</v>
      </c>
      <c r="E1207">
        <f t="shared" si="78"/>
        <v>0</v>
      </c>
      <c r="F1207">
        <f t="shared" si="76"/>
        <v>0</v>
      </c>
    </row>
    <row r="1208" spans="1:6" x14ac:dyDescent="0.25">
      <c r="A1208" s="4" t="s">
        <v>383</v>
      </c>
      <c r="B1208">
        <v>402</v>
      </c>
      <c r="C1208">
        <f t="shared" si="75"/>
        <v>14223</v>
      </c>
      <c r="D1208">
        <f t="shared" si="77"/>
        <v>0</v>
      </c>
      <c r="E1208">
        <f t="shared" si="78"/>
        <v>0</v>
      </c>
      <c r="F1208">
        <f t="shared" si="76"/>
        <v>0</v>
      </c>
    </row>
    <row r="1209" spans="1:6" x14ac:dyDescent="0.25">
      <c r="A1209" s="4" t="s">
        <v>386</v>
      </c>
      <c r="B1209">
        <v>1050</v>
      </c>
      <c r="C1209">
        <f t="shared" si="75"/>
        <v>15273</v>
      </c>
      <c r="D1209">
        <f t="shared" si="77"/>
        <v>1</v>
      </c>
      <c r="E1209">
        <f t="shared" si="78"/>
        <v>0</v>
      </c>
      <c r="F1209">
        <f t="shared" si="76"/>
        <v>5250</v>
      </c>
    </row>
    <row r="1210" spans="1:6" x14ac:dyDescent="0.25">
      <c r="A1210" s="4" t="s">
        <v>387</v>
      </c>
      <c r="B1210">
        <v>70</v>
      </c>
      <c r="C1210">
        <f t="shared" si="75"/>
        <v>15343</v>
      </c>
      <c r="D1210">
        <f t="shared" si="77"/>
        <v>1</v>
      </c>
      <c r="E1210">
        <f t="shared" si="78"/>
        <v>0</v>
      </c>
      <c r="F1210">
        <f t="shared" si="76"/>
        <v>350</v>
      </c>
    </row>
    <row r="1211" spans="1:6" x14ac:dyDescent="0.25">
      <c r="A1211" s="4" t="s">
        <v>390</v>
      </c>
      <c r="B1211">
        <v>223</v>
      </c>
      <c r="C1211">
        <f t="shared" si="75"/>
        <v>15566</v>
      </c>
      <c r="D1211">
        <f t="shared" si="77"/>
        <v>1</v>
      </c>
      <c r="E1211">
        <f t="shared" si="78"/>
        <v>0</v>
      </c>
      <c r="F1211">
        <f t="shared" si="76"/>
        <v>1115</v>
      </c>
    </row>
    <row r="1212" spans="1:6" x14ac:dyDescent="0.25">
      <c r="A1212" s="3" t="s">
        <v>47</v>
      </c>
      <c r="B1212">
        <v>13102</v>
      </c>
      <c r="C1212">
        <f t="shared" si="75"/>
        <v>0</v>
      </c>
      <c r="D1212">
        <f t="shared" si="77"/>
        <v>0</v>
      </c>
      <c r="E1212">
        <f t="shared" si="78"/>
        <v>0</v>
      </c>
      <c r="F1212">
        <f t="shared" si="76"/>
        <v>0</v>
      </c>
    </row>
    <row r="1213" spans="1:6" x14ac:dyDescent="0.25">
      <c r="A1213" s="4" t="s">
        <v>100</v>
      </c>
      <c r="B1213">
        <v>13</v>
      </c>
      <c r="C1213">
        <f t="shared" si="75"/>
        <v>13</v>
      </c>
      <c r="D1213">
        <f t="shared" si="77"/>
        <v>0</v>
      </c>
      <c r="E1213">
        <f t="shared" si="78"/>
        <v>0</v>
      </c>
      <c r="F1213">
        <f t="shared" si="76"/>
        <v>0</v>
      </c>
    </row>
    <row r="1214" spans="1:6" x14ac:dyDescent="0.25">
      <c r="A1214" s="4" t="s">
        <v>107</v>
      </c>
      <c r="B1214">
        <v>241</v>
      </c>
      <c r="C1214">
        <f t="shared" si="75"/>
        <v>254</v>
      </c>
      <c r="D1214">
        <f t="shared" si="77"/>
        <v>0</v>
      </c>
      <c r="E1214">
        <f t="shared" si="78"/>
        <v>0</v>
      </c>
      <c r="F1214">
        <f t="shared" si="76"/>
        <v>0</v>
      </c>
    </row>
    <row r="1215" spans="1:6" x14ac:dyDescent="0.25">
      <c r="A1215" s="4" t="s">
        <v>111</v>
      </c>
      <c r="B1215">
        <v>113</v>
      </c>
      <c r="C1215">
        <f t="shared" si="75"/>
        <v>367</v>
      </c>
      <c r="D1215">
        <f t="shared" si="77"/>
        <v>0</v>
      </c>
      <c r="E1215">
        <f t="shared" si="78"/>
        <v>0</v>
      </c>
      <c r="F1215">
        <f t="shared" si="76"/>
        <v>0</v>
      </c>
    </row>
    <row r="1216" spans="1:6" x14ac:dyDescent="0.25">
      <c r="A1216" s="4" t="s">
        <v>117</v>
      </c>
      <c r="B1216">
        <v>317</v>
      </c>
      <c r="C1216">
        <f t="shared" si="75"/>
        <v>684</v>
      </c>
      <c r="D1216">
        <f t="shared" si="77"/>
        <v>0</v>
      </c>
      <c r="E1216">
        <f t="shared" si="78"/>
        <v>0</v>
      </c>
      <c r="F1216">
        <f t="shared" si="76"/>
        <v>0</v>
      </c>
    </row>
    <row r="1217" spans="1:6" x14ac:dyDescent="0.25">
      <c r="A1217" s="4" t="s">
        <v>119</v>
      </c>
      <c r="B1217">
        <v>19</v>
      </c>
      <c r="C1217">
        <f t="shared" si="75"/>
        <v>703</v>
      </c>
      <c r="D1217">
        <f t="shared" si="77"/>
        <v>0</v>
      </c>
      <c r="E1217">
        <f t="shared" si="78"/>
        <v>0</v>
      </c>
      <c r="F1217">
        <f t="shared" si="76"/>
        <v>0</v>
      </c>
    </row>
    <row r="1218" spans="1:6" x14ac:dyDescent="0.25">
      <c r="A1218" s="4" t="s">
        <v>123</v>
      </c>
      <c r="B1218">
        <v>578</v>
      </c>
      <c r="C1218">
        <f t="shared" si="75"/>
        <v>1281</v>
      </c>
      <c r="D1218">
        <f t="shared" si="77"/>
        <v>0</v>
      </c>
      <c r="E1218">
        <f t="shared" si="78"/>
        <v>0</v>
      </c>
      <c r="F1218">
        <f t="shared" si="76"/>
        <v>0</v>
      </c>
    </row>
    <row r="1219" spans="1:6" x14ac:dyDescent="0.25">
      <c r="A1219" s="4" t="s">
        <v>133</v>
      </c>
      <c r="B1219">
        <v>243</v>
      </c>
      <c r="C1219">
        <f t="shared" si="75"/>
        <v>1524</v>
      </c>
      <c r="D1219">
        <f t="shared" si="77"/>
        <v>0</v>
      </c>
      <c r="E1219">
        <f t="shared" si="78"/>
        <v>0</v>
      </c>
      <c r="F1219">
        <f t="shared" si="76"/>
        <v>0</v>
      </c>
    </row>
    <row r="1220" spans="1:6" x14ac:dyDescent="0.25">
      <c r="A1220" s="4" t="s">
        <v>134</v>
      </c>
      <c r="B1220">
        <v>682</v>
      </c>
      <c r="C1220">
        <f t="shared" si="75"/>
        <v>2206</v>
      </c>
      <c r="D1220">
        <f t="shared" si="77"/>
        <v>0</v>
      </c>
      <c r="E1220">
        <f t="shared" si="78"/>
        <v>0</v>
      </c>
      <c r="F1220">
        <f t="shared" si="76"/>
        <v>0</v>
      </c>
    </row>
    <row r="1221" spans="1:6" x14ac:dyDescent="0.25">
      <c r="A1221" s="4" t="s">
        <v>144</v>
      </c>
      <c r="B1221">
        <v>506</v>
      </c>
      <c r="C1221">
        <f t="shared" ref="C1221:C1284" si="79">IF(LEN(A1221) &gt;= 12, 0, C1220+B1221)</f>
        <v>2712</v>
      </c>
      <c r="D1221">
        <f t="shared" si="77"/>
        <v>0</v>
      </c>
      <c r="E1221">
        <f t="shared" si="78"/>
        <v>0</v>
      </c>
      <c r="F1221">
        <f t="shared" si="76"/>
        <v>0</v>
      </c>
    </row>
    <row r="1222" spans="1:6" x14ac:dyDescent="0.25">
      <c r="A1222" s="4" t="s">
        <v>151</v>
      </c>
      <c r="B1222">
        <v>482</v>
      </c>
      <c r="C1222">
        <f t="shared" si="79"/>
        <v>3194</v>
      </c>
      <c r="D1222">
        <f t="shared" si="77"/>
        <v>0</v>
      </c>
      <c r="E1222">
        <f t="shared" si="78"/>
        <v>0</v>
      </c>
      <c r="F1222">
        <f t="shared" ref="F1222:F1285" si="80">IF(AND(D1222 = 1, C1222 &lt; 20000), B1222*5, IF(AND(E1222=1, C1222 &gt;= 20000),B1222*10,0))</f>
        <v>0</v>
      </c>
    </row>
    <row r="1223" spans="1:6" x14ac:dyDescent="0.25">
      <c r="A1223" s="4" t="s">
        <v>153</v>
      </c>
      <c r="B1223">
        <v>661</v>
      </c>
      <c r="C1223">
        <f t="shared" si="79"/>
        <v>3855</v>
      </c>
      <c r="D1223">
        <f t="shared" si="77"/>
        <v>0</v>
      </c>
      <c r="E1223">
        <f t="shared" si="78"/>
        <v>0</v>
      </c>
      <c r="F1223">
        <f t="shared" si="80"/>
        <v>0</v>
      </c>
    </row>
    <row r="1224" spans="1:6" x14ac:dyDescent="0.25">
      <c r="A1224" s="4" t="s">
        <v>154</v>
      </c>
      <c r="B1224">
        <v>393</v>
      </c>
      <c r="C1224">
        <f t="shared" si="79"/>
        <v>4248</v>
      </c>
      <c r="D1224">
        <f t="shared" si="77"/>
        <v>0</v>
      </c>
      <c r="E1224">
        <f t="shared" si="78"/>
        <v>0</v>
      </c>
      <c r="F1224">
        <f t="shared" si="80"/>
        <v>0</v>
      </c>
    </row>
    <row r="1225" spans="1:6" x14ac:dyDescent="0.25">
      <c r="A1225" s="4" t="s">
        <v>166</v>
      </c>
      <c r="B1225">
        <v>535</v>
      </c>
      <c r="C1225">
        <f t="shared" si="79"/>
        <v>4783</v>
      </c>
      <c r="D1225">
        <f t="shared" si="77"/>
        <v>0</v>
      </c>
      <c r="E1225">
        <f t="shared" si="78"/>
        <v>0</v>
      </c>
      <c r="F1225">
        <f t="shared" si="80"/>
        <v>0</v>
      </c>
    </row>
    <row r="1226" spans="1:6" x14ac:dyDescent="0.25">
      <c r="A1226" s="4" t="s">
        <v>175</v>
      </c>
      <c r="B1226">
        <v>101</v>
      </c>
      <c r="C1226">
        <f t="shared" si="79"/>
        <v>4884</v>
      </c>
      <c r="D1226">
        <f t="shared" si="77"/>
        <v>0</v>
      </c>
      <c r="E1226">
        <f t="shared" si="78"/>
        <v>0</v>
      </c>
      <c r="F1226">
        <f t="shared" si="80"/>
        <v>0</v>
      </c>
    </row>
    <row r="1227" spans="1:6" x14ac:dyDescent="0.25">
      <c r="A1227" s="4" t="s">
        <v>208</v>
      </c>
      <c r="B1227">
        <v>43</v>
      </c>
      <c r="C1227">
        <f t="shared" si="79"/>
        <v>4927</v>
      </c>
      <c r="D1227">
        <f t="shared" si="77"/>
        <v>0</v>
      </c>
      <c r="E1227">
        <f t="shared" si="78"/>
        <v>0</v>
      </c>
      <c r="F1227">
        <f t="shared" si="80"/>
        <v>0</v>
      </c>
    </row>
    <row r="1228" spans="1:6" x14ac:dyDescent="0.25">
      <c r="A1228" s="4" t="s">
        <v>210</v>
      </c>
      <c r="B1228">
        <v>562</v>
      </c>
      <c r="C1228">
        <f t="shared" si="79"/>
        <v>5489</v>
      </c>
      <c r="D1228">
        <f t="shared" si="77"/>
        <v>0</v>
      </c>
      <c r="E1228">
        <f t="shared" si="78"/>
        <v>0</v>
      </c>
      <c r="F1228">
        <f t="shared" si="80"/>
        <v>0</v>
      </c>
    </row>
    <row r="1229" spans="1:6" x14ac:dyDescent="0.25">
      <c r="A1229" s="4" t="s">
        <v>220</v>
      </c>
      <c r="B1229">
        <v>49</v>
      </c>
      <c r="C1229">
        <f t="shared" si="79"/>
        <v>5538</v>
      </c>
      <c r="D1229">
        <f t="shared" si="77"/>
        <v>0</v>
      </c>
      <c r="E1229">
        <f t="shared" si="78"/>
        <v>0</v>
      </c>
      <c r="F1229">
        <f t="shared" si="80"/>
        <v>0</v>
      </c>
    </row>
    <row r="1230" spans="1:6" x14ac:dyDescent="0.25">
      <c r="A1230" s="4" t="s">
        <v>231</v>
      </c>
      <c r="B1230">
        <v>27</v>
      </c>
      <c r="C1230">
        <f t="shared" si="79"/>
        <v>5565</v>
      </c>
      <c r="D1230">
        <f t="shared" si="77"/>
        <v>0</v>
      </c>
      <c r="E1230">
        <f t="shared" si="78"/>
        <v>0</v>
      </c>
      <c r="F1230">
        <f t="shared" si="80"/>
        <v>0</v>
      </c>
    </row>
    <row r="1231" spans="1:6" x14ac:dyDescent="0.25">
      <c r="A1231" s="4" t="s">
        <v>233</v>
      </c>
      <c r="B1231">
        <v>69</v>
      </c>
      <c r="C1231">
        <f t="shared" si="79"/>
        <v>5634</v>
      </c>
      <c r="D1231">
        <f t="shared" si="77"/>
        <v>0</v>
      </c>
      <c r="E1231">
        <f t="shared" si="78"/>
        <v>0</v>
      </c>
      <c r="F1231">
        <f t="shared" si="80"/>
        <v>0</v>
      </c>
    </row>
    <row r="1232" spans="1:6" x14ac:dyDescent="0.25">
      <c r="A1232" s="4" t="s">
        <v>235</v>
      </c>
      <c r="B1232">
        <v>160</v>
      </c>
      <c r="C1232">
        <f t="shared" si="79"/>
        <v>5794</v>
      </c>
      <c r="D1232">
        <f t="shared" si="77"/>
        <v>0</v>
      </c>
      <c r="E1232">
        <f t="shared" si="78"/>
        <v>0</v>
      </c>
      <c r="F1232">
        <f t="shared" si="80"/>
        <v>0</v>
      </c>
    </row>
    <row r="1233" spans="1:6" x14ac:dyDescent="0.25">
      <c r="A1233" s="4" t="s">
        <v>252</v>
      </c>
      <c r="B1233">
        <v>213</v>
      </c>
      <c r="C1233">
        <f t="shared" si="79"/>
        <v>6007</v>
      </c>
      <c r="D1233">
        <f t="shared" si="77"/>
        <v>0</v>
      </c>
      <c r="E1233">
        <f t="shared" si="78"/>
        <v>0</v>
      </c>
      <c r="F1233">
        <f t="shared" si="80"/>
        <v>0</v>
      </c>
    </row>
    <row r="1234" spans="1:6" x14ac:dyDescent="0.25">
      <c r="A1234" s="4" t="s">
        <v>253</v>
      </c>
      <c r="B1234">
        <v>441</v>
      </c>
      <c r="C1234">
        <f t="shared" si="79"/>
        <v>6448</v>
      </c>
      <c r="D1234">
        <f t="shared" si="77"/>
        <v>0</v>
      </c>
      <c r="E1234">
        <f t="shared" si="78"/>
        <v>0</v>
      </c>
      <c r="F1234">
        <f t="shared" si="80"/>
        <v>0</v>
      </c>
    </row>
    <row r="1235" spans="1:6" x14ac:dyDescent="0.25">
      <c r="A1235" s="4" t="s">
        <v>255</v>
      </c>
      <c r="B1235">
        <v>149</v>
      </c>
      <c r="C1235">
        <f t="shared" si="79"/>
        <v>6597</v>
      </c>
      <c r="D1235">
        <f t="shared" si="77"/>
        <v>0</v>
      </c>
      <c r="E1235">
        <f t="shared" si="78"/>
        <v>0</v>
      </c>
      <c r="F1235">
        <f t="shared" si="80"/>
        <v>0</v>
      </c>
    </row>
    <row r="1236" spans="1:6" x14ac:dyDescent="0.25">
      <c r="A1236" s="4" t="s">
        <v>261</v>
      </c>
      <c r="B1236">
        <v>316</v>
      </c>
      <c r="C1236">
        <f t="shared" si="79"/>
        <v>6913</v>
      </c>
      <c r="D1236">
        <f t="shared" si="77"/>
        <v>0</v>
      </c>
      <c r="E1236">
        <f t="shared" si="78"/>
        <v>0</v>
      </c>
      <c r="F1236">
        <f t="shared" si="80"/>
        <v>0</v>
      </c>
    </row>
    <row r="1237" spans="1:6" x14ac:dyDescent="0.25">
      <c r="A1237" s="4" t="s">
        <v>267</v>
      </c>
      <c r="B1237">
        <v>54</v>
      </c>
      <c r="C1237">
        <f t="shared" si="79"/>
        <v>6967</v>
      </c>
      <c r="D1237">
        <f t="shared" si="77"/>
        <v>0</v>
      </c>
      <c r="E1237">
        <f t="shared" si="78"/>
        <v>0</v>
      </c>
      <c r="F1237">
        <f t="shared" si="80"/>
        <v>0</v>
      </c>
    </row>
    <row r="1238" spans="1:6" x14ac:dyDescent="0.25">
      <c r="A1238" s="4" t="s">
        <v>276</v>
      </c>
      <c r="B1238">
        <v>14</v>
      </c>
      <c r="C1238">
        <f t="shared" si="79"/>
        <v>6981</v>
      </c>
      <c r="D1238">
        <f t="shared" si="77"/>
        <v>0</v>
      </c>
      <c r="E1238">
        <f t="shared" si="78"/>
        <v>0</v>
      </c>
      <c r="F1238">
        <f t="shared" si="80"/>
        <v>0</v>
      </c>
    </row>
    <row r="1239" spans="1:6" x14ac:dyDescent="0.25">
      <c r="A1239" s="4" t="s">
        <v>277</v>
      </c>
      <c r="B1239">
        <v>54</v>
      </c>
      <c r="C1239">
        <f t="shared" si="79"/>
        <v>7035</v>
      </c>
      <c r="D1239">
        <f t="shared" si="77"/>
        <v>0</v>
      </c>
      <c r="E1239">
        <f t="shared" si="78"/>
        <v>0</v>
      </c>
      <c r="F1239">
        <f t="shared" si="80"/>
        <v>0</v>
      </c>
    </row>
    <row r="1240" spans="1:6" x14ac:dyDescent="0.25">
      <c r="A1240" s="4" t="s">
        <v>282</v>
      </c>
      <c r="B1240">
        <v>102</v>
      </c>
      <c r="C1240">
        <f t="shared" si="79"/>
        <v>7137</v>
      </c>
      <c r="D1240">
        <f t="shared" si="77"/>
        <v>0</v>
      </c>
      <c r="E1240">
        <f t="shared" si="78"/>
        <v>0</v>
      </c>
      <c r="F1240">
        <f t="shared" si="80"/>
        <v>0</v>
      </c>
    </row>
    <row r="1241" spans="1:6" x14ac:dyDescent="0.25">
      <c r="A1241" s="4" t="s">
        <v>287</v>
      </c>
      <c r="B1241">
        <v>30</v>
      </c>
      <c r="C1241">
        <f t="shared" si="79"/>
        <v>7167</v>
      </c>
      <c r="D1241">
        <f t="shared" si="77"/>
        <v>0</v>
      </c>
      <c r="E1241">
        <f t="shared" si="78"/>
        <v>0</v>
      </c>
      <c r="F1241">
        <f t="shared" si="80"/>
        <v>0</v>
      </c>
    </row>
    <row r="1242" spans="1:6" x14ac:dyDescent="0.25">
      <c r="A1242" s="4" t="s">
        <v>298</v>
      </c>
      <c r="B1242">
        <v>74</v>
      </c>
      <c r="C1242">
        <f t="shared" si="79"/>
        <v>7241</v>
      </c>
      <c r="D1242">
        <f t="shared" si="77"/>
        <v>0</v>
      </c>
      <c r="E1242">
        <f t="shared" si="78"/>
        <v>0</v>
      </c>
      <c r="F1242">
        <f t="shared" si="80"/>
        <v>0</v>
      </c>
    </row>
    <row r="1243" spans="1:6" x14ac:dyDescent="0.25">
      <c r="A1243" s="4" t="s">
        <v>306</v>
      </c>
      <c r="B1243">
        <v>346</v>
      </c>
      <c r="C1243">
        <f t="shared" si="79"/>
        <v>7587</v>
      </c>
      <c r="D1243">
        <f t="shared" si="77"/>
        <v>0</v>
      </c>
      <c r="E1243">
        <f t="shared" si="78"/>
        <v>0</v>
      </c>
      <c r="F1243">
        <f t="shared" si="80"/>
        <v>0</v>
      </c>
    </row>
    <row r="1244" spans="1:6" x14ac:dyDescent="0.25">
      <c r="A1244" s="4" t="s">
        <v>310</v>
      </c>
      <c r="B1244">
        <v>401</v>
      </c>
      <c r="C1244">
        <f t="shared" si="79"/>
        <v>7988</v>
      </c>
      <c r="D1244">
        <f t="shared" si="77"/>
        <v>0</v>
      </c>
      <c r="E1244">
        <f t="shared" si="78"/>
        <v>0</v>
      </c>
      <c r="F1244">
        <f t="shared" si="80"/>
        <v>0</v>
      </c>
    </row>
    <row r="1245" spans="1:6" x14ac:dyDescent="0.25">
      <c r="A1245" s="4" t="s">
        <v>313</v>
      </c>
      <c r="B1245">
        <v>475</v>
      </c>
      <c r="C1245">
        <f t="shared" si="79"/>
        <v>8463</v>
      </c>
      <c r="D1245">
        <f t="shared" si="77"/>
        <v>0</v>
      </c>
      <c r="E1245">
        <f t="shared" si="78"/>
        <v>0</v>
      </c>
      <c r="F1245">
        <f t="shared" si="80"/>
        <v>0</v>
      </c>
    </row>
    <row r="1246" spans="1:6" x14ac:dyDescent="0.25">
      <c r="A1246" s="4" t="s">
        <v>314</v>
      </c>
      <c r="B1246">
        <v>129</v>
      </c>
      <c r="C1246">
        <f t="shared" si="79"/>
        <v>8592</v>
      </c>
      <c r="D1246">
        <f t="shared" si="77"/>
        <v>0</v>
      </c>
      <c r="E1246">
        <f t="shared" si="78"/>
        <v>0</v>
      </c>
      <c r="F1246">
        <f t="shared" si="80"/>
        <v>0</v>
      </c>
    </row>
    <row r="1247" spans="1:6" x14ac:dyDescent="0.25">
      <c r="A1247" s="4" t="s">
        <v>317</v>
      </c>
      <c r="B1247">
        <v>107</v>
      </c>
      <c r="C1247">
        <f t="shared" si="79"/>
        <v>8699</v>
      </c>
      <c r="D1247">
        <f t="shared" si="77"/>
        <v>0</v>
      </c>
      <c r="E1247">
        <f t="shared" si="78"/>
        <v>0</v>
      </c>
      <c r="F1247">
        <f t="shared" si="80"/>
        <v>0</v>
      </c>
    </row>
    <row r="1248" spans="1:6" x14ac:dyDescent="0.25">
      <c r="A1248" s="4" t="s">
        <v>322</v>
      </c>
      <c r="B1248">
        <v>88</v>
      </c>
      <c r="C1248">
        <f t="shared" si="79"/>
        <v>8787</v>
      </c>
      <c r="D1248">
        <f t="shared" si="77"/>
        <v>0</v>
      </c>
      <c r="E1248">
        <f t="shared" si="78"/>
        <v>0</v>
      </c>
      <c r="F1248">
        <f t="shared" si="80"/>
        <v>0</v>
      </c>
    </row>
    <row r="1249" spans="1:6" x14ac:dyDescent="0.25">
      <c r="A1249" s="4" t="s">
        <v>326</v>
      </c>
      <c r="B1249">
        <v>174</v>
      </c>
      <c r="C1249">
        <f t="shared" si="79"/>
        <v>8961</v>
      </c>
      <c r="D1249">
        <f t="shared" si="77"/>
        <v>0</v>
      </c>
      <c r="E1249">
        <f t="shared" si="78"/>
        <v>0</v>
      </c>
      <c r="F1249">
        <f t="shared" si="80"/>
        <v>0</v>
      </c>
    </row>
    <row r="1250" spans="1:6" x14ac:dyDescent="0.25">
      <c r="A1250" s="4" t="s">
        <v>351</v>
      </c>
      <c r="B1250">
        <v>98</v>
      </c>
      <c r="C1250">
        <f t="shared" si="79"/>
        <v>9059</v>
      </c>
      <c r="D1250">
        <f t="shared" si="77"/>
        <v>0</v>
      </c>
      <c r="E1250">
        <f t="shared" si="78"/>
        <v>0</v>
      </c>
      <c r="F1250">
        <f t="shared" si="80"/>
        <v>0</v>
      </c>
    </row>
    <row r="1251" spans="1:6" x14ac:dyDescent="0.25">
      <c r="A1251" s="4" t="s">
        <v>352</v>
      </c>
      <c r="B1251">
        <v>424</v>
      </c>
      <c r="C1251">
        <f t="shared" si="79"/>
        <v>9483</v>
      </c>
      <c r="D1251">
        <f t="shared" si="77"/>
        <v>0</v>
      </c>
      <c r="E1251">
        <f t="shared" si="78"/>
        <v>0</v>
      </c>
      <c r="F1251">
        <f t="shared" si="80"/>
        <v>0</v>
      </c>
    </row>
    <row r="1252" spans="1:6" x14ac:dyDescent="0.25">
      <c r="A1252" s="4" t="s">
        <v>354</v>
      </c>
      <c r="B1252">
        <v>169</v>
      </c>
      <c r="C1252">
        <f t="shared" si="79"/>
        <v>9652</v>
      </c>
      <c r="D1252">
        <f t="shared" si="77"/>
        <v>0</v>
      </c>
      <c r="E1252">
        <f t="shared" si="78"/>
        <v>0</v>
      </c>
      <c r="F1252">
        <f t="shared" si="80"/>
        <v>0</v>
      </c>
    </row>
    <row r="1253" spans="1:6" x14ac:dyDescent="0.25">
      <c r="A1253" s="4" t="s">
        <v>367</v>
      </c>
      <c r="B1253">
        <v>325</v>
      </c>
      <c r="C1253">
        <f t="shared" si="79"/>
        <v>9977</v>
      </c>
      <c r="D1253">
        <f t="shared" si="77"/>
        <v>0</v>
      </c>
      <c r="E1253">
        <f t="shared" si="78"/>
        <v>0</v>
      </c>
      <c r="F1253">
        <f t="shared" si="80"/>
        <v>0</v>
      </c>
    </row>
    <row r="1254" spans="1:6" x14ac:dyDescent="0.25">
      <c r="A1254" s="4" t="s">
        <v>369</v>
      </c>
      <c r="B1254">
        <v>424</v>
      </c>
      <c r="C1254">
        <f t="shared" si="79"/>
        <v>10401</v>
      </c>
      <c r="D1254">
        <f t="shared" si="77"/>
        <v>0</v>
      </c>
      <c r="E1254">
        <f t="shared" si="78"/>
        <v>0</v>
      </c>
      <c r="F1254">
        <f t="shared" si="80"/>
        <v>0</v>
      </c>
    </row>
    <row r="1255" spans="1:6" x14ac:dyDescent="0.25">
      <c r="A1255" s="4" t="s">
        <v>375</v>
      </c>
      <c r="B1255">
        <v>850</v>
      </c>
      <c r="C1255">
        <f t="shared" si="79"/>
        <v>11251</v>
      </c>
      <c r="D1255">
        <f t="shared" si="77"/>
        <v>0</v>
      </c>
      <c r="E1255">
        <f t="shared" si="78"/>
        <v>0</v>
      </c>
      <c r="F1255">
        <f t="shared" si="80"/>
        <v>0</v>
      </c>
    </row>
    <row r="1256" spans="1:6" x14ac:dyDescent="0.25">
      <c r="A1256" s="4" t="s">
        <v>376</v>
      </c>
      <c r="B1256">
        <v>271</v>
      </c>
      <c r="C1256">
        <f t="shared" si="79"/>
        <v>11522</v>
      </c>
      <c r="D1256">
        <f t="shared" si="77"/>
        <v>0</v>
      </c>
      <c r="E1256">
        <f t="shared" si="78"/>
        <v>0</v>
      </c>
      <c r="F1256">
        <f t="shared" si="80"/>
        <v>0</v>
      </c>
    </row>
    <row r="1257" spans="1:6" x14ac:dyDescent="0.25">
      <c r="A1257" s="4" t="s">
        <v>378</v>
      </c>
      <c r="B1257">
        <v>446</v>
      </c>
      <c r="C1257">
        <f t="shared" si="79"/>
        <v>11968</v>
      </c>
      <c r="D1257">
        <f t="shared" si="77"/>
        <v>0</v>
      </c>
      <c r="E1257">
        <f t="shared" si="78"/>
        <v>0</v>
      </c>
      <c r="F1257">
        <f t="shared" si="80"/>
        <v>0</v>
      </c>
    </row>
    <row r="1258" spans="1:6" x14ac:dyDescent="0.25">
      <c r="A1258" s="4" t="s">
        <v>381</v>
      </c>
      <c r="B1258">
        <v>79</v>
      </c>
      <c r="C1258">
        <f t="shared" si="79"/>
        <v>12047</v>
      </c>
      <c r="D1258">
        <f t="shared" si="77"/>
        <v>0</v>
      </c>
      <c r="E1258">
        <f t="shared" si="78"/>
        <v>0</v>
      </c>
      <c r="F1258">
        <f t="shared" si="80"/>
        <v>0</v>
      </c>
    </row>
    <row r="1259" spans="1:6" x14ac:dyDescent="0.25">
      <c r="A1259" s="4" t="s">
        <v>390</v>
      </c>
      <c r="B1259">
        <v>335</v>
      </c>
      <c r="C1259">
        <f t="shared" si="79"/>
        <v>12382</v>
      </c>
      <c r="D1259">
        <f t="shared" si="77"/>
        <v>0</v>
      </c>
      <c r="E1259">
        <f t="shared" si="78"/>
        <v>0</v>
      </c>
      <c r="F1259">
        <f t="shared" si="80"/>
        <v>0</v>
      </c>
    </row>
    <row r="1260" spans="1:6" x14ac:dyDescent="0.25">
      <c r="A1260" s="4" t="s">
        <v>391</v>
      </c>
      <c r="B1260">
        <v>645</v>
      </c>
      <c r="C1260">
        <f t="shared" si="79"/>
        <v>13027</v>
      </c>
      <c r="D1260">
        <f t="shared" si="77"/>
        <v>0</v>
      </c>
      <c r="E1260">
        <f t="shared" si="78"/>
        <v>0</v>
      </c>
      <c r="F1260">
        <f t="shared" si="80"/>
        <v>0</v>
      </c>
    </row>
    <row r="1261" spans="1:6" x14ac:dyDescent="0.25">
      <c r="A1261" s="4" t="s">
        <v>399</v>
      </c>
      <c r="B1261">
        <v>75</v>
      </c>
      <c r="C1261">
        <f t="shared" si="79"/>
        <v>13102</v>
      </c>
      <c r="D1261">
        <f t="shared" si="77"/>
        <v>0</v>
      </c>
      <c r="E1261">
        <f t="shared" si="78"/>
        <v>0</v>
      </c>
      <c r="F1261">
        <f t="shared" si="80"/>
        <v>0</v>
      </c>
    </row>
    <row r="1262" spans="1:6" x14ac:dyDescent="0.25">
      <c r="A1262" s="3" t="s">
        <v>61</v>
      </c>
      <c r="B1262">
        <v>15174</v>
      </c>
      <c r="C1262">
        <f t="shared" si="79"/>
        <v>0</v>
      </c>
      <c r="D1262">
        <f t="shared" si="77"/>
        <v>0</v>
      </c>
      <c r="E1262">
        <f t="shared" si="78"/>
        <v>0</v>
      </c>
      <c r="F1262">
        <f t="shared" si="80"/>
        <v>0</v>
      </c>
    </row>
    <row r="1263" spans="1:6" x14ac:dyDescent="0.25">
      <c r="A1263" s="4" t="s">
        <v>93</v>
      </c>
      <c r="B1263">
        <v>470</v>
      </c>
      <c r="C1263">
        <f t="shared" si="79"/>
        <v>470</v>
      </c>
      <c r="D1263">
        <f t="shared" si="77"/>
        <v>0</v>
      </c>
      <c r="E1263">
        <f t="shared" si="78"/>
        <v>0</v>
      </c>
      <c r="F1263">
        <f t="shared" si="80"/>
        <v>0</v>
      </c>
    </row>
    <row r="1264" spans="1:6" x14ac:dyDescent="0.25">
      <c r="A1264" s="4" t="s">
        <v>105</v>
      </c>
      <c r="B1264">
        <v>430</v>
      </c>
      <c r="C1264">
        <f t="shared" si="79"/>
        <v>900</v>
      </c>
      <c r="D1264">
        <f t="shared" si="77"/>
        <v>0</v>
      </c>
      <c r="E1264">
        <f t="shared" si="78"/>
        <v>0</v>
      </c>
      <c r="F1264">
        <f t="shared" si="80"/>
        <v>0</v>
      </c>
    </row>
    <row r="1265" spans="1:6" x14ac:dyDescent="0.25">
      <c r="A1265" s="4" t="s">
        <v>117</v>
      </c>
      <c r="B1265">
        <v>321</v>
      </c>
      <c r="C1265">
        <f t="shared" si="79"/>
        <v>1221</v>
      </c>
      <c r="D1265">
        <f t="shared" ref="D1265:D1328" si="81">IF(C1265 &gt; 15000, 1, 0)</f>
        <v>0</v>
      </c>
      <c r="E1265">
        <f t="shared" ref="E1265:E1328" si="82">IF(AND(D1265 =1,C1265 &gt;= 20000),1,0)</f>
        <v>0</v>
      </c>
      <c r="F1265">
        <f t="shared" si="80"/>
        <v>0</v>
      </c>
    </row>
    <row r="1266" spans="1:6" x14ac:dyDescent="0.25">
      <c r="A1266" s="4" t="s">
        <v>118</v>
      </c>
      <c r="B1266">
        <v>310</v>
      </c>
      <c r="C1266">
        <f t="shared" si="79"/>
        <v>1531</v>
      </c>
      <c r="D1266">
        <f t="shared" si="81"/>
        <v>0</v>
      </c>
      <c r="E1266">
        <f t="shared" si="82"/>
        <v>0</v>
      </c>
      <c r="F1266">
        <f t="shared" si="80"/>
        <v>0</v>
      </c>
    </row>
    <row r="1267" spans="1:6" x14ac:dyDescent="0.25">
      <c r="A1267" s="4" t="s">
        <v>119</v>
      </c>
      <c r="B1267">
        <v>559</v>
      </c>
      <c r="C1267">
        <f t="shared" si="79"/>
        <v>2090</v>
      </c>
      <c r="D1267">
        <f t="shared" si="81"/>
        <v>0</v>
      </c>
      <c r="E1267">
        <f t="shared" si="82"/>
        <v>0</v>
      </c>
      <c r="F1267">
        <f t="shared" si="80"/>
        <v>0</v>
      </c>
    </row>
    <row r="1268" spans="1:6" x14ac:dyDescent="0.25">
      <c r="A1268" s="4" t="s">
        <v>122</v>
      </c>
      <c r="B1268">
        <v>388</v>
      </c>
      <c r="C1268">
        <f t="shared" si="79"/>
        <v>2478</v>
      </c>
      <c r="D1268">
        <f t="shared" si="81"/>
        <v>0</v>
      </c>
      <c r="E1268">
        <f t="shared" si="82"/>
        <v>0</v>
      </c>
      <c r="F1268">
        <f t="shared" si="80"/>
        <v>0</v>
      </c>
    </row>
    <row r="1269" spans="1:6" x14ac:dyDescent="0.25">
      <c r="A1269" s="4" t="s">
        <v>138</v>
      </c>
      <c r="B1269">
        <v>418</v>
      </c>
      <c r="C1269">
        <f t="shared" si="79"/>
        <v>2896</v>
      </c>
      <c r="D1269">
        <f t="shared" si="81"/>
        <v>0</v>
      </c>
      <c r="E1269">
        <f t="shared" si="82"/>
        <v>0</v>
      </c>
      <c r="F1269">
        <f t="shared" si="80"/>
        <v>0</v>
      </c>
    </row>
    <row r="1270" spans="1:6" x14ac:dyDescent="0.25">
      <c r="A1270" s="4" t="s">
        <v>139</v>
      </c>
      <c r="B1270">
        <v>133</v>
      </c>
      <c r="C1270">
        <f t="shared" si="79"/>
        <v>3029</v>
      </c>
      <c r="D1270">
        <f t="shared" si="81"/>
        <v>0</v>
      </c>
      <c r="E1270">
        <f t="shared" si="82"/>
        <v>0</v>
      </c>
      <c r="F1270">
        <f t="shared" si="80"/>
        <v>0</v>
      </c>
    </row>
    <row r="1271" spans="1:6" x14ac:dyDescent="0.25">
      <c r="A1271" s="4" t="s">
        <v>142</v>
      </c>
      <c r="B1271">
        <v>100</v>
      </c>
      <c r="C1271">
        <f t="shared" si="79"/>
        <v>3129</v>
      </c>
      <c r="D1271">
        <f t="shared" si="81"/>
        <v>0</v>
      </c>
      <c r="E1271">
        <f t="shared" si="82"/>
        <v>0</v>
      </c>
      <c r="F1271">
        <f t="shared" si="80"/>
        <v>0</v>
      </c>
    </row>
    <row r="1272" spans="1:6" x14ac:dyDescent="0.25">
      <c r="A1272" s="4" t="s">
        <v>144</v>
      </c>
      <c r="B1272">
        <v>488</v>
      </c>
      <c r="C1272">
        <f t="shared" si="79"/>
        <v>3617</v>
      </c>
      <c r="D1272">
        <f t="shared" si="81"/>
        <v>0</v>
      </c>
      <c r="E1272">
        <f t="shared" si="82"/>
        <v>0</v>
      </c>
      <c r="F1272">
        <f t="shared" si="80"/>
        <v>0</v>
      </c>
    </row>
    <row r="1273" spans="1:6" x14ac:dyDescent="0.25">
      <c r="A1273" s="4" t="s">
        <v>147</v>
      </c>
      <c r="B1273">
        <v>85</v>
      </c>
      <c r="C1273">
        <f t="shared" si="79"/>
        <v>3702</v>
      </c>
      <c r="D1273">
        <f t="shared" si="81"/>
        <v>0</v>
      </c>
      <c r="E1273">
        <f t="shared" si="82"/>
        <v>0</v>
      </c>
      <c r="F1273">
        <f t="shared" si="80"/>
        <v>0</v>
      </c>
    </row>
    <row r="1274" spans="1:6" x14ac:dyDescent="0.25">
      <c r="A1274" s="4" t="s">
        <v>148</v>
      </c>
      <c r="B1274">
        <v>129</v>
      </c>
      <c r="C1274">
        <f t="shared" si="79"/>
        <v>3831</v>
      </c>
      <c r="D1274">
        <f t="shared" si="81"/>
        <v>0</v>
      </c>
      <c r="E1274">
        <f t="shared" si="82"/>
        <v>0</v>
      </c>
      <c r="F1274">
        <f t="shared" si="80"/>
        <v>0</v>
      </c>
    </row>
    <row r="1275" spans="1:6" x14ac:dyDescent="0.25">
      <c r="A1275" s="4" t="s">
        <v>153</v>
      </c>
      <c r="B1275">
        <v>506</v>
      </c>
      <c r="C1275">
        <f t="shared" si="79"/>
        <v>4337</v>
      </c>
      <c r="D1275">
        <f t="shared" si="81"/>
        <v>0</v>
      </c>
      <c r="E1275">
        <f t="shared" si="82"/>
        <v>0</v>
      </c>
      <c r="F1275">
        <f t="shared" si="80"/>
        <v>0</v>
      </c>
    </row>
    <row r="1276" spans="1:6" x14ac:dyDescent="0.25">
      <c r="A1276" s="4" t="s">
        <v>156</v>
      </c>
      <c r="B1276">
        <v>327</v>
      </c>
      <c r="C1276">
        <f t="shared" si="79"/>
        <v>4664</v>
      </c>
      <c r="D1276">
        <f t="shared" si="81"/>
        <v>0</v>
      </c>
      <c r="E1276">
        <f t="shared" si="82"/>
        <v>0</v>
      </c>
      <c r="F1276">
        <f t="shared" si="80"/>
        <v>0</v>
      </c>
    </row>
    <row r="1277" spans="1:6" x14ac:dyDescent="0.25">
      <c r="A1277" s="4" t="s">
        <v>172</v>
      </c>
      <c r="B1277">
        <v>374</v>
      </c>
      <c r="C1277">
        <f t="shared" si="79"/>
        <v>5038</v>
      </c>
      <c r="D1277">
        <f t="shared" si="81"/>
        <v>0</v>
      </c>
      <c r="E1277">
        <f t="shared" si="82"/>
        <v>0</v>
      </c>
      <c r="F1277">
        <f t="shared" si="80"/>
        <v>0</v>
      </c>
    </row>
    <row r="1278" spans="1:6" x14ac:dyDescent="0.25">
      <c r="A1278" s="4" t="s">
        <v>192</v>
      </c>
      <c r="B1278">
        <v>122</v>
      </c>
      <c r="C1278">
        <f t="shared" si="79"/>
        <v>5160</v>
      </c>
      <c r="D1278">
        <f t="shared" si="81"/>
        <v>0</v>
      </c>
      <c r="E1278">
        <f t="shared" si="82"/>
        <v>0</v>
      </c>
      <c r="F1278">
        <f t="shared" si="80"/>
        <v>0</v>
      </c>
    </row>
    <row r="1279" spans="1:6" x14ac:dyDescent="0.25">
      <c r="A1279" s="4" t="s">
        <v>194</v>
      </c>
      <c r="B1279">
        <v>255</v>
      </c>
      <c r="C1279">
        <f t="shared" si="79"/>
        <v>5415</v>
      </c>
      <c r="D1279">
        <f t="shared" si="81"/>
        <v>0</v>
      </c>
      <c r="E1279">
        <f t="shared" si="82"/>
        <v>0</v>
      </c>
      <c r="F1279">
        <f t="shared" si="80"/>
        <v>0</v>
      </c>
    </row>
    <row r="1280" spans="1:6" x14ac:dyDescent="0.25">
      <c r="A1280" s="4" t="s">
        <v>195</v>
      </c>
      <c r="B1280">
        <v>463</v>
      </c>
      <c r="C1280">
        <f t="shared" si="79"/>
        <v>5878</v>
      </c>
      <c r="D1280">
        <f t="shared" si="81"/>
        <v>0</v>
      </c>
      <c r="E1280">
        <f t="shared" si="82"/>
        <v>0</v>
      </c>
      <c r="F1280">
        <f t="shared" si="80"/>
        <v>0</v>
      </c>
    </row>
    <row r="1281" spans="1:6" x14ac:dyDescent="0.25">
      <c r="A1281" s="4" t="s">
        <v>196</v>
      </c>
      <c r="B1281">
        <v>266</v>
      </c>
      <c r="C1281">
        <f t="shared" si="79"/>
        <v>6144</v>
      </c>
      <c r="D1281">
        <f t="shared" si="81"/>
        <v>0</v>
      </c>
      <c r="E1281">
        <f t="shared" si="82"/>
        <v>0</v>
      </c>
      <c r="F1281">
        <f t="shared" si="80"/>
        <v>0</v>
      </c>
    </row>
    <row r="1282" spans="1:6" x14ac:dyDescent="0.25">
      <c r="A1282" s="4" t="s">
        <v>201</v>
      </c>
      <c r="B1282">
        <v>80</v>
      </c>
      <c r="C1282">
        <f t="shared" si="79"/>
        <v>6224</v>
      </c>
      <c r="D1282">
        <f t="shared" si="81"/>
        <v>0</v>
      </c>
      <c r="E1282">
        <f t="shared" si="82"/>
        <v>0</v>
      </c>
      <c r="F1282">
        <f t="shared" si="80"/>
        <v>0</v>
      </c>
    </row>
    <row r="1283" spans="1:6" x14ac:dyDescent="0.25">
      <c r="A1283" s="4" t="s">
        <v>203</v>
      </c>
      <c r="B1283">
        <v>795</v>
      </c>
      <c r="C1283">
        <f t="shared" si="79"/>
        <v>7019</v>
      </c>
      <c r="D1283">
        <f t="shared" si="81"/>
        <v>0</v>
      </c>
      <c r="E1283">
        <f t="shared" si="82"/>
        <v>0</v>
      </c>
      <c r="F1283">
        <f t="shared" si="80"/>
        <v>0</v>
      </c>
    </row>
    <row r="1284" spans="1:6" x14ac:dyDescent="0.25">
      <c r="A1284" s="4" t="s">
        <v>217</v>
      </c>
      <c r="B1284">
        <v>433</v>
      </c>
      <c r="C1284">
        <f t="shared" si="79"/>
        <v>7452</v>
      </c>
      <c r="D1284">
        <f t="shared" si="81"/>
        <v>0</v>
      </c>
      <c r="E1284">
        <f t="shared" si="82"/>
        <v>0</v>
      </c>
      <c r="F1284">
        <f t="shared" si="80"/>
        <v>0</v>
      </c>
    </row>
    <row r="1285" spans="1:6" x14ac:dyDescent="0.25">
      <c r="A1285" s="4" t="s">
        <v>219</v>
      </c>
      <c r="B1285">
        <v>294</v>
      </c>
      <c r="C1285">
        <f t="shared" ref="C1285:C1348" si="83">IF(LEN(A1285) &gt;= 12, 0, C1284+B1285)</f>
        <v>7746</v>
      </c>
      <c r="D1285">
        <f t="shared" si="81"/>
        <v>0</v>
      </c>
      <c r="E1285">
        <f t="shared" si="82"/>
        <v>0</v>
      </c>
      <c r="F1285">
        <f t="shared" si="80"/>
        <v>0</v>
      </c>
    </row>
    <row r="1286" spans="1:6" x14ac:dyDescent="0.25">
      <c r="A1286" s="4" t="s">
        <v>221</v>
      </c>
      <c r="B1286">
        <v>342</v>
      </c>
      <c r="C1286">
        <f t="shared" si="83"/>
        <v>8088</v>
      </c>
      <c r="D1286">
        <f t="shared" si="81"/>
        <v>0</v>
      </c>
      <c r="E1286">
        <f t="shared" si="82"/>
        <v>0</v>
      </c>
      <c r="F1286">
        <f t="shared" ref="F1286:F1349" si="84">IF(AND(D1286 = 1, C1286 &lt; 20000), B1286*5, IF(AND(E1286=1, C1286 &gt;= 20000),B1286*10,0))</f>
        <v>0</v>
      </c>
    </row>
    <row r="1287" spans="1:6" x14ac:dyDescent="0.25">
      <c r="A1287" s="4" t="s">
        <v>225</v>
      </c>
      <c r="B1287">
        <v>245</v>
      </c>
      <c r="C1287">
        <f t="shared" si="83"/>
        <v>8333</v>
      </c>
      <c r="D1287">
        <f t="shared" si="81"/>
        <v>0</v>
      </c>
      <c r="E1287">
        <f t="shared" si="82"/>
        <v>0</v>
      </c>
      <c r="F1287">
        <f t="shared" si="84"/>
        <v>0</v>
      </c>
    </row>
    <row r="1288" spans="1:6" x14ac:dyDescent="0.25">
      <c r="A1288" s="4" t="s">
        <v>233</v>
      </c>
      <c r="B1288">
        <v>59</v>
      </c>
      <c r="C1288">
        <f t="shared" si="83"/>
        <v>8392</v>
      </c>
      <c r="D1288">
        <f t="shared" si="81"/>
        <v>0</v>
      </c>
      <c r="E1288">
        <f t="shared" si="82"/>
        <v>0</v>
      </c>
      <c r="F1288">
        <f t="shared" si="84"/>
        <v>0</v>
      </c>
    </row>
    <row r="1289" spans="1:6" x14ac:dyDescent="0.25">
      <c r="A1289" s="4" t="s">
        <v>245</v>
      </c>
      <c r="B1289">
        <v>210</v>
      </c>
      <c r="C1289">
        <f t="shared" si="83"/>
        <v>8602</v>
      </c>
      <c r="D1289">
        <f t="shared" si="81"/>
        <v>0</v>
      </c>
      <c r="E1289">
        <f t="shared" si="82"/>
        <v>0</v>
      </c>
      <c r="F1289">
        <f t="shared" si="84"/>
        <v>0</v>
      </c>
    </row>
    <row r="1290" spans="1:6" x14ac:dyDescent="0.25">
      <c r="A1290" s="4" t="s">
        <v>250</v>
      </c>
      <c r="B1290">
        <v>103</v>
      </c>
      <c r="C1290">
        <f t="shared" si="83"/>
        <v>8705</v>
      </c>
      <c r="D1290">
        <f t="shared" si="81"/>
        <v>0</v>
      </c>
      <c r="E1290">
        <f t="shared" si="82"/>
        <v>0</v>
      </c>
      <c r="F1290">
        <f t="shared" si="84"/>
        <v>0</v>
      </c>
    </row>
    <row r="1291" spans="1:6" x14ac:dyDescent="0.25">
      <c r="A1291" s="4" t="s">
        <v>255</v>
      </c>
      <c r="B1291">
        <v>147</v>
      </c>
      <c r="C1291">
        <f t="shared" si="83"/>
        <v>8852</v>
      </c>
      <c r="D1291">
        <f t="shared" si="81"/>
        <v>0</v>
      </c>
      <c r="E1291">
        <f t="shared" si="82"/>
        <v>0</v>
      </c>
      <c r="F1291">
        <f t="shared" si="84"/>
        <v>0</v>
      </c>
    </row>
    <row r="1292" spans="1:6" x14ac:dyDescent="0.25">
      <c r="A1292" s="4" t="s">
        <v>261</v>
      </c>
      <c r="B1292">
        <v>99</v>
      </c>
      <c r="C1292">
        <f t="shared" si="83"/>
        <v>8951</v>
      </c>
      <c r="D1292">
        <f t="shared" si="81"/>
        <v>0</v>
      </c>
      <c r="E1292">
        <f t="shared" si="82"/>
        <v>0</v>
      </c>
      <c r="F1292">
        <f t="shared" si="84"/>
        <v>0</v>
      </c>
    </row>
    <row r="1293" spans="1:6" x14ac:dyDescent="0.25">
      <c r="A1293" s="4" t="s">
        <v>267</v>
      </c>
      <c r="B1293">
        <v>180</v>
      </c>
      <c r="C1293">
        <f t="shared" si="83"/>
        <v>9131</v>
      </c>
      <c r="D1293">
        <f t="shared" si="81"/>
        <v>0</v>
      </c>
      <c r="E1293">
        <f t="shared" si="82"/>
        <v>0</v>
      </c>
      <c r="F1293">
        <f t="shared" si="84"/>
        <v>0</v>
      </c>
    </row>
    <row r="1294" spans="1:6" x14ac:dyDescent="0.25">
      <c r="A1294" s="4" t="s">
        <v>270</v>
      </c>
      <c r="B1294">
        <v>183</v>
      </c>
      <c r="C1294">
        <f t="shared" si="83"/>
        <v>9314</v>
      </c>
      <c r="D1294">
        <f t="shared" si="81"/>
        <v>0</v>
      </c>
      <c r="E1294">
        <f t="shared" si="82"/>
        <v>0</v>
      </c>
      <c r="F1294">
        <f t="shared" si="84"/>
        <v>0</v>
      </c>
    </row>
    <row r="1295" spans="1:6" x14ac:dyDescent="0.25">
      <c r="A1295" s="4" t="s">
        <v>279</v>
      </c>
      <c r="B1295">
        <v>425</v>
      </c>
      <c r="C1295">
        <f t="shared" si="83"/>
        <v>9739</v>
      </c>
      <c r="D1295">
        <f t="shared" si="81"/>
        <v>0</v>
      </c>
      <c r="E1295">
        <f t="shared" si="82"/>
        <v>0</v>
      </c>
      <c r="F1295">
        <f t="shared" si="84"/>
        <v>0</v>
      </c>
    </row>
    <row r="1296" spans="1:6" x14ac:dyDescent="0.25">
      <c r="A1296" s="4" t="s">
        <v>285</v>
      </c>
      <c r="B1296">
        <v>465</v>
      </c>
      <c r="C1296">
        <f t="shared" si="83"/>
        <v>10204</v>
      </c>
      <c r="D1296">
        <f t="shared" si="81"/>
        <v>0</v>
      </c>
      <c r="E1296">
        <f t="shared" si="82"/>
        <v>0</v>
      </c>
      <c r="F1296">
        <f t="shared" si="84"/>
        <v>0</v>
      </c>
    </row>
    <row r="1297" spans="1:6" x14ac:dyDescent="0.25">
      <c r="A1297" s="4" t="s">
        <v>287</v>
      </c>
      <c r="B1297">
        <v>274</v>
      </c>
      <c r="C1297">
        <f t="shared" si="83"/>
        <v>10478</v>
      </c>
      <c r="D1297">
        <f t="shared" si="81"/>
        <v>0</v>
      </c>
      <c r="E1297">
        <f t="shared" si="82"/>
        <v>0</v>
      </c>
      <c r="F1297">
        <f t="shared" si="84"/>
        <v>0</v>
      </c>
    </row>
    <row r="1298" spans="1:6" x14ac:dyDescent="0.25">
      <c r="A1298" s="4" t="s">
        <v>288</v>
      </c>
      <c r="B1298">
        <v>100</v>
      </c>
      <c r="C1298">
        <f t="shared" si="83"/>
        <v>10578</v>
      </c>
      <c r="D1298">
        <f t="shared" si="81"/>
        <v>0</v>
      </c>
      <c r="E1298">
        <f t="shared" si="82"/>
        <v>0</v>
      </c>
      <c r="F1298">
        <f t="shared" si="84"/>
        <v>0</v>
      </c>
    </row>
    <row r="1299" spans="1:6" x14ac:dyDescent="0.25">
      <c r="A1299" s="4" t="s">
        <v>289</v>
      </c>
      <c r="B1299">
        <v>490</v>
      </c>
      <c r="C1299">
        <f t="shared" si="83"/>
        <v>11068</v>
      </c>
      <c r="D1299">
        <f t="shared" si="81"/>
        <v>0</v>
      </c>
      <c r="E1299">
        <f t="shared" si="82"/>
        <v>0</v>
      </c>
      <c r="F1299">
        <f t="shared" si="84"/>
        <v>0</v>
      </c>
    </row>
    <row r="1300" spans="1:6" x14ac:dyDescent="0.25">
      <c r="A1300" s="4" t="s">
        <v>295</v>
      </c>
      <c r="B1300">
        <v>191</v>
      </c>
      <c r="C1300">
        <f t="shared" si="83"/>
        <v>11259</v>
      </c>
      <c r="D1300">
        <f t="shared" si="81"/>
        <v>0</v>
      </c>
      <c r="E1300">
        <f t="shared" si="82"/>
        <v>0</v>
      </c>
      <c r="F1300">
        <f t="shared" si="84"/>
        <v>0</v>
      </c>
    </row>
    <row r="1301" spans="1:6" x14ac:dyDescent="0.25">
      <c r="A1301" s="4" t="s">
        <v>300</v>
      </c>
      <c r="B1301">
        <v>332</v>
      </c>
      <c r="C1301">
        <f t="shared" si="83"/>
        <v>11591</v>
      </c>
      <c r="D1301">
        <f t="shared" si="81"/>
        <v>0</v>
      </c>
      <c r="E1301">
        <f t="shared" si="82"/>
        <v>0</v>
      </c>
      <c r="F1301">
        <f t="shared" si="84"/>
        <v>0</v>
      </c>
    </row>
    <row r="1302" spans="1:6" x14ac:dyDescent="0.25">
      <c r="A1302" s="4" t="s">
        <v>310</v>
      </c>
      <c r="B1302">
        <v>404</v>
      </c>
      <c r="C1302">
        <f t="shared" si="83"/>
        <v>11995</v>
      </c>
      <c r="D1302">
        <f t="shared" si="81"/>
        <v>0</v>
      </c>
      <c r="E1302">
        <f t="shared" si="82"/>
        <v>0</v>
      </c>
      <c r="F1302">
        <f t="shared" si="84"/>
        <v>0</v>
      </c>
    </row>
    <row r="1303" spans="1:6" x14ac:dyDescent="0.25">
      <c r="A1303" s="4" t="s">
        <v>318</v>
      </c>
      <c r="B1303">
        <v>156</v>
      </c>
      <c r="C1303">
        <f t="shared" si="83"/>
        <v>12151</v>
      </c>
      <c r="D1303">
        <f t="shared" si="81"/>
        <v>0</v>
      </c>
      <c r="E1303">
        <f t="shared" si="82"/>
        <v>0</v>
      </c>
      <c r="F1303">
        <f t="shared" si="84"/>
        <v>0</v>
      </c>
    </row>
    <row r="1304" spans="1:6" x14ac:dyDescent="0.25">
      <c r="A1304" s="4" t="s">
        <v>348</v>
      </c>
      <c r="B1304">
        <v>164</v>
      </c>
      <c r="C1304">
        <f t="shared" si="83"/>
        <v>12315</v>
      </c>
      <c r="D1304">
        <f t="shared" si="81"/>
        <v>0</v>
      </c>
      <c r="E1304">
        <f t="shared" si="82"/>
        <v>0</v>
      </c>
      <c r="F1304">
        <f t="shared" si="84"/>
        <v>0</v>
      </c>
    </row>
    <row r="1305" spans="1:6" x14ac:dyDescent="0.25">
      <c r="A1305" s="4" t="s">
        <v>351</v>
      </c>
      <c r="B1305">
        <v>415</v>
      </c>
      <c r="C1305">
        <f t="shared" si="83"/>
        <v>12730</v>
      </c>
      <c r="D1305">
        <f t="shared" si="81"/>
        <v>0</v>
      </c>
      <c r="E1305">
        <f t="shared" si="82"/>
        <v>0</v>
      </c>
      <c r="F1305">
        <f t="shared" si="84"/>
        <v>0</v>
      </c>
    </row>
    <row r="1306" spans="1:6" x14ac:dyDescent="0.25">
      <c r="A1306" s="4" t="s">
        <v>357</v>
      </c>
      <c r="B1306">
        <v>178</v>
      </c>
      <c r="C1306">
        <f t="shared" si="83"/>
        <v>12908</v>
      </c>
      <c r="D1306">
        <f t="shared" si="81"/>
        <v>0</v>
      </c>
      <c r="E1306">
        <f t="shared" si="82"/>
        <v>0</v>
      </c>
      <c r="F1306">
        <f t="shared" si="84"/>
        <v>0</v>
      </c>
    </row>
    <row r="1307" spans="1:6" x14ac:dyDescent="0.25">
      <c r="A1307" s="4" t="s">
        <v>358</v>
      </c>
      <c r="B1307">
        <v>351</v>
      </c>
      <c r="C1307">
        <f t="shared" si="83"/>
        <v>13259</v>
      </c>
      <c r="D1307">
        <f t="shared" si="81"/>
        <v>0</v>
      </c>
      <c r="E1307">
        <f t="shared" si="82"/>
        <v>0</v>
      </c>
      <c r="F1307">
        <f t="shared" si="84"/>
        <v>0</v>
      </c>
    </row>
    <row r="1308" spans="1:6" x14ac:dyDescent="0.25">
      <c r="A1308" s="4" t="s">
        <v>361</v>
      </c>
      <c r="B1308">
        <v>415</v>
      </c>
      <c r="C1308">
        <f t="shared" si="83"/>
        <v>13674</v>
      </c>
      <c r="D1308">
        <f t="shared" si="81"/>
        <v>0</v>
      </c>
      <c r="E1308">
        <f t="shared" si="82"/>
        <v>0</v>
      </c>
      <c r="F1308">
        <f t="shared" si="84"/>
        <v>0</v>
      </c>
    </row>
    <row r="1309" spans="1:6" x14ac:dyDescent="0.25">
      <c r="A1309" s="4" t="s">
        <v>363</v>
      </c>
      <c r="B1309">
        <v>65</v>
      </c>
      <c r="C1309">
        <f t="shared" si="83"/>
        <v>13739</v>
      </c>
      <c r="D1309">
        <f t="shared" si="81"/>
        <v>0</v>
      </c>
      <c r="E1309">
        <f t="shared" si="82"/>
        <v>0</v>
      </c>
      <c r="F1309">
        <f t="shared" si="84"/>
        <v>0</v>
      </c>
    </row>
    <row r="1310" spans="1:6" x14ac:dyDescent="0.25">
      <c r="A1310" s="4" t="s">
        <v>365</v>
      </c>
      <c r="B1310">
        <v>376</v>
      </c>
      <c r="C1310">
        <f t="shared" si="83"/>
        <v>14115</v>
      </c>
      <c r="D1310">
        <f t="shared" si="81"/>
        <v>0</v>
      </c>
      <c r="E1310">
        <f t="shared" si="82"/>
        <v>0</v>
      </c>
      <c r="F1310">
        <f t="shared" si="84"/>
        <v>0</v>
      </c>
    </row>
    <row r="1311" spans="1:6" x14ac:dyDescent="0.25">
      <c r="A1311" s="4" t="s">
        <v>386</v>
      </c>
      <c r="B1311">
        <v>489</v>
      </c>
      <c r="C1311">
        <f t="shared" si="83"/>
        <v>14604</v>
      </c>
      <c r="D1311">
        <f t="shared" si="81"/>
        <v>0</v>
      </c>
      <c r="E1311">
        <f t="shared" si="82"/>
        <v>0</v>
      </c>
      <c r="F1311">
        <f t="shared" si="84"/>
        <v>0</v>
      </c>
    </row>
    <row r="1312" spans="1:6" x14ac:dyDescent="0.25">
      <c r="A1312" s="4" t="s">
        <v>387</v>
      </c>
      <c r="B1312">
        <v>224</v>
      </c>
      <c r="C1312">
        <f t="shared" si="83"/>
        <v>14828</v>
      </c>
      <c r="D1312">
        <f t="shared" si="81"/>
        <v>0</v>
      </c>
      <c r="E1312">
        <f t="shared" si="82"/>
        <v>0</v>
      </c>
      <c r="F1312">
        <f t="shared" si="84"/>
        <v>0</v>
      </c>
    </row>
    <row r="1313" spans="1:6" x14ac:dyDescent="0.25">
      <c r="A1313" s="4" t="s">
        <v>389</v>
      </c>
      <c r="B1313">
        <v>346</v>
      </c>
      <c r="C1313">
        <f t="shared" si="83"/>
        <v>15174</v>
      </c>
      <c r="D1313">
        <f t="shared" si="81"/>
        <v>1</v>
      </c>
      <c r="E1313">
        <f t="shared" si="82"/>
        <v>0</v>
      </c>
      <c r="F1313">
        <f t="shared" si="84"/>
        <v>1730</v>
      </c>
    </row>
    <row r="1314" spans="1:6" x14ac:dyDescent="0.25">
      <c r="A1314" s="3" t="s">
        <v>20</v>
      </c>
      <c r="B1314">
        <v>12696</v>
      </c>
      <c r="C1314">
        <f t="shared" si="83"/>
        <v>0</v>
      </c>
      <c r="D1314">
        <f t="shared" si="81"/>
        <v>0</v>
      </c>
      <c r="E1314">
        <f t="shared" si="82"/>
        <v>0</v>
      </c>
      <c r="F1314">
        <f t="shared" si="84"/>
        <v>0</v>
      </c>
    </row>
    <row r="1315" spans="1:6" x14ac:dyDescent="0.25">
      <c r="A1315" s="4" t="s">
        <v>103</v>
      </c>
      <c r="B1315">
        <v>364</v>
      </c>
      <c r="C1315">
        <f t="shared" si="83"/>
        <v>364</v>
      </c>
      <c r="D1315">
        <f t="shared" si="81"/>
        <v>0</v>
      </c>
      <c r="E1315">
        <f t="shared" si="82"/>
        <v>0</v>
      </c>
      <c r="F1315">
        <f t="shared" si="84"/>
        <v>0</v>
      </c>
    </row>
    <row r="1316" spans="1:6" x14ac:dyDescent="0.25">
      <c r="A1316" s="4" t="s">
        <v>107</v>
      </c>
      <c r="B1316">
        <v>717</v>
      </c>
      <c r="C1316">
        <f t="shared" si="83"/>
        <v>1081</v>
      </c>
      <c r="D1316">
        <f t="shared" si="81"/>
        <v>0</v>
      </c>
      <c r="E1316">
        <f t="shared" si="82"/>
        <v>0</v>
      </c>
      <c r="F1316">
        <f t="shared" si="84"/>
        <v>0</v>
      </c>
    </row>
    <row r="1317" spans="1:6" x14ac:dyDescent="0.25">
      <c r="A1317" s="4" t="s">
        <v>118</v>
      </c>
      <c r="B1317">
        <v>508</v>
      </c>
      <c r="C1317">
        <f t="shared" si="83"/>
        <v>1589</v>
      </c>
      <c r="D1317">
        <f t="shared" si="81"/>
        <v>0</v>
      </c>
      <c r="E1317">
        <f t="shared" si="82"/>
        <v>0</v>
      </c>
      <c r="F1317">
        <f t="shared" si="84"/>
        <v>0</v>
      </c>
    </row>
    <row r="1318" spans="1:6" x14ac:dyDescent="0.25">
      <c r="A1318" s="4" t="s">
        <v>123</v>
      </c>
      <c r="B1318">
        <v>317</v>
      </c>
      <c r="C1318">
        <f t="shared" si="83"/>
        <v>1906</v>
      </c>
      <c r="D1318">
        <f t="shared" si="81"/>
        <v>0</v>
      </c>
      <c r="E1318">
        <f t="shared" si="82"/>
        <v>0</v>
      </c>
      <c r="F1318">
        <f t="shared" si="84"/>
        <v>0</v>
      </c>
    </row>
    <row r="1319" spans="1:6" x14ac:dyDescent="0.25">
      <c r="A1319" s="4" t="s">
        <v>124</v>
      </c>
      <c r="B1319">
        <v>409</v>
      </c>
      <c r="C1319">
        <f t="shared" si="83"/>
        <v>2315</v>
      </c>
      <c r="D1319">
        <f t="shared" si="81"/>
        <v>0</v>
      </c>
      <c r="E1319">
        <f t="shared" si="82"/>
        <v>0</v>
      </c>
      <c r="F1319">
        <f t="shared" si="84"/>
        <v>0</v>
      </c>
    </row>
    <row r="1320" spans="1:6" x14ac:dyDescent="0.25">
      <c r="A1320" s="4" t="s">
        <v>129</v>
      </c>
      <c r="B1320">
        <v>16</v>
      </c>
      <c r="C1320">
        <f t="shared" si="83"/>
        <v>2331</v>
      </c>
      <c r="D1320">
        <f t="shared" si="81"/>
        <v>0</v>
      </c>
      <c r="E1320">
        <f t="shared" si="82"/>
        <v>0</v>
      </c>
      <c r="F1320">
        <f t="shared" si="84"/>
        <v>0</v>
      </c>
    </row>
    <row r="1321" spans="1:6" x14ac:dyDescent="0.25">
      <c r="A1321" s="4" t="s">
        <v>132</v>
      </c>
      <c r="B1321">
        <v>477</v>
      </c>
      <c r="C1321">
        <f t="shared" si="83"/>
        <v>2808</v>
      </c>
      <c r="D1321">
        <f t="shared" si="81"/>
        <v>0</v>
      </c>
      <c r="E1321">
        <f t="shared" si="82"/>
        <v>0</v>
      </c>
      <c r="F1321">
        <f t="shared" si="84"/>
        <v>0</v>
      </c>
    </row>
    <row r="1322" spans="1:6" x14ac:dyDescent="0.25">
      <c r="A1322" s="4" t="s">
        <v>155</v>
      </c>
      <c r="B1322">
        <v>512</v>
      </c>
      <c r="C1322">
        <f t="shared" si="83"/>
        <v>3320</v>
      </c>
      <c r="D1322">
        <f t="shared" si="81"/>
        <v>0</v>
      </c>
      <c r="E1322">
        <f t="shared" si="82"/>
        <v>0</v>
      </c>
      <c r="F1322">
        <f t="shared" si="84"/>
        <v>0</v>
      </c>
    </row>
    <row r="1323" spans="1:6" x14ac:dyDescent="0.25">
      <c r="A1323" s="4" t="s">
        <v>159</v>
      </c>
      <c r="B1323">
        <v>299</v>
      </c>
      <c r="C1323">
        <f t="shared" si="83"/>
        <v>3619</v>
      </c>
      <c r="D1323">
        <f t="shared" si="81"/>
        <v>0</v>
      </c>
      <c r="E1323">
        <f t="shared" si="82"/>
        <v>0</v>
      </c>
      <c r="F1323">
        <f t="shared" si="84"/>
        <v>0</v>
      </c>
    </row>
    <row r="1324" spans="1:6" x14ac:dyDescent="0.25">
      <c r="A1324" s="4" t="s">
        <v>177</v>
      </c>
      <c r="B1324">
        <v>307</v>
      </c>
      <c r="C1324">
        <f t="shared" si="83"/>
        <v>3926</v>
      </c>
      <c r="D1324">
        <f t="shared" si="81"/>
        <v>0</v>
      </c>
      <c r="E1324">
        <f t="shared" si="82"/>
        <v>0</v>
      </c>
      <c r="F1324">
        <f t="shared" si="84"/>
        <v>0</v>
      </c>
    </row>
    <row r="1325" spans="1:6" x14ac:dyDescent="0.25">
      <c r="A1325" s="4" t="s">
        <v>181</v>
      </c>
      <c r="B1325">
        <v>133</v>
      </c>
      <c r="C1325">
        <f t="shared" si="83"/>
        <v>4059</v>
      </c>
      <c r="D1325">
        <f t="shared" si="81"/>
        <v>0</v>
      </c>
      <c r="E1325">
        <f t="shared" si="82"/>
        <v>0</v>
      </c>
      <c r="F1325">
        <f t="shared" si="84"/>
        <v>0</v>
      </c>
    </row>
    <row r="1326" spans="1:6" x14ac:dyDescent="0.25">
      <c r="A1326" s="4" t="s">
        <v>206</v>
      </c>
      <c r="B1326">
        <v>323</v>
      </c>
      <c r="C1326">
        <f t="shared" si="83"/>
        <v>4382</v>
      </c>
      <c r="D1326">
        <f t="shared" si="81"/>
        <v>0</v>
      </c>
      <c r="E1326">
        <f t="shared" si="82"/>
        <v>0</v>
      </c>
      <c r="F1326">
        <f t="shared" si="84"/>
        <v>0</v>
      </c>
    </row>
    <row r="1327" spans="1:6" x14ac:dyDescent="0.25">
      <c r="A1327" s="4" t="s">
        <v>207</v>
      </c>
      <c r="B1327">
        <v>74</v>
      </c>
      <c r="C1327">
        <f t="shared" si="83"/>
        <v>4456</v>
      </c>
      <c r="D1327">
        <f t="shared" si="81"/>
        <v>0</v>
      </c>
      <c r="E1327">
        <f t="shared" si="82"/>
        <v>0</v>
      </c>
      <c r="F1327">
        <f t="shared" si="84"/>
        <v>0</v>
      </c>
    </row>
    <row r="1328" spans="1:6" x14ac:dyDescent="0.25">
      <c r="A1328" s="4" t="s">
        <v>212</v>
      </c>
      <c r="B1328">
        <v>417</v>
      </c>
      <c r="C1328">
        <f t="shared" si="83"/>
        <v>4873</v>
      </c>
      <c r="D1328">
        <f t="shared" si="81"/>
        <v>0</v>
      </c>
      <c r="E1328">
        <f t="shared" si="82"/>
        <v>0</v>
      </c>
      <c r="F1328">
        <f t="shared" si="84"/>
        <v>0</v>
      </c>
    </row>
    <row r="1329" spans="1:6" x14ac:dyDescent="0.25">
      <c r="A1329" s="4" t="s">
        <v>219</v>
      </c>
      <c r="B1329">
        <v>532</v>
      </c>
      <c r="C1329">
        <f t="shared" si="83"/>
        <v>5405</v>
      </c>
      <c r="D1329">
        <f t="shared" ref="D1329:D1392" si="85">IF(C1329 &gt; 15000, 1, 0)</f>
        <v>0</v>
      </c>
      <c r="E1329">
        <f t="shared" ref="E1329:E1392" si="86">IF(AND(D1329 =1,C1329 &gt;= 20000),1,0)</f>
        <v>0</v>
      </c>
      <c r="F1329">
        <f t="shared" si="84"/>
        <v>0</v>
      </c>
    </row>
    <row r="1330" spans="1:6" x14ac:dyDescent="0.25">
      <c r="A1330" s="4" t="s">
        <v>222</v>
      </c>
      <c r="B1330">
        <v>481</v>
      </c>
      <c r="C1330">
        <f t="shared" si="83"/>
        <v>5886</v>
      </c>
      <c r="D1330">
        <f t="shared" si="85"/>
        <v>0</v>
      </c>
      <c r="E1330">
        <f t="shared" si="86"/>
        <v>0</v>
      </c>
      <c r="F1330">
        <f t="shared" si="84"/>
        <v>0</v>
      </c>
    </row>
    <row r="1331" spans="1:6" x14ac:dyDescent="0.25">
      <c r="A1331" s="4" t="s">
        <v>234</v>
      </c>
      <c r="B1331">
        <v>343</v>
      </c>
      <c r="C1331">
        <f t="shared" si="83"/>
        <v>6229</v>
      </c>
      <c r="D1331">
        <f t="shared" si="85"/>
        <v>0</v>
      </c>
      <c r="E1331">
        <f t="shared" si="86"/>
        <v>0</v>
      </c>
      <c r="F1331">
        <f t="shared" si="84"/>
        <v>0</v>
      </c>
    </row>
    <row r="1332" spans="1:6" x14ac:dyDescent="0.25">
      <c r="A1332" s="4" t="s">
        <v>235</v>
      </c>
      <c r="B1332">
        <v>137</v>
      </c>
      <c r="C1332">
        <f t="shared" si="83"/>
        <v>6366</v>
      </c>
      <c r="D1332">
        <f t="shared" si="85"/>
        <v>0</v>
      </c>
      <c r="E1332">
        <f t="shared" si="86"/>
        <v>0</v>
      </c>
      <c r="F1332">
        <f t="shared" si="84"/>
        <v>0</v>
      </c>
    </row>
    <row r="1333" spans="1:6" x14ac:dyDescent="0.25">
      <c r="A1333" s="4" t="s">
        <v>238</v>
      </c>
      <c r="B1333">
        <v>75</v>
      </c>
      <c r="C1333">
        <f t="shared" si="83"/>
        <v>6441</v>
      </c>
      <c r="D1333">
        <f t="shared" si="85"/>
        <v>0</v>
      </c>
      <c r="E1333">
        <f t="shared" si="86"/>
        <v>0</v>
      </c>
      <c r="F1333">
        <f t="shared" si="84"/>
        <v>0</v>
      </c>
    </row>
    <row r="1334" spans="1:6" x14ac:dyDescent="0.25">
      <c r="A1334" s="4" t="s">
        <v>243</v>
      </c>
      <c r="B1334">
        <v>309</v>
      </c>
      <c r="C1334">
        <f t="shared" si="83"/>
        <v>6750</v>
      </c>
      <c r="D1334">
        <f t="shared" si="85"/>
        <v>0</v>
      </c>
      <c r="E1334">
        <f t="shared" si="86"/>
        <v>0</v>
      </c>
      <c r="F1334">
        <f t="shared" si="84"/>
        <v>0</v>
      </c>
    </row>
    <row r="1335" spans="1:6" x14ac:dyDescent="0.25">
      <c r="A1335" s="4" t="s">
        <v>244</v>
      </c>
      <c r="B1335">
        <v>249</v>
      </c>
      <c r="C1335">
        <f t="shared" si="83"/>
        <v>6999</v>
      </c>
      <c r="D1335">
        <f t="shared" si="85"/>
        <v>0</v>
      </c>
      <c r="E1335">
        <f t="shared" si="86"/>
        <v>0</v>
      </c>
      <c r="F1335">
        <f t="shared" si="84"/>
        <v>0</v>
      </c>
    </row>
    <row r="1336" spans="1:6" x14ac:dyDescent="0.25">
      <c r="A1336" s="4" t="s">
        <v>247</v>
      </c>
      <c r="B1336">
        <v>466</v>
      </c>
      <c r="C1336">
        <f t="shared" si="83"/>
        <v>7465</v>
      </c>
      <c r="D1336">
        <f t="shared" si="85"/>
        <v>0</v>
      </c>
      <c r="E1336">
        <f t="shared" si="86"/>
        <v>0</v>
      </c>
      <c r="F1336">
        <f t="shared" si="84"/>
        <v>0</v>
      </c>
    </row>
    <row r="1337" spans="1:6" x14ac:dyDescent="0.25">
      <c r="A1337" s="4" t="s">
        <v>257</v>
      </c>
      <c r="B1337">
        <v>438</v>
      </c>
      <c r="C1337">
        <f t="shared" si="83"/>
        <v>7903</v>
      </c>
      <c r="D1337">
        <f t="shared" si="85"/>
        <v>0</v>
      </c>
      <c r="E1337">
        <f t="shared" si="86"/>
        <v>0</v>
      </c>
      <c r="F1337">
        <f t="shared" si="84"/>
        <v>0</v>
      </c>
    </row>
    <row r="1338" spans="1:6" x14ac:dyDescent="0.25">
      <c r="A1338" s="4" t="s">
        <v>270</v>
      </c>
      <c r="B1338">
        <v>127</v>
      </c>
      <c r="C1338">
        <f t="shared" si="83"/>
        <v>8030</v>
      </c>
      <c r="D1338">
        <f t="shared" si="85"/>
        <v>0</v>
      </c>
      <c r="E1338">
        <f t="shared" si="86"/>
        <v>0</v>
      </c>
      <c r="F1338">
        <f t="shared" si="84"/>
        <v>0</v>
      </c>
    </row>
    <row r="1339" spans="1:6" x14ac:dyDescent="0.25">
      <c r="A1339" s="4" t="s">
        <v>274</v>
      </c>
      <c r="B1339">
        <v>162</v>
      </c>
      <c r="C1339">
        <f t="shared" si="83"/>
        <v>8192</v>
      </c>
      <c r="D1339">
        <f t="shared" si="85"/>
        <v>0</v>
      </c>
      <c r="E1339">
        <f t="shared" si="86"/>
        <v>0</v>
      </c>
      <c r="F1339">
        <f t="shared" si="84"/>
        <v>0</v>
      </c>
    </row>
    <row r="1340" spans="1:6" x14ac:dyDescent="0.25">
      <c r="A1340" s="4" t="s">
        <v>285</v>
      </c>
      <c r="B1340">
        <v>546</v>
      </c>
      <c r="C1340">
        <f t="shared" si="83"/>
        <v>8738</v>
      </c>
      <c r="D1340">
        <f t="shared" si="85"/>
        <v>0</v>
      </c>
      <c r="E1340">
        <f t="shared" si="86"/>
        <v>0</v>
      </c>
      <c r="F1340">
        <f t="shared" si="84"/>
        <v>0</v>
      </c>
    </row>
    <row r="1341" spans="1:6" x14ac:dyDescent="0.25">
      <c r="A1341" s="4" t="s">
        <v>288</v>
      </c>
      <c r="B1341">
        <v>266</v>
      </c>
      <c r="C1341">
        <f t="shared" si="83"/>
        <v>9004</v>
      </c>
      <c r="D1341">
        <f t="shared" si="85"/>
        <v>0</v>
      </c>
      <c r="E1341">
        <f t="shared" si="86"/>
        <v>0</v>
      </c>
      <c r="F1341">
        <f t="shared" si="84"/>
        <v>0</v>
      </c>
    </row>
    <row r="1342" spans="1:6" x14ac:dyDescent="0.25">
      <c r="A1342" s="4" t="s">
        <v>304</v>
      </c>
      <c r="B1342">
        <v>378</v>
      </c>
      <c r="C1342">
        <f t="shared" si="83"/>
        <v>9382</v>
      </c>
      <c r="D1342">
        <f t="shared" si="85"/>
        <v>0</v>
      </c>
      <c r="E1342">
        <f t="shared" si="86"/>
        <v>0</v>
      </c>
      <c r="F1342">
        <f t="shared" si="84"/>
        <v>0</v>
      </c>
    </row>
    <row r="1343" spans="1:6" x14ac:dyDescent="0.25">
      <c r="A1343" s="4" t="s">
        <v>306</v>
      </c>
      <c r="B1343">
        <v>405</v>
      </c>
      <c r="C1343">
        <f t="shared" si="83"/>
        <v>9787</v>
      </c>
      <c r="D1343">
        <f t="shared" si="85"/>
        <v>0</v>
      </c>
      <c r="E1343">
        <f t="shared" si="86"/>
        <v>0</v>
      </c>
      <c r="F1343">
        <f t="shared" si="84"/>
        <v>0</v>
      </c>
    </row>
    <row r="1344" spans="1:6" x14ac:dyDescent="0.25">
      <c r="A1344" s="4" t="s">
        <v>309</v>
      </c>
      <c r="B1344">
        <v>29</v>
      </c>
      <c r="C1344">
        <f t="shared" si="83"/>
        <v>9816</v>
      </c>
      <c r="D1344">
        <f t="shared" si="85"/>
        <v>0</v>
      </c>
      <c r="E1344">
        <f t="shared" si="86"/>
        <v>0</v>
      </c>
      <c r="F1344">
        <f t="shared" si="84"/>
        <v>0</v>
      </c>
    </row>
    <row r="1345" spans="1:6" x14ac:dyDescent="0.25">
      <c r="A1345" s="4" t="s">
        <v>310</v>
      </c>
      <c r="B1345">
        <v>201</v>
      </c>
      <c r="C1345">
        <f t="shared" si="83"/>
        <v>10017</v>
      </c>
      <c r="D1345">
        <f t="shared" si="85"/>
        <v>0</v>
      </c>
      <c r="E1345">
        <f t="shared" si="86"/>
        <v>0</v>
      </c>
      <c r="F1345">
        <f t="shared" si="84"/>
        <v>0</v>
      </c>
    </row>
    <row r="1346" spans="1:6" x14ac:dyDescent="0.25">
      <c r="A1346" s="4" t="s">
        <v>322</v>
      </c>
      <c r="B1346">
        <v>266</v>
      </c>
      <c r="C1346">
        <f t="shared" si="83"/>
        <v>10283</v>
      </c>
      <c r="D1346">
        <f t="shared" si="85"/>
        <v>0</v>
      </c>
      <c r="E1346">
        <f t="shared" si="86"/>
        <v>0</v>
      </c>
      <c r="F1346">
        <f t="shared" si="84"/>
        <v>0</v>
      </c>
    </row>
    <row r="1347" spans="1:6" x14ac:dyDescent="0.25">
      <c r="A1347" s="4" t="s">
        <v>327</v>
      </c>
      <c r="B1347">
        <v>266</v>
      </c>
      <c r="C1347">
        <f t="shared" si="83"/>
        <v>10549</v>
      </c>
      <c r="D1347">
        <f t="shared" si="85"/>
        <v>0</v>
      </c>
      <c r="E1347">
        <f t="shared" si="86"/>
        <v>0</v>
      </c>
      <c r="F1347">
        <f t="shared" si="84"/>
        <v>0</v>
      </c>
    </row>
    <row r="1348" spans="1:6" x14ac:dyDescent="0.25">
      <c r="A1348" s="4" t="s">
        <v>355</v>
      </c>
      <c r="B1348">
        <v>401</v>
      </c>
      <c r="C1348">
        <f t="shared" si="83"/>
        <v>10950</v>
      </c>
      <c r="D1348">
        <f t="shared" si="85"/>
        <v>0</v>
      </c>
      <c r="E1348">
        <f t="shared" si="86"/>
        <v>0</v>
      </c>
      <c r="F1348">
        <f t="shared" si="84"/>
        <v>0</v>
      </c>
    </row>
    <row r="1349" spans="1:6" x14ac:dyDescent="0.25">
      <c r="A1349" s="4" t="s">
        <v>357</v>
      </c>
      <c r="B1349">
        <v>489</v>
      </c>
      <c r="C1349">
        <f t="shared" ref="C1349:C1412" si="87">IF(LEN(A1349) &gt;= 12, 0, C1348+B1349)</f>
        <v>11439</v>
      </c>
      <c r="D1349">
        <f t="shared" si="85"/>
        <v>0</v>
      </c>
      <c r="E1349">
        <f t="shared" si="86"/>
        <v>0</v>
      </c>
      <c r="F1349">
        <f t="shared" si="84"/>
        <v>0</v>
      </c>
    </row>
    <row r="1350" spans="1:6" x14ac:dyDescent="0.25">
      <c r="A1350" s="4" t="s">
        <v>363</v>
      </c>
      <c r="B1350">
        <v>405</v>
      </c>
      <c r="C1350">
        <f t="shared" si="87"/>
        <v>11844</v>
      </c>
      <c r="D1350">
        <f t="shared" si="85"/>
        <v>0</v>
      </c>
      <c r="E1350">
        <f t="shared" si="86"/>
        <v>0</v>
      </c>
      <c r="F1350">
        <f t="shared" ref="F1350:F1413" si="88">IF(AND(D1350 = 1, C1350 &lt; 20000), B1350*5, IF(AND(E1350=1, C1350 &gt;= 20000),B1350*10,0))</f>
        <v>0</v>
      </c>
    </row>
    <row r="1351" spans="1:6" x14ac:dyDescent="0.25">
      <c r="A1351" s="4" t="s">
        <v>371</v>
      </c>
      <c r="B1351">
        <v>231</v>
      </c>
      <c r="C1351">
        <f t="shared" si="87"/>
        <v>12075</v>
      </c>
      <c r="D1351">
        <f t="shared" si="85"/>
        <v>0</v>
      </c>
      <c r="E1351">
        <f t="shared" si="86"/>
        <v>0</v>
      </c>
      <c r="F1351">
        <f t="shared" si="88"/>
        <v>0</v>
      </c>
    </row>
    <row r="1352" spans="1:6" x14ac:dyDescent="0.25">
      <c r="A1352" s="4" t="s">
        <v>378</v>
      </c>
      <c r="B1352">
        <v>219</v>
      </c>
      <c r="C1352">
        <f t="shared" si="87"/>
        <v>12294</v>
      </c>
      <c r="D1352">
        <f t="shared" si="85"/>
        <v>0</v>
      </c>
      <c r="E1352">
        <f t="shared" si="86"/>
        <v>0</v>
      </c>
      <c r="F1352">
        <f t="shared" si="88"/>
        <v>0</v>
      </c>
    </row>
    <row r="1353" spans="1:6" x14ac:dyDescent="0.25">
      <c r="A1353" s="4" t="s">
        <v>404</v>
      </c>
      <c r="B1353">
        <v>402</v>
      </c>
      <c r="C1353">
        <f t="shared" si="87"/>
        <v>12696</v>
      </c>
      <c r="D1353">
        <f t="shared" si="85"/>
        <v>0</v>
      </c>
      <c r="E1353">
        <f t="shared" si="86"/>
        <v>0</v>
      </c>
      <c r="F1353">
        <f t="shared" si="88"/>
        <v>0</v>
      </c>
    </row>
    <row r="1354" spans="1:6" x14ac:dyDescent="0.25">
      <c r="A1354" s="3" t="s">
        <v>39</v>
      </c>
      <c r="B1354">
        <v>13807</v>
      </c>
      <c r="C1354">
        <f t="shared" si="87"/>
        <v>0</v>
      </c>
      <c r="D1354">
        <f t="shared" si="85"/>
        <v>0</v>
      </c>
      <c r="E1354">
        <f t="shared" si="86"/>
        <v>0</v>
      </c>
      <c r="F1354">
        <f t="shared" si="88"/>
        <v>0</v>
      </c>
    </row>
    <row r="1355" spans="1:6" x14ac:dyDescent="0.25">
      <c r="A1355" s="4" t="s">
        <v>94</v>
      </c>
      <c r="B1355">
        <v>438</v>
      </c>
      <c r="C1355">
        <f t="shared" si="87"/>
        <v>438</v>
      </c>
      <c r="D1355">
        <f t="shared" si="85"/>
        <v>0</v>
      </c>
      <c r="E1355">
        <f t="shared" si="86"/>
        <v>0</v>
      </c>
      <c r="F1355">
        <f t="shared" si="88"/>
        <v>0</v>
      </c>
    </row>
    <row r="1356" spans="1:6" x14ac:dyDescent="0.25">
      <c r="A1356" s="4" t="s">
        <v>109</v>
      </c>
      <c r="B1356">
        <v>410</v>
      </c>
      <c r="C1356">
        <f t="shared" si="87"/>
        <v>848</v>
      </c>
      <c r="D1356">
        <f t="shared" si="85"/>
        <v>0</v>
      </c>
      <c r="E1356">
        <f t="shared" si="86"/>
        <v>0</v>
      </c>
      <c r="F1356">
        <f t="shared" si="88"/>
        <v>0</v>
      </c>
    </row>
    <row r="1357" spans="1:6" x14ac:dyDescent="0.25">
      <c r="A1357" s="4" t="s">
        <v>111</v>
      </c>
      <c r="B1357">
        <v>305</v>
      </c>
      <c r="C1357">
        <f t="shared" si="87"/>
        <v>1153</v>
      </c>
      <c r="D1357">
        <f t="shared" si="85"/>
        <v>0</v>
      </c>
      <c r="E1357">
        <f t="shared" si="86"/>
        <v>0</v>
      </c>
      <c r="F1357">
        <f t="shared" si="88"/>
        <v>0</v>
      </c>
    </row>
    <row r="1358" spans="1:6" x14ac:dyDescent="0.25">
      <c r="A1358" s="4" t="s">
        <v>113</v>
      </c>
      <c r="B1358">
        <v>977</v>
      </c>
      <c r="C1358">
        <f t="shared" si="87"/>
        <v>2130</v>
      </c>
      <c r="D1358">
        <f t="shared" si="85"/>
        <v>0</v>
      </c>
      <c r="E1358">
        <f t="shared" si="86"/>
        <v>0</v>
      </c>
      <c r="F1358">
        <f t="shared" si="88"/>
        <v>0</v>
      </c>
    </row>
    <row r="1359" spans="1:6" x14ac:dyDescent="0.25">
      <c r="A1359" s="4" t="s">
        <v>118</v>
      </c>
      <c r="B1359">
        <v>67</v>
      </c>
      <c r="C1359">
        <f t="shared" si="87"/>
        <v>2197</v>
      </c>
      <c r="D1359">
        <f t="shared" si="85"/>
        <v>0</v>
      </c>
      <c r="E1359">
        <f t="shared" si="86"/>
        <v>0</v>
      </c>
      <c r="F1359">
        <f t="shared" si="88"/>
        <v>0</v>
      </c>
    </row>
    <row r="1360" spans="1:6" x14ac:dyDescent="0.25">
      <c r="A1360" s="4" t="s">
        <v>124</v>
      </c>
      <c r="B1360">
        <v>341</v>
      </c>
      <c r="C1360">
        <f t="shared" si="87"/>
        <v>2538</v>
      </c>
      <c r="D1360">
        <f t="shared" si="85"/>
        <v>0</v>
      </c>
      <c r="E1360">
        <f t="shared" si="86"/>
        <v>0</v>
      </c>
      <c r="F1360">
        <f t="shared" si="88"/>
        <v>0</v>
      </c>
    </row>
    <row r="1361" spans="1:6" x14ac:dyDescent="0.25">
      <c r="A1361" s="4" t="s">
        <v>136</v>
      </c>
      <c r="B1361">
        <v>235</v>
      </c>
      <c r="C1361">
        <f t="shared" si="87"/>
        <v>2773</v>
      </c>
      <c r="D1361">
        <f t="shared" si="85"/>
        <v>0</v>
      </c>
      <c r="E1361">
        <f t="shared" si="86"/>
        <v>0</v>
      </c>
      <c r="F1361">
        <f t="shared" si="88"/>
        <v>0</v>
      </c>
    </row>
    <row r="1362" spans="1:6" x14ac:dyDescent="0.25">
      <c r="A1362" s="4" t="s">
        <v>141</v>
      </c>
      <c r="B1362">
        <v>459</v>
      </c>
      <c r="C1362">
        <f t="shared" si="87"/>
        <v>3232</v>
      </c>
      <c r="D1362">
        <f t="shared" si="85"/>
        <v>0</v>
      </c>
      <c r="E1362">
        <f t="shared" si="86"/>
        <v>0</v>
      </c>
      <c r="F1362">
        <f t="shared" si="88"/>
        <v>0</v>
      </c>
    </row>
    <row r="1363" spans="1:6" x14ac:dyDescent="0.25">
      <c r="A1363" s="4" t="s">
        <v>151</v>
      </c>
      <c r="B1363">
        <v>381</v>
      </c>
      <c r="C1363">
        <f t="shared" si="87"/>
        <v>3613</v>
      </c>
      <c r="D1363">
        <f t="shared" si="85"/>
        <v>0</v>
      </c>
      <c r="E1363">
        <f t="shared" si="86"/>
        <v>0</v>
      </c>
      <c r="F1363">
        <f t="shared" si="88"/>
        <v>0</v>
      </c>
    </row>
    <row r="1364" spans="1:6" x14ac:dyDescent="0.25">
      <c r="A1364" s="4" t="s">
        <v>155</v>
      </c>
      <c r="B1364">
        <v>374</v>
      </c>
      <c r="C1364">
        <f t="shared" si="87"/>
        <v>3987</v>
      </c>
      <c r="D1364">
        <f t="shared" si="85"/>
        <v>0</v>
      </c>
      <c r="E1364">
        <f t="shared" si="86"/>
        <v>0</v>
      </c>
      <c r="F1364">
        <f t="shared" si="88"/>
        <v>0</v>
      </c>
    </row>
    <row r="1365" spans="1:6" x14ac:dyDescent="0.25">
      <c r="A1365" s="4" t="s">
        <v>167</v>
      </c>
      <c r="B1365">
        <v>218</v>
      </c>
      <c r="C1365">
        <f t="shared" si="87"/>
        <v>4205</v>
      </c>
      <c r="D1365">
        <f t="shared" si="85"/>
        <v>0</v>
      </c>
      <c r="E1365">
        <f t="shared" si="86"/>
        <v>0</v>
      </c>
      <c r="F1365">
        <f t="shared" si="88"/>
        <v>0</v>
      </c>
    </row>
    <row r="1366" spans="1:6" x14ac:dyDescent="0.25">
      <c r="A1366" s="4" t="s">
        <v>172</v>
      </c>
      <c r="B1366">
        <v>178</v>
      </c>
      <c r="C1366">
        <f t="shared" si="87"/>
        <v>4383</v>
      </c>
      <c r="D1366">
        <f t="shared" si="85"/>
        <v>0</v>
      </c>
      <c r="E1366">
        <f t="shared" si="86"/>
        <v>0</v>
      </c>
      <c r="F1366">
        <f t="shared" si="88"/>
        <v>0</v>
      </c>
    </row>
    <row r="1367" spans="1:6" x14ac:dyDescent="0.25">
      <c r="A1367" s="4" t="s">
        <v>187</v>
      </c>
      <c r="B1367">
        <v>388</v>
      </c>
      <c r="C1367">
        <f t="shared" si="87"/>
        <v>4771</v>
      </c>
      <c r="D1367">
        <f t="shared" si="85"/>
        <v>0</v>
      </c>
      <c r="E1367">
        <f t="shared" si="86"/>
        <v>0</v>
      </c>
      <c r="F1367">
        <f t="shared" si="88"/>
        <v>0</v>
      </c>
    </row>
    <row r="1368" spans="1:6" x14ac:dyDescent="0.25">
      <c r="A1368" s="4" t="s">
        <v>191</v>
      </c>
      <c r="B1368">
        <v>81</v>
      </c>
      <c r="C1368">
        <f t="shared" si="87"/>
        <v>4852</v>
      </c>
      <c r="D1368">
        <f t="shared" si="85"/>
        <v>0</v>
      </c>
      <c r="E1368">
        <f t="shared" si="86"/>
        <v>0</v>
      </c>
      <c r="F1368">
        <f t="shared" si="88"/>
        <v>0</v>
      </c>
    </row>
    <row r="1369" spans="1:6" x14ac:dyDescent="0.25">
      <c r="A1369" s="4" t="s">
        <v>192</v>
      </c>
      <c r="B1369">
        <v>303</v>
      </c>
      <c r="C1369">
        <f t="shared" si="87"/>
        <v>5155</v>
      </c>
      <c r="D1369">
        <f t="shared" si="85"/>
        <v>0</v>
      </c>
      <c r="E1369">
        <f t="shared" si="86"/>
        <v>0</v>
      </c>
      <c r="F1369">
        <f t="shared" si="88"/>
        <v>0</v>
      </c>
    </row>
    <row r="1370" spans="1:6" x14ac:dyDescent="0.25">
      <c r="A1370" s="4" t="s">
        <v>193</v>
      </c>
      <c r="B1370">
        <v>312</v>
      </c>
      <c r="C1370">
        <f t="shared" si="87"/>
        <v>5467</v>
      </c>
      <c r="D1370">
        <f t="shared" si="85"/>
        <v>0</v>
      </c>
      <c r="E1370">
        <f t="shared" si="86"/>
        <v>0</v>
      </c>
      <c r="F1370">
        <f t="shared" si="88"/>
        <v>0</v>
      </c>
    </row>
    <row r="1371" spans="1:6" x14ac:dyDescent="0.25">
      <c r="A1371" s="4" t="s">
        <v>196</v>
      </c>
      <c r="B1371">
        <v>219</v>
      </c>
      <c r="C1371">
        <f t="shared" si="87"/>
        <v>5686</v>
      </c>
      <c r="D1371">
        <f t="shared" si="85"/>
        <v>0</v>
      </c>
      <c r="E1371">
        <f t="shared" si="86"/>
        <v>0</v>
      </c>
      <c r="F1371">
        <f t="shared" si="88"/>
        <v>0</v>
      </c>
    </row>
    <row r="1372" spans="1:6" x14ac:dyDescent="0.25">
      <c r="A1372" s="4" t="s">
        <v>219</v>
      </c>
      <c r="B1372">
        <v>173</v>
      </c>
      <c r="C1372">
        <f t="shared" si="87"/>
        <v>5859</v>
      </c>
      <c r="D1372">
        <f t="shared" si="85"/>
        <v>0</v>
      </c>
      <c r="E1372">
        <f t="shared" si="86"/>
        <v>0</v>
      </c>
      <c r="F1372">
        <f t="shared" si="88"/>
        <v>0</v>
      </c>
    </row>
    <row r="1373" spans="1:6" x14ac:dyDescent="0.25">
      <c r="A1373" s="4" t="s">
        <v>222</v>
      </c>
      <c r="B1373">
        <v>94</v>
      </c>
      <c r="C1373">
        <f t="shared" si="87"/>
        <v>5953</v>
      </c>
      <c r="D1373">
        <f t="shared" si="85"/>
        <v>0</v>
      </c>
      <c r="E1373">
        <f t="shared" si="86"/>
        <v>0</v>
      </c>
      <c r="F1373">
        <f t="shared" si="88"/>
        <v>0</v>
      </c>
    </row>
    <row r="1374" spans="1:6" x14ac:dyDescent="0.25">
      <c r="A1374" s="4" t="s">
        <v>224</v>
      </c>
      <c r="B1374">
        <v>86</v>
      </c>
      <c r="C1374">
        <f t="shared" si="87"/>
        <v>6039</v>
      </c>
      <c r="D1374">
        <f t="shared" si="85"/>
        <v>0</v>
      </c>
      <c r="E1374">
        <f t="shared" si="86"/>
        <v>0</v>
      </c>
      <c r="F1374">
        <f t="shared" si="88"/>
        <v>0</v>
      </c>
    </row>
    <row r="1375" spans="1:6" x14ac:dyDescent="0.25">
      <c r="A1375" s="4" t="s">
        <v>241</v>
      </c>
      <c r="B1375">
        <v>109</v>
      </c>
      <c r="C1375">
        <f t="shared" si="87"/>
        <v>6148</v>
      </c>
      <c r="D1375">
        <f t="shared" si="85"/>
        <v>0</v>
      </c>
      <c r="E1375">
        <f t="shared" si="86"/>
        <v>0</v>
      </c>
      <c r="F1375">
        <f t="shared" si="88"/>
        <v>0</v>
      </c>
    </row>
    <row r="1376" spans="1:6" x14ac:dyDescent="0.25">
      <c r="A1376" s="4" t="s">
        <v>248</v>
      </c>
      <c r="B1376">
        <v>277</v>
      </c>
      <c r="C1376">
        <f t="shared" si="87"/>
        <v>6425</v>
      </c>
      <c r="D1376">
        <f t="shared" si="85"/>
        <v>0</v>
      </c>
      <c r="E1376">
        <f t="shared" si="86"/>
        <v>0</v>
      </c>
      <c r="F1376">
        <f t="shared" si="88"/>
        <v>0</v>
      </c>
    </row>
    <row r="1377" spans="1:6" x14ac:dyDescent="0.25">
      <c r="A1377" s="4" t="s">
        <v>249</v>
      </c>
      <c r="B1377">
        <v>344</v>
      </c>
      <c r="C1377">
        <f t="shared" si="87"/>
        <v>6769</v>
      </c>
      <c r="D1377">
        <f t="shared" si="85"/>
        <v>0</v>
      </c>
      <c r="E1377">
        <f t="shared" si="86"/>
        <v>0</v>
      </c>
      <c r="F1377">
        <f t="shared" si="88"/>
        <v>0</v>
      </c>
    </row>
    <row r="1378" spans="1:6" x14ac:dyDescent="0.25">
      <c r="A1378" s="4" t="s">
        <v>254</v>
      </c>
      <c r="B1378">
        <v>161</v>
      </c>
      <c r="C1378">
        <f t="shared" si="87"/>
        <v>6930</v>
      </c>
      <c r="D1378">
        <f t="shared" si="85"/>
        <v>0</v>
      </c>
      <c r="E1378">
        <f t="shared" si="86"/>
        <v>0</v>
      </c>
      <c r="F1378">
        <f t="shared" si="88"/>
        <v>0</v>
      </c>
    </row>
    <row r="1379" spans="1:6" x14ac:dyDescent="0.25">
      <c r="A1379" s="4" t="s">
        <v>256</v>
      </c>
      <c r="B1379">
        <v>343</v>
      </c>
      <c r="C1379">
        <f t="shared" si="87"/>
        <v>7273</v>
      </c>
      <c r="D1379">
        <f t="shared" si="85"/>
        <v>0</v>
      </c>
      <c r="E1379">
        <f t="shared" si="86"/>
        <v>0</v>
      </c>
      <c r="F1379">
        <f t="shared" si="88"/>
        <v>0</v>
      </c>
    </row>
    <row r="1380" spans="1:6" x14ac:dyDescent="0.25">
      <c r="A1380" s="4" t="s">
        <v>259</v>
      </c>
      <c r="B1380">
        <v>230</v>
      </c>
      <c r="C1380">
        <f t="shared" si="87"/>
        <v>7503</v>
      </c>
      <c r="D1380">
        <f t="shared" si="85"/>
        <v>0</v>
      </c>
      <c r="E1380">
        <f t="shared" si="86"/>
        <v>0</v>
      </c>
      <c r="F1380">
        <f t="shared" si="88"/>
        <v>0</v>
      </c>
    </row>
    <row r="1381" spans="1:6" x14ac:dyDescent="0.25">
      <c r="A1381" s="4" t="s">
        <v>262</v>
      </c>
      <c r="B1381">
        <v>485</v>
      </c>
      <c r="C1381">
        <f t="shared" si="87"/>
        <v>7988</v>
      </c>
      <c r="D1381">
        <f t="shared" si="85"/>
        <v>0</v>
      </c>
      <c r="E1381">
        <f t="shared" si="86"/>
        <v>0</v>
      </c>
      <c r="F1381">
        <f t="shared" si="88"/>
        <v>0</v>
      </c>
    </row>
    <row r="1382" spans="1:6" x14ac:dyDescent="0.25">
      <c r="A1382" s="4" t="s">
        <v>268</v>
      </c>
      <c r="B1382">
        <v>243</v>
      </c>
      <c r="C1382">
        <f t="shared" si="87"/>
        <v>8231</v>
      </c>
      <c r="D1382">
        <f t="shared" si="85"/>
        <v>0</v>
      </c>
      <c r="E1382">
        <f t="shared" si="86"/>
        <v>0</v>
      </c>
      <c r="F1382">
        <f t="shared" si="88"/>
        <v>0</v>
      </c>
    </row>
    <row r="1383" spans="1:6" x14ac:dyDescent="0.25">
      <c r="A1383" s="4" t="s">
        <v>274</v>
      </c>
      <c r="B1383">
        <v>398</v>
      </c>
      <c r="C1383">
        <f t="shared" si="87"/>
        <v>8629</v>
      </c>
      <c r="D1383">
        <f t="shared" si="85"/>
        <v>0</v>
      </c>
      <c r="E1383">
        <f t="shared" si="86"/>
        <v>0</v>
      </c>
      <c r="F1383">
        <f t="shared" si="88"/>
        <v>0</v>
      </c>
    </row>
    <row r="1384" spans="1:6" x14ac:dyDescent="0.25">
      <c r="A1384" s="4" t="s">
        <v>278</v>
      </c>
      <c r="B1384">
        <v>489</v>
      </c>
      <c r="C1384">
        <f t="shared" si="87"/>
        <v>9118</v>
      </c>
      <c r="D1384">
        <f t="shared" si="85"/>
        <v>0</v>
      </c>
      <c r="E1384">
        <f t="shared" si="86"/>
        <v>0</v>
      </c>
      <c r="F1384">
        <f t="shared" si="88"/>
        <v>0</v>
      </c>
    </row>
    <row r="1385" spans="1:6" x14ac:dyDescent="0.25">
      <c r="A1385" s="4" t="s">
        <v>290</v>
      </c>
      <c r="B1385">
        <v>147</v>
      </c>
      <c r="C1385">
        <f t="shared" si="87"/>
        <v>9265</v>
      </c>
      <c r="D1385">
        <f t="shared" si="85"/>
        <v>0</v>
      </c>
      <c r="E1385">
        <f t="shared" si="86"/>
        <v>0</v>
      </c>
      <c r="F1385">
        <f t="shared" si="88"/>
        <v>0</v>
      </c>
    </row>
    <row r="1386" spans="1:6" x14ac:dyDescent="0.25">
      <c r="A1386" s="4" t="s">
        <v>297</v>
      </c>
      <c r="B1386">
        <v>62</v>
      </c>
      <c r="C1386">
        <f t="shared" si="87"/>
        <v>9327</v>
      </c>
      <c r="D1386">
        <f t="shared" si="85"/>
        <v>0</v>
      </c>
      <c r="E1386">
        <f t="shared" si="86"/>
        <v>0</v>
      </c>
      <c r="F1386">
        <f t="shared" si="88"/>
        <v>0</v>
      </c>
    </row>
    <row r="1387" spans="1:6" x14ac:dyDescent="0.25">
      <c r="A1387" s="4" t="s">
        <v>298</v>
      </c>
      <c r="B1387">
        <v>146</v>
      </c>
      <c r="C1387">
        <f t="shared" si="87"/>
        <v>9473</v>
      </c>
      <c r="D1387">
        <f t="shared" si="85"/>
        <v>0</v>
      </c>
      <c r="E1387">
        <f t="shared" si="86"/>
        <v>0</v>
      </c>
      <c r="F1387">
        <f t="shared" si="88"/>
        <v>0</v>
      </c>
    </row>
    <row r="1388" spans="1:6" x14ac:dyDescent="0.25">
      <c r="A1388" s="4" t="s">
        <v>302</v>
      </c>
      <c r="B1388">
        <v>366</v>
      </c>
      <c r="C1388">
        <f t="shared" si="87"/>
        <v>9839</v>
      </c>
      <c r="D1388">
        <f t="shared" si="85"/>
        <v>0</v>
      </c>
      <c r="E1388">
        <f t="shared" si="86"/>
        <v>0</v>
      </c>
      <c r="F1388">
        <f t="shared" si="88"/>
        <v>0</v>
      </c>
    </row>
    <row r="1389" spans="1:6" x14ac:dyDescent="0.25">
      <c r="A1389" s="4" t="s">
        <v>325</v>
      </c>
      <c r="B1389">
        <v>253</v>
      </c>
      <c r="C1389">
        <f t="shared" si="87"/>
        <v>10092</v>
      </c>
      <c r="D1389">
        <f t="shared" si="85"/>
        <v>0</v>
      </c>
      <c r="E1389">
        <f t="shared" si="86"/>
        <v>0</v>
      </c>
      <c r="F1389">
        <f t="shared" si="88"/>
        <v>0</v>
      </c>
    </row>
    <row r="1390" spans="1:6" x14ac:dyDescent="0.25">
      <c r="A1390" s="4" t="s">
        <v>329</v>
      </c>
      <c r="B1390">
        <v>107</v>
      </c>
      <c r="C1390">
        <f t="shared" si="87"/>
        <v>10199</v>
      </c>
      <c r="D1390">
        <f t="shared" si="85"/>
        <v>0</v>
      </c>
      <c r="E1390">
        <f t="shared" si="86"/>
        <v>0</v>
      </c>
      <c r="F1390">
        <f t="shared" si="88"/>
        <v>0</v>
      </c>
    </row>
    <row r="1391" spans="1:6" x14ac:dyDescent="0.25">
      <c r="A1391" s="4" t="s">
        <v>335</v>
      </c>
      <c r="B1391">
        <v>425</v>
      </c>
      <c r="C1391">
        <f t="shared" si="87"/>
        <v>10624</v>
      </c>
      <c r="D1391">
        <f t="shared" si="85"/>
        <v>0</v>
      </c>
      <c r="E1391">
        <f t="shared" si="86"/>
        <v>0</v>
      </c>
      <c r="F1391">
        <f t="shared" si="88"/>
        <v>0</v>
      </c>
    </row>
    <row r="1392" spans="1:6" x14ac:dyDescent="0.25">
      <c r="A1392" s="4" t="s">
        <v>339</v>
      </c>
      <c r="B1392">
        <v>364</v>
      </c>
      <c r="C1392">
        <f t="shared" si="87"/>
        <v>10988</v>
      </c>
      <c r="D1392">
        <f t="shared" si="85"/>
        <v>0</v>
      </c>
      <c r="E1392">
        <f t="shared" si="86"/>
        <v>0</v>
      </c>
      <c r="F1392">
        <f t="shared" si="88"/>
        <v>0</v>
      </c>
    </row>
    <row r="1393" spans="1:6" x14ac:dyDescent="0.25">
      <c r="A1393" s="4" t="s">
        <v>345</v>
      </c>
      <c r="B1393">
        <v>167</v>
      </c>
      <c r="C1393">
        <f t="shared" si="87"/>
        <v>11155</v>
      </c>
      <c r="D1393">
        <f t="shared" ref="D1393:D1456" si="89">IF(C1393 &gt; 15000, 1, 0)</f>
        <v>0</v>
      </c>
      <c r="E1393">
        <f t="shared" ref="E1393:E1456" si="90">IF(AND(D1393 =1,C1393 &gt;= 20000),1,0)</f>
        <v>0</v>
      </c>
      <c r="F1393">
        <f t="shared" si="88"/>
        <v>0</v>
      </c>
    </row>
    <row r="1394" spans="1:6" x14ac:dyDescent="0.25">
      <c r="A1394" s="4" t="s">
        <v>348</v>
      </c>
      <c r="B1394">
        <v>92</v>
      </c>
      <c r="C1394">
        <f t="shared" si="87"/>
        <v>11247</v>
      </c>
      <c r="D1394">
        <f t="shared" si="89"/>
        <v>0</v>
      </c>
      <c r="E1394">
        <f t="shared" si="90"/>
        <v>0</v>
      </c>
      <c r="F1394">
        <f t="shared" si="88"/>
        <v>0</v>
      </c>
    </row>
    <row r="1395" spans="1:6" x14ac:dyDescent="0.25">
      <c r="A1395" s="4" t="s">
        <v>359</v>
      </c>
      <c r="B1395">
        <v>94</v>
      </c>
      <c r="C1395">
        <f t="shared" si="87"/>
        <v>11341</v>
      </c>
      <c r="D1395">
        <f t="shared" si="89"/>
        <v>0</v>
      </c>
      <c r="E1395">
        <f t="shared" si="90"/>
        <v>0</v>
      </c>
      <c r="F1395">
        <f t="shared" si="88"/>
        <v>0</v>
      </c>
    </row>
    <row r="1396" spans="1:6" x14ac:dyDescent="0.25">
      <c r="A1396" s="4" t="s">
        <v>363</v>
      </c>
      <c r="B1396">
        <v>401</v>
      </c>
      <c r="C1396">
        <f t="shared" si="87"/>
        <v>11742</v>
      </c>
      <c r="D1396">
        <f t="shared" si="89"/>
        <v>0</v>
      </c>
      <c r="E1396">
        <f t="shared" si="90"/>
        <v>0</v>
      </c>
      <c r="F1396">
        <f t="shared" si="88"/>
        <v>0</v>
      </c>
    </row>
    <row r="1397" spans="1:6" x14ac:dyDescent="0.25">
      <c r="A1397" s="4" t="s">
        <v>373</v>
      </c>
      <c r="B1397">
        <v>258</v>
      </c>
      <c r="C1397">
        <f t="shared" si="87"/>
        <v>12000</v>
      </c>
      <c r="D1397">
        <f t="shared" si="89"/>
        <v>0</v>
      </c>
      <c r="E1397">
        <f t="shared" si="90"/>
        <v>0</v>
      </c>
      <c r="F1397">
        <f t="shared" si="88"/>
        <v>0</v>
      </c>
    </row>
    <row r="1398" spans="1:6" x14ac:dyDescent="0.25">
      <c r="A1398" s="4" t="s">
        <v>375</v>
      </c>
      <c r="B1398">
        <v>86</v>
      </c>
      <c r="C1398">
        <f t="shared" si="87"/>
        <v>12086</v>
      </c>
      <c r="D1398">
        <f t="shared" si="89"/>
        <v>0</v>
      </c>
      <c r="E1398">
        <f t="shared" si="90"/>
        <v>0</v>
      </c>
      <c r="F1398">
        <f t="shared" si="88"/>
        <v>0</v>
      </c>
    </row>
    <row r="1399" spans="1:6" x14ac:dyDescent="0.25">
      <c r="A1399" s="4" t="s">
        <v>379</v>
      </c>
      <c r="B1399">
        <v>90</v>
      </c>
      <c r="C1399">
        <f t="shared" si="87"/>
        <v>12176</v>
      </c>
      <c r="D1399">
        <f t="shared" si="89"/>
        <v>0</v>
      </c>
      <c r="E1399">
        <f t="shared" si="90"/>
        <v>0</v>
      </c>
      <c r="F1399">
        <f t="shared" si="88"/>
        <v>0</v>
      </c>
    </row>
    <row r="1400" spans="1:6" x14ac:dyDescent="0.25">
      <c r="A1400" s="4" t="s">
        <v>381</v>
      </c>
      <c r="B1400">
        <v>394</v>
      </c>
      <c r="C1400">
        <f t="shared" si="87"/>
        <v>12570</v>
      </c>
      <c r="D1400">
        <f t="shared" si="89"/>
        <v>0</v>
      </c>
      <c r="E1400">
        <f t="shared" si="90"/>
        <v>0</v>
      </c>
      <c r="F1400">
        <f t="shared" si="88"/>
        <v>0</v>
      </c>
    </row>
    <row r="1401" spans="1:6" x14ac:dyDescent="0.25">
      <c r="A1401" s="4" t="s">
        <v>383</v>
      </c>
      <c r="B1401">
        <v>281</v>
      </c>
      <c r="C1401">
        <f t="shared" si="87"/>
        <v>12851</v>
      </c>
      <c r="D1401">
        <f t="shared" si="89"/>
        <v>0</v>
      </c>
      <c r="E1401">
        <f t="shared" si="90"/>
        <v>0</v>
      </c>
      <c r="F1401">
        <f t="shared" si="88"/>
        <v>0</v>
      </c>
    </row>
    <row r="1402" spans="1:6" x14ac:dyDescent="0.25">
      <c r="A1402" s="4" t="s">
        <v>385</v>
      </c>
      <c r="B1402">
        <v>65</v>
      </c>
      <c r="C1402">
        <f t="shared" si="87"/>
        <v>12916</v>
      </c>
      <c r="D1402">
        <f t="shared" si="89"/>
        <v>0</v>
      </c>
      <c r="E1402">
        <f t="shared" si="90"/>
        <v>0</v>
      </c>
      <c r="F1402">
        <f t="shared" si="88"/>
        <v>0</v>
      </c>
    </row>
    <row r="1403" spans="1:6" x14ac:dyDescent="0.25">
      <c r="A1403" s="4" t="s">
        <v>388</v>
      </c>
      <c r="B1403">
        <v>567</v>
      </c>
      <c r="C1403">
        <f t="shared" si="87"/>
        <v>13483</v>
      </c>
      <c r="D1403">
        <f t="shared" si="89"/>
        <v>0</v>
      </c>
      <c r="E1403">
        <f t="shared" si="90"/>
        <v>0</v>
      </c>
      <c r="F1403">
        <f t="shared" si="88"/>
        <v>0</v>
      </c>
    </row>
    <row r="1404" spans="1:6" x14ac:dyDescent="0.25">
      <c r="A1404" s="4" t="s">
        <v>392</v>
      </c>
      <c r="B1404">
        <v>39</v>
      </c>
      <c r="C1404">
        <f t="shared" si="87"/>
        <v>13522</v>
      </c>
      <c r="D1404">
        <f t="shared" si="89"/>
        <v>0</v>
      </c>
      <c r="E1404">
        <f t="shared" si="90"/>
        <v>0</v>
      </c>
      <c r="F1404">
        <f t="shared" si="88"/>
        <v>0</v>
      </c>
    </row>
    <row r="1405" spans="1:6" x14ac:dyDescent="0.25">
      <c r="A1405" s="4" t="s">
        <v>399</v>
      </c>
      <c r="B1405">
        <v>131</v>
      </c>
      <c r="C1405">
        <f t="shared" si="87"/>
        <v>13653</v>
      </c>
      <c r="D1405">
        <f t="shared" si="89"/>
        <v>0</v>
      </c>
      <c r="E1405">
        <f t="shared" si="90"/>
        <v>0</v>
      </c>
      <c r="F1405">
        <f t="shared" si="88"/>
        <v>0</v>
      </c>
    </row>
    <row r="1406" spans="1:6" x14ac:dyDescent="0.25">
      <c r="A1406" s="4" t="s">
        <v>401</v>
      </c>
      <c r="B1406">
        <v>154</v>
      </c>
      <c r="C1406">
        <f t="shared" si="87"/>
        <v>13807</v>
      </c>
      <c r="D1406">
        <f t="shared" si="89"/>
        <v>0</v>
      </c>
      <c r="E1406">
        <f t="shared" si="90"/>
        <v>0</v>
      </c>
      <c r="F1406">
        <f t="shared" si="88"/>
        <v>0</v>
      </c>
    </row>
    <row r="1407" spans="1:6" x14ac:dyDescent="0.25">
      <c r="A1407" s="3" t="s">
        <v>55</v>
      </c>
      <c r="B1407">
        <v>13213</v>
      </c>
      <c r="C1407">
        <f t="shared" si="87"/>
        <v>0</v>
      </c>
      <c r="D1407">
        <f t="shared" si="89"/>
        <v>0</v>
      </c>
      <c r="E1407">
        <f t="shared" si="90"/>
        <v>0</v>
      </c>
      <c r="F1407">
        <f t="shared" si="88"/>
        <v>0</v>
      </c>
    </row>
    <row r="1408" spans="1:6" x14ac:dyDescent="0.25">
      <c r="A1408" s="4" t="s">
        <v>97</v>
      </c>
      <c r="B1408">
        <v>446</v>
      </c>
      <c r="C1408">
        <f t="shared" si="87"/>
        <v>446</v>
      </c>
      <c r="D1408">
        <f t="shared" si="89"/>
        <v>0</v>
      </c>
      <c r="E1408">
        <f t="shared" si="90"/>
        <v>0</v>
      </c>
      <c r="F1408">
        <f t="shared" si="88"/>
        <v>0</v>
      </c>
    </row>
    <row r="1409" spans="1:6" x14ac:dyDescent="0.25">
      <c r="A1409" s="4" t="s">
        <v>99</v>
      </c>
      <c r="B1409">
        <v>85</v>
      </c>
      <c r="C1409">
        <f t="shared" si="87"/>
        <v>531</v>
      </c>
      <c r="D1409">
        <f t="shared" si="89"/>
        <v>0</v>
      </c>
      <c r="E1409">
        <f t="shared" si="90"/>
        <v>0</v>
      </c>
      <c r="F1409">
        <f t="shared" si="88"/>
        <v>0</v>
      </c>
    </row>
    <row r="1410" spans="1:6" x14ac:dyDescent="0.25">
      <c r="A1410" s="4" t="s">
        <v>103</v>
      </c>
      <c r="B1410">
        <v>566</v>
      </c>
      <c r="C1410">
        <f t="shared" si="87"/>
        <v>1097</v>
      </c>
      <c r="D1410">
        <f t="shared" si="89"/>
        <v>0</v>
      </c>
      <c r="E1410">
        <f t="shared" si="90"/>
        <v>0</v>
      </c>
      <c r="F1410">
        <f t="shared" si="88"/>
        <v>0</v>
      </c>
    </row>
    <row r="1411" spans="1:6" x14ac:dyDescent="0.25">
      <c r="A1411" s="4" t="s">
        <v>106</v>
      </c>
      <c r="B1411">
        <v>346</v>
      </c>
      <c r="C1411">
        <f t="shared" si="87"/>
        <v>1443</v>
      </c>
      <c r="D1411">
        <f t="shared" si="89"/>
        <v>0</v>
      </c>
      <c r="E1411">
        <f t="shared" si="90"/>
        <v>0</v>
      </c>
      <c r="F1411">
        <f t="shared" si="88"/>
        <v>0</v>
      </c>
    </row>
    <row r="1412" spans="1:6" x14ac:dyDescent="0.25">
      <c r="A1412" s="4" t="s">
        <v>111</v>
      </c>
      <c r="B1412">
        <v>255</v>
      </c>
      <c r="C1412">
        <f t="shared" si="87"/>
        <v>1698</v>
      </c>
      <c r="D1412">
        <f t="shared" si="89"/>
        <v>0</v>
      </c>
      <c r="E1412">
        <f t="shared" si="90"/>
        <v>0</v>
      </c>
      <c r="F1412">
        <f t="shared" si="88"/>
        <v>0</v>
      </c>
    </row>
    <row r="1413" spans="1:6" x14ac:dyDescent="0.25">
      <c r="A1413" s="4" t="s">
        <v>118</v>
      </c>
      <c r="B1413">
        <v>129</v>
      </c>
      <c r="C1413">
        <f t="shared" ref="C1413:C1476" si="91">IF(LEN(A1413) &gt;= 12, 0, C1412+B1413)</f>
        <v>1827</v>
      </c>
      <c r="D1413">
        <f t="shared" si="89"/>
        <v>0</v>
      </c>
      <c r="E1413">
        <f t="shared" si="90"/>
        <v>0</v>
      </c>
      <c r="F1413">
        <f t="shared" si="88"/>
        <v>0</v>
      </c>
    </row>
    <row r="1414" spans="1:6" x14ac:dyDescent="0.25">
      <c r="A1414" s="4" t="s">
        <v>129</v>
      </c>
      <c r="B1414">
        <v>465</v>
      </c>
      <c r="C1414">
        <f t="shared" si="91"/>
        <v>2292</v>
      </c>
      <c r="D1414">
        <f t="shared" si="89"/>
        <v>0</v>
      </c>
      <c r="E1414">
        <f t="shared" si="90"/>
        <v>0</v>
      </c>
      <c r="F1414">
        <f t="shared" ref="F1414:F1477" si="92">IF(AND(D1414 = 1, C1414 &lt; 20000), B1414*5, IF(AND(E1414=1, C1414 &gt;= 20000),B1414*10,0))</f>
        <v>0</v>
      </c>
    </row>
    <row r="1415" spans="1:6" x14ac:dyDescent="0.25">
      <c r="A1415" s="4" t="s">
        <v>131</v>
      </c>
      <c r="B1415">
        <v>542</v>
      </c>
      <c r="C1415">
        <f t="shared" si="91"/>
        <v>2834</v>
      </c>
      <c r="D1415">
        <f t="shared" si="89"/>
        <v>0</v>
      </c>
      <c r="E1415">
        <f t="shared" si="90"/>
        <v>0</v>
      </c>
      <c r="F1415">
        <f t="shared" si="92"/>
        <v>0</v>
      </c>
    </row>
    <row r="1416" spans="1:6" x14ac:dyDescent="0.25">
      <c r="A1416" s="4" t="s">
        <v>141</v>
      </c>
      <c r="B1416">
        <v>65</v>
      </c>
      <c r="C1416">
        <f t="shared" si="91"/>
        <v>2899</v>
      </c>
      <c r="D1416">
        <f t="shared" si="89"/>
        <v>0</v>
      </c>
      <c r="E1416">
        <f t="shared" si="90"/>
        <v>0</v>
      </c>
      <c r="F1416">
        <f t="shared" si="92"/>
        <v>0</v>
      </c>
    </row>
    <row r="1417" spans="1:6" x14ac:dyDescent="0.25">
      <c r="A1417" s="4" t="s">
        <v>142</v>
      </c>
      <c r="B1417">
        <v>329</v>
      </c>
      <c r="C1417">
        <f t="shared" si="91"/>
        <v>3228</v>
      </c>
      <c r="D1417">
        <f t="shared" si="89"/>
        <v>0</v>
      </c>
      <c r="E1417">
        <f t="shared" si="90"/>
        <v>0</v>
      </c>
      <c r="F1417">
        <f t="shared" si="92"/>
        <v>0</v>
      </c>
    </row>
    <row r="1418" spans="1:6" x14ac:dyDescent="0.25">
      <c r="A1418" s="4" t="s">
        <v>151</v>
      </c>
      <c r="B1418">
        <v>127</v>
      </c>
      <c r="C1418">
        <f t="shared" si="91"/>
        <v>3355</v>
      </c>
      <c r="D1418">
        <f t="shared" si="89"/>
        <v>0</v>
      </c>
      <c r="E1418">
        <f t="shared" si="90"/>
        <v>0</v>
      </c>
      <c r="F1418">
        <f t="shared" si="92"/>
        <v>0</v>
      </c>
    </row>
    <row r="1419" spans="1:6" x14ac:dyDescent="0.25">
      <c r="A1419" s="4" t="s">
        <v>154</v>
      </c>
      <c r="B1419">
        <v>469</v>
      </c>
      <c r="C1419">
        <f t="shared" si="91"/>
        <v>3824</v>
      </c>
      <c r="D1419">
        <f t="shared" si="89"/>
        <v>0</v>
      </c>
      <c r="E1419">
        <f t="shared" si="90"/>
        <v>0</v>
      </c>
      <c r="F1419">
        <f t="shared" si="92"/>
        <v>0</v>
      </c>
    </row>
    <row r="1420" spans="1:6" x14ac:dyDescent="0.25">
      <c r="A1420" s="4" t="s">
        <v>160</v>
      </c>
      <c r="B1420">
        <v>194</v>
      </c>
      <c r="C1420">
        <f t="shared" si="91"/>
        <v>4018</v>
      </c>
      <c r="D1420">
        <f t="shared" si="89"/>
        <v>0</v>
      </c>
      <c r="E1420">
        <f t="shared" si="90"/>
        <v>0</v>
      </c>
      <c r="F1420">
        <f t="shared" si="92"/>
        <v>0</v>
      </c>
    </row>
    <row r="1421" spans="1:6" x14ac:dyDescent="0.25">
      <c r="A1421" s="4" t="s">
        <v>162</v>
      </c>
      <c r="B1421">
        <v>113</v>
      </c>
      <c r="C1421">
        <f t="shared" si="91"/>
        <v>4131</v>
      </c>
      <c r="D1421">
        <f t="shared" si="89"/>
        <v>0</v>
      </c>
      <c r="E1421">
        <f t="shared" si="90"/>
        <v>0</v>
      </c>
      <c r="F1421">
        <f t="shared" si="92"/>
        <v>0</v>
      </c>
    </row>
    <row r="1422" spans="1:6" x14ac:dyDescent="0.25">
      <c r="A1422" s="4" t="s">
        <v>164</v>
      </c>
      <c r="B1422">
        <v>49</v>
      </c>
      <c r="C1422">
        <f t="shared" si="91"/>
        <v>4180</v>
      </c>
      <c r="D1422">
        <f t="shared" si="89"/>
        <v>0</v>
      </c>
      <c r="E1422">
        <f t="shared" si="90"/>
        <v>0</v>
      </c>
      <c r="F1422">
        <f t="shared" si="92"/>
        <v>0</v>
      </c>
    </row>
    <row r="1423" spans="1:6" x14ac:dyDescent="0.25">
      <c r="A1423" s="4" t="s">
        <v>166</v>
      </c>
      <c r="B1423">
        <v>273</v>
      </c>
      <c r="C1423">
        <f t="shared" si="91"/>
        <v>4453</v>
      </c>
      <c r="D1423">
        <f t="shared" si="89"/>
        <v>0</v>
      </c>
      <c r="E1423">
        <f t="shared" si="90"/>
        <v>0</v>
      </c>
      <c r="F1423">
        <f t="shared" si="92"/>
        <v>0</v>
      </c>
    </row>
    <row r="1424" spans="1:6" x14ac:dyDescent="0.25">
      <c r="A1424" s="4" t="s">
        <v>177</v>
      </c>
      <c r="B1424">
        <v>52</v>
      </c>
      <c r="C1424">
        <f t="shared" si="91"/>
        <v>4505</v>
      </c>
      <c r="D1424">
        <f t="shared" si="89"/>
        <v>0</v>
      </c>
      <c r="E1424">
        <f t="shared" si="90"/>
        <v>0</v>
      </c>
      <c r="F1424">
        <f t="shared" si="92"/>
        <v>0</v>
      </c>
    </row>
    <row r="1425" spans="1:6" x14ac:dyDescent="0.25">
      <c r="A1425" s="4" t="s">
        <v>182</v>
      </c>
      <c r="B1425">
        <v>465</v>
      </c>
      <c r="C1425">
        <f t="shared" si="91"/>
        <v>4970</v>
      </c>
      <c r="D1425">
        <f t="shared" si="89"/>
        <v>0</v>
      </c>
      <c r="E1425">
        <f t="shared" si="90"/>
        <v>0</v>
      </c>
      <c r="F1425">
        <f t="shared" si="92"/>
        <v>0</v>
      </c>
    </row>
    <row r="1426" spans="1:6" x14ac:dyDescent="0.25">
      <c r="A1426" s="4" t="s">
        <v>192</v>
      </c>
      <c r="B1426">
        <v>804</v>
      </c>
      <c r="C1426">
        <f t="shared" si="91"/>
        <v>5774</v>
      </c>
      <c r="D1426">
        <f t="shared" si="89"/>
        <v>0</v>
      </c>
      <c r="E1426">
        <f t="shared" si="90"/>
        <v>0</v>
      </c>
      <c r="F1426">
        <f t="shared" si="92"/>
        <v>0</v>
      </c>
    </row>
    <row r="1427" spans="1:6" x14ac:dyDescent="0.25">
      <c r="A1427" s="4" t="s">
        <v>196</v>
      </c>
      <c r="B1427">
        <v>339</v>
      </c>
      <c r="C1427">
        <f t="shared" si="91"/>
        <v>6113</v>
      </c>
      <c r="D1427">
        <f t="shared" si="89"/>
        <v>0</v>
      </c>
      <c r="E1427">
        <f t="shared" si="90"/>
        <v>0</v>
      </c>
      <c r="F1427">
        <f t="shared" si="92"/>
        <v>0</v>
      </c>
    </row>
    <row r="1428" spans="1:6" x14ac:dyDescent="0.25">
      <c r="A1428" s="4" t="s">
        <v>210</v>
      </c>
      <c r="B1428">
        <v>387</v>
      </c>
      <c r="C1428">
        <f t="shared" si="91"/>
        <v>6500</v>
      </c>
      <c r="D1428">
        <f t="shared" si="89"/>
        <v>0</v>
      </c>
      <c r="E1428">
        <f t="shared" si="90"/>
        <v>0</v>
      </c>
      <c r="F1428">
        <f t="shared" si="92"/>
        <v>0</v>
      </c>
    </row>
    <row r="1429" spans="1:6" x14ac:dyDescent="0.25">
      <c r="A1429" s="4" t="s">
        <v>211</v>
      </c>
      <c r="B1429">
        <v>456</v>
      </c>
      <c r="C1429">
        <f t="shared" si="91"/>
        <v>6956</v>
      </c>
      <c r="D1429">
        <f t="shared" si="89"/>
        <v>0</v>
      </c>
      <c r="E1429">
        <f t="shared" si="90"/>
        <v>0</v>
      </c>
      <c r="F1429">
        <f t="shared" si="92"/>
        <v>0</v>
      </c>
    </row>
    <row r="1430" spans="1:6" x14ac:dyDescent="0.25">
      <c r="A1430" s="4" t="s">
        <v>214</v>
      </c>
      <c r="B1430">
        <v>578</v>
      </c>
      <c r="C1430">
        <f t="shared" si="91"/>
        <v>7534</v>
      </c>
      <c r="D1430">
        <f t="shared" si="89"/>
        <v>0</v>
      </c>
      <c r="E1430">
        <f t="shared" si="90"/>
        <v>0</v>
      </c>
      <c r="F1430">
        <f t="shared" si="92"/>
        <v>0</v>
      </c>
    </row>
    <row r="1431" spans="1:6" x14ac:dyDescent="0.25">
      <c r="A1431" s="4" t="s">
        <v>219</v>
      </c>
      <c r="B1431">
        <v>422</v>
      </c>
      <c r="C1431">
        <f t="shared" si="91"/>
        <v>7956</v>
      </c>
      <c r="D1431">
        <f t="shared" si="89"/>
        <v>0</v>
      </c>
      <c r="E1431">
        <f t="shared" si="90"/>
        <v>0</v>
      </c>
      <c r="F1431">
        <f t="shared" si="92"/>
        <v>0</v>
      </c>
    </row>
    <row r="1432" spans="1:6" x14ac:dyDescent="0.25">
      <c r="A1432" s="4" t="s">
        <v>238</v>
      </c>
      <c r="B1432">
        <v>83</v>
      </c>
      <c r="C1432">
        <f t="shared" si="91"/>
        <v>8039</v>
      </c>
      <c r="D1432">
        <f t="shared" si="89"/>
        <v>0</v>
      </c>
      <c r="E1432">
        <f t="shared" si="90"/>
        <v>0</v>
      </c>
      <c r="F1432">
        <f t="shared" si="92"/>
        <v>0</v>
      </c>
    </row>
    <row r="1433" spans="1:6" x14ac:dyDescent="0.25">
      <c r="A1433" s="4" t="s">
        <v>256</v>
      </c>
      <c r="B1433">
        <v>238</v>
      </c>
      <c r="C1433">
        <f t="shared" si="91"/>
        <v>8277</v>
      </c>
      <c r="D1433">
        <f t="shared" si="89"/>
        <v>0</v>
      </c>
      <c r="E1433">
        <f t="shared" si="90"/>
        <v>0</v>
      </c>
      <c r="F1433">
        <f t="shared" si="92"/>
        <v>0</v>
      </c>
    </row>
    <row r="1434" spans="1:6" x14ac:dyDescent="0.25">
      <c r="A1434" s="4" t="s">
        <v>261</v>
      </c>
      <c r="B1434">
        <v>49</v>
      </c>
      <c r="C1434">
        <f t="shared" si="91"/>
        <v>8326</v>
      </c>
      <c r="D1434">
        <f t="shared" si="89"/>
        <v>0</v>
      </c>
      <c r="E1434">
        <f t="shared" si="90"/>
        <v>0</v>
      </c>
      <c r="F1434">
        <f t="shared" si="92"/>
        <v>0</v>
      </c>
    </row>
    <row r="1435" spans="1:6" x14ac:dyDescent="0.25">
      <c r="A1435" s="4" t="s">
        <v>265</v>
      </c>
      <c r="B1435">
        <v>192</v>
      </c>
      <c r="C1435">
        <f t="shared" si="91"/>
        <v>8518</v>
      </c>
      <c r="D1435">
        <f t="shared" si="89"/>
        <v>0</v>
      </c>
      <c r="E1435">
        <f t="shared" si="90"/>
        <v>0</v>
      </c>
      <c r="F1435">
        <f t="shared" si="92"/>
        <v>0</v>
      </c>
    </row>
    <row r="1436" spans="1:6" x14ac:dyDescent="0.25">
      <c r="A1436" s="4" t="s">
        <v>271</v>
      </c>
      <c r="B1436">
        <v>353</v>
      </c>
      <c r="C1436">
        <f t="shared" si="91"/>
        <v>8871</v>
      </c>
      <c r="D1436">
        <f t="shared" si="89"/>
        <v>0</v>
      </c>
      <c r="E1436">
        <f t="shared" si="90"/>
        <v>0</v>
      </c>
      <c r="F1436">
        <f t="shared" si="92"/>
        <v>0</v>
      </c>
    </row>
    <row r="1437" spans="1:6" x14ac:dyDescent="0.25">
      <c r="A1437" s="4" t="s">
        <v>286</v>
      </c>
      <c r="B1437">
        <v>466</v>
      </c>
      <c r="C1437">
        <f t="shared" si="91"/>
        <v>9337</v>
      </c>
      <c r="D1437">
        <f t="shared" si="89"/>
        <v>0</v>
      </c>
      <c r="E1437">
        <f t="shared" si="90"/>
        <v>0</v>
      </c>
      <c r="F1437">
        <f t="shared" si="92"/>
        <v>0</v>
      </c>
    </row>
    <row r="1438" spans="1:6" x14ac:dyDescent="0.25">
      <c r="A1438" s="4" t="s">
        <v>289</v>
      </c>
      <c r="B1438">
        <v>61</v>
      </c>
      <c r="C1438">
        <f t="shared" si="91"/>
        <v>9398</v>
      </c>
      <c r="D1438">
        <f t="shared" si="89"/>
        <v>0</v>
      </c>
      <c r="E1438">
        <f t="shared" si="90"/>
        <v>0</v>
      </c>
      <c r="F1438">
        <f t="shared" si="92"/>
        <v>0</v>
      </c>
    </row>
    <row r="1439" spans="1:6" x14ac:dyDescent="0.25">
      <c r="A1439" s="4" t="s">
        <v>326</v>
      </c>
      <c r="B1439">
        <v>131</v>
      </c>
      <c r="C1439">
        <f t="shared" si="91"/>
        <v>9529</v>
      </c>
      <c r="D1439">
        <f t="shared" si="89"/>
        <v>0</v>
      </c>
      <c r="E1439">
        <f t="shared" si="90"/>
        <v>0</v>
      </c>
      <c r="F1439">
        <f t="shared" si="92"/>
        <v>0</v>
      </c>
    </row>
    <row r="1440" spans="1:6" x14ac:dyDescent="0.25">
      <c r="A1440" s="4" t="s">
        <v>328</v>
      </c>
      <c r="B1440">
        <v>337</v>
      </c>
      <c r="C1440">
        <f t="shared" si="91"/>
        <v>9866</v>
      </c>
      <c r="D1440">
        <f t="shared" si="89"/>
        <v>0</v>
      </c>
      <c r="E1440">
        <f t="shared" si="90"/>
        <v>0</v>
      </c>
      <c r="F1440">
        <f t="shared" si="92"/>
        <v>0</v>
      </c>
    </row>
    <row r="1441" spans="1:6" x14ac:dyDescent="0.25">
      <c r="A1441" s="4" t="s">
        <v>330</v>
      </c>
      <c r="B1441">
        <v>163</v>
      </c>
      <c r="C1441">
        <f t="shared" si="91"/>
        <v>10029</v>
      </c>
      <c r="D1441">
        <f t="shared" si="89"/>
        <v>0</v>
      </c>
      <c r="E1441">
        <f t="shared" si="90"/>
        <v>0</v>
      </c>
      <c r="F1441">
        <f t="shared" si="92"/>
        <v>0</v>
      </c>
    </row>
    <row r="1442" spans="1:6" x14ac:dyDescent="0.25">
      <c r="A1442" s="4" t="s">
        <v>337</v>
      </c>
      <c r="B1442">
        <v>499</v>
      </c>
      <c r="C1442">
        <f t="shared" si="91"/>
        <v>10528</v>
      </c>
      <c r="D1442">
        <f t="shared" si="89"/>
        <v>0</v>
      </c>
      <c r="E1442">
        <f t="shared" si="90"/>
        <v>0</v>
      </c>
      <c r="F1442">
        <f t="shared" si="92"/>
        <v>0</v>
      </c>
    </row>
    <row r="1443" spans="1:6" x14ac:dyDescent="0.25">
      <c r="A1443" s="4" t="s">
        <v>339</v>
      </c>
      <c r="B1443">
        <v>86</v>
      </c>
      <c r="C1443">
        <f t="shared" si="91"/>
        <v>10614</v>
      </c>
      <c r="D1443">
        <f t="shared" si="89"/>
        <v>0</v>
      </c>
      <c r="E1443">
        <f t="shared" si="90"/>
        <v>0</v>
      </c>
      <c r="F1443">
        <f t="shared" si="92"/>
        <v>0</v>
      </c>
    </row>
    <row r="1444" spans="1:6" x14ac:dyDescent="0.25">
      <c r="A1444" s="4" t="s">
        <v>343</v>
      </c>
      <c r="B1444">
        <v>415</v>
      </c>
      <c r="C1444">
        <f t="shared" si="91"/>
        <v>11029</v>
      </c>
      <c r="D1444">
        <f t="shared" si="89"/>
        <v>0</v>
      </c>
      <c r="E1444">
        <f t="shared" si="90"/>
        <v>0</v>
      </c>
      <c r="F1444">
        <f t="shared" si="92"/>
        <v>0</v>
      </c>
    </row>
    <row r="1445" spans="1:6" x14ac:dyDescent="0.25">
      <c r="A1445" s="4" t="s">
        <v>345</v>
      </c>
      <c r="B1445">
        <v>32</v>
      </c>
      <c r="C1445">
        <f t="shared" si="91"/>
        <v>11061</v>
      </c>
      <c r="D1445">
        <f t="shared" si="89"/>
        <v>0</v>
      </c>
      <c r="E1445">
        <f t="shared" si="90"/>
        <v>0</v>
      </c>
      <c r="F1445">
        <f t="shared" si="92"/>
        <v>0</v>
      </c>
    </row>
    <row r="1446" spans="1:6" x14ac:dyDescent="0.25">
      <c r="A1446" s="4" t="s">
        <v>357</v>
      </c>
      <c r="B1446">
        <v>239</v>
      </c>
      <c r="C1446">
        <f t="shared" si="91"/>
        <v>11300</v>
      </c>
      <c r="D1446">
        <f t="shared" si="89"/>
        <v>0</v>
      </c>
      <c r="E1446">
        <f t="shared" si="90"/>
        <v>0</v>
      </c>
      <c r="F1446">
        <f t="shared" si="92"/>
        <v>0</v>
      </c>
    </row>
    <row r="1447" spans="1:6" x14ac:dyDescent="0.25">
      <c r="A1447" s="4" t="s">
        <v>359</v>
      </c>
      <c r="B1447">
        <v>167</v>
      </c>
      <c r="C1447">
        <f t="shared" si="91"/>
        <v>11467</v>
      </c>
      <c r="D1447">
        <f t="shared" si="89"/>
        <v>0</v>
      </c>
      <c r="E1447">
        <f t="shared" si="90"/>
        <v>0</v>
      </c>
      <c r="F1447">
        <f t="shared" si="92"/>
        <v>0</v>
      </c>
    </row>
    <row r="1448" spans="1:6" x14ac:dyDescent="0.25">
      <c r="A1448" s="4" t="s">
        <v>363</v>
      </c>
      <c r="B1448">
        <v>423</v>
      </c>
      <c r="C1448">
        <f t="shared" si="91"/>
        <v>11890</v>
      </c>
      <c r="D1448">
        <f t="shared" si="89"/>
        <v>0</v>
      </c>
      <c r="E1448">
        <f t="shared" si="90"/>
        <v>0</v>
      </c>
      <c r="F1448">
        <f t="shared" si="92"/>
        <v>0</v>
      </c>
    </row>
    <row r="1449" spans="1:6" x14ac:dyDescent="0.25">
      <c r="A1449" s="4" t="s">
        <v>367</v>
      </c>
      <c r="B1449">
        <v>246</v>
      </c>
      <c r="C1449">
        <f t="shared" si="91"/>
        <v>12136</v>
      </c>
      <c r="D1449">
        <f t="shared" si="89"/>
        <v>0</v>
      </c>
      <c r="E1449">
        <f t="shared" si="90"/>
        <v>0</v>
      </c>
      <c r="F1449">
        <f t="shared" si="92"/>
        <v>0</v>
      </c>
    </row>
    <row r="1450" spans="1:6" x14ac:dyDescent="0.25">
      <c r="A1450" s="4" t="s">
        <v>369</v>
      </c>
      <c r="B1450">
        <v>225</v>
      </c>
      <c r="C1450">
        <f t="shared" si="91"/>
        <v>12361</v>
      </c>
      <c r="D1450">
        <f t="shared" si="89"/>
        <v>0</v>
      </c>
      <c r="E1450">
        <f t="shared" si="90"/>
        <v>0</v>
      </c>
      <c r="F1450">
        <f t="shared" si="92"/>
        <v>0</v>
      </c>
    </row>
    <row r="1451" spans="1:6" x14ac:dyDescent="0.25">
      <c r="A1451" s="4" t="s">
        <v>370</v>
      </c>
      <c r="B1451">
        <v>307</v>
      </c>
      <c r="C1451">
        <f t="shared" si="91"/>
        <v>12668</v>
      </c>
      <c r="D1451">
        <f t="shared" si="89"/>
        <v>0</v>
      </c>
      <c r="E1451">
        <f t="shared" si="90"/>
        <v>0</v>
      </c>
      <c r="F1451">
        <f t="shared" si="92"/>
        <v>0</v>
      </c>
    </row>
    <row r="1452" spans="1:6" x14ac:dyDescent="0.25">
      <c r="A1452" s="4" t="s">
        <v>373</v>
      </c>
      <c r="B1452">
        <v>46</v>
      </c>
      <c r="C1452">
        <f t="shared" si="91"/>
        <v>12714</v>
      </c>
      <c r="D1452">
        <f t="shared" si="89"/>
        <v>0</v>
      </c>
      <c r="E1452">
        <f t="shared" si="90"/>
        <v>0</v>
      </c>
      <c r="F1452">
        <f t="shared" si="92"/>
        <v>0</v>
      </c>
    </row>
    <row r="1453" spans="1:6" x14ac:dyDescent="0.25">
      <c r="A1453" s="4" t="s">
        <v>393</v>
      </c>
      <c r="B1453">
        <v>283</v>
      </c>
      <c r="C1453">
        <f t="shared" si="91"/>
        <v>12997</v>
      </c>
      <c r="D1453">
        <f t="shared" si="89"/>
        <v>0</v>
      </c>
      <c r="E1453">
        <f t="shared" si="90"/>
        <v>0</v>
      </c>
      <c r="F1453">
        <f t="shared" si="92"/>
        <v>0</v>
      </c>
    </row>
    <row r="1454" spans="1:6" x14ac:dyDescent="0.25">
      <c r="A1454" s="4" t="s">
        <v>395</v>
      </c>
      <c r="B1454">
        <v>216</v>
      </c>
      <c r="C1454">
        <f t="shared" si="91"/>
        <v>13213</v>
      </c>
      <c r="D1454">
        <f t="shared" si="89"/>
        <v>0</v>
      </c>
      <c r="E1454">
        <f t="shared" si="90"/>
        <v>0</v>
      </c>
      <c r="F1454">
        <f t="shared" si="92"/>
        <v>0</v>
      </c>
    </row>
    <row r="1455" spans="1:6" x14ac:dyDescent="0.25">
      <c r="A1455" s="3" t="s">
        <v>40</v>
      </c>
      <c r="B1455">
        <v>16719</v>
      </c>
      <c r="C1455">
        <f t="shared" si="91"/>
        <v>0</v>
      </c>
      <c r="D1455">
        <f t="shared" si="89"/>
        <v>0</v>
      </c>
      <c r="E1455">
        <f t="shared" si="90"/>
        <v>0</v>
      </c>
      <c r="F1455">
        <f t="shared" si="92"/>
        <v>0</v>
      </c>
    </row>
    <row r="1456" spans="1:6" x14ac:dyDescent="0.25">
      <c r="A1456" s="4" t="s">
        <v>105</v>
      </c>
      <c r="B1456">
        <v>240</v>
      </c>
      <c r="C1456">
        <f t="shared" si="91"/>
        <v>240</v>
      </c>
      <c r="D1456">
        <f t="shared" si="89"/>
        <v>0</v>
      </c>
      <c r="E1456">
        <f t="shared" si="90"/>
        <v>0</v>
      </c>
      <c r="F1456">
        <f t="shared" si="92"/>
        <v>0</v>
      </c>
    </row>
    <row r="1457" spans="1:6" x14ac:dyDescent="0.25">
      <c r="A1457" s="4" t="s">
        <v>108</v>
      </c>
      <c r="B1457">
        <v>234</v>
      </c>
      <c r="C1457">
        <f t="shared" si="91"/>
        <v>474</v>
      </c>
      <c r="D1457">
        <f t="shared" ref="D1457:D1520" si="93">IF(C1457 &gt; 15000, 1, 0)</f>
        <v>0</v>
      </c>
      <c r="E1457">
        <f t="shared" ref="E1457:E1520" si="94">IF(AND(D1457 =1,C1457 &gt;= 20000),1,0)</f>
        <v>0</v>
      </c>
      <c r="F1457">
        <f t="shared" si="92"/>
        <v>0</v>
      </c>
    </row>
    <row r="1458" spans="1:6" x14ac:dyDescent="0.25">
      <c r="A1458" s="4" t="s">
        <v>116</v>
      </c>
      <c r="B1458">
        <v>301</v>
      </c>
      <c r="C1458">
        <f t="shared" si="91"/>
        <v>775</v>
      </c>
      <c r="D1458">
        <f t="shared" si="93"/>
        <v>0</v>
      </c>
      <c r="E1458">
        <f t="shared" si="94"/>
        <v>0</v>
      </c>
      <c r="F1458">
        <f t="shared" si="92"/>
        <v>0</v>
      </c>
    </row>
    <row r="1459" spans="1:6" x14ac:dyDescent="0.25">
      <c r="A1459" s="4" t="s">
        <v>125</v>
      </c>
      <c r="B1459">
        <v>227</v>
      </c>
      <c r="C1459">
        <f t="shared" si="91"/>
        <v>1002</v>
      </c>
      <c r="D1459">
        <f t="shared" si="93"/>
        <v>0</v>
      </c>
      <c r="E1459">
        <f t="shared" si="94"/>
        <v>0</v>
      </c>
      <c r="F1459">
        <f t="shared" si="92"/>
        <v>0</v>
      </c>
    </row>
    <row r="1460" spans="1:6" x14ac:dyDescent="0.25">
      <c r="A1460" s="4" t="s">
        <v>132</v>
      </c>
      <c r="B1460">
        <v>424</v>
      </c>
      <c r="C1460">
        <f t="shared" si="91"/>
        <v>1426</v>
      </c>
      <c r="D1460">
        <f t="shared" si="93"/>
        <v>0</v>
      </c>
      <c r="E1460">
        <f t="shared" si="94"/>
        <v>0</v>
      </c>
      <c r="F1460">
        <f t="shared" si="92"/>
        <v>0</v>
      </c>
    </row>
    <row r="1461" spans="1:6" x14ac:dyDescent="0.25">
      <c r="A1461" s="4" t="s">
        <v>134</v>
      </c>
      <c r="B1461">
        <v>90</v>
      </c>
      <c r="C1461">
        <f t="shared" si="91"/>
        <v>1516</v>
      </c>
      <c r="D1461">
        <f t="shared" si="93"/>
        <v>0</v>
      </c>
      <c r="E1461">
        <f t="shared" si="94"/>
        <v>0</v>
      </c>
      <c r="F1461">
        <f t="shared" si="92"/>
        <v>0</v>
      </c>
    </row>
    <row r="1462" spans="1:6" x14ac:dyDescent="0.25">
      <c r="A1462" s="4" t="s">
        <v>139</v>
      </c>
      <c r="B1462">
        <v>126</v>
      </c>
      <c r="C1462">
        <f t="shared" si="91"/>
        <v>1642</v>
      </c>
      <c r="D1462">
        <f t="shared" si="93"/>
        <v>0</v>
      </c>
      <c r="E1462">
        <f t="shared" si="94"/>
        <v>0</v>
      </c>
      <c r="F1462">
        <f t="shared" si="92"/>
        <v>0</v>
      </c>
    </row>
    <row r="1463" spans="1:6" x14ac:dyDescent="0.25">
      <c r="A1463" s="4" t="s">
        <v>155</v>
      </c>
      <c r="B1463">
        <v>182</v>
      </c>
      <c r="C1463">
        <f t="shared" si="91"/>
        <v>1824</v>
      </c>
      <c r="D1463">
        <f t="shared" si="93"/>
        <v>0</v>
      </c>
      <c r="E1463">
        <f t="shared" si="94"/>
        <v>0</v>
      </c>
      <c r="F1463">
        <f t="shared" si="92"/>
        <v>0</v>
      </c>
    </row>
    <row r="1464" spans="1:6" x14ac:dyDescent="0.25">
      <c r="A1464" s="4" t="s">
        <v>173</v>
      </c>
      <c r="B1464">
        <v>195</v>
      </c>
      <c r="C1464">
        <f t="shared" si="91"/>
        <v>2019</v>
      </c>
      <c r="D1464">
        <f t="shared" si="93"/>
        <v>0</v>
      </c>
      <c r="E1464">
        <f t="shared" si="94"/>
        <v>0</v>
      </c>
      <c r="F1464">
        <f t="shared" si="92"/>
        <v>0</v>
      </c>
    </row>
    <row r="1465" spans="1:6" x14ac:dyDescent="0.25">
      <c r="A1465" s="4" t="s">
        <v>177</v>
      </c>
      <c r="B1465">
        <v>771</v>
      </c>
      <c r="C1465">
        <f t="shared" si="91"/>
        <v>2790</v>
      </c>
      <c r="D1465">
        <f t="shared" si="93"/>
        <v>0</v>
      </c>
      <c r="E1465">
        <f t="shared" si="94"/>
        <v>0</v>
      </c>
      <c r="F1465">
        <f t="shared" si="92"/>
        <v>0</v>
      </c>
    </row>
    <row r="1466" spans="1:6" x14ac:dyDescent="0.25">
      <c r="A1466" s="4" t="s">
        <v>183</v>
      </c>
      <c r="B1466">
        <v>590</v>
      </c>
      <c r="C1466">
        <f t="shared" si="91"/>
        <v>3380</v>
      </c>
      <c r="D1466">
        <f t="shared" si="93"/>
        <v>0</v>
      </c>
      <c r="E1466">
        <f t="shared" si="94"/>
        <v>0</v>
      </c>
      <c r="F1466">
        <f t="shared" si="92"/>
        <v>0</v>
      </c>
    </row>
    <row r="1467" spans="1:6" x14ac:dyDescent="0.25">
      <c r="A1467" s="4" t="s">
        <v>191</v>
      </c>
      <c r="B1467">
        <v>879</v>
      </c>
      <c r="C1467">
        <f t="shared" si="91"/>
        <v>4259</v>
      </c>
      <c r="D1467">
        <f t="shared" si="93"/>
        <v>0</v>
      </c>
      <c r="E1467">
        <f t="shared" si="94"/>
        <v>0</v>
      </c>
      <c r="F1467">
        <f t="shared" si="92"/>
        <v>0</v>
      </c>
    </row>
    <row r="1468" spans="1:6" x14ac:dyDescent="0.25">
      <c r="A1468" s="4" t="s">
        <v>192</v>
      </c>
      <c r="B1468">
        <v>390</v>
      </c>
      <c r="C1468">
        <f t="shared" si="91"/>
        <v>4649</v>
      </c>
      <c r="D1468">
        <f t="shared" si="93"/>
        <v>0</v>
      </c>
      <c r="E1468">
        <f t="shared" si="94"/>
        <v>0</v>
      </c>
      <c r="F1468">
        <f t="shared" si="92"/>
        <v>0</v>
      </c>
    </row>
    <row r="1469" spans="1:6" x14ac:dyDescent="0.25">
      <c r="A1469" s="4" t="s">
        <v>205</v>
      </c>
      <c r="B1469">
        <v>223</v>
      </c>
      <c r="C1469">
        <f t="shared" si="91"/>
        <v>4872</v>
      </c>
      <c r="D1469">
        <f t="shared" si="93"/>
        <v>0</v>
      </c>
      <c r="E1469">
        <f t="shared" si="94"/>
        <v>0</v>
      </c>
      <c r="F1469">
        <f t="shared" si="92"/>
        <v>0</v>
      </c>
    </row>
    <row r="1470" spans="1:6" x14ac:dyDescent="0.25">
      <c r="A1470" s="4" t="s">
        <v>206</v>
      </c>
      <c r="B1470">
        <v>97</v>
      </c>
      <c r="C1470">
        <f t="shared" si="91"/>
        <v>4969</v>
      </c>
      <c r="D1470">
        <f t="shared" si="93"/>
        <v>0</v>
      </c>
      <c r="E1470">
        <f t="shared" si="94"/>
        <v>0</v>
      </c>
      <c r="F1470">
        <f t="shared" si="92"/>
        <v>0</v>
      </c>
    </row>
    <row r="1471" spans="1:6" x14ac:dyDescent="0.25">
      <c r="A1471" s="4" t="s">
        <v>209</v>
      </c>
      <c r="B1471">
        <v>454</v>
      </c>
      <c r="C1471">
        <f t="shared" si="91"/>
        <v>5423</v>
      </c>
      <c r="D1471">
        <f t="shared" si="93"/>
        <v>0</v>
      </c>
      <c r="E1471">
        <f t="shared" si="94"/>
        <v>0</v>
      </c>
      <c r="F1471">
        <f t="shared" si="92"/>
        <v>0</v>
      </c>
    </row>
    <row r="1472" spans="1:6" x14ac:dyDescent="0.25">
      <c r="A1472" s="4" t="s">
        <v>220</v>
      </c>
      <c r="B1472">
        <v>777</v>
      </c>
      <c r="C1472">
        <f t="shared" si="91"/>
        <v>6200</v>
      </c>
      <c r="D1472">
        <f t="shared" si="93"/>
        <v>0</v>
      </c>
      <c r="E1472">
        <f t="shared" si="94"/>
        <v>0</v>
      </c>
      <c r="F1472">
        <f t="shared" si="92"/>
        <v>0</v>
      </c>
    </row>
    <row r="1473" spans="1:6" x14ac:dyDescent="0.25">
      <c r="A1473" s="4" t="s">
        <v>232</v>
      </c>
      <c r="B1473">
        <v>441</v>
      </c>
      <c r="C1473">
        <f t="shared" si="91"/>
        <v>6641</v>
      </c>
      <c r="D1473">
        <f t="shared" si="93"/>
        <v>0</v>
      </c>
      <c r="E1473">
        <f t="shared" si="94"/>
        <v>0</v>
      </c>
      <c r="F1473">
        <f t="shared" si="92"/>
        <v>0</v>
      </c>
    </row>
    <row r="1474" spans="1:6" x14ac:dyDescent="0.25">
      <c r="A1474" s="4" t="s">
        <v>233</v>
      </c>
      <c r="B1474">
        <v>100</v>
      </c>
      <c r="C1474">
        <f t="shared" si="91"/>
        <v>6741</v>
      </c>
      <c r="D1474">
        <f t="shared" si="93"/>
        <v>0</v>
      </c>
      <c r="E1474">
        <f t="shared" si="94"/>
        <v>0</v>
      </c>
      <c r="F1474">
        <f t="shared" si="92"/>
        <v>0</v>
      </c>
    </row>
    <row r="1475" spans="1:6" x14ac:dyDescent="0.25">
      <c r="A1475" s="4" t="s">
        <v>242</v>
      </c>
      <c r="B1475">
        <v>269</v>
      </c>
      <c r="C1475">
        <f t="shared" si="91"/>
        <v>7010</v>
      </c>
      <c r="D1475">
        <f t="shared" si="93"/>
        <v>0</v>
      </c>
      <c r="E1475">
        <f t="shared" si="94"/>
        <v>0</v>
      </c>
      <c r="F1475">
        <f t="shared" si="92"/>
        <v>0</v>
      </c>
    </row>
    <row r="1476" spans="1:6" x14ac:dyDescent="0.25">
      <c r="A1476" s="4" t="s">
        <v>243</v>
      </c>
      <c r="B1476">
        <v>315</v>
      </c>
      <c r="C1476">
        <f t="shared" si="91"/>
        <v>7325</v>
      </c>
      <c r="D1476">
        <f t="shared" si="93"/>
        <v>0</v>
      </c>
      <c r="E1476">
        <f t="shared" si="94"/>
        <v>0</v>
      </c>
      <c r="F1476">
        <f t="shared" si="92"/>
        <v>0</v>
      </c>
    </row>
    <row r="1477" spans="1:6" x14ac:dyDescent="0.25">
      <c r="A1477" s="4" t="s">
        <v>244</v>
      </c>
      <c r="B1477">
        <v>330</v>
      </c>
      <c r="C1477">
        <f t="shared" ref="C1477:C1540" si="95">IF(LEN(A1477) &gt;= 12, 0, C1476+B1477)</f>
        <v>7655</v>
      </c>
      <c r="D1477">
        <f t="shared" si="93"/>
        <v>0</v>
      </c>
      <c r="E1477">
        <f t="shared" si="94"/>
        <v>0</v>
      </c>
      <c r="F1477">
        <f t="shared" si="92"/>
        <v>0</v>
      </c>
    </row>
    <row r="1478" spans="1:6" x14ac:dyDescent="0.25">
      <c r="A1478" s="4" t="s">
        <v>247</v>
      </c>
      <c r="B1478">
        <v>117</v>
      </c>
      <c r="C1478">
        <f t="shared" si="95"/>
        <v>7772</v>
      </c>
      <c r="D1478">
        <f t="shared" si="93"/>
        <v>0</v>
      </c>
      <c r="E1478">
        <f t="shared" si="94"/>
        <v>0</v>
      </c>
      <c r="F1478">
        <f t="shared" ref="F1478:F1541" si="96">IF(AND(D1478 = 1, C1478 &lt; 20000), B1478*5, IF(AND(E1478=1, C1478 &gt;= 20000),B1478*10,0))</f>
        <v>0</v>
      </c>
    </row>
    <row r="1479" spans="1:6" x14ac:dyDescent="0.25">
      <c r="A1479" s="4" t="s">
        <v>249</v>
      </c>
      <c r="B1479">
        <v>445</v>
      </c>
      <c r="C1479">
        <f t="shared" si="95"/>
        <v>8217</v>
      </c>
      <c r="D1479">
        <f t="shared" si="93"/>
        <v>0</v>
      </c>
      <c r="E1479">
        <f t="shared" si="94"/>
        <v>0</v>
      </c>
      <c r="F1479">
        <f t="shared" si="96"/>
        <v>0</v>
      </c>
    </row>
    <row r="1480" spans="1:6" x14ac:dyDescent="0.25">
      <c r="A1480" s="4" t="s">
        <v>250</v>
      </c>
      <c r="B1480">
        <v>409</v>
      </c>
      <c r="C1480">
        <f t="shared" si="95"/>
        <v>8626</v>
      </c>
      <c r="D1480">
        <f t="shared" si="93"/>
        <v>0</v>
      </c>
      <c r="E1480">
        <f t="shared" si="94"/>
        <v>0</v>
      </c>
      <c r="F1480">
        <f t="shared" si="96"/>
        <v>0</v>
      </c>
    </row>
    <row r="1481" spans="1:6" x14ac:dyDescent="0.25">
      <c r="A1481" s="4" t="s">
        <v>252</v>
      </c>
      <c r="B1481">
        <v>442</v>
      </c>
      <c r="C1481">
        <f t="shared" si="95"/>
        <v>9068</v>
      </c>
      <c r="D1481">
        <f t="shared" si="93"/>
        <v>0</v>
      </c>
      <c r="E1481">
        <f t="shared" si="94"/>
        <v>0</v>
      </c>
      <c r="F1481">
        <f t="shared" si="96"/>
        <v>0</v>
      </c>
    </row>
    <row r="1482" spans="1:6" x14ac:dyDescent="0.25">
      <c r="A1482" s="4" t="s">
        <v>256</v>
      </c>
      <c r="B1482">
        <v>405</v>
      </c>
      <c r="C1482">
        <f t="shared" si="95"/>
        <v>9473</v>
      </c>
      <c r="D1482">
        <f t="shared" si="93"/>
        <v>0</v>
      </c>
      <c r="E1482">
        <f t="shared" si="94"/>
        <v>0</v>
      </c>
      <c r="F1482">
        <f t="shared" si="96"/>
        <v>0</v>
      </c>
    </row>
    <row r="1483" spans="1:6" x14ac:dyDescent="0.25">
      <c r="A1483" s="4" t="s">
        <v>259</v>
      </c>
      <c r="B1483">
        <v>249</v>
      </c>
      <c r="C1483">
        <f t="shared" si="95"/>
        <v>9722</v>
      </c>
      <c r="D1483">
        <f t="shared" si="93"/>
        <v>0</v>
      </c>
      <c r="E1483">
        <f t="shared" si="94"/>
        <v>0</v>
      </c>
      <c r="F1483">
        <f t="shared" si="96"/>
        <v>0</v>
      </c>
    </row>
    <row r="1484" spans="1:6" x14ac:dyDescent="0.25">
      <c r="A1484" s="4" t="s">
        <v>264</v>
      </c>
      <c r="B1484">
        <v>97</v>
      </c>
      <c r="C1484">
        <f t="shared" si="95"/>
        <v>9819</v>
      </c>
      <c r="D1484">
        <f t="shared" si="93"/>
        <v>0</v>
      </c>
      <c r="E1484">
        <f t="shared" si="94"/>
        <v>0</v>
      </c>
      <c r="F1484">
        <f t="shared" si="96"/>
        <v>0</v>
      </c>
    </row>
    <row r="1485" spans="1:6" x14ac:dyDescent="0.25">
      <c r="A1485" s="4" t="s">
        <v>267</v>
      </c>
      <c r="B1485">
        <v>227</v>
      </c>
      <c r="C1485">
        <f t="shared" si="95"/>
        <v>10046</v>
      </c>
      <c r="D1485">
        <f t="shared" si="93"/>
        <v>0</v>
      </c>
      <c r="E1485">
        <f t="shared" si="94"/>
        <v>0</v>
      </c>
      <c r="F1485">
        <f t="shared" si="96"/>
        <v>0</v>
      </c>
    </row>
    <row r="1486" spans="1:6" x14ac:dyDescent="0.25">
      <c r="A1486" s="4" t="s">
        <v>271</v>
      </c>
      <c r="B1486">
        <v>485</v>
      </c>
      <c r="C1486">
        <f t="shared" si="95"/>
        <v>10531</v>
      </c>
      <c r="D1486">
        <f t="shared" si="93"/>
        <v>0</v>
      </c>
      <c r="E1486">
        <f t="shared" si="94"/>
        <v>0</v>
      </c>
      <c r="F1486">
        <f t="shared" si="96"/>
        <v>0</v>
      </c>
    </row>
    <row r="1487" spans="1:6" x14ac:dyDescent="0.25">
      <c r="A1487" s="4" t="s">
        <v>272</v>
      </c>
      <c r="B1487">
        <v>40</v>
      </c>
      <c r="C1487">
        <f t="shared" si="95"/>
        <v>10571</v>
      </c>
      <c r="D1487">
        <f t="shared" si="93"/>
        <v>0</v>
      </c>
      <c r="E1487">
        <f t="shared" si="94"/>
        <v>0</v>
      </c>
      <c r="F1487">
        <f t="shared" si="96"/>
        <v>0</v>
      </c>
    </row>
    <row r="1488" spans="1:6" x14ac:dyDescent="0.25">
      <c r="A1488" s="4" t="s">
        <v>279</v>
      </c>
      <c r="B1488">
        <v>155</v>
      </c>
      <c r="C1488">
        <f t="shared" si="95"/>
        <v>10726</v>
      </c>
      <c r="D1488">
        <f t="shared" si="93"/>
        <v>0</v>
      </c>
      <c r="E1488">
        <f t="shared" si="94"/>
        <v>0</v>
      </c>
      <c r="F1488">
        <f t="shared" si="96"/>
        <v>0</v>
      </c>
    </row>
    <row r="1489" spans="1:6" x14ac:dyDescent="0.25">
      <c r="A1489" s="4" t="s">
        <v>286</v>
      </c>
      <c r="B1489">
        <v>354</v>
      </c>
      <c r="C1489">
        <f t="shared" si="95"/>
        <v>11080</v>
      </c>
      <c r="D1489">
        <f t="shared" si="93"/>
        <v>0</v>
      </c>
      <c r="E1489">
        <f t="shared" si="94"/>
        <v>0</v>
      </c>
      <c r="F1489">
        <f t="shared" si="96"/>
        <v>0</v>
      </c>
    </row>
    <row r="1490" spans="1:6" x14ac:dyDescent="0.25">
      <c r="A1490" s="4" t="s">
        <v>306</v>
      </c>
      <c r="B1490">
        <v>386</v>
      </c>
      <c r="C1490">
        <f t="shared" si="95"/>
        <v>11466</v>
      </c>
      <c r="D1490">
        <f t="shared" si="93"/>
        <v>0</v>
      </c>
      <c r="E1490">
        <f t="shared" si="94"/>
        <v>0</v>
      </c>
      <c r="F1490">
        <f t="shared" si="96"/>
        <v>0</v>
      </c>
    </row>
    <row r="1491" spans="1:6" x14ac:dyDescent="0.25">
      <c r="A1491" s="4" t="s">
        <v>307</v>
      </c>
      <c r="B1491">
        <v>492</v>
      </c>
      <c r="C1491">
        <f t="shared" si="95"/>
        <v>11958</v>
      </c>
      <c r="D1491">
        <f t="shared" si="93"/>
        <v>0</v>
      </c>
      <c r="E1491">
        <f t="shared" si="94"/>
        <v>0</v>
      </c>
      <c r="F1491">
        <f t="shared" si="96"/>
        <v>0</v>
      </c>
    </row>
    <row r="1492" spans="1:6" x14ac:dyDescent="0.25">
      <c r="A1492" s="4" t="s">
        <v>321</v>
      </c>
      <c r="B1492">
        <v>137</v>
      </c>
      <c r="C1492">
        <f t="shared" si="95"/>
        <v>12095</v>
      </c>
      <c r="D1492">
        <f t="shared" si="93"/>
        <v>0</v>
      </c>
      <c r="E1492">
        <f t="shared" si="94"/>
        <v>0</v>
      </c>
      <c r="F1492">
        <f t="shared" si="96"/>
        <v>0</v>
      </c>
    </row>
    <row r="1493" spans="1:6" x14ac:dyDescent="0.25">
      <c r="A1493" s="4" t="s">
        <v>326</v>
      </c>
      <c r="B1493">
        <v>198</v>
      </c>
      <c r="C1493">
        <f t="shared" si="95"/>
        <v>12293</v>
      </c>
      <c r="D1493">
        <f t="shared" si="93"/>
        <v>0</v>
      </c>
      <c r="E1493">
        <f t="shared" si="94"/>
        <v>0</v>
      </c>
      <c r="F1493">
        <f t="shared" si="96"/>
        <v>0</v>
      </c>
    </row>
    <row r="1494" spans="1:6" x14ac:dyDescent="0.25">
      <c r="A1494" s="4" t="s">
        <v>343</v>
      </c>
      <c r="B1494">
        <v>259</v>
      </c>
      <c r="C1494">
        <f t="shared" si="95"/>
        <v>12552</v>
      </c>
      <c r="D1494">
        <f t="shared" si="93"/>
        <v>0</v>
      </c>
      <c r="E1494">
        <f t="shared" si="94"/>
        <v>0</v>
      </c>
      <c r="F1494">
        <f t="shared" si="96"/>
        <v>0</v>
      </c>
    </row>
    <row r="1495" spans="1:6" x14ac:dyDescent="0.25">
      <c r="A1495" s="4" t="s">
        <v>350</v>
      </c>
      <c r="B1495">
        <v>66</v>
      </c>
      <c r="C1495">
        <f t="shared" si="95"/>
        <v>12618</v>
      </c>
      <c r="D1495">
        <f t="shared" si="93"/>
        <v>0</v>
      </c>
      <c r="E1495">
        <f t="shared" si="94"/>
        <v>0</v>
      </c>
      <c r="F1495">
        <f t="shared" si="96"/>
        <v>0</v>
      </c>
    </row>
    <row r="1496" spans="1:6" x14ac:dyDescent="0.25">
      <c r="A1496" s="4" t="s">
        <v>351</v>
      </c>
      <c r="B1496">
        <v>280</v>
      </c>
      <c r="C1496">
        <f t="shared" si="95"/>
        <v>12898</v>
      </c>
      <c r="D1496">
        <f t="shared" si="93"/>
        <v>0</v>
      </c>
      <c r="E1496">
        <f t="shared" si="94"/>
        <v>0</v>
      </c>
      <c r="F1496">
        <f t="shared" si="96"/>
        <v>0</v>
      </c>
    </row>
    <row r="1497" spans="1:6" x14ac:dyDescent="0.25">
      <c r="A1497" s="4" t="s">
        <v>353</v>
      </c>
      <c r="B1497">
        <v>403</v>
      </c>
      <c r="C1497">
        <f t="shared" si="95"/>
        <v>13301</v>
      </c>
      <c r="D1497">
        <f t="shared" si="93"/>
        <v>0</v>
      </c>
      <c r="E1497">
        <f t="shared" si="94"/>
        <v>0</v>
      </c>
      <c r="F1497">
        <f t="shared" si="96"/>
        <v>0</v>
      </c>
    </row>
    <row r="1498" spans="1:6" x14ac:dyDescent="0.25">
      <c r="A1498" s="4" t="s">
        <v>364</v>
      </c>
      <c r="B1498">
        <v>217</v>
      </c>
      <c r="C1498">
        <f t="shared" si="95"/>
        <v>13518</v>
      </c>
      <c r="D1498">
        <f t="shared" si="93"/>
        <v>0</v>
      </c>
      <c r="E1498">
        <f t="shared" si="94"/>
        <v>0</v>
      </c>
      <c r="F1498">
        <f t="shared" si="96"/>
        <v>0</v>
      </c>
    </row>
    <row r="1499" spans="1:6" x14ac:dyDescent="0.25">
      <c r="A1499" s="4" t="s">
        <v>365</v>
      </c>
      <c r="B1499">
        <v>372</v>
      </c>
      <c r="C1499">
        <f t="shared" si="95"/>
        <v>13890</v>
      </c>
      <c r="D1499">
        <f t="shared" si="93"/>
        <v>0</v>
      </c>
      <c r="E1499">
        <f t="shared" si="94"/>
        <v>0</v>
      </c>
      <c r="F1499">
        <f t="shared" si="96"/>
        <v>0</v>
      </c>
    </row>
    <row r="1500" spans="1:6" x14ac:dyDescent="0.25">
      <c r="A1500" s="4" t="s">
        <v>369</v>
      </c>
      <c r="B1500">
        <v>189</v>
      </c>
      <c r="C1500">
        <f t="shared" si="95"/>
        <v>14079</v>
      </c>
      <c r="D1500">
        <f t="shared" si="93"/>
        <v>0</v>
      </c>
      <c r="E1500">
        <f t="shared" si="94"/>
        <v>0</v>
      </c>
      <c r="F1500">
        <f t="shared" si="96"/>
        <v>0</v>
      </c>
    </row>
    <row r="1501" spans="1:6" x14ac:dyDescent="0.25">
      <c r="A1501" s="4" t="s">
        <v>371</v>
      </c>
      <c r="B1501">
        <v>301</v>
      </c>
      <c r="C1501">
        <f t="shared" si="95"/>
        <v>14380</v>
      </c>
      <c r="D1501">
        <f t="shared" si="93"/>
        <v>0</v>
      </c>
      <c r="E1501">
        <f t="shared" si="94"/>
        <v>0</v>
      </c>
      <c r="F1501">
        <f t="shared" si="96"/>
        <v>0</v>
      </c>
    </row>
    <row r="1502" spans="1:6" x14ac:dyDescent="0.25">
      <c r="A1502" s="4" t="s">
        <v>381</v>
      </c>
      <c r="B1502">
        <v>325</v>
      </c>
      <c r="C1502">
        <f t="shared" si="95"/>
        <v>14705</v>
      </c>
      <c r="D1502">
        <f t="shared" si="93"/>
        <v>0</v>
      </c>
      <c r="E1502">
        <f t="shared" si="94"/>
        <v>0</v>
      </c>
      <c r="F1502">
        <f t="shared" si="96"/>
        <v>0</v>
      </c>
    </row>
    <row r="1503" spans="1:6" x14ac:dyDescent="0.25">
      <c r="A1503" s="4" t="s">
        <v>390</v>
      </c>
      <c r="B1503">
        <v>416</v>
      </c>
      <c r="C1503">
        <f t="shared" si="95"/>
        <v>15121</v>
      </c>
      <c r="D1503">
        <f t="shared" si="93"/>
        <v>1</v>
      </c>
      <c r="E1503">
        <f t="shared" si="94"/>
        <v>0</v>
      </c>
      <c r="F1503">
        <f t="shared" si="96"/>
        <v>2080</v>
      </c>
    </row>
    <row r="1504" spans="1:6" x14ac:dyDescent="0.25">
      <c r="A1504" s="4" t="s">
        <v>391</v>
      </c>
      <c r="B1504">
        <v>359</v>
      </c>
      <c r="C1504">
        <f t="shared" si="95"/>
        <v>15480</v>
      </c>
      <c r="D1504">
        <f t="shared" si="93"/>
        <v>1</v>
      </c>
      <c r="E1504">
        <f t="shared" si="94"/>
        <v>0</v>
      </c>
      <c r="F1504">
        <f t="shared" si="96"/>
        <v>1795</v>
      </c>
    </row>
    <row r="1505" spans="1:6" x14ac:dyDescent="0.25">
      <c r="A1505" s="4" t="s">
        <v>396</v>
      </c>
      <c r="B1505">
        <v>420</v>
      </c>
      <c r="C1505">
        <f t="shared" si="95"/>
        <v>15900</v>
      </c>
      <c r="D1505">
        <f t="shared" si="93"/>
        <v>1</v>
      </c>
      <c r="E1505">
        <f t="shared" si="94"/>
        <v>0</v>
      </c>
      <c r="F1505">
        <f t="shared" si="96"/>
        <v>2100</v>
      </c>
    </row>
    <row r="1506" spans="1:6" x14ac:dyDescent="0.25">
      <c r="A1506" s="4" t="s">
        <v>399</v>
      </c>
      <c r="B1506">
        <v>458</v>
      </c>
      <c r="C1506">
        <f t="shared" si="95"/>
        <v>16358</v>
      </c>
      <c r="D1506">
        <f t="shared" si="93"/>
        <v>1</v>
      </c>
      <c r="E1506">
        <f t="shared" si="94"/>
        <v>0</v>
      </c>
      <c r="F1506">
        <f t="shared" si="96"/>
        <v>2290</v>
      </c>
    </row>
    <row r="1507" spans="1:6" x14ac:dyDescent="0.25">
      <c r="A1507" s="4" t="s">
        <v>401</v>
      </c>
      <c r="B1507">
        <v>361</v>
      </c>
      <c r="C1507">
        <f t="shared" si="95"/>
        <v>16719</v>
      </c>
      <c r="D1507">
        <f t="shared" si="93"/>
        <v>1</v>
      </c>
      <c r="E1507">
        <f t="shared" si="94"/>
        <v>0</v>
      </c>
      <c r="F1507">
        <f t="shared" si="96"/>
        <v>1805</v>
      </c>
    </row>
    <row r="1508" spans="1:6" x14ac:dyDescent="0.25">
      <c r="A1508" s="3" t="s">
        <v>62</v>
      </c>
      <c r="B1508">
        <v>13143</v>
      </c>
      <c r="C1508">
        <f t="shared" si="95"/>
        <v>0</v>
      </c>
      <c r="D1508">
        <f t="shared" si="93"/>
        <v>0</v>
      </c>
      <c r="E1508">
        <f t="shared" si="94"/>
        <v>0</v>
      </c>
      <c r="F1508">
        <f t="shared" si="96"/>
        <v>0</v>
      </c>
    </row>
    <row r="1509" spans="1:6" x14ac:dyDescent="0.25">
      <c r="A1509" s="4" t="s">
        <v>93</v>
      </c>
      <c r="B1509">
        <v>242</v>
      </c>
      <c r="C1509">
        <f t="shared" si="95"/>
        <v>242</v>
      </c>
      <c r="D1509">
        <f t="shared" si="93"/>
        <v>0</v>
      </c>
      <c r="E1509">
        <f t="shared" si="94"/>
        <v>0</v>
      </c>
      <c r="F1509">
        <f t="shared" si="96"/>
        <v>0</v>
      </c>
    </row>
    <row r="1510" spans="1:6" x14ac:dyDescent="0.25">
      <c r="A1510" s="4" t="s">
        <v>94</v>
      </c>
      <c r="B1510">
        <v>368</v>
      </c>
      <c r="C1510">
        <f t="shared" si="95"/>
        <v>610</v>
      </c>
      <c r="D1510">
        <f t="shared" si="93"/>
        <v>0</v>
      </c>
      <c r="E1510">
        <f t="shared" si="94"/>
        <v>0</v>
      </c>
      <c r="F1510">
        <f t="shared" si="96"/>
        <v>0</v>
      </c>
    </row>
    <row r="1511" spans="1:6" x14ac:dyDescent="0.25">
      <c r="A1511" s="4" t="s">
        <v>98</v>
      </c>
      <c r="B1511">
        <v>258</v>
      </c>
      <c r="C1511">
        <f t="shared" si="95"/>
        <v>868</v>
      </c>
      <c r="D1511">
        <f t="shared" si="93"/>
        <v>0</v>
      </c>
      <c r="E1511">
        <f t="shared" si="94"/>
        <v>0</v>
      </c>
      <c r="F1511">
        <f t="shared" si="96"/>
        <v>0</v>
      </c>
    </row>
    <row r="1512" spans="1:6" x14ac:dyDescent="0.25">
      <c r="A1512" s="4" t="s">
        <v>111</v>
      </c>
      <c r="B1512">
        <v>781</v>
      </c>
      <c r="C1512">
        <f t="shared" si="95"/>
        <v>1649</v>
      </c>
      <c r="D1512">
        <f t="shared" si="93"/>
        <v>0</v>
      </c>
      <c r="E1512">
        <f t="shared" si="94"/>
        <v>0</v>
      </c>
      <c r="F1512">
        <f t="shared" si="96"/>
        <v>0</v>
      </c>
    </row>
    <row r="1513" spans="1:6" x14ac:dyDescent="0.25">
      <c r="A1513" s="4" t="s">
        <v>130</v>
      </c>
      <c r="B1513">
        <v>387</v>
      </c>
      <c r="C1513">
        <f t="shared" si="95"/>
        <v>2036</v>
      </c>
      <c r="D1513">
        <f t="shared" si="93"/>
        <v>0</v>
      </c>
      <c r="E1513">
        <f t="shared" si="94"/>
        <v>0</v>
      </c>
      <c r="F1513">
        <f t="shared" si="96"/>
        <v>0</v>
      </c>
    </row>
    <row r="1514" spans="1:6" x14ac:dyDescent="0.25">
      <c r="A1514" s="4" t="s">
        <v>131</v>
      </c>
      <c r="B1514">
        <v>384</v>
      </c>
      <c r="C1514">
        <f t="shared" si="95"/>
        <v>2420</v>
      </c>
      <c r="D1514">
        <f t="shared" si="93"/>
        <v>0</v>
      </c>
      <c r="E1514">
        <f t="shared" si="94"/>
        <v>0</v>
      </c>
      <c r="F1514">
        <f t="shared" si="96"/>
        <v>0</v>
      </c>
    </row>
    <row r="1515" spans="1:6" x14ac:dyDescent="0.25">
      <c r="A1515" s="4" t="s">
        <v>143</v>
      </c>
      <c r="B1515">
        <v>86</v>
      </c>
      <c r="C1515">
        <f t="shared" si="95"/>
        <v>2506</v>
      </c>
      <c r="D1515">
        <f t="shared" si="93"/>
        <v>0</v>
      </c>
      <c r="E1515">
        <f t="shared" si="94"/>
        <v>0</v>
      </c>
      <c r="F1515">
        <f t="shared" si="96"/>
        <v>0</v>
      </c>
    </row>
    <row r="1516" spans="1:6" x14ac:dyDescent="0.25">
      <c r="A1516" s="4" t="s">
        <v>149</v>
      </c>
      <c r="B1516">
        <v>768</v>
      </c>
      <c r="C1516">
        <f t="shared" si="95"/>
        <v>3274</v>
      </c>
      <c r="D1516">
        <f t="shared" si="93"/>
        <v>0</v>
      </c>
      <c r="E1516">
        <f t="shared" si="94"/>
        <v>0</v>
      </c>
      <c r="F1516">
        <f t="shared" si="96"/>
        <v>0</v>
      </c>
    </row>
    <row r="1517" spans="1:6" x14ac:dyDescent="0.25">
      <c r="A1517" s="4" t="s">
        <v>159</v>
      </c>
      <c r="B1517">
        <v>469</v>
      </c>
      <c r="C1517">
        <f t="shared" si="95"/>
        <v>3743</v>
      </c>
      <c r="D1517">
        <f t="shared" si="93"/>
        <v>0</v>
      </c>
      <c r="E1517">
        <f t="shared" si="94"/>
        <v>0</v>
      </c>
      <c r="F1517">
        <f t="shared" si="96"/>
        <v>0</v>
      </c>
    </row>
    <row r="1518" spans="1:6" x14ac:dyDescent="0.25">
      <c r="A1518" s="4" t="s">
        <v>165</v>
      </c>
      <c r="B1518">
        <v>475</v>
      </c>
      <c r="C1518">
        <f t="shared" si="95"/>
        <v>4218</v>
      </c>
      <c r="D1518">
        <f t="shared" si="93"/>
        <v>0</v>
      </c>
      <c r="E1518">
        <f t="shared" si="94"/>
        <v>0</v>
      </c>
      <c r="F1518">
        <f t="shared" si="96"/>
        <v>0</v>
      </c>
    </row>
    <row r="1519" spans="1:6" x14ac:dyDescent="0.25">
      <c r="A1519" s="4" t="s">
        <v>181</v>
      </c>
      <c r="B1519">
        <v>263</v>
      </c>
      <c r="C1519">
        <f t="shared" si="95"/>
        <v>4481</v>
      </c>
      <c r="D1519">
        <f t="shared" si="93"/>
        <v>0</v>
      </c>
      <c r="E1519">
        <f t="shared" si="94"/>
        <v>0</v>
      </c>
      <c r="F1519">
        <f t="shared" si="96"/>
        <v>0</v>
      </c>
    </row>
    <row r="1520" spans="1:6" x14ac:dyDescent="0.25">
      <c r="A1520" s="4" t="s">
        <v>195</v>
      </c>
      <c r="B1520">
        <v>195</v>
      </c>
      <c r="C1520">
        <f t="shared" si="95"/>
        <v>4676</v>
      </c>
      <c r="D1520">
        <f t="shared" si="93"/>
        <v>0</v>
      </c>
      <c r="E1520">
        <f t="shared" si="94"/>
        <v>0</v>
      </c>
      <c r="F1520">
        <f t="shared" si="96"/>
        <v>0</v>
      </c>
    </row>
    <row r="1521" spans="1:6" x14ac:dyDescent="0.25">
      <c r="A1521" s="4" t="s">
        <v>198</v>
      </c>
      <c r="B1521">
        <v>53</v>
      </c>
      <c r="C1521">
        <f t="shared" si="95"/>
        <v>4729</v>
      </c>
      <c r="D1521">
        <f t="shared" ref="D1521:D1584" si="97">IF(C1521 &gt; 15000, 1, 0)</f>
        <v>0</v>
      </c>
      <c r="E1521">
        <f t="shared" ref="E1521:E1584" si="98">IF(AND(D1521 =1,C1521 &gt;= 20000),1,0)</f>
        <v>0</v>
      </c>
      <c r="F1521">
        <f t="shared" si="96"/>
        <v>0</v>
      </c>
    </row>
    <row r="1522" spans="1:6" x14ac:dyDescent="0.25">
      <c r="A1522" s="4" t="s">
        <v>201</v>
      </c>
      <c r="B1522">
        <v>558</v>
      </c>
      <c r="C1522">
        <f t="shared" si="95"/>
        <v>5287</v>
      </c>
      <c r="D1522">
        <f t="shared" si="97"/>
        <v>0</v>
      </c>
      <c r="E1522">
        <f t="shared" si="98"/>
        <v>0</v>
      </c>
      <c r="F1522">
        <f t="shared" si="96"/>
        <v>0</v>
      </c>
    </row>
    <row r="1523" spans="1:6" x14ac:dyDescent="0.25">
      <c r="A1523" s="4" t="s">
        <v>219</v>
      </c>
      <c r="B1523">
        <v>637</v>
      </c>
      <c r="C1523">
        <f t="shared" si="95"/>
        <v>5924</v>
      </c>
      <c r="D1523">
        <f t="shared" si="97"/>
        <v>0</v>
      </c>
      <c r="E1523">
        <f t="shared" si="98"/>
        <v>0</v>
      </c>
      <c r="F1523">
        <f t="shared" si="96"/>
        <v>0</v>
      </c>
    </row>
    <row r="1524" spans="1:6" x14ac:dyDescent="0.25">
      <c r="A1524" s="4" t="s">
        <v>228</v>
      </c>
      <c r="B1524">
        <v>454</v>
      </c>
      <c r="C1524">
        <f t="shared" si="95"/>
        <v>6378</v>
      </c>
      <c r="D1524">
        <f t="shared" si="97"/>
        <v>0</v>
      </c>
      <c r="E1524">
        <f t="shared" si="98"/>
        <v>0</v>
      </c>
      <c r="F1524">
        <f t="shared" si="96"/>
        <v>0</v>
      </c>
    </row>
    <row r="1525" spans="1:6" x14ac:dyDescent="0.25">
      <c r="A1525" s="4" t="s">
        <v>232</v>
      </c>
      <c r="B1525">
        <v>428</v>
      </c>
      <c r="C1525">
        <f t="shared" si="95"/>
        <v>6806</v>
      </c>
      <c r="D1525">
        <f t="shared" si="97"/>
        <v>0</v>
      </c>
      <c r="E1525">
        <f t="shared" si="98"/>
        <v>0</v>
      </c>
      <c r="F1525">
        <f t="shared" si="96"/>
        <v>0</v>
      </c>
    </row>
    <row r="1526" spans="1:6" x14ac:dyDescent="0.25">
      <c r="A1526" s="4" t="s">
        <v>238</v>
      </c>
      <c r="B1526">
        <v>358</v>
      </c>
      <c r="C1526">
        <f t="shared" si="95"/>
        <v>7164</v>
      </c>
      <c r="D1526">
        <f t="shared" si="97"/>
        <v>0</v>
      </c>
      <c r="E1526">
        <f t="shared" si="98"/>
        <v>0</v>
      </c>
      <c r="F1526">
        <f t="shared" si="96"/>
        <v>0</v>
      </c>
    </row>
    <row r="1527" spans="1:6" x14ac:dyDescent="0.25">
      <c r="A1527" s="4" t="s">
        <v>243</v>
      </c>
      <c r="B1527">
        <v>200</v>
      </c>
      <c r="C1527">
        <f t="shared" si="95"/>
        <v>7364</v>
      </c>
      <c r="D1527">
        <f t="shared" si="97"/>
        <v>0</v>
      </c>
      <c r="E1527">
        <f t="shared" si="98"/>
        <v>0</v>
      </c>
      <c r="F1527">
        <f t="shared" si="96"/>
        <v>0</v>
      </c>
    </row>
    <row r="1528" spans="1:6" x14ac:dyDescent="0.25">
      <c r="A1528" s="4" t="s">
        <v>251</v>
      </c>
      <c r="B1528">
        <v>385</v>
      </c>
      <c r="C1528">
        <f t="shared" si="95"/>
        <v>7749</v>
      </c>
      <c r="D1528">
        <f t="shared" si="97"/>
        <v>0</v>
      </c>
      <c r="E1528">
        <f t="shared" si="98"/>
        <v>0</v>
      </c>
      <c r="F1528">
        <f t="shared" si="96"/>
        <v>0</v>
      </c>
    </row>
    <row r="1529" spans="1:6" x14ac:dyDescent="0.25">
      <c r="A1529" s="4" t="s">
        <v>259</v>
      </c>
      <c r="B1529">
        <v>144</v>
      </c>
      <c r="C1529">
        <f t="shared" si="95"/>
        <v>7893</v>
      </c>
      <c r="D1529">
        <f t="shared" si="97"/>
        <v>0</v>
      </c>
      <c r="E1529">
        <f t="shared" si="98"/>
        <v>0</v>
      </c>
      <c r="F1529">
        <f t="shared" si="96"/>
        <v>0</v>
      </c>
    </row>
    <row r="1530" spans="1:6" x14ac:dyDescent="0.25">
      <c r="A1530" s="4" t="s">
        <v>263</v>
      </c>
      <c r="B1530">
        <v>147</v>
      </c>
      <c r="C1530">
        <f t="shared" si="95"/>
        <v>8040</v>
      </c>
      <c r="D1530">
        <f t="shared" si="97"/>
        <v>0</v>
      </c>
      <c r="E1530">
        <f t="shared" si="98"/>
        <v>0</v>
      </c>
      <c r="F1530">
        <f t="shared" si="96"/>
        <v>0</v>
      </c>
    </row>
    <row r="1531" spans="1:6" x14ac:dyDescent="0.25">
      <c r="A1531" s="4" t="s">
        <v>265</v>
      </c>
      <c r="B1531">
        <v>481</v>
      </c>
      <c r="C1531">
        <f t="shared" si="95"/>
        <v>8521</v>
      </c>
      <c r="D1531">
        <f t="shared" si="97"/>
        <v>0</v>
      </c>
      <c r="E1531">
        <f t="shared" si="98"/>
        <v>0</v>
      </c>
      <c r="F1531">
        <f t="shared" si="96"/>
        <v>0</v>
      </c>
    </row>
    <row r="1532" spans="1:6" x14ac:dyDescent="0.25">
      <c r="A1532" s="4" t="s">
        <v>267</v>
      </c>
      <c r="B1532">
        <v>497</v>
      </c>
      <c r="C1532">
        <f t="shared" si="95"/>
        <v>9018</v>
      </c>
      <c r="D1532">
        <f t="shared" si="97"/>
        <v>0</v>
      </c>
      <c r="E1532">
        <f t="shared" si="98"/>
        <v>0</v>
      </c>
      <c r="F1532">
        <f t="shared" si="96"/>
        <v>0</v>
      </c>
    </row>
    <row r="1533" spans="1:6" x14ac:dyDescent="0.25">
      <c r="A1533" s="4" t="s">
        <v>283</v>
      </c>
      <c r="B1533">
        <v>179</v>
      </c>
      <c r="C1533">
        <f t="shared" si="95"/>
        <v>9197</v>
      </c>
      <c r="D1533">
        <f t="shared" si="97"/>
        <v>0</v>
      </c>
      <c r="E1533">
        <f t="shared" si="98"/>
        <v>0</v>
      </c>
      <c r="F1533">
        <f t="shared" si="96"/>
        <v>0</v>
      </c>
    </row>
    <row r="1534" spans="1:6" x14ac:dyDescent="0.25">
      <c r="A1534" s="4" t="s">
        <v>285</v>
      </c>
      <c r="B1534">
        <v>341</v>
      </c>
      <c r="C1534">
        <f t="shared" si="95"/>
        <v>9538</v>
      </c>
      <c r="D1534">
        <f t="shared" si="97"/>
        <v>0</v>
      </c>
      <c r="E1534">
        <f t="shared" si="98"/>
        <v>0</v>
      </c>
      <c r="F1534">
        <f t="shared" si="96"/>
        <v>0</v>
      </c>
    </row>
    <row r="1535" spans="1:6" x14ac:dyDescent="0.25">
      <c r="A1535" s="4" t="s">
        <v>304</v>
      </c>
      <c r="B1535">
        <v>222</v>
      </c>
      <c r="C1535">
        <f t="shared" si="95"/>
        <v>9760</v>
      </c>
      <c r="D1535">
        <f t="shared" si="97"/>
        <v>0</v>
      </c>
      <c r="E1535">
        <f t="shared" si="98"/>
        <v>0</v>
      </c>
      <c r="F1535">
        <f t="shared" si="96"/>
        <v>0</v>
      </c>
    </row>
    <row r="1536" spans="1:6" x14ac:dyDescent="0.25">
      <c r="A1536" s="4" t="s">
        <v>307</v>
      </c>
      <c r="B1536">
        <v>268</v>
      </c>
      <c r="C1536">
        <f t="shared" si="95"/>
        <v>10028</v>
      </c>
      <c r="D1536">
        <f t="shared" si="97"/>
        <v>0</v>
      </c>
      <c r="E1536">
        <f t="shared" si="98"/>
        <v>0</v>
      </c>
      <c r="F1536">
        <f t="shared" si="96"/>
        <v>0</v>
      </c>
    </row>
    <row r="1537" spans="1:6" x14ac:dyDescent="0.25">
      <c r="A1537" s="4" t="s">
        <v>318</v>
      </c>
      <c r="B1537">
        <v>263</v>
      </c>
      <c r="C1537">
        <f t="shared" si="95"/>
        <v>10291</v>
      </c>
      <c r="D1537">
        <f t="shared" si="97"/>
        <v>0</v>
      </c>
      <c r="E1537">
        <f t="shared" si="98"/>
        <v>0</v>
      </c>
      <c r="F1537">
        <f t="shared" si="96"/>
        <v>0</v>
      </c>
    </row>
    <row r="1538" spans="1:6" x14ac:dyDescent="0.25">
      <c r="A1538" s="4" t="s">
        <v>319</v>
      </c>
      <c r="B1538">
        <v>305</v>
      </c>
      <c r="C1538">
        <f t="shared" si="95"/>
        <v>10596</v>
      </c>
      <c r="D1538">
        <f t="shared" si="97"/>
        <v>0</v>
      </c>
      <c r="E1538">
        <f t="shared" si="98"/>
        <v>0</v>
      </c>
      <c r="F1538">
        <f t="shared" si="96"/>
        <v>0</v>
      </c>
    </row>
    <row r="1539" spans="1:6" x14ac:dyDescent="0.25">
      <c r="A1539" s="4" t="s">
        <v>327</v>
      </c>
      <c r="B1539">
        <v>80</v>
      </c>
      <c r="C1539">
        <f t="shared" si="95"/>
        <v>10676</v>
      </c>
      <c r="D1539">
        <f t="shared" si="97"/>
        <v>0</v>
      </c>
      <c r="E1539">
        <f t="shared" si="98"/>
        <v>0</v>
      </c>
      <c r="F1539">
        <f t="shared" si="96"/>
        <v>0</v>
      </c>
    </row>
    <row r="1540" spans="1:6" x14ac:dyDescent="0.25">
      <c r="A1540" s="4" t="s">
        <v>333</v>
      </c>
      <c r="B1540">
        <v>400</v>
      </c>
      <c r="C1540">
        <f t="shared" si="95"/>
        <v>11076</v>
      </c>
      <c r="D1540">
        <f t="shared" si="97"/>
        <v>0</v>
      </c>
      <c r="E1540">
        <f t="shared" si="98"/>
        <v>0</v>
      </c>
      <c r="F1540">
        <f t="shared" si="96"/>
        <v>0</v>
      </c>
    </row>
    <row r="1541" spans="1:6" x14ac:dyDescent="0.25">
      <c r="A1541" s="4" t="s">
        <v>345</v>
      </c>
      <c r="B1541">
        <v>264</v>
      </c>
      <c r="C1541">
        <f t="shared" ref="C1541:C1604" si="99">IF(LEN(A1541) &gt;= 12, 0, C1540+B1541)</f>
        <v>11340</v>
      </c>
      <c r="D1541">
        <f t="shared" si="97"/>
        <v>0</v>
      </c>
      <c r="E1541">
        <f t="shared" si="98"/>
        <v>0</v>
      </c>
      <c r="F1541">
        <f t="shared" si="96"/>
        <v>0</v>
      </c>
    </row>
    <row r="1542" spans="1:6" x14ac:dyDescent="0.25">
      <c r="A1542" s="4" t="s">
        <v>350</v>
      </c>
      <c r="B1542">
        <v>424</v>
      </c>
      <c r="C1542">
        <f t="shared" si="99"/>
        <v>11764</v>
      </c>
      <c r="D1542">
        <f t="shared" si="97"/>
        <v>0</v>
      </c>
      <c r="E1542">
        <f t="shared" si="98"/>
        <v>0</v>
      </c>
      <c r="F1542">
        <f t="shared" ref="F1542:F1605" si="100">IF(AND(D1542 = 1, C1542 &lt; 20000), B1542*5, IF(AND(E1542=1, C1542 &gt;= 20000),B1542*10,0))</f>
        <v>0</v>
      </c>
    </row>
    <row r="1543" spans="1:6" x14ac:dyDescent="0.25">
      <c r="A1543" s="4" t="s">
        <v>354</v>
      </c>
      <c r="B1543">
        <v>207</v>
      </c>
      <c r="C1543">
        <f t="shared" si="99"/>
        <v>11971</v>
      </c>
      <c r="D1543">
        <f t="shared" si="97"/>
        <v>0</v>
      </c>
      <c r="E1543">
        <f t="shared" si="98"/>
        <v>0</v>
      </c>
      <c r="F1543">
        <f t="shared" si="100"/>
        <v>0</v>
      </c>
    </row>
    <row r="1544" spans="1:6" x14ac:dyDescent="0.25">
      <c r="A1544" s="4" t="s">
        <v>357</v>
      </c>
      <c r="B1544">
        <v>136</v>
      </c>
      <c r="C1544">
        <f t="shared" si="99"/>
        <v>12107</v>
      </c>
      <c r="D1544">
        <f t="shared" si="97"/>
        <v>0</v>
      </c>
      <c r="E1544">
        <f t="shared" si="98"/>
        <v>0</v>
      </c>
      <c r="F1544">
        <f t="shared" si="100"/>
        <v>0</v>
      </c>
    </row>
    <row r="1545" spans="1:6" x14ac:dyDescent="0.25">
      <c r="A1545" s="4" t="s">
        <v>362</v>
      </c>
      <c r="B1545">
        <v>487</v>
      </c>
      <c r="C1545">
        <f t="shared" si="99"/>
        <v>12594</v>
      </c>
      <c r="D1545">
        <f t="shared" si="97"/>
        <v>0</v>
      </c>
      <c r="E1545">
        <f t="shared" si="98"/>
        <v>0</v>
      </c>
      <c r="F1545">
        <f t="shared" si="100"/>
        <v>0</v>
      </c>
    </row>
    <row r="1546" spans="1:6" x14ac:dyDescent="0.25">
      <c r="A1546" s="4" t="s">
        <v>363</v>
      </c>
      <c r="B1546">
        <v>90</v>
      </c>
      <c r="C1546">
        <f t="shared" si="99"/>
        <v>12684</v>
      </c>
      <c r="D1546">
        <f t="shared" si="97"/>
        <v>0</v>
      </c>
      <c r="E1546">
        <f t="shared" si="98"/>
        <v>0</v>
      </c>
      <c r="F1546">
        <f t="shared" si="100"/>
        <v>0</v>
      </c>
    </row>
    <row r="1547" spans="1:6" x14ac:dyDescent="0.25">
      <c r="A1547" s="4" t="s">
        <v>388</v>
      </c>
      <c r="B1547">
        <v>459</v>
      </c>
      <c r="C1547">
        <f t="shared" si="99"/>
        <v>13143</v>
      </c>
      <c r="D1547">
        <f t="shared" si="97"/>
        <v>0</v>
      </c>
      <c r="E1547">
        <f t="shared" si="98"/>
        <v>0</v>
      </c>
      <c r="F1547">
        <f t="shared" si="100"/>
        <v>0</v>
      </c>
    </row>
    <row r="1548" spans="1:6" x14ac:dyDescent="0.25">
      <c r="A1548" s="3" t="s">
        <v>63</v>
      </c>
      <c r="B1548">
        <v>10573</v>
      </c>
      <c r="C1548">
        <f t="shared" si="99"/>
        <v>0</v>
      </c>
      <c r="D1548">
        <f t="shared" si="97"/>
        <v>0</v>
      </c>
      <c r="E1548">
        <f t="shared" si="98"/>
        <v>0</v>
      </c>
      <c r="F1548">
        <f t="shared" si="100"/>
        <v>0</v>
      </c>
    </row>
    <row r="1549" spans="1:6" x14ac:dyDescent="0.25">
      <c r="A1549" s="4" t="s">
        <v>94</v>
      </c>
      <c r="B1549">
        <v>64</v>
      </c>
      <c r="C1549">
        <f t="shared" si="99"/>
        <v>64</v>
      </c>
      <c r="D1549">
        <f t="shared" si="97"/>
        <v>0</v>
      </c>
      <c r="E1549">
        <f t="shared" si="98"/>
        <v>0</v>
      </c>
      <c r="F1549">
        <f t="shared" si="100"/>
        <v>0</v>
      </c>
    </row>
    <row r="1550" spans="1:6" x14ac:dyDescent="0.25">
      <c r="A1550" s="4" t="s">
        <v>105</v>
      </c>
      <c r="B1550">
        <v>308</v>
      </c>
      <c r="C1550">
        <f t="shared" si="99"/>
        <v>372</v>
      </c>
      <c r="D1550">
        <f t="shared" si="97"/>
        <v>0</v>
      </c>
      <c r="E1550">
        <f t="shared" si="98"/>
        <v>0</v>
      </c>
      <c r="F1550">
        <f t="shared" si="100"/>
        <v>0</v>
      </c>
    </row>
    <row r="1551" spans="1:6" x14ac:dyDescent="0.25">
      <c r="A1551" s="4" t="s">
        <v>107</v>
      </c>
      <c r="B1551">
        <v>447</v>
      </c>
      <c r="C1551">
        <f t="shared" si="99"/>
        <v>819</v>
      </c>
      <c r="D1551">
        <f t="shared" si="97"/>
        <v>0</v>
      </c>
      <c r="E1551">
        <f t="shared" si="98"/>
        <v>0</v>
      </c>
      <c r="F1551">
        <f t="shared" si="100"/>
        <v>0</v>
      </c>
    </row>
    <row r="1552" spans="1:6" x14ac:dyDescent="0.25">
      <c r="A1552" s="4" t="s">
        <v>127</v>
      </c>
      <c r="B1552">
        <v>167</v>
      </c>
      <c r="C1552">
        <f t="shared" si="99"/>
        <v>986</v>
      </c>
      <c r="D1552">
        <f t="shared" si="97"/>
        <v>0</v>
      </c>
      <c r="E1552">
        <f t="shared" si="98"/>
        <v>0</v>
      </c>
      <c r="F1552">
        <f t="shared" si="100"/>
        <v>0</v>
      </c>
    </row>
    <row r="1553" spans="1:6" x14ac:dyDescent="0.25">
      <c r="A1553" s="4" t="s">
        <v>135</v>
      </c>
      <c r="B1553">
        <v>680</v>
      </c>
      <c r="C1553">
        <f t="shared" si="99"/>
        <v>1666</v>
      </c>
      <c r="D1553">
        <f t="shared" si="97"/>
        <v>0</v>
      </c>
      <c r="E1553">
        <f t="shared" si="98"/>
        <v>0</v>
      </c>
      <c r="F1553">
        <f t="shared" si="100"/>
        <v>0</v>
      </c>
    </row>
    <row r="1554" spans="1:6" x14ac:dyDescent="0.25">
      <c r="A1554" s="4" t="s">
        <v>146</v>
      </c>
      <c r="B1554">
        <v>743</v>
      </c>
      <c r="C1554">
        <f t="shared" si="99"/>
        <v>2409</v>
      </c>
      <c r="D1554">
        <f t="shared" si="97"/>
        <v>0</v>
      </c>
      <c r="E1554">
        <f t="shared" si="98"/>
        <v>0</v>
      </c>
      <c r="F1554">
        <f t="shared" si="100"/>
        <v>0</v>
      </c>
    </row>
    <row r="1555" spans="1:6" x14ac:dyDescent="0.25">
      <c r="A1555" s="4" t="s">
        <v>151</v>
      </c>
      <c r="B1555">
        <v>96</v>
      </c>
      <c r="C1555">
        <f t="shared" si="99"/>
        <v>2505</v>
      </c>
      <c r="D1555">
        <f t="shared" si="97"/>
        <v>0</v>
      </c>
      <c r="E1555">
        <f t="shared" si="98"/>
        <v>0</v>
      </c>
      <c r="F1555">
        <f t="shared" si="100"/>
        <v>0</v>
      </c>
    </row>
    <row r="1556" spans="1:6" x14ac:dyDescent="0.25">
      <c r="A1556" s="4" t="s">
        <v>159</v>
      </c>
      <c r="B1556">
        <v>684</v>
      </c>
      <c r="C1556">
        <f t="shared" si="99"/>
        <v>3189</v>
      </c>
      <c r="D1556">
        <f t="shared" si="97"/>
        <v>0</v>
      </c>
      <c r="E1556">
        <f t="shared" si="98"/>
        <v>0</v>
      </c>
      <c r="F1556">
        <f t="shared" si="100"/>
        <v>0</v>
      </c>
    </row>
    <row r="1557" spans="1:6" x14ac:dyDescent="0.25">
      <c r="A1557" s="4" t="s">
        <v>165</v>
      </c>
      <c r="B1557">
        <v>540</v>
      </c>
      <c r="C1557">
        <f t="shared" si="99"/>
        <v>3729</v>
      </c>
      <c r="D1557">
        <f t="shared" si="97"/>
        <v>0</v>
      </c>
      <c r="E1557">
        <f t="shared" si="98"/>
        <v>0</v>
      </c>
      <c r="F1557">
        <f t="shared" si="100"/>
        <v>0</v>
      </c>
    </row>
    <row r="1558" spans="1:6" x14ac:dyDescent="0.25">
      <c r="A1558" s="4" t="s">
        <v>172</v>
      </c>
      <c r="B1558">
        <v>498</v>
      </c>
      <c r="C1558">
        <f t="shared" si="99"/>
        <v>4227</v>
      </c>
      <c r="D1558">
        <f t="shared" si="97"/>
        <v>0</v>
      </c>
      <c r="E1558">
        <f t="shared" si="98"/>
        <v>0</v>
      </c>
      <c r="F1558">
        <f t="shared" si="100"/>
        <v>0</v>
      </c>
    </row>
    <row r="1559" spans="1:6" x14ac:dyDescent="0.25">
      <c r="A1559" s="4" t="s">
        <v>177</v>
      </c>
      <c r="B1559">
        <v>428</v>
      </c>
      <c r="C1559">
        <f t="shared" si="99"/>
        <v>4655</v>
      </c>
      <c r="D1559">
        <f t="shared" si="97"/>
        <v>0</v>
      </c>
      <c r="E1559">
        <f t="shared" si="98"/>
        <v>0</v>
      </c>
      <c r="F1559">
        <f t="shared" si="100"/>
        <v>0</v>
      </c>
    </row>
    <row r="1560" spans="1:6" x14ac:dyDescent="0.25">
      <c r="A1560" s="4" t="s">
        <v>183</v>
      </c>
      <c r="B1560">
        <v>398</v>
      </c>
      <c r="C1560">
        <f t="shared" si="99"/>
        <v>5053</v>
      </c>
      <c r="D1560">
        <f t="shared" si="97"/>
        <v>0</v>
      </c>
      <c r="E1560">
        <f t="shared" si="98"/>
        <v>0</v>
      </c>
      <c r="F1560">
        <f t="shared" si="100"/>
        <v>0</v>
      </c>
    </row>
    <row r="1561" spans="1:6" x14ac:dyDescent="0.25">
      <c r="A1561" s="4" t="s">
        <v>195</v>
      </c>
      <c r="B1561">
        <v>146</v>
      </c>
      <c r="C1561">
        <f t="shared" si="99"/>
        <v>5199</v>
      </c>
      <c r="D1561">
        <f t="shared" si="97"/>
        <v>0</v>
      </c>
      <c r="E1561">
        <f t="shared" si="98"/>
        <v>0</v>
      </c>
      <c r="F1561">
        <f t="shared" si="100"/>
        <v>0</v>
      </c>
    </row>
    <row r="1562" spans="1:6" x14ac:dyDescent="0.25">
      <c r="A1562" s="4" t="s">
        <v>198</v>
      </c>
      <c r="B1562">
        <v>252</v>
      </c>
      <c r="C1562">
        <f t="shared" si="99"/>
        <v>5451</v>
      </c>
      <c r="D1562">
        <f t="shared" si="97"/>
        <v>0</v>
      </c>
      <c r="E1562">
        <f t="shared" si="98"/>
        <v>0</v>
      </c>
      <c r="F1562">
        <f t="shared" si="100"/>
        <v>0</v>
      </c>
    </row>
    <row r="1563" spans="1:6" x14ac:dyDescent="0.25">
      <c r="A1563" s="4" t="s">
        <v>213</v>
      </c>
      <c r="B1563">
        <v>502</v>
      </c>
      <c r="C1563">
        <f t="shared" si="99"/>
        <v>5953</v>
      </c>
      <c r="D1563">
        <f t="shared" si="97"/>
        <v>0</v>
      </c>
      <c r="E1563">
        <f t="shared" si="98"/>
        <v>0</v>
      </c>
      <c r="F1563">
        <f t="shared" si="100"/>
        <v>0</v>
      </c>
    </row>
    <row r="1564" spans="1:6" x14ac:dyDescent="0.25">
      <c r="A1564" s="4" t="s">
        <v>214</v>
      </c>
      <c r="B1564">
        <v>260</v>
      </c>
      <c r="C1564">
        <f t="shared" si="99"/>
        <v>6213</v>
      </c>
      <c r="D1564">
        <f t="shared" si="97"/>
        <v>0</v>
      </c>
      <c r="E1564">
        <f t="shared" si="98"/>
        <v>0</v>
      </c>
      <c r="F1564">
        <f t="shared" si="100"/>
        <v>0</v>
      </c>
    </row>
    <row r="1565" spans="1:6" x14ac:dyDescent="0.25">
      <c r="A1565" s="4" t="s">
        <v>215</v>
      </c>
      <c r="B1565">
        <v>226</v>
      </c>
      <c r="C1565">
        <f t="shared" si="99"/>
        <v>6439</v>
      </c>
      <c r="D1565">
        <f t="shared" si="97"/>
        <v>0</v>
      </c>
      <c r="E1565">
        <f t="shared" si="98"/>
        <v>0</v>
      </c>
      <c r="F1565">
        <f t="shared" si="100"/>
        <v>0</v>
      </c>
    </row>
    <row r="1566" spans="1:6" x14ac:dyDescent="0.25">
      <c r="A1566" s="4" t="s">
        <v>221</v>
      </c>
      <c r="B1566">
        <v>478</v>
      </c>
      <c r="C1566">
        <f t="shared" si="99"/>
        <v>6917</v>
      </c>
      <c r="D1566">
        <f t="shared" si="97"/>
        <v>0</v>
      </c>
      <c r="E1566">
        <f t="shared" si="98"/>
        <v>0</v>
      </c>
      <c r="F1566">
        <f t="shared" si="100"/>
        <v>0</v>
      </c>
    </row>
    <row r="1567" spans="1:6" x14ac:dyDescent="0.25">
      <c r="A1567" s="4" t="s">
        <v>231</v>
      </c>
      <c r="B1567">
        <v>466</v>
      </c>
      <c r="C1567">
        <f t="shared" si="99"/>
        <v>7383</v>
      </c>
      <c r="D1567">
        <f t="shared" si="97"/>
        <v>0</v>
      </c>
      <c r="E1567">
        <f t="shared" si="98"/>
        <v>0</v>
      </c>
      <c r="F1567">
        <f t="shared" si="100"/>
        <v>0</v>
      </c>
    </row>
    <row r="1568" spans="1:6" x14ac:dyDescent="0.25">
      <c r="A1568" s="4" t="s">
        <v>240</v>
      </c>
      <c r="B1568">
        <v>339</v>
      </c>
      <c r="C1568">
        <f t="shared" si="99"/>
        <v>7722</v>
      </c>
      <c r="D1568">
        <f t="shared" si="97"/>
        <v>0</v>
      </c>
      <c r="E1568">
        <f t="shared" si="98"/>
        <v>0</v>
      </c>
      <c r="F1568">
        <f t="shared" si="100"/>
        <v>0</v>
      </c>
    </row>
    <row r="1569" spans="1:6" x14ac:dyDescent="0.25">
      <c r="A1569" s="4" t="s">
        <v>243</v>
      </c>
      <c r="B1569">
        <v>535</v>
      </c>
      <c r="C1569">
        <f t="shared" si="99"/>
        <v>8257</v>
      </c>
      <c r="D1569">
        <f t="shared" si="97"/>
        <v>0</v>
      </c>
      <c r="E1569">
        <f t="shared" si="98"/>
        <v>0</v>
      </c>
      <c r="F1569">
        <f t="shared" si="100"/>
        <v>0</v>
      </c>
    </row>
    <row r="1570" spans="1:6" x14ac:dyDescent="0.25">
      <c r="A1570" s="4" t="s">
        <v>266</v>
      </c>
      <c r="B1570">
        <v>310</v>
      </c>
      <c r="C1570">
        <f t="shared" si="99"/>
        <v>8567</v>
      </c>
      <c r="D1570">
        <f t="shared" si="97"/>
        <v>0</v>
      </c>
      <c r="E1570">
        <f t="shared" si="98"/>
        <v>0</v>
      </c>
      <c r="F1570">
        <f t="shared" si="100"/>
        <v>0</v>
      </c>
    </row>
    <row r="1571" spans="1:6" x14ac:dyDescent="0.25">
      <c r="A1571" s="4" t="s">
        <v>279</v>
      </c>
      <c r="B1571">
        <v>55</v>
      </c>
      <c r="C1571">
        <f t="shared" si="99"/>
        <v>8622</v>
      </c>
      <c r="D1571">
        <f t="shared" si="97"/>
        <v>0</v>
      </c>
      <c r="E1571">
        <f t="shared" si="98"/>
        <v>0</v>
      </c>
      <c r="F1571">
        <f t="shared" si="100"/>
        <v>0</v>
      </c>
    </row>
    <row r="1572" spans="1:6" x14ac:dyDescent="0.25">
      <c r="A1572" s="4" t="s">
        <v>280</v>
      </c>
      <c r="B1572">
        <v>175</v>
      </c>
      <c r="C1572">
        <f t="shared" si="99"/>
        <v>8797</v>
      </c>
      <c r="D1572">
        <f t="shared" si="97"/>
        <v>0</v>
      </c>
      <c r="E1572">
        <f t="shared" si="98"/>
        <v>0</v>
      </c>
      <c r="F1572">
        <f t="shared" si="100"/>
        <v>0</v>
      </c>
    </row>
    <row r="1573" spans="1:6" x14ac:dyDescent="0.25">
      <c r="A1573" s="4" t="s">
        <v>281</v>
      </c>
      <c r="B1573">
        <v>37</v>
      </c>
      <c r="C1573">
        <f t="shared" si="99"/>
        <v>8834</v>
      </c>
      <c r="D1573">
        <f t="shared" si="97"/>
        <v>0</v>
      </c>
      <c r="E1573">
        <f t="shared" si="98"/>
        <v>0</v>
      </c>
      <c r="F1573">
        <f t="shared" si="100"/>
        <v>0</v>
      </c>
    </row>
    <row r="1574" spans="1:6" x14ac:dyDescent="0.25">
      <c r="A1574" s="4" t="s">
        <v>295</v>
      </c>
      <c r="B1574">
        <v>96</v>
      </c>
      <c r="C1574">
        <f t="shared" si="99"/>
        <v>8930</v>
      </c>
      <c r="D1574">
        <f t="shared" si="97"/>
        <v>0</v>
      </c>
      <c r="E1574">
        <f t="shared" si="98"/>
        <v>0</v>
      </c>
      <c r="F1574">
        <f t="shared" si="100"/>
        <v>0</v>
      </c>
    </row>
    <row r="1575" spans="1:6" x14ac:dyDescent="0.25">
      <c r="A1575" s="4" t="s">
        <v>300</v>
      </c>
      <c r="B1575">
        <v>267</v>
      </c>
      <c r="C1575">
        <f t="shared" si="99"/>
        <v>9197</v>
      </c>
      <c r="D1575">
        <f t="shared" si="97"/>
        <v>0</v>
      </c>
      <c r="E1575">
        <f t="shared" si="98"/>
        <v>0</v>
      </c>
      <c r="F1575">
        <f t="shared" si="100"/>
        <v>0</v>
      </c>
    </row>
    <row r="1576" spans="1:6" x14ac:dyDescent="0.25">
      <c r="A1576" s="4" t="s">
        <v>305</v>
      </c>
      <c r="B1576">
        <v>18</v>
      </c>
      <c r="C1576">
        <f t="shared" si="99"/>
        <v>9215</v>
      </c>
      <c r="D1576">
        <f t="shared" si="97"/>
        <v>0</v>
      </c>
      <c r="E1576">
        <f t="shared" si="98"/>
        <v>0</v>
      </c>
      <c r="F1576">
        <f t="shared" si="100"/>
        <v>0</v>
      </c>
    </row>
    <row r="1577" spans="1:6" x14ac:dyDescent="0.25">
      <c r="A1577" s="4" t="s">
        <v>318</v>
      </c>
      <c r="B1577">
        <v>374</v>
      </c>
      <c r="C1577">
        <f t="shared" si="99"/>
        <v>9589</v>
      </c>
      <c r="D1577">
        <f t="shared" si="97"/>
        <v>0</v>
      </c>
      <c r="E1577">
        <f t="shared" si="98"/>
        <v>0</v>
      </c>
      <c r="F1577">
        <f t="shared" si="100"/>
        <v>0</v>
      </c>
    </row>
    <row r="1578" spans="1:6" x14ac:dyDescent="0.25">
      <c r="A1578" s="4" t="s">
        <v>326</v>
      </c>
      <c r="B1578">
        <v>187</v>
      </c>
      <c r="C1578">
        <f t="shared" si="99"/>
        <v>9776</v>
      </c>
      <c r="D1578">
        <f t="shared" si="97"/>
        <v>0</v>
      </c>
      <c r="E1578">
        <f t="shared" si="98"/>
        <v>0</v>
      </c>
      <c r="F1578">
        <f t="shared" si="100"/>
        <v>0</v>
      </c>
    </row>
    <row r="1579" spans="1:6" x14ac:dyDescent="0.25">
      <c r="A1579" s="4" t="s">
        <v>355</v>
      </c>
      <c r="B1579">
        <v>25</v>
      </c>
      <c r="C1579">
        <f t="shared" si="99"/>
        <v>9801</v>
      </c>
      <c r="D1579">
        <f t="shared" si="97"/>
        <v>0</v>
      </c>
      <c r="E1579">
        <f t="shared" si="98"/>
        <v>0</v>
      </c>
      <c r="F1579">
        <f t="shared" si="100"/>
        <v>0</v>
      </c>
    </row>
    <row r="1580" spans="1:6" x14ac:dyDescent="0.25">
      <c r="A1580" s="4" t="s">
        <v>359</v>
      </c>
      <c r="B1580">
        <v>77</v>
      </c>
      <c r="C1580">
        <f t="shared" si="99"/>
        <v>9878</v>
      </c>
      <c r="D1580">
        <f t="shared" si="97"/>
        <v>0</v>
      </c>
      <c r="E1580">
        <f t="shared" si="98"/>
        <v>0</v>
      </c>
      <c r="F1580">
        <f t="shared" si="100"/>
        <v>0</v>
      </c>
    </row>
    <row r="1581" spans="1:6" x14ac:dyDescent="0.25">
      <c r="A1581" s="4" t="s">
        <v>369</v>
      </c>
      <c r="B1581">
        <v>25</v>
      </c>
      <c r="C1581">
        <f t="shared" si="99"/>
        <v>9903</v>
      </c>
      <c r="D1581">
        <f t="shared" si="97"/>
        <v>0</v>
      </c>
      <c r="E1581">
        <f t="shared" si="98"/>
        <v>0</v>
      </c>
      <c r="F1581">
        <f t="shared" si="100"/>
        <v>0</v>
      </c>
    </row>
    <row r="1582" spans="1:6" x14ac:dyDescent="0.25">
      <c r="A1582" s="4" t="s">
        <v>374</v>
      </c>
      <c r="B1582">
        <v>85</v>
      </c>
      <c r="C1582">
        <f t="shared" si="99"/>
        <v>9988</v>
      </c>
      <c r="D1582">
        <f t="shared" si="97"/>
        <v>0</v>
      </c>
      <c r="E1582">
        <f t="shared" si="98"/>
        <v>0</v>
      </c>
      <c r="F1582">
        <f t="shared" si="100"/>
        <v>0</v>
      </c>
    </row>
    <row r="1583" spans="1:6" x14ac:dyDescent="0.25">
      <c r="A1583" s="4" t="s">
        <v>378</v>
      </c>
      <c r="B1583">
        <v>181</v>
      </c>
      <c r="C1583">
        <f t="shared" si="99"/>
        <v>10169</v>
      </c>
      <c r="D1583">
        <f t="shared" si="97"/>
        <v>0</v>
      </c>
      <c r="E1583">
        <f t="shared" si="98"/>
        <v>0</v>
      </c>
      <c r="F1583">
        <f t="shared" si="100"/>
        <v>0</v>
      </c>
    </row>
    <row r="1584" spans="1:6" x14ac:dyDescent="0.25">
      <c r="A1584" s="4" t="s">
        <v>387</v>
      </c>
      <c r="B1584">
        <v>404</v>
      </c>
      <c r="C1584">
        <f t="shared" si="99"/>
        <v>10573</v>
      </c>
      <c r="D1584">
        <f t="shared" si="97"/>
        <v>0</v>
      </c>
      <c r="E1584">
        <f t="shared" si="98"/>
        <v>0</v>
      </c>
      <c r="F1584">
        <f t="shared" si="100"/>
        <v>0</v>
      </c>
    </row>
    <row r="1585" spans="1:6" x14ac:dyDescent="0.25">
      <c r="A1585" s="3" t="s">
        <v>29</v>
      </c>
      <c r="B1585">
        <v>20323</v>
      </c>
      <c r="C1585">
        <f t="shared" si="99"/>
        <v>0</v>
      </c>
      <c r="D1585">
        <f t="shared" ref="D1585:D1648" si="101">IF(C1585 &gt; 15000, 1, 0)</f>
        <v>0</v>
      </c>
      <c r="E1585">
        <f t="shared" ref="E1585:E1648" si="102">IF(AND(D1585 =1,C1585 &gt;= 20000),1,0)</f>
        <v>0</v>
      </c>
      <c r="F1585">
        <f t="shared" si="100"/>
        <v>0</v>
      </c>
    </row>
    <row r="1586" spans="1:6" x14ac:dyDescent="0.25">
      <c r="A1586" s="4" t="s">
        <v>93</v>
      </c>
      <c r="B1586">
        <v>1493</v>
      </c>
      <c r="C1586">
        <f t="shared" si="99"/>
        <v>1493</v>
      </c>
      <c r="D1586">
        <f t="shared" si="101"/>
        <v>0</v>
      </c>
      <c r="E1586">
        <f t="shared" si="102"/>
        <v>0</v>
      </c>
      <c r="F1586">
        <f t="shared" si="100"/>
        <v>0</v>
      </c>
    </row>
    <row r="1587" spans="1:6" x14ac:dyDescent="0.25">
      <c r="A1587" s="4" t="s">
        <v>101</v>
      </c>
      <c r="B1587">
        <v>627</v>
      </c>
      <c r="C1587">
        <f t="shared" si="99"/>
        <v>2120</v>
      </c>
      <c r="D1587">
        <f t="shared" si="101"/>
        <v>0</v>
      </c>
      <c r="E1587">
        <f t="shared" si="102"/>
        <v>0</v>
      </c>
      <c r="F1587">
        <f t="shared" si="100"/>
        <v>0</v>
      </c>
    </row>
    <row r="1588" spans="1:6" x14ac:dyDescent="0.25">
      <c r="A1588" s="4" t="s">
        <v>103</v>
      </c>
      <c r="B1588">
        <v>94</v>
      </c>
      <c r="C1588">
        <f t="shared" si="99"/>
        <v>2214</v>
      </c>
      <c r="D1588">
        <f t="shared" si="101"/>
        <v>0</v>
      </c>
      <c r="E1588">
        <f t="shared" si="102"/>
        <v>0</v>
      </c>
      <c r="F1588">
        <f t="shared" si="100"/>
        <v>0</v>
      </c>
    </row>
    <row r="1589" spans="1:6" x14ac:dyDescent="0.25">
      <c r="A1589" s="4" t="s">
        <v>116</v>
      </c>
      <c r="B1589">
        <v>354</v>
      </c>
      <c r="C1589">
        <f t="shared" si="99"/>
        <v>2568</v>
      </c>
      <c r="D1589">
        <f t="shared" si="101"/>
        <v>0</v>
      </c>
      <c r="E1589">
        <f t="shared" si="102"/>
        <v>0</v>
      </c>
      <c r="F1589">
        <f t="shared" si="100"/>
        <v>0</v>
      </c>
    </row>
    <row r="1590" spans="1:6" x14ac:dyDescent="0.25">
      <c r="A1590" s="4" t="s">
        <v>117</v>
      </c>
      <c r="B1590">
        <v>255</v>
      </c>
      <c r="C1590">
        <f t="shared" si="99"/>
        <v>2823</v>
      </c>
      <c r="D1590">
        <f t="shared" si="101"/>
        <v>0</v>
      </c>
      <c r="E1590">
        <f t="shared" si="102"/>
        <v>0</v>
      </c>
      <c r="F1590">
        <f t="shared" si="100"/>
        <v>0</v>
      </c>
    </row>
    <row r="1591" spans="1:6" x14ac:dyDescent="0.25">
      <c r="A1591" s="4" t="s">
        <v>120</v>
      </c>
      <c r="B1591">
        <v>367</v>
      </c>
      <c r="C1591">
        <f t="shared" si="99"/>
        <v>3190</v>
      </c>
      <c r="D1591">
        <f t="shared" si="101"/>
        <v>0</v>
      </c>
      <c r="E1591">
        <f t="shared" si="102"/>
        <v>0</v>
      </c>
      <c r="F1591">
        <f t="shared" si="100"/>
        <v>0</v>
      </c>
    </row>
    <row r="1592" spans="1:6" x14ac:dyDescent="0.25">
      <c r="A1592" s="4" t="s">
        <v>123</v>
      </c>
      <c r="B1592">
        <v>388</v>
      </c>
      <c r="C1592">
        <f t="shared" si="99"/>
        <v>3578</v>
      </c>
      <c r="D1592">
        <f t="shared" si="101"/>
        <v>0</v>
      </c>
      <c r="E1592">
        <f t="shared" si="102"/>
        <v>0</v>
      </c>
      <c r="F1592">
        <f t="shared" si="100"/>
        <v>0</v>
      </c>
    </row>
    <row r="1593" spans="1:6" x14ac:dyDescent="0.25">
      <c r="A1593" s="4" t="s">
        <v>129</v>
      </c>
      <c r="B1593">
        <v>413</v>
      </c>
      <c r="C1593">
        <f t="shared" si="99"/>
        <v>3991</v>
      </c>
      <c r="D1593">
        <f t="shared" si="101"/>
        <v>0</v>
      </c>
      <c r="E1593">
        <f t="shared" si="102"/>
        <v>0</v>
      </c>
      <c r="F1593">
        <f t="shared" si="100"/>
        <v>0</v>
      </c>
    </row>
    <row r="1594" spans="1:6" x14ac:dyDescent="0.25">
      <c r="A1594" s="4" t="s">
        <v>133</v>
      </c>
      <c r="B1594">
        <v>408</v>
      </c>
      <c r="C1594">
        <f t="shared" si="99"/>
        <v>4399</v>
      </c>
      <c r="D1594">
        <f t="shared" si="101"/>
        <v>0</v>
      </c>
      <c r="E1594">
        <f t="shared" si="102"/>
        <v>0</v>
      </c>
      <c r="F1594">
        <f t="shared" si="100"/>
        <v>0</v>
      </c>
    </row>
    <row r="1595" spans="1:6" x14ac:dyDescent="0.25">
      <c r="A1595" s="4" t="s">
        <v>139</v>
      </c>
      <c r="B1595">
        <v>678</v>
      </c>
      <c r="C1595">
        <f t="shared" si="99"/>
        <v>5077</v>
      </c>
      <c r="D1595">
        <f t="shared" si="101"/>
        <v>0</v>
      </c>
      <c r="E1595">
        <f t="shared" si="102"/>
        <v>0</v>
      </c>
      <c r="F1595">
        <f t="shared" si="100"/>
        <v>0</v>
      </c>
    </row>
    <row r="1596" spans="1:6" x14ac:dyDescent="0.25">
      <c r="A1596" s="4" t="s">
        <v>149</v>
      </c>
      <c r="B1596">
        <v>258</v>
      </c>
      <c r="C1596">
        <f t="shared" si="99"/>
        <v>5335</v>
      </c>
      <c r="D1596">
        <f t="shared" si="101"/>
        <v>0</v>
      </c>
      <c r="E1596">
        <f t="shared" si="102"/>
        <v>0</v>
      </c>
      <c r="F1596">
        <f t="shared" si="100"/>
        <v>0</v>
      </c>
    </row>
    <row r="1597" spans="1:6" x14ac:dyDescent="0.25">
      <c r="A1597" s="4" t="s">
        <v>155</v>
      </c>
      <c r="B1597">
        <v>243</v>
      </c>
      <c r="C1597">
        <f t="shared" si="99"/>
        <v>5578</v>
      </c>
      <c r="D1597">
        <f t="shared" si="101"/>
        <v>0</v>
      </c>
      <c r="E1597">
        <f t="shared" si="102"/>
        <v>0</v>
      </c>
      <c r="F1597">
        <f t="shared" si="100"/>
        <v>0</v>
      </c>
    </row>
    <row r="1598" spans="1:6" x14ac:dyDescent="0.25">
      <c r="A1598" s="4" t="s">
        <v>163</v>
      </c>
      <c r="B1598">
        <v>551</v>
      </c>
      <c r="C1598">
        <f t="shared" si="99"/>
        <v>6129</v>
      </c>
      <c r="D1598">
        <f t="shared" si="101"/>
        <v>0</v>
      </c>
      <c r="E1598">
        <f t="shared" si="102"/>
        <v>0</v>
      </c>
      <c r="F1598">
        <f t="shared" si="100"/>
        <v>0</v>
      </c>
    </row>
    <row r="1599" spans="1:6" x14ac:dyDescent="0.25">
      <c r="A1599" s="4" t="s">
        <v>167</v>
      </c>
      <c r="B1599">
        <v>384</v>
      </c>
      <c r="C1599">
        <f t="shared" si="99"/>
        <v>6513</v>
      </c>
      <c r="D1599">
        <f t="shared" si="101"/>
        <v>0</v>
      </c>
      <c r="E1599">
        <f t="shared" si="102"/>
        <v>0</v>
      </c>
      <c r="F1599">
        <f t="shared" si="100"/>
        <v>0</v>
      </c>
    </row>
    <row r="1600" spans="1:6" x14ac:dyDescent="0.25">
      <c r="A1600" s="4" t="s">
        <v>177</v>
      </c>
      <c r="B1600">
        <v>611</v>
      </c>
      <c r="C1600">
        <f t="shared" si="99"/>
        <v>7124</v>
      </c>
      <c r="D1600">
        <f t="shared" si="101"/>
        <v>0</v>
      </c>
      <c r="E1600">
        <f t="shared" si="102"/>
        <v>0</v>
      </c>
      <c r="F1600">
        <f t="shared" si="100"/>
        <v>0</v>
      </c>
    </row>
    <row r="1601" spans="1:6" x14ac:dyDescent="0.25">
      <c r="A1601" s="4" t="s">
        <v>183</v>
      </c>
      <c r="B1601">
        <v>500</v>
      </c>
      <c r="C1601">
        <f t="shared" si="99"/>
        <v>7624</v>
      </c>
      <c r="D1601">
        <f t="shared" si="101"/>
        <v>0</v>
      </c>
      <c r="E1601">
        <f t="shared" si="102"/>
        <v>0</v>
      </c>
      <c r="F1601">
        <f t="shared" si="100"/>
        <v>0</v>
      </c>
    </row>
    <row r="1602" spans="1:6" x14ac:dyDescent="0.25">
      <c r="A1602" s="4" t="s">
        <v>189</v>
      </c>
      <c r="B1602">
        <v>85</v>
      </c>
      <c r="C1602">
        <f t="shared" si="99"/>
        <v>7709</v>
      </c>
      <c r="D1602">
        <f t="shared" si="101"/>
        <v>0</v>
      </c>
      <c r="E1602">
        <f t="shared" si="102"/>
        <v>0</v>
      </c>
      <c r="F1602">
        <f t="shared" si="100"/>
        <v>0</v>
      </c>
    </row>
    <row r="1603" spans="1:6" x14ac:dyDescent="0.25">
      <c r="A1603" s="4" t="s">
        <v>190</v>
      </c>
      <c r="B1603">
        <v>344</v>
      </c>
      <c r="C1603">
        <f t="shared" si="99"/>
        <v>8053</v>
      </c>
      <c r="D1603">
        <f t="shared" si="101"/>
        <v>0</v>
      </c>
      <c r="E1603">
        <f t="shared" si="102"/>
        <v>0</v>
      </c>
      <c r="F1603">
        <f t="shared" si="100"/>
        <v>0</v>
      </c>
    </row>
    <row r="1604" spans="1:6" x14ac:dyDescent="0.25">
      <c r="A1604" s="4" t="s">
        <v>192</v>
      </c>
      <c r="B1604">
        <v>715</v>
      </c>
      <c r="C1604">
        <f t="shared" si="99"/>
        <v>8768</v>
      </c>
      <c r="D1604">
        <f t="shared" si="101"/>
        <v>0</v>
      </c>
      <c r="E1604">
        <f t="shared" si="102"/>
        <v>0</v>
      </c>
      <c r="F1604">
        <f t="shared" si="100"/>
        <v>0</v>
      </c>
    </row>
    <row r="1605" spans="1:6" x14ac:dyDescent="0.25">
      <c r="A1605" s="4" t="s">
        <v>199</v>
      </c>
      <c r="B1605">
        <v>398</v>
      </c>
      <c r="C1605">
        <f t="shared" ref="C1605:C1668" si="103">IF(LEN(A1605) &gt;= 12, 0, C1604+B1605)</f>
        <v>9166</v>
      </c>
      <c r="D1605">
        <f t="shared" si="101"/>
        <v>0</v>
      </c>
      <c r="E1605">
        <f t="shared" si="102"/>
        <v>0</v>
      </c>
      <c r="F1605">
        <f t="shared" si="100"/>
        <v>0</v>
      </c>
    </row>
    <row r="1606" spans="1:6" x14ac:dyDescent="0.25">
      <c r="A1606" s="4" t="s">
        <v>204</v>
      </c>
      <c r="B1606">
        <v>237</v>
      </c>
      <c r="C1606">
        <f t="shared" si="103"/>
        <v>9403</v>
      </c>
      <c r="D1606">
        <f t="shared" si="101"/>
        <v>0</v>
      </c>
      <c r="E1606">
        <f t="shared" si="102"/>
        <v>0</v>
      </c>
      <c r="F1606">
        <f t="shared" ref="F1606:F1669" si="104">IF(AND(D1606 = 1, C1606 &lt; 20000), B1606*5, IF(AND(E1606=1, C1606 &gt;= 20000),B1606*10,0))</f>
        <v>0</v>
      </c>
    </row>
    <row r="1607" spans="1:6" x14ac:dyDescent="0.25">
      <c r="A1607" s="4" t="s">
        <v>207</v>
      </c>
      <c r="B1607">
        <v>594</v>
      </c>
      <c r="C1607">
        <f t="shared" si="103"/>
        <v>9997</v>
      </c>
      <c r="D1607">
        <f t="shared" si="101"/>
        <v>0</v>
      </c>
      <c r="E1607">
        <f t="shared" si="102"/>
        <v>0</v>
      </c>
      <c r="F1607">
        <f t="shared" si="104"/>
        <v>0</v>
      </c>
    </row>
    <row r="1608" spans="1:6" x14ac:dyDescent="0.25">
      <c r="A1608" s="4" t="s">
        <v>213</v>
      </c>
      <c r="B1608">
        <v>360</v>
      </c>
      <c r="C1608">
        <f t="shared" si="103"/>
        <v>10357</v>
      </c>
      <c r="D1608">
        <f t="shared" si="101"/>
        <v>0</v>
      </c>
      <c r="E1608">
        <f t="shared" si="102"/>
        <v>0</v>
      </c>
      <c r="F1608">
        <f t="shared" si="104"/>
        <v>0</v>
      </c>
    </row>
    <row r="1609" spans="1:6" x14ac:dyDescent="0.25">
      <c r="A1609" s="4" t="s">
        <v>219</v>
      </c>
      <c r="B1609">
        <v>99</v>
      </c>
      <c r="C1609">
        <f t="shared" si="103"/>
        <v>10456</v>
      </c>
      <c r="D1609">
        <f t="shared" si="101"/>
        <v>0</v>
      </c>
      <c r="E1609">
        <f t="shared" si="102"/>
        <v>0</v>
      </c>
      <c r="F1609">
        <f t="shared" si="104"/>
        <v>0</v>
      </c>
    </row>
    <row r="1610" spans="1:6" x14ac:dyDescent="0.25">
      <c r="A1610" s="4" t="s">
        <v>221</v>
      </c>
      <c r="B1610">
        <v>37</v>
      </c>
      <c r="C1610">
        <f t="shared" si="103"/>
        <v>10493</v>
      </c>
      <c r="D1610">
        <f t="shared" si="101"/>
        <v>0</v>
      </c>
      <c r="E1610">
        <f t="shared" si="102"/>
        <v>0</v>
      </c>
      <c r="F1610">
        <f t="shared" si="104"/>
        <v>0</v>
      </c>
    </row>
    <row r="1611" spans="1:6" x14ac:dyDescent="0.25">
      <c r="A1611" s="4" t="s">
        <v>229</v>
      </c>
      <c r="B1611">
        <v>483</v>
      </c>
      <c r="C1611">
        <f t="shared" si="103"/>
        <v>10976</v>
      </c>
      <c r="D1611">
        <f t="shared" si="101"/>
        <v>0</v>
      </c>
      <c r="E1611">
        <f t="shared" si="102"/>
        <v>0</v>
      </c>
      <c r="F1611">
        <f t="shared" si="104"/>
        <v>0</v>
      </c>
    </row>
    <row r="1612" spans="1:6" x14ac:dyDescent="0.25">
      <c r="A1612" s="4" t="s">
        <v>231</v>
      </c>
      <c r="B1612">
        <v>221</v>
      </c>
      <c r="C1612">
        <f t="shared" si="103"/>
        <v>11197</v>
      </c>
      <c r="D1612">
        <f t="shared" si="101"/>
        <v>0</v>
      </c>
      <c r="E1612">
        <f t="shared" si="102"/>
        <v>0</v>
      </c>
      <c r="F1612">
        <f t="shared" si="104"/>
        <v>0</v>
      </c>
    </row>
    <row r="1613" spans="1:6" x14ac:dyDescent="0.25">
      <c r="A1613" s="4" t="s">
        <v>240</v>
      </c>
      <c r="B1613">
        <v>461</v>
      </c>
      <c r="C1613">
        <f t="shared" si="103"/>
        <v>11658</v>
      </c>
      <c r="D1613">
        <f t="shared" si="101"/>
        <v>0</v>
      </c>
      <c r="E1613">
        <f t="shared" si="102"/>
        <v>0</v>
      </c>
      <c r="F1613">
        <f t="shared" si="104"/>
        <v>0</v>
      </c>
    </row>
    <row r="1614" spans="1:6" x14ac:dyDescent="0.25">
      <c r="A1614" s="4" t="s">
        <v>241</v>
      </c>
      <c r="B1614">
        <v>330</v>
      </c>
      <c r="C1614">
        <f t="shared" si="103"/>
        <v>11988</v>
      </c>
      <c r="D1614">
        <f t="shared" si="101"/>
        <v>0</v>
      </c>
      <c r="E1614">
        <f t="shared" si="102"/>
        <v>0</v>
      </c>
      <c r="F1614">
        <f t="shared" si="104"/>
        <v>0</v>
      </c>
    </row>
    <row r="1615" spans="1:6" x14ac:dyDescent="0.25">
      <c r="A1615" s="4" t="s">
        <v>244</v>
      </c>
      <c r="B1615">
        <v>177</v>
      </c>
      <c r="C1615">
        <f t="shared" si="103"/>
        <v>12165</v>
      </c>
      <c r="D1615">
        <f t="shared" si="101"/>
        <v>0</v>
      </c>
      <c r="E1615">
        <f t="shared" si="102"/>
        <v>0</v>
      </c>
      <c r="F1615">
        <f t="shared" si="104"/>
        <v>0</v>
      </c>
    </row>
    <row r="1616" spans="1:6" x14ac:dyDescent="0.25">
      <c r="A1616" s="4" t="s">
        <v>249</v>
      </c>
      <c r="B1616">
        <v>33</v>
      </c>
      <c r="C1616">
        <f t="shared" si="103"/>
        <v>12198</v>
      </c>
      <c r="D1616">
        <f t="shared" si="101"/>
        <v>0</v>
      </c>
      <c r="E1616">
        <f t="shared" si="102"/>
        <v>0</v>
      </c>
      <c r="F1616">
        <f t="shared" si="104"/>
        <v>0</v>
      </c>
    </row>
    <row r="1617" spans="1:6" x14ac:dyDescent="0.25">
      <c r="A1617" s="4" t="s">
        <v>263</v>
      </c>
      <c r="B1617">
        <v>455</v>
      </c>
      <c r="C1617">
        <f t="shared" si="103"/>
        <v>12653</v>
      </c>
      <c r="D1617">
        <f t="shared" si="101"/>
        <v>0</v>
      </c>
      <c r="E1617">
        <f t="shared" si="102"/>
        <v>0</v>
      </c>
      <c r="F1617">
        <f t="shared" si="104"/>
        <v>0</v>
      </c>
    </row>
    <row r="1618" spans="1:6" x14ac:dyDescent="0.25">
      <c r="A1618" s="4" t="s">
        <v>276</v>
      </c>
      <c r="B1618">
        <v>237</v>
      </c>
      <c r="C1618">
        <f t="shared" si="103"/>
        <v>12890</v>
      </c>
      <c r="D1618">
        <f t="shared" si="101"/>
        <v>0</v>
      </c>
      <c r="E1618">
        <f t="shared" si="102"/>
        <v>0</v>
      </c>
      <c r="F1618">
        <f t="shared" si="104"/>
        <v>0</v>
      </c>
    </row>
    <row r="1619" spans="1:6" x14ac:dyDescent="0.25">
      <c r="A1619" s="4" t="s">
        <v>278</v>
      </c>
      <c r="B1619">
        <v>105</v>
      </c>
      <c r="C1619">
        <f t="shared" si="103"/>
        <v>12995</v>
      </c>
      <c r="D1619">
        <f t="shared" si="101"/>
        <v>0</v>
      </c>
      <c r="E1619">
        <f t="shared" si="102"/>
        <v>0</v>
      </c>
      <c r="F1619">
        <f t="shared" si="104"/>
        <v>0</v>
      </c>
    </row>
    <row r="1620" spans="1:6" x14ac:dyDescent="0.25">
      <c r="A1620" s="4" t="s">
        <v>281</v>
      </c>
      <c r="B1620">
        <v>388</v>
      </c>
      <c r="C1620">
        <f t="shared" si="103"/>
        <v>13383</v>
      </c>
      <c r="D1620">
        <f t="shared" si="101"/>
        <v>0</v>
      </c>
      <c r="E1620">
        <f t="shared" si="102"/>
        <v>0</v>
      </c>
      <c r="F1620">
        <f t="shared" si="104"/>
        <v>0</v>
      </c>
    </row>
    <row r="1621" spans="1:6" x14ac:dyDescent="0.25">
      <c r="A1621" s="4" t="s">
        <v>285</v>
      </c>
      <c r="B1621">
        <v>473</v>
      </c>
      <c r="C1621">
        <f t="shared" si="103"/>
        <v>13856</v>
      </c>
      <c r="D1621">
        <f t="shared" si="101"/>
        <v>0</v>
      </c>
      <c r="E1621">
        <f t="shared" si="102"/>
        <v>0</v>
      </c>
      <c r="F1621">
        <f t="shared" si="104"/>
        <v>0</v>
      </c>
    </row>
    <row r="1622" spans="1:6" x14ac:dyDescent="0.25">
      <c r="A1622" s="4" t="s">
        <v>290</v>
      </c>
      <c r="B1622">
        <v>223</v>
      </c>
      <c r="C1622">
        <f t="shared" si="103"/>
        <v>14079</v>
      </c>
      <c r="D1622">
        <f t="shared" si="101"/>
        <v>0</v>
      </c>
      <c r="E1622">
        <f t="shared" si="102"/>
        <v>0</v>
      </c>
      <c r="F1622">
        <f t="shared" si="104"/>
        <v>0</v>
      </c>
    </row>
    <row r="1623" spans="1:6" x14ac:dyDescent="0.25">
      <c r="A1623" s="4" t="s">
        <v>297</v>
      </c>
      <c r="B1623">
        <v>727</v>
      </c>
      <c r="C1623">
        <f t="shared" si="103"/>
        <v>14806</v>
      </c>
      <c r="D1623">
        <f t="shared" si="101"/>
        <v>0</v>
      </c>
      <c r="E1623">
        <f t="shared" si="102"/>
        <v>0</v>
      </c>
      <c r="F1623">
        <f t="shared" si="104"/>
        <v>0</v>
      </c>
    </row>
    <row r="1624" spans="1:6" x14ac:dyDescent="0.25">
      <c r="A1624" s="4" t="s">
        <v>298</v>
      </c>
      <c r="B1624">
        <v>494</v>
      </c>
      <c r="C1624">
        <f t="shared" si="103"/>
        <v>15300</v>
      </c>
      <c r="D1624">
        <f t="shared" si="101"/>
        <v>1</v>
      </c>
      <c r="E1624">
        <f t="shared" si="102"/>
        <v>0</v>
      </c>
      <c r="F1624">
        <f t="shared" si="104"/>
        <v>2470</v>
      </c>
    </row>
    <row r="1625" spans="1:6" x14ac:dyDescent="0.25">
      <c r="A1625" s="4" t="s">
        <v>301</v>
      </c>
      <c r="B1625">
        <v>269</v>
      </c>
      <c r="C1625">
        <f t="shared" si="103"/>
        <v>15569</v>
      </c>
      <c r="D1625">
        <f t="shared" si="101"/>
        <v>1</v>
      </c>
      <c r="E1625">
        <f t="shared" si="102"/>
        <v>0</v>
      </c>
      <c r="F1625">
        <f t="shared" si="104"/>
        <v>1345</v>
      </c>
    </row>
    <row r="1626" spans="1:6" x14ac:dyDescent="0.25">
      <c r="A1626" s="4" t="s">
        <v>305</v>
      </c>
      <c r="B1626">
        <v>229</v>
      </c>
      <c r="C1626">
        <f t="shared" si="103"/>
        <v>15798</v>
      </c>
      <c r="D1626">
        <f t="shared" si="101"/>
        <v>1</v>
      </c>
      <c r="E1626">
        <f t="shared" si="102"/>
        <v>0</v>
      </c>
      <c r="F1626">
        <f t="shared" si="104"/>
        <v>1145</v>
      </c>
    </row>
    <row r="1627" spans="1:6" x14ac:dyDescent="0.25">
      <c r="A1627" s="4" t="s">
        <v>306</v>
      </c>
      <c r="B1627">
        <v>286</v>
      </c>
      <c r="C1627">
        <f t="shared" si="103"/>
        <v>16084</v>
      </c>
      <c r="D1627">
        <f t="shared" si="101"/>
        <v>1</v>
      </c>
      <c r="E1627">
        <f t="shared" si="102"/>
        <v>0</v>
      </c>
      <c r="F1627">
        <f t="shared" si="104"/>
        <v>1430</v>
      </c>
    </row>
    <row r="1628" spans="1:6" x14ac:dyDescent="0.25">
      <c r="A1628" s="4" t="s">
        <v>312</v>
      </c>
      <c r="B1628">
        <v>284</v>
      </c>
      <c r="C1628">
        <f t="shared" si="103"/>
        <v>16368</v>
      </c>
      <c r="D1628">
        <f t="shared" si="101"/>
        <v>1</v>
      </c>
      <c r="E1628">
        <f t="shared" si="102"/>
        <v>0</v>
      </c>
      <c r="F1628">
        <f t="shared" si="104"/>
        <v>1420</v>
      </c>
    </row>
    <row r="1629" spans="1:6" x14ac:dyDescent="0.25">
      <c r="A1629" s="4" t="s">
        <v>315</v>
      </c>
      <c r="B1629">
        <v>82</v>
      </c>
      <c r="C1629">
        <f t="shared" si="103"/>
        <v>16450</v>
      </c>
      <c r="D1629">
        <f t="shared" si="101"/>
        <v>1</v>
      </c>
      <c r="E1629">
        <f t="shared" si="102"/>
        <v>0</v>
      </c>
      <c r="F1629">
        <f t="shared" si="104"/>
        <v>410</v>
      </c>
    </row>
    <row r="1630" spans="1:6" x14ac:dyDescent="0.25">
      <c r="A1630" s="4" t="s">
        <v>319</v>
      </c>
      <c r="B1630">
        <v>333</v>
      </c>
      <c r="C1630">
        <f t="shared" si="103"/>
        <v>16783</v>
      </c>
      <c r="D1630">
        <f t="shared" si="101"/>
        <v>1</v>
      </c>
      <c r="E1630">
        <f t="shared" si="102"/>
        <v>0</v>
      </c>
      <c r="F1630">
        <f t="shared" si="104"/>
        <v>1665</v>
      </c>
    </row>
    <row r="1631" spans="1:6" x14ac:dyDescent="0.25">
      <c r="A1631" s="4" t="s">
        <v>320</v>
      </c>
      <c r="B1631">
        <v>89</v>
      </c>
      <c r="C1631">
        <f t="shared" si="103"/>
        <v>16872</v>
      </c>
      <c r="D1631">
        <f t="shared" si="101"/>
        <v>1</v>
      </c>
      <c r="E1631">
        <f t="shared" si="102"/>
        <v>0</v>
      </c>
      <c r="F1631">
        <f t="shared" si="104"/>
        <v>445</v>
      </c>
    </row>
    <row r="1632" spans="1:6" x14ac:dyDescent="0.25">
      <c r="A1632" s="4" t="s">
        <v>321</v>
      </c>
      <c r="B1632">
        <v>57</v>
      </c>
      <c r="C1632">
        <f t="shared" si="103"/>
        <v>16929</v>
      </c>
      <c r="D1632">
        <f t="shared" si="101"/>
        <v>1</v>
      </c>
      <c r="E1632">
        <f t="shared" si="102"/>
        <v>0</v>
      </c>
      <c r="F1632">
        <f t="shared" si="104"/>
        <v>285</v>
      </c>
    </row>
    <row r="1633" spans="1:6" x14ac:dyDescent="0.25">
      <c r="A1633" s="4" t="s">
        <v>327</v>
      </c>
      <c r="B1633">
        <v>384</v>
      </c>
      <c r="C1633">
        <f t="shared" si="103"/>
        <v>17313</v>
      </c>
      <c r="D1633">
        <f t="shared" si="101"/>
        <v>1</v>
      </c>
      <c r="E1633">
        <f t="shared" si="102"/>
        <v>0</v>
      </c>
      <c r="F1633">
        <f t="shared" si="104"/>
        <v>1920</v>
      </c>
    </row>
    <row r="1634" spans="1:6" x14ac:dyDescent="0.25">
      <c r="A1634" s="4" t="s">
        <v>335</v>
      </c>
      <c r="B1634">
        <v>141</v>
      </c>
      <c r="C1634">
        <f t="shared" si="103"/>
        <v>17454</v>
      </c>
      <c r="D1634">
        <f t="shared" si="101"/>
        <v>1</v>
      </c>
      <c r="E1634">
        <f t="shared" si="102"/>
        <v>0</v>
      </c>
      <c r="F1634">
        <f t="shared" si="104"/>
        <v>705</v>
      </c>
    </row>
    <row r="1635" spans="1:6" x14ac:dyDescent="0.25">
      <c r="A1635" s="4" t="s">
        <v>359</v>
      </c>
      <c r="B1635">
        <v>465</v>
      </c>
      <c r="C1635">
        <f t="shared" si="103"/>
        <v>17919</v>
      </c>
      <c r="D1635">
        <f t="shared" si="101"/>
        <v>1</v>
      </c>
      <c r="E1635">
        <f t="shared" si="102"/>
        <v>0</v>
      </c>
      <c r="F1635">
        <f t="shared" si="104"/>
        <v>2325</v>
      </c>
    </row>
    <row r="1636" spans="1:6" x14ac:dyDescent="0.25">
      <c r="A1636" s="4" t="s">
        <v>360</v>
      </c>
      <c r="B1636">
        <v>349</v>
      </c>
      <c r="C1636">
        <f t="shared" si="103"/>
        <v>18268</v>
      </c>
      <c r="D1636">
        <f t="shared" si="101"/>
        <v>1</v>
      </c>
      <c r="E1636">
        <f t="shared" si="102"/>
        <v>0</v>
      </c>
      <c r="F1636">
        <f t="shared" si="104"/>
        <v>1745</v>
      </c>
    </row>
    <row r="1637" spans="1:6" x14ac:dyDescent="0.25">
      <c r="A1637" s="4" t="s">
        <v>362</v>
      </c>
      <c r="B1637">
        <v>262</v>
      </c>
      <c r="C1637">
        <f t="shared" si="103"/>
        <v>18530</v>
      </c>
      <c r="D1637">
        <f t="shared" si="101"/>
        <v>1</v>
      </c>
      <c r="E1637">
        <f t="shared" si="102"/>
        <v>0</v>
      </c>
      <c r="F1637">
        <f t="shared" si="104"/>
        <v>1310</v>
      </c>
    </row>
    <row r="1638" spans="1:6" x14ac:dyDescent="0.25">
      <c r="A1638" s="4" t="s">
        <v>373</v>
      </c>
      <c r="B1638">
        <v>44</v>
      </c>
      <c r="C1638">
        <f t="shared" si="103"/>
        <v>18574</v>
      </c>
      <c r="D1638">
        <f t="shared" si="101"/>
        <v>1</v>
      </c>
      <c r="E1638">
        <f t="shared" si="102"/>
        <v>0</v>
      </c>
      <c r="F1638">
        <f t="shared" si="104"/>
        <v>220</v>
      </c>
    </row>
    <row r="1639" spans="1:6" x14ac:dyDescent="0.25">
      <c r="A1639" s="4" t="s">
        <v>375</v>
      </c>
      <c r="B1639">
        <v>158</v>
      </c>
      <c r="C1639">
        <f t="shared" si="103"/>
        <v>18732</v>
      </c>
      <c r="D1639">
        <f t="shared" si="101"/>
        <v>1</v>
      </c>
      <c r="E1639">
        <f t="shared" si="102"/>
        <v>0</v>
      </c>
      <c r="F1639">
        <f t="shared" si="104"/>
        <v>790</v>
      </c>
    </row>
    <row r="1640" spans="1:6" x14ac:dyDescent="0.25">
      <c r="A1640" s="4" t="s">
        <v>383</v>
      </c>
      <c r="B1640">
        <v>247</v>
      </c>
      <c r="C1640">
        <f t="shared" si="103"/>
        <v>18979</v>
      </c>
      <c r="D1640">
        <f t="shared" si="101"/>
        <v>1</v>
      </c>
      <c r="E1640">
        <f t="shared" si="102"/>
        <v>0</v>
      </c>
      <c r="F1640">
        <f t="shared" si="104"/>
        <v>1235</v>
      </c>
    </row>
    <row r="1641" spans="1:6" x14ac:dyDescent="0.25">
      <c r="A1641" s="4" t="s">
        <v>389</v>
      </c>
      <c r="B1641">
        <v>205</v>
      </c>
      <c r="C1641">
        <f t="shared" si="103"/>
        <v>19184</v>
      </c>
      <c r="D1641">
        <f t="shared" si="101"/>
        <v>1</v>
      </c>
      <c r="E1641">
        <f t="shared" si="102"/>
        <v>0</v>
      </c>
      <c r="F1641">
        <f t="shared" si="104"/>
        <v>1025</v>
      </c>
    </row>
    <row r="1642" spans="1:6" x14ac:dyDescent="0.25">
      <c r="A1642" s="4" t="s">
        <v>396</v>
      </c>
      <c r="B1642">
        <v>454</v>
      </c>
      <c r="C1642">
        <f t="shared" si="103"/>
        <v>19638</v>
      </c>
      <c r="D1642">
        <f t="shared" si="101"/>
        <v>1</v>
      </c>
      <c r="E1642">
        <f t="shared" si="102"/>
        <v>0</v>
      </c>
      <c r="F1642">
        <f t="shared" si="104"/>
        <v>2270</v>
      </c>
    </row>
    <row r="1643" spans="1:6" x14ac:dyDescent="0.25">
      <c r="A1643" s="4" t="s">
        <v>399</v>
      </c>
      <c r="B1643">
        <v>512</v>
      </c>
      <c r="C1643">
        <f t="shared" si="103"/>
        <v>20150</v>
      </c>
      <c r="D1643">
        <f t="shared" si="101"/>
        <v>1</v>
      </c>
      <c r="E1643">
        <f t="shared" si="102"/>
        <v>1</v>
      </c>
      <c r="F1643">
        <f t="shared" si="104"/>
        <v>5120</v>
      </c>
    </row>
    <row r="1644" spans="1:6" x14ac:dyDescent="0.25">
      <c r="A1644" s="4" t="s">
        <v>403</v>
      </c>
      <c r="B1644">
        <v>173</v>
      </c>
      <c r="C1644">
        <f t="shared" si="103"/>
        <v>20323</v>
      </c>
      <c r="D1644">
        <f t="shared" si="101"/>
        <v>1</v>
      </c>
      <c r="E1644">
        <f t="shared" si="102"/>
        <v>1</v>
      </c>
      <c r="F1644">
        <f t="shared" si="104"/>
        <v>1730</v>
      </c>
    </row>
    <row r="1645" spans="1:6" x14ac:dyDescent="0.25">
      <c r="A1645" s="3" t="s">
        <v>66</v>
      </c>
      <c r="B1645">
        <v>14926</v>
      </c>
      <c r="C1645">
        <f t="shared" si="103"/>
        <v>0</v>
      </c>
      <c r="D1645">
        <f t="shared" si="101"/>
        <v>0</v>
      </c>
      <c r="E1645">
        <f t="shared" si="102"/>
        <v>0</v>
      </c>
      <c r="F1645">
        <f t="shared" si="104"/>
        <v>0</v>
      </c>
    </row>
    <row r="1646" spans="1:6" x14ac:dyDescent="0.25">
      <c r="A1646" s="4" t="s">
        <v>101</v>
      </c>
      <c r="B1646">
        <v>637</v>
      </c>
      <c r="C1646">
        <f t="shared" si="103"/>
        <v>637</v>
      </c>
      <c r="D1646">
        <f t="shared" si="101"/>
        <v>0</v>
      </c>
      <c r="E1646">
        <f t="shared" si="102"/>
        <v>0</v>
      </c>
      <c r="F1646">
        <f t="shared" si="104"/>
        <v>0</v>
      </c>
    </row>
    <row r="1647" spans="1:6" x14ac:dyDescent="0.25">
      <c r="A1647" s="4" t="s">
        <v>105</v>
      </c>
      <c r="B1647">
        <v>378</v>
      </c>
      <c r="C1647">
        <f t="shared" si="103"/>
        <v>1015</v>
      </c>
      <c r="D1647">
        <f t="shared" si="101"/>
        <v>0</v>
      </c>
      <c r="E1647">
        <f t="shared" si="102"/>
        <v>0</v>
      </c>
      <c r="F1647">
        <f t="shared" si="104"/>
        <v>0</v>
      </c>
    </row>
    <row r="1648" spans="1:6" x14ac:dyDescent="0.25">
      <c r="A1648" s="4" t="s">
        <v>108</v>
      </c>
      <c r="B1648">
        <v>135</v>
      </c>
      <c r="C1648">
        <f t="shared" si="103"/>
        <v>1150</v>
      </c>
      <c r="D1648">
        <f t="shared" si="101"/>
        <v>0</v>
      </c>
      <c r="E1648">
        <f t="shared" si="102"/>
        <v>0</v>
      </c>
      <c r="F1648">
        <f t="shared" si="104"/>
        <v>0</v>
      </c>
    </row>
    <row r="1649" spans="1:6" x14ac:dyDescent="0.25">
      <c r="A1649" s="4" t="s">
        <v>122</v>
      </c>
      <c r="B1649">
        <v>90</v>
      </c>
      <c r="C1649">
        <f t="shared" si="103"/>
        <v>1240</v>
      </c>
      <c r="D1649">
        <f t="shared" ref="D1649:D1712" si="105">IF(C1649 &gt; 15000, 1, 0)</f>
        <v>0</v>
      </c>
      <c r="E1649">
        <f t="shared" ref="E1649:E1712" si="106">IF(AND(D1649 =1,C1649 &gt;= 20000),1,0)</f>
        <v>0</v>
      </c>
      <c r="F1649">
        <f t="shared" si="104"/>
        <v>0</v>
      </c>
    </row>
    <row r="1650" spans="1:6" x14ac:dyDescent="0.25">
      <c r="A1650" s="4" t="s">
        <v>123</v>
      </c>
      <c r="B1650">
        <v>521</v>
      </c>
      <c r="C1650">
        <f t="shared" si="103"/>
        <v>1761</v>
      </c>
      <c r="D1650">
        <f t="shared" si="105"/>
        <v>0</v>
      </c>
      <c r="E1650">
        <f t="shared" si="106"/>
        <v>0</v>
      </c>
      <c r="F1650">
        <f t="shared" si="104"/>
        <v>0</v>
      </c>
    </row>
    <row r="1651" spans="1:6" x14ac:dyDescent="0.25">
      <c r="A1651" s="4" t="s">
        <v>126</v>
      </c>
      <c r="B1651">
        <v>308</v>
      </c>
      <c r="C1651">
        <f t="shared" si="103"/>
        <v>2069</v>
      </c>
      <c r="D1651">
        <f t="shared" si="105"/>
        <v>0</v>
      </c>
      <c r="E1651">
        <f t="shared" si="106"/>
        <v>0</v>
      </c>
      <c r="F1651">
        <f t="shared" si="104"/>
        <v>0</v>
      </c>
    </row>
    <row r="1652" spans="1:6" x14ac:dyDescent="0.25">
      <c r="A1652" s="4" t="s">
        <v>144</v>
      </c>
      <c r="B1652">
        <v>426</v>
      </c>
      <c r="C1652">
        <f t="shared" si="103"/>
        <v>2495</v>
      </c>
      <c r="D1652">
        <f t="shared" si="105"/>
        <v>0</v>
      </c>
      <c r="E1652">
        <f t="shared" si="106"/>
        <v>0</v>
      </c>
      <c r="F1652">
        <f t="shared" si="104"/>
        <v>0</v>
      </c>
    </row>
    <row r="1653" spans="1:6" x14ac:dyDescent="0.25">
      <c r="A1653" s="4" t="s">
        <v>147</v>
      </c>
      <c r="B1653">
        <v>264</v>
      </c>
      <c r="C1653">
        <f t="shared" si="103"/>
        <v>2759</v>
      </c>
      <c r="D1653">
        <f t="shared" si="105"/>
        <v>0</v>
      </c>
      <c r="E1653">
        <f t="shared" si="106"/>
        <v>0</v>
      </c>
      <c r="F1653">
        <f t="shared" si="104"/>
        <v>0</v>
      </c>
    </row>
    <row r="1654" spans="1:6" x14ac:dyDescent="0.25">
      <c r="A1654" s="4" t="s">
        <v>159</v>
      </c>
      <c r="B1654">
        <v>182</v>
      </c>
      <c r="C1654">
        <f t="shared" si="103"/>
        <v>2941</v>
      </c>
      <c r="D1654">
        <f t="shared" si="105"/>
        <v>0</v>
      </c>
      <c r="E1654">
        <f t="shared" si="106"/>
        <v>0</v>
      </c>
      <c r="F1654">
        <f t="shared" si="104"/>
        <v>0</v>
      </c>
    </row>
    <row r="1655" spans="1:6" x14ac:dyDescent="0.25">
      <c r="A1655" s="4" t="s">
        <v>164</v>
      </c>
      <c r="B1655">
        <v>681</v>
      </c>
      <c r="C1655">
        <f t="shared" si="103"/>
        <v>3622</v>
      </c>
      <c r="D1655">
        <f t="shared" si="105"/>
        <v>0</v>
      </c>
      <c r="E1655">
        <f t="shared" si="106"/>
        <v>0</v>
      </c>
      <c r="F1655">
        <f t="shared" si="104"/>
        <v>0</v>
      </c>
    </row>
    <row r="1656" spans="1:6" x14ac:dyDescent="0.25">
      <c r="A1656" s="4" t="s">
        <v>165</v>
      </c>
      <c r="B1656">
        <v>498</v>
      </c>
      <c r="C1656">
        <f t="shared" si="103"/>
        <v>4120</v>
      </c>
      <c r="D1656">
        <f t="shared" si="105"/>
        <v>0</v>
      </c>
      <c r="E1656">
        <f t="shared" si="106"/>
        <v>0</v>
      </c>
      <c r="F1656">
        <f t="shared" si="104"/>
        <v>0</v>
      </c>
    </row>
    <row r="1657" spans="1:6" x14ac:dyDescent="0.25">
      <c r="A1657" s="4" t="s">
        <v>168</v>
      </c>
      <c r="B1657">
        <v>191</v>
      </c>
      <c r="C1657">
        <f t="shared" si="103"/>
        <v>4311</v>
      </c>
      <c r="D1657">
        <f t="shared" si="105"/>
        <v>0</v>
      </c>
      <c r="E1657">
        <f t="shared" si="106"/>
        <v>0</v>
      </c>
      <c r="F1657">
        <f t="shared" si="104"/>
        <v>0</v>
      </c>
    </row>
    <row r="1658" spans="1:6" x14ac:dyDescent="0.25">
      <c r="A1658" s="4" t="s">
        <v>170</v>
      </c>
      <c r="B1658">
        <v>264</v>
      </c>
      <c r="C1658">
        <f t="shared" si="103"/>
        <v>4575</v>
      </c>
      <c r="D1658">
        <f t="shared" si="105"/>
        <v>0</v>
      </c>
      <c r="E1658">
        <f t="shared" si="106"/>
        <v>0</v>
      </c>
      <c r="F1658">
        <f t="shared" si="104"/>
        <v>0</v>
      </c>
    </row>
    <row r="1659" spans="1:6" x14ac:dyDescent="0.25">
      <c r="A1659" s="4" t="s">
        <v>177</v>
      </c>
      <c r="B1659">
        <v>36</v>
      </c>
      <c r="C1659">
        <f t="shared" si="103"/>
        <v>4611</v>
      </c>
      <c r="D1659">
        <f t="shared" si="105"/>
        <v>0</v>
      </c>
      <c r="E1659">
        <f t="shared" si="106"/>
        <v>0</v>
      </c>
      <c r="F1659">
        <f t="shared" si="104"/>
        <v>0</v>
      </c>
    </row>
    <row r="1660" spans="1:6" x14ac:dyDescent="0.25">
      <c r="A1660" s="4" t="s">
        <v>181</v>
      </c>
      <c r="B1660">
        <v>568</v>
      </c>
      <c r="C1660">
        <f t="shared" si="103"/>
        <v>5179</v>
      </c>
      <c r="D1660">
        <f t="shared" si="105"/>
        <v>0</v>
      </c>
      <c r="E1660">
        <f t="shared" si="106"/>
        <v>0</v>
      </c>
      <c r="F1660">
        <f t="shared" si="104"/>
        <v>0</v>
      </c>
    </row>
    <row r="1661" spans="1:6" x14ac:dyDescent="0.25">
      <c r="A1661" s="4" t="s">
        <v>191</v>
      </c>
      <c r="B1661">
        <v>487</v>
      </c>
      <c r="C1661">
        <f t="shared" si="103"/>
        <v>5666</v>
      </c>
      <c r="D1661">
        <f t="shared" si="105"/>
        <v>0</v>
      </c>
      <c r="E1661">
        <f t="shared" si="106"/>
        <v>0</v>
      </c>
      <c r="F1661">
        <f t="shared" si="104"/>
        <v>0</v>
      </c>
    </row>
    <row r="1662" spans="1:6" x14ac:dyDescent="0.25">
      <c r="A1662" s="4" t="s">
        <v>192</v>
      </c>
      <c r="B1662">
        <v>76</v>
      </c>
      <c r="C1662">
        <f t="shared" si="103"/>
        <v>5742</v>
      </c>
      <c r="D1662">
        <f t="shared" si="105"/>
        <v>0</v>
      </c>
      <c r="E1662">
        <f t="shared" si="106"/>
        <v>0</v>
      </c>
      <c r="F1662">
        <f t="shared" si="104"/>
        <v>0</v>
      </c>
    </row>
    <row r="1663" spans="1:6" x14ac:dyDescent="0.25">
      <c r="A1663" s="4" t="s">
        <v>203</v>
      </c>
      <c r="B1663">
        <v>893</v>
      </c>
      <c r="C1663">
        <f t="shared" si="103"/>
        <v>6635</v>
      </c>
      <c r="D1663">
        <f t="shared" si="105"/>
        <v>0</v>
      </c>
      <c r="E1663">
        <f t="shared" si="106"/>
        <v>0</v>
      </c>
      <c r="F1663">
        <f t="shared" si="104"/>
        <v>0</v>
      </c>
    </row>
    <row r="1664" spans="1:6" x14ac:dyDescent="0.25">
      <c r="A1664" s="4" t="s">
        <v>227</v>
      </c>
      <c r="B1664">
        <v>200</v>
      </c>
      <c r="C1664">
        <f t="shared" si="103"/>
        <v>6835</v>
      </c>
      <c r="D1664">
        <f t="shared" si="105"/>
        <v>0</v>
      </c>
      <c r="E1664">
        <f t="shared" si="106"/>
        <v>0</v>
      </c>
      <c r="F1664">
        <f t="shared" si="104"/>
        <v>0</v>
      </c>
    </row>
    <row r="1665" spans="1:6" x14ac:dyDescent="0.25">
      <c r="A1665" s="4" t="s">
        <v>236</v>
      </c>
      <c r="B1665">
        <v>249</v>
      </c>
      <c r="C1665">
        <f t="shared" si="103"/>
        <v>7084</v>
      </c>
      <c r="D1665">
        <f t="shared" si="105"/>
        <v>0</v>
      </c>
      <c r="E1665">
        <f t="shared" si="106"/>
        <v>0</v>
      </c>
      <c r="F1665">
        <f t="shared" si="104"/>
        <v>0</v>
      </c>
    </row>
    <row r="1666" spans="1:6" x14ac:dyDescent="0.25">
      <c r="A1666" s="4" t="s">
        <v>254</v>
      </c>
      <c r="B1666">
        <v>58</v>
      </c>
      <c r="C1666">
        <f t="shared" si="103"/>
        <v>7142</v>
      </c>
      <c r="D1666">
        <f t="shared" si="105"/>
        <v>0</v>
      </c>
      <c r="E1666">
        <f t="shared" si="106"/>
        <v>0</v>
      </c>
      <c r="F1666">
        <f t="shared" si="104"/>
        <v>0</v>
      </c>
    </row>
    <row r="1667" spans="1:6" x14ac:dyDescent="0.25">
      <c r="A1667" s="4" t="s">
        <v>255</v>
      </c>
      <c r="B1667">
        <v>310</v>
      </c>
      <c r="C1667">
        <f t="shared" si="103"/>
        <v>7452</v>
      </c>
      <c r="D1667">
        <f t="shared" si="105"/>
        <v>0</v>
      </c>
      <c r="E1667">
        <f t="shared" si="106"/>
        <v>0</v>
      </c>
      <c r="F1667">
        <f t="shared" si="104"/>
        <v>0</v>
      </c>
    </row>
    <row r="1668" spans="1:6" x14ac:dyDescent="0.25">
      <c r="A1668" s="4" t="s">
        <v>260</v>
      </c>
      <c r="B1668">
        <v>302</v>
      </c>
      <c r="C1668">
        <f t="shared" si="103"/>
        <v>7754</v>
      </c>
      <c r="D1668">
        <f t="shared" si="105"/>
        <v>0</v>
      </c>
      <c r="E1668">
        <f t="shared" si="106"/>
        <v>0</v>
      </c>
      <c r="F1668">
        <f t="shared" si="104"/>
        <v>0</v>
      </c>
    </row>
    <row r="1669" spans="1:6" x14ac:dyDescent="0.25">
      <c r="A1669" s="4" t="s">
        <v>261</v>
      </c>
      <c r="B1669">
        <v>273</v>
      </c>
      <c r="C1669">
        <f t="shared" ref="C1669:C1732" si="107">IF(LEN(A1669) &gt;= 12, 0, C1668+B1669)</f>
        <v>8027</v>
      </c>
      <c r="D1669">
        <f t="shared" si="105"/>
        <v>0</v>
      </c>
      <c r="E1669">
        <f t="shared" si="106"/>
        <v>0</v>
      </c>
      <c r="F1669">
        <f t="shared" si="104"/>
        <v>0</v>
      </c>
    </row>
    <row r="1670" spans="1:6" x14ac:dyDescent="0.25">
      <c r="A1670" s="4" t="s">
        <v>265</v>
      </c>
      <c r="B1670">
        <v>357</v>
      </c>
      <c r="C1670">
        <f t="shared" si="107"/>
        <v>8384</v>
      </c>
      <c r="D1670">
        <f t="shared" si="105"/>
        <v>0</v>
      </c>
      <c r="E1670">
        <f t="shared" si="106"/>
        <v>0</v>
      </c>
      <c r="F1670">
        <f t="shared" ref="F1670:F1733" si="108">IF(AND(D1670 = 1, C1670 &lt; 20000), B1670*5, IF(AND(E1670=1, C1670 &gt;= 20000),B1670*10,0))</f>
        <v>0</v>
      </c>
    </row>
    <row r="1671" spans="1:6" x14ac:dyDescent="0.25">
      <c r="A1671" s="4" t="s">
        <v>268</v>
      </c>
      <c r="B1671">
        <v>453</v>
      </c>
      <c r="C1671">
        <f t="shared" si="107"/>
        <v>8837</v>
      </c>
      <c r="D1671">
        <f t="shared" si="105"/>
        <v>0</v>
      </c>
      <c r="E1671">
        <f t="shared" si="106"/>
        <v>0</v>
      </c>
      <c r="F1671">
        <f t="shared" si="108"/>
        <v>0</v>
      </c>
    </row>
    <row r="1672" spans="1:6" x14ac:dyDescent="0.25">
      <c r="A1672" s="4" t="s">
        <v>270</v>
      </c>
      <c r="B1672">
        <v>457</v>
      </c>
      <c r="C1672">
        <f t="shared" si="107"/>
        <v>9294</v>
      </c>
      <c r="D1672">
        <f t="shared" si="105"/>
        <v>0</v>
      </c>
      <c r="E1672">
        <f t="shared" si="106"/>
        <v>0</v>
      </c>
      <c r="F1672">
        <f t="shared" si="108"/>
        <v>0</v>
      </c>
    </row>
    <row r="1673" spans="1:6" x14ac:dyDescent="0.25">
      <c r="A1673" s="4" t="s">
        <v>272</v>
      </c>
      <c r="B1673">
        <v>248</v>
      </c>
      <c r="C1673">
        <f t="shared" si="107"/>
        <v>9542</v>
      </c>
      <c r="D1673">
        <f t="shared" si="105"/>
        <v>0</v>
      </c>
      <c r="E1673">
        <f t="shared" si="106"/>
        <v>0</v>
      </c>
      <c r="F1673">
        <f t="shared" si="108"/>
        <v>0</v>
      </c>
    </row>
    <row r="1674" spans="1:6" x14ac:dyDescent="0.25">
      <c r="A1674" s="4" t="s">
        <v>276</v>
      </c>
      <c r="B1674">
        <v>220</v>
      </c>
      <c r="C1674">
        <f t="shared" si="107"/>
        <v>9762</v>
      </c>
      <c r="D1674">
        <f t="shared" si="105"/>
        <v>0</v>
      </c>
      <c r="E1674">
        <f t="shared" si="106"/>
        <v>0</v>
      </c>
      <c r="F1674">
        <f t="shared" si="108"/>
        <v>0</v>
      </c>
    </row>
    <row r="1675" spans="1:6" x14ac:dyDescent="0.25">
      <c r="A1675" s="4" t="s">
        <v>277</v>
      </c>
      <c r="B1675">
        <v>378</v>
      </c>
      <c r="C1675">
        <f t="shared" si="107"/>
        <v>10140</v>
      </c>
      <c r="D1675">
        <f t="shared" si="105"/>
        <v>0</v>
      </c>
      <c r="E1675">
        <f t="shared" si="106"/>
        <v>0</v>
      </c>
      <c r="F1675">
        <f t="shared" si="108"/>
        <v>0</v>
      </c>
    </row>
    <row r="1676" spans="1:6" x14ac:dyDescent="0.25">
      <c r="A1676" s="4" t="s">
        <v>281</v>
      </c>
      <c r="B1676">
        <v>308</v>
      </c>
      <c r="C1676">
        <f t="shared" si="107"/>
        <v>10448</v>
      </c>
      <c r="D1676">
        <f t="shared" si="105"/>
        <v>0</v>
      </c>
      <c r="E1676">
        <f t="shared" si="106"/>
        <v>0</v>
      </c>
      <c r="F1676">
        <f t="shared" si="108"/>
        <v>0</v>
      </c>
    </row>
    <row r="1677" spans="1:6" x14ac:dyDescent="0.25">
      <c r="A1677" s="4" t="s">
        <v>285</v>
      </c>
      <c r="B1677">
        <v>274</v>
      </c>
      <c r="C1677">
        <f t="shared" si="107"/>
        <v>10722</v>
      </c>
      <c r="D1677">
        <f t="shared" si="105"/>
        <v>0</v>
      </c>
      <c r="E1677">
        <f t="shared" si="106"/>
        <v>0</v>
      </c>
      <c r="F1677">
        <f t="shared" si="108"/>
        <v>0</v>
      </c>
    </row>
    <row r="1678" spans="1:6" x14ac:dyDescent="0.25">
      <c r="A1678" s="4" t="s">
        <v>295</v>
      </c>
      <c r="B1678">
        <v>246</v>
      </c>
      <c r="C1678">
        <f t="shared" si="107"/>
        <v>10968</v>
      </c>
      <c r="D1678">
        <f t="shared" si="105"/>
        <v>0</v>
      </c>
      <c r="E1678">
        <f t="shared" si="106"/>
        <v>0</v>
      </c>
      <c r="F1678">
        <f t="shared" si="108"/>
        <v>0</v>
      </c>
    </row>
    <row r="1679" spans="1:6" x14ac:dyDescent="0.25">
      <c r="A1679" s="4" t="s">
        <v>296</v>
      </c>
      <c r="B1679">
        <v>235</v>
      </c>
      <c r="C1679">
        <f t="shared" si="107"/>
        <v>11203</v>
      </c>
      <c r="D1679">
        <f t="shared" si="105"/>
        <v>0</v>
      </c>
      <c r="E1679">
        <f t="shared" si="106"/>
        <v>0</v>
      </c>
      <c r="F1679">
        <f t="shared" si="108"/>
        <v>0</v>
      </c>
    </row>
    <row r="1680" spans="1:6" x14ac:dyDescent="0.25">
      <c r="A1680" s="4" t="s">
        <v>298</v>
      </c>
      <c r="B1680">
        <v>447</v>
      </c>
      <c r="C1680">
        <f t="shared" si="107"/>
        <v>11650</v>
      </c>
      <c r="D1680">
        <f t="shared" si="105"/>
        <v>0</v>
      </c>
      <c r="E1680">
        <f t="shared" si="106"/>
        <v>0</v>
      </c>
      <c r="F1680">
        <f t="shared" si="108"/>
        <v>0</v>
      </c>
    </row>
    <row r="1681" spans="1:6" x14ac:dyDescent="0.25">
      <c r="A1681" s="4" t="s">
        <v>303</v>
      </c>
      <c r="B1681">
        <v>38</v>
      </c>
      <c r="C1681">
        <f t="shared" si="107"/>
        <v>11688</v>
      </c>
      <c r="D1681">
        <f t="shared" si="105"/>
        <v>0</v>
      </c>
      <c r="E1681">
        <f t="shared" si="106"/>
        <v>0</v>
      </c>
      <c r="F1681">
        <f t="shared" si="108"/>
        <v>0</v>
      </c>
    </row>
    <row r="1682" spans="1:6" x14ac:dyDescent="0.25">
      <c r="A1682" s="4" t="s">
        <v>317</v>
      </c>
      <c r="B1682">
        <v>211</v>
      </c>
      <c r="C1682">
        <f t="shared" si="107"/>
        <v>11899</v>
      </c>
      <c r="D1682">
        <f t="shared" si="105"/>
        <v>0</v>
      </c>
      <c r="E1682">
        <f t="shared" si="106"/>
        <v>0</v>
      </c>
      <c r="F1682">
        <f t="shared" si="108"/>
        <v>0</v>
      </c>
    </row>
    <row r="1683" spans="1:6" x14ac:dyDescent="0.25">
      <c r="A1683" s="4" t="s">
        <v>318</v>
      </c>
      <c r="B1683">
        <v>464</v>
      </c>
      <c r="C1683">
        <f t="shared" si="107"/>
        <v>12363</v>
      </c>
      <c r="D1683">
        <f t="shared" si="105"/>
        <v>0</v>
      </c>
      <c r="E1683">
        <f t="shared" si="106"/>
        <v>0</v>
      </c>
      <c r="F1683">
        <f t="shared" si="108"/>
        <v>0</v>
      </c>
    </row>
    <row r="1684" spans="1:6" x14ac:dyDescent="0.25">
      <c r="A1684" s="4" t="s">
        <v>331</v>
      </c>
      <c r="B1684">
        <v>425</v>
      </c>
      <c r="C1684">
        <f t="shared" si="107"/>
        <v>12788</v>
      </c>
      <c r="D1684">
        <f t="shared" si="105"/>
        <v>0</v>
      </c>
      <c r="E1684">
        <f t="shared" si="106"/>
        <v>0</v>
      </c>
      <c r="F1684">
        <f t="shared" si="108"/>
        <v>0</v>
      </c>
    </row>
    <row r="1685" spans="1:6" x14ac:dyDescent="0.25">
      <c r="A1685" s="4" t="s">
        <v>333</v>
      </c>
      <c r="B1685">
        <v>385</v>
      </c>
      <c r="C1685">
        <f t="shared" si="107"/>
        <v>13173</v>
      </c>
      <c r="D1685">
        <f t="shared" si="105"/>
        <v>0</v>
      </c>
      <c r="E1685">
        <f t="shared" si="106"/>
        <v>0</v>
      </c>
      <c r="F1685">
        <f t="shared" si="108"/>
        <v>0</v>
      </c>
    </row>
    <row r="1686" spans="1:6" x14ac:dyDescent="0.25">
      <c r="A1686" s="4" t="s">
        <v>339</v>
      </c>
      <c r="B1686">
        <v>251</v>
      </c>
      <c r="C1686">
        <f t="shared" si="107"/>
        <v>13424</v>
      </c>
      <c r="D1686">
        <f t="shared" si="105"/>
        <v>0</v>
      </c>
      <c r="E1686">
        <f t="shared" si="106"/>
        <v>0</v>
      </c>
      <c r="F1686">
        <f t="shared" si="108"/>
        <v>0</v>
      </c>
    </row>
    <row r="1687" spans="1:6" x14ac:dyDescent="0.25">
      <c r="A1687" s="4" t="s">
        <v>349</v>
      </c>
      <c r="B1687">
        <v>67</v>
      </c>
      <c r="C1687">
        <f t="shared" si="107"/>
        <v>13491</v>
      </c>
      <c r="D1687">
        <f t="shared" si="105"/>
        <v>0</v>
      </c>
      <c r="E1687">
        <f t="shared" si="106"/>
        <v>0</v>
      </c>
      <c r="F1687">
        <f t="shared" si="108"/>
        <v>0</v>
      </c>
    </row>
    <row r="1688" spans="1:6" x14ac:dyDescent="0.25">
      <c r="A1688" s="4" t="s">
        <v>367</v>
      </c>
      <c r="B1688">
        <v>627</v>
      </c>
      <c r="C1688">
        <f t="shared" si="107"/>
        <v>14118</v>
      </c>
      <c r="D1688">
        <f t="shared" si="105"/>
        <v>0</v>
      </c>
      <c r="E1688">
        <f t="shared" si="106"/>
        <v>0</v>
      </c>
      <c r="F1688">
        <f t="shared" si="108"/>
        <v>0</v>
      </c>
    </row>
    <row r="1689" spans="1:6" x14ac:dyDescent="0.25">
      <c r="A1689" s="4" t="s">
        <v>372</v>
      </c>
      <c r="B1689">
        <v>215</v>
      </c>
      <c r="C1689">
        <f t="shared" si="107"/>
        <v>14333</v>
      </c>
      <c r="D1689">
        <f t="shared" si="105"/>
        <v>0</v>
      </c>
      <c r="E1689">
        <f t="shared" si="106"/>
        <v>0</v>
      </c>
      <c r="F1689">
        <f t="shared" si="108"/>
        <v>0</v>
      </c>
    </row>
    <row r="1690" spans="1:6" x14ac:dyDescent="0.25">
      <c r="A1690" s="4" t="s">
        <v>374</v>
      </c>
      <c r="B1690">
        <v>248</v>
      </c>
      <c r="C1690">
        <f t="shared" si="107"/>
        <v>14581</v>
      </c>
      <c r="D1690">
        <f t="shared" si="105"/>
        <v>0</v>
      </c>
      <c r="E1690">
        <f t="shared" si="106"/>
        <v>0</v>
      </c>
      <c r="F1690">
        <f t="shared" si="108"/>
        <v>0</v>
      </c>
    </row>
    <row r="1691" spans="1:6" x14ac:dyDescent="0.25">
      <c r="A1691" s="4" t="s">
        <v>375</v>
      </c>
      <c r="B1691">
        <v>345</v>
      </c>
      <c r="C1691">
        <f t="shared" si="107"/>
        <v>14926</v>
      </c>
      <c r="D1691">
        <f t="shared" si="105"/>
        <v>0</v>
      </c>
      <c r="E1691">
        <f t="shared" si="106"/>
        <v>0</v>
      </c>
      <c r="F1691">
        <f t="shared" si="108"/>
        <v>0</v>
      </c>
    </row>
    <row r="1692" spans="1:6" x14ac:dyDescent="0.25">
      <c r="A1692" s="3" t="s">
        <v>50</v>
      </c>
      <c r="B1692">
        <v>12566</v>
      </c>
      <c r="C1692">
        <f t="shared" si="107"/>
        <v>0</v>
      </c>
      <c r="D1692">
        <f t="shared" si="105"/>
        <v>0</v>
      </c>
      <c r="E1692">
        <f t="shared" si="106"/>
        <v>0</v>
      </c>
      <c r="F1692">
        <f t="shared" si="108"/>
        <v>0</v>
      </c>
    </row>
    <row r="1693" spans="1:6" x14ac:dyDescent="0.25">
      <c r="A1693" s="4" t="s">
        <v>111</v>
      </c>
      <c r="B1693">
        <v>305</v>
      </c>
      <c r="C1693">
        <f t="shared" si="107"/>
        <v>305</v>
      </c>
      <c r="D1693">
        <f t="shared" si="105"/>
        <v>0</v>
      </c>
      <c r="E1693">
        <f t="shared" si="106"/>
        <v>0</v>
      </c>
      <c r="F1693">
        <f t="shared" si="108"/>
        <v>0</v>
      </c>
    </row>
    <row r="1694" spans="1:6" x14ac:dyDescent="0.25">
      <c r="A1694" s="4" t="s">
        <v>123</v>
      </c>
      <c r="B1694">
        <v>602</v>
      </c>
      <c r="C1694">
        <f t="shared" si="107"/>
        <v>907</v>
      </c>
      <c r="D1694">
        <f t="shared" si="105"/>
        <v>0</v>
      </c>
      <c r="E1694">
        <f t="shared" si="106"/>
        <v>0</v>
      </c>
      <c r="F1694">
        <f t="shared" si="108"/>
        <v>0</v>
      </c>
    </row>
    <row r="1695" spans="1:6" x14ac:dyDescent="0.25">
      <c r="A1695" s="4" t="s">
        <v>151</v>
      </c>
      <c r="B1695">
        <v>614</v>
      </c>
      <c r="C1695">
        <f t="shared" si="107"/>
        <v>1521</v>
      </c>
      <c r="D1695">
        <f t="shared" si="105"/>
        <v>0</v>
      </c>
      <c r="E1695">
        <f t="shared" si="106"/>
        <v>0</v>
      </c>
      <c r="F1695">
        <f t="shared" si="108"/>
        <v>0</v>
      </c>
    </row>
    <row r="1696" spans="1:6" x14ac:dyDescent="0.25">
      <c r="A1696" s="4" t="s">
        <v>183</v>
      </c>
      <c r="B1696">
        <v>453</v>
      </c>
      <c r="C1696">
        <f t="shared" si="107"/>
        <v>1974</v>
      </c>
      <c r="D1696">
        <f t="shared" si="105"/>
        <v>0</v>
      </c>
      <c r="E1696">
        <f t="shared" si="106"/>
        <v>0</v>
      </c>
      <c r="F1696">
        <f t="shared" si="108"/>
        <v>0</v>
      </c>
    </row>
    <row r="1697" spans="1:6" x14ac:dyDescent="0.25">
      <c r="A1697" s="4" t="s">
        <v>191</v>
      </c>
      <c r="B1697">
        <v>403</v>
      </c>
      <c r="C1697">
        <f t="shared" si="107"/>
        <v>2377</v>
      </c>
      <c r="D1697">
        <f t="shared" si="105"/>
        <v>0</v>
      </c>
      <c r="E1697">
        <f t="shared" si="106"/>
        <v>0</v>
      </c>
      <c r="F1697">
        <f t="shared" si="108"/>
        <v>0</v>
      </c>
    </row>
    <row r="1698" spans="1:6" x14ac:dyDescent="0.25">
      <c r="A1698" s="4" t="s">
        <v>200</v>
      </c>
      <c r="B1698">
        <v>73</v>
      </c>
      <c r="C1698">
        <f t="shared" si="107"/>
        <v>2450</v>
      </c>
      <c r="D1698">
        <f t="shared" si="105"/>
        <v>0</v>
      </c>
      <c r="E1698">
        <f t="shared" si="106"/>
        <v>0</v>
      </c>
      <c r="F1698">
        <f t="shared" si="108"/>
        <v>0</v>
      </c>
    </row>
    <row r="1699" spans="1:6" x14ac:dyDescent="0.25">
      <c r="A1699" s="4" t="s">
        <v>201</v>
      </c>
      <c r="B1699">
        <v>401</v>
      </c>
      <c r="C1699">
        <f t="shared" si="107"/>
        <v>2851</v>
      </c>
      <c r="D1699">
        <f t="shared" si="105"/>
        <v>0</v>
      </c>
      <c r="E1699">
        <f t="shared" si="106"/>
        <v>0</v>
      </c>
      <c r="F1699">
        <f t="shared" si="108"/>
        <v>0</v>
      </c>
    </row>
    <row r="1700" spans="1:6" x14ac:dyDescent="0.25">
      <c r="A1700" s="4" t="s">
        <v>202</v>
      </c>
      <c r="B1700">
        <v>347</v>
      </c>
      <c r="C1700">
        <f t="shared" si="107"/>
        <v>3198</v>
      </c>
      <c r="D1700">
        <f t="shared" si="105"/>
        <v>0</v>
      </c>
      <c r="E1700">
        <f t="shared" si="106"/>
        <v>0</v>
      </c>
      <c r="F1700">
        <f t="shared" si="108"/>
        <v>0</v>
      </c>
    </row>
    <row r="1701" spans="1:6" x14ac:dyDescent="0.25">
      <c r="A1701" s="4" t="s">
        <v>207</v>
      </c>
      <c r="B1701">
        <v>397</v>
      </c>
      <c r="C1701">
        <f t="shared" si="107"/>
        <v>3595</v>
      </c>
      <c r="D1701">
        <f t="shared" si="105"/>
        <v>0</v>
      </c>
      <c r="E1701">
        <f t="shared" si="106"/>
        <v>0</v>
      </c>
      <c r="F1701">
        <f t="shared" si="108"/>
        <v>0</v>
      </c>
    </row>
    <row r="1702" spans="1:6" x14ac:dyDescent="0.25">
      <c r="A1702" s="4" t="s">
        <v>211</v>
      </c>
      <c r="B1702">
        <v>339</v>
      </c>
      <c r="C1702">
        <f t="shared" si="107"/>
        <v>3934</v>
      </c>
      <c r="D1702">
        <f t="shared" si="105"/>
        <v>0</v>
      </c>
      <c r="E1702">
        <f t="shared" si="106"/>
        <v>0</v>
      </c>
      <c r="F1702">
        <f t="shared" si="108"/>
        <v>0</v>
      </c>
    </row>
    <row r="1703" spans="1:6" x14ac:dyDescent="0.25">
      <c r="A1703" s="4" t="s">
        <v>227</v>
      </c>
      <c r="B1703">
        <v>370</v>
      </c>
      <c r="C1703">
        <f t="shared" si="107"/>
        <v>4304</v>
      </c>
      <c r="D1703">
        <f t="shared" si="105"/>
        <v>0</v>
      </c>
      <c r="E1703">
        <f t="shared" si="106"/>
        <v>0</v>
      </c>
      <c r="F1703">
        <f t="shared" si="108"/>
        <v>0</v>
      </c>
    </row>
    <row r="1704" spans="1:6" x14ac:dyDescent="0.25">
      <c r="A1704" s="4" t="s">
        <v>228</v>
      </c>
      <c r="B1704">
        <v>483</v>
      </c>
      <c r="C1704">
        <f t="shared" si="107"/>
        <v>4787</v>
      </c>
      <c r="D1704">
        <f t="shared" si="105"/>
        <v>0</v>
      </c>
      <c r="E1704">
        <f t="shared" si="106"/>
        <v>0</v>
      </c>
      <c r="F1704">
        <f t="shared" si="108"/>
        <v>0</v>
      </c>
    </row>
    <row r="1705" spans="1:6" x14ac:dyDescent="0.25">
      <c r="A1705" s="4" t="s">
        <v>237</v>
      </c>
      <c r="B1705">
        <v>14</v>
      </c>
      <c r="C1705">
        <f t="shared" si="107"/>
        <v>4801</v>
      </c>
      <c r="D1705">
        <f t="shared" si="105"/>
        <v>0</v>
      </c>
      <c r="E1705">
        <f t="shared" si="106"/>
        <v>0</v>
      </c>
      <c r="F1705">
        <f t="shared" si="108"/>
        <v>0</v>
      </c>
    </row>
    <row r="1706" spans="1:6" x14ac:dyDescent="0.25">
      <c r="A1706" s="4" t="s">
        <v>241</v>
      </c>
      <c r="B1706">
        <v>473</v>
      </c>
      <c r="C1706">
        <f t="shared" si="107"/>
        <v>5274</v>
      </c>
      <c r="D1706">
        <f t="shared" si="105"/>
        <v>0</v>
      </c>
      <c r="E1706">
        <f t="shared" si="106"/>
        <v>0</v>
      </c>
      <c r="F1706">
        <f t="shared" si="108"/>
        <v>0</v>
      </c>
    </row>
    <row r="1707" spans="1:6" x14ac:dyDescent="0.25">
      <c r="A1707" s="4" t="s">
        <v>242</v>
      </c>
      <c r="B1707">
        <v>387</v>
      </c>
      <c r="C1707">
        <f t="shared" si="107"/>
        <v>5661</v>
      </c>
      <c r="D1707">
        <f t="shared" si="105"/>
        <v>0</v>
      </c>
      <c r="E1707">
        <f t="shared" si="106"/>
        <v>0</v>
      </c>
      <c r="F1707">
        <f t="shared" si="108"/>
        <v>0</v>
      </c>
    </row>
    <row r="1708" spans="1:6" x14ac:dyDescent="0.25">
      <c r="A1708" s="4" t="s">
        <v>251</v>
      </c>
      <c r="B1708">
        <v>60</v>
      </c>
      <c r="C1708">
        <f t="shared" si="107"/>
        <v>5721</v>
      </c>
      <c r="D1708">
        <f t="shared" si="105"/>
        <v>0</v>
      </c>
      <c r="E1708">
        <f t="shared" si="106"/>
        <v>0</v>
      </c>
      <c r="F1708">
        <f t="shared" si="108"/>
        <v>0</v>
      </c>
    </row>
    <row r="1709" spans="1:6" x14ac:dyDescent="0.25">
      <c r="A1709" s="4" t="s">
        <v>254</v>
      </c>
      <c r="B1709">
        <v>215</v>
      </c>
      <c r="C1709">
        <f t="shared" si="107"/>
        <v>5936</v>
      </c>
      <c r="D1709">
        <f t="shared" si="105"/>
        <v>0</v>
      </c>
      <c r="E1709">
        <f t="shared" si="106"/>
        <v>0</v>
      </c>
      <c r="F1709">
        <f t="shared" si="108"/>
        <v>0</v>
      </c>
    </row>
    <row r="1710" spans="1:6" x14ac:dyDescent="0.25">
      <c r="A1710" s="4" t="s">
        <v>255</v>
      </c>
      <c r="B1710">
        <v>170</v>
      </c>
      <c r="C1710">
        <f t="shared" si="107"/>
        <v>6106</v>
      </c>
      <c r="D1710">
        <f t="shared" si="105"/>
        <v>0</v>
      </c>
      <c r="E1710">
        <f t="shared" si="106"/>
        <v>0</v>
      </c>
      <c r="F1710">
        <f t="shared" si="108"/>
        <v>0</v>
      </c>
    </row>
    <row r="1711" spans="1:6" x14ac:dyDescent="0.25">
      <c r="A1711" s="4" t="s">
        <v>258</v>
      </c>
      <c r="B1711">
        <v>130</v>
      </c>
      <c r="C1711">
        <f t="shared" si="107"/>
        <v>6236</v>
      </c>
      <c r="D1711">
        <f t="shared" si="105"/>
        <v>0</v>
      </c>
      <c r="E1711">
        <f t="shared" si="106"/>
        <v>0</v>
      </c>
      <c r="F1711">
        <f t="shared" si="108"/>
        <v>0</v>
      </c>
    </row>
    <row r="1712" spans="1:6" x14ac:dyDescent="0.25">
      <c r="A1712" s="4" t="s">
        <v>268</v>
      </c>
      <c r="B1712">
        <v>254</v>
      </c>
      <c r="C1712">
        <f t="shared" si="107"/>
        <v>6490</v>
      </c>
      <c r="D1712">
        <f t="shared" si="105"/>
        <v>0</v>
      </c>
      <c r="E1712">
        <f t="shared" si="106"/>
        <v>0</v>
      </c>
      <c r="F1712">
        <f t="shared" si="108"/>
        <v>0</v>
      </c>
    </row>
    <row r="1713" spans="1:6" x14ac:dyDescent="0.25">
      <c r="A1713" s="4" t="s">
        <v>275</v>
      </c>
      <c r="B1713">
        <v>128</v>
      </c>
      <c r="C1713">
        <f t="shared" si="107"/>
        <v>6618</v>
      </c>
      <c r="D1713">
        <f t="shared" ref="D1713:D1776" si="109">IF(C1713 &gt; 15000, 1, 0)</f>
        <v>0</v>
      </c>
      <c r="E1713">
        <f t="shared" ref="E1713:E1776" si="110">IF(AND(D1713 =1,C1713 &gt;= 20000),1,0)</f>
        <v>0</v>
      </c>
      <c r="F1713">
        <f t="shared" si="108"/>
        <v>0</v>
      </c>
    </row>
    <row r="1714" spans="1:6" x14ac:dyDescent="0.25">
      <c r="A1714" s="4" t="s">
        <v>278</v>
      </c>
      <c r="B1714">
        <v>337</v>
      </c>
      <c r="C1714">
        <f t="shared" si="107"/>
        <v>6955</v>
      </c>
      <c r="D1714">
        <f t="shared" si="109"/>
        <v>0</v>
      </c>
      <c r="E1714">
        <f t="shared" si="110"/>
        <v>0</v>
      </c>
      <c r="F1714">
        <f t="shared" si="108"/>
        <v>0</v>
      </c>
    </row>
    <row r="1715" spans="1:6" x14ac:dyDescent="0.25">
      <c r="A1715" s="4" t="s">
        <v>279</v>
      </c>
      <c r="B1715">
        <v>424</v>
      </c>
      <c r="C1715">
        <f t="shared" si="107"/>
        <v>7379</v>
      </c>
      <c r="D1715">
        <f t="shared" si="109"/>
        <v>0</v>
      </c>
      <c r="E1715">
        <f t="shared" si="110"/>
        <v>0</v>
      </c>
      <c r="F1715">
        <f t="shared" si="108"/>
        <v>0</v>
      </c>
    </row>
    <row r="1716" spans="1:6" x14ac:dyDescent="0.25">
      <c r="A1716" s="4" t="s">
        <v>284</v>
      </c>
      <c r="B1716">
        <v>271</v>
      </c>
      <c r="C1716">
        <f t="shared" si="107"/>
        <v>7650</v>
      </c>
      <c r="D1716">
        <f t="shared" si="109"/>
        <v>0</v>
      </c>
      <c r="E1716">
        <f t="shared" si="110"/>
        <v>0</v>
      </c>
      <c r="F1716">
        <f t="shared" si="108"/>
        <v>0</v>
      </c>
    </row>
    <row r="1717" spans="1:6" x14ac:dyDescent="0.25">
      <c r="A1717" s="4" t="s">
        <v>293</v>
      </c>
      <c r="B1717">
        <v>277</v>
      </c>
      <c r="C1717">
        <f t="shared" si="107"/>
        <v>7927</v>
      </c>
      <c r="D1717">
        <f t="shared" si="109"/>
        <v>0</v>
      </c>
      <c r="E1717">
        <f t="shared" si="110"/>
        <v>0</v>
      </c>
      <c r="F1717">
        <f t="shared" si="108"/>
        <v>0</v>
      </c>
    </row>
    <row r="1718" spans="1:6" x14ac:dyDescent="0.25">
      <c r="A1718" s="4" t="s">
        <v>295</v>
      </c>
      <c r="B1718">
        <v>287</v>
      </c>
      <c r="C1718">
        <f t="shared" si="107"/>
        <v>8214</v>
      </c>
      <c r="D1718">
        <f t="shared" si="109"/>
        <v>0</v>
      </c>
      <c r="E1718">
        <f t="shared" si="110"/>
        <v>0</v>
      </c>
      <c r="F1718">
        <f t="shared" si="108"/>
        <v>0</v>
      </c>
    </row>
    <row r="1719" spans="1:6" x14ac:dyDescent="0.25">
      <c r="A1719" s="4" t="s">
        <v>299</v>
      </c>
      <c r="B1719">
        <v>362</v>
      </c>
      <c r="C1719">
        <f t="shared" si="107"/>
        <v>8576</v>
      </c>
      <c r="D1719">
        <f t="shared" si="109"/>
        <v>0</v>
      </c>
      <c r="E1719">
        <f t="shared" si="110"/>
        <v>0</v>
      </c>
      <c r="F1719">
        <f t="shared" si="108"/>
        <v>0</v>
      </c>
    </row>
    <row r="1720" spans="1:6" x14ac:dyDescent="0.25">
      <c r="A1720" s="4" t="s">
        <v>306</v>
      </c>
      <c r="B1720">
        <v>180</v>
      </c>
      <c r="C1720">
        <f t="shared" si="107"/>
        <v>8756</v>
      </c>
      <c r="D1720">
        <f t="shared" si="109"/>
        <v>0</v>
      </c>
      <c r="E1720">
        <f t="shared" si="110"/>
        <v>0</v>
      </c>
      <c r="F1720">
        <f t="shared" si="108"/>
        <v>0</v>
      </c>
    </row>
    <row r="1721" spans="1:6" x14ac:dyDescent="0.25">
      <c r="A1721" s="4" t="s">
        <v>311</v>
      </c>
      <c r="B1721">
        <v>455</v>
      </c>
      <c r="C1721">
        <f t="shared" si="107"/>
        <v>9211</v>
      </c>
      <c r="D1721">
        <f t="shared" si="109"/>
        <v>0</v>
      </c>
      <c r="E1721">
        <f t="shared" si="110"/>
        <v>0</v>
      </c>
      <c r="F1721">
        <f t="shared" si="108"/>
        <v>0</v>
      </c>
    </row>
    <row r="1722" spans="1:6" x14ac:dyDescent="0.25">
      <c r="A1722" s="4" t="s">
        <v>332</v>
      </c>
      <c r="B1722">
        <v>343</v>
      </c>
      <c r="C1722">
        <f t="shared" si="107"/>
        <v>9554</v>
      </c>
      <c r="D1722">
        <f t="shared" si="109"/>
        <v>0</v>
      </c>
      <c r="E1722">
        <f t="shared" si="110"/>
        <v>0</v>
      </c>
      <c r="F1722">
        <f t="shared" si="108"/>
        <v>0</v>
      </c>
    </row>
    <row r="1723" spans="1:6" x14ac:dyDescent="0.25">
      <c r="A1723" s="4" t="s">
        <v>335</v>
      </c>
      <c r="B1723">
        <v>32</v>
      </c>
      <c r="C1723">
        <f t="shared" si="107"/>
        <v>9586</v>
      </c>
      <c r="D1723">
        <f t="shared" si="109"/>
        <v>0</v>
      </c>
      <c r="E1723">
        <f t="shared" si="110"/>
        <v>0</v>
      </c>
      <c r="F1723">
        <f t="shared" si="108"/>
        <v>0</v>
      </c>
    </row>
    <row r="1724" spans="1:6" x14ac:dyDescent="0.25">
      <c r="A1724" s="4" t="s">
        <v>350</v>
      </c>
      <c r="B1724">
        <v>86</v>
      </c>
      <c r="C1724">
        <f t="shared" si="107"/>
        <v>9672</v>
      </c>
      <c r="D1724">
        <f t="shared" si="109"/>
        <v>0</v>
      </c>
      <c r="E1724">
        <f t="shared" si="110"/>
        <v>0</v>
      </c>
      <c r="F1724">
        <f t="shared" si="108"/>
        <v>0</v>
      </c>
    </row>
    <row r="1725" spans="1:6" x14ac:dyDescent="0.25">
      <c r="A1725" s="4" t="s">
        <v>356</v>
      </c>
      <c r="B1725">
        <v>333</v>
      </c>
      <c r="C1725">
        <f t="shared" si="107"/>
        <v>10005</v>
      </c>
      <c r="D1725">
        <f t="shared" si="109"/>
        <v>0</v>
      </c>
      <c r="E1725">
        <f t="shared" si="110"/>
        <v>0</v>
      </c>
      <c r="F1725">
        <f t="shared" si="108"/>
        <v>0</v>
      </c>
    </row>
    <row r="1726" spans="1:6" x14ac:dyDescent="0.25">
      <c r="A1726" s="4" t="s">
        <v>363</v>
      </c>
      <c r="B1726">
        <v>223</v>
      </c>
      <c r="C1726">
        <f t="shared" si="107"/>
        <v>10228</v>
      </c>
      <c r="D1726">
        <f t="shared" si="109"/>
        <v>0</v>
      </c>
      <c r="E1726">
        <f t="shared" si="110"/>
        <v>0</v>
      </c>
      <c r="F1726">
        <f t="shared" si="108"/>
        <v>0</v>
      </c>
    </row>
    <row r="1727" spans="1:6" x14ac:dyDescent="0.25">
      <c r="A1727" s="4" t="s">
        <v>364</v>
      </c>
      <c r="B1727">
        <v>870</v>
      </c>
      <c r="C1727">
        <f t="shared" si="107"/>
        <v>11098</v>
      </c>
      <c r="D1727">
        <f t="shared" si="109"/>
        <v>0</v>
      </c>
      <c r="E1727">
        <f t="shared" si="110"/>
        <v>0</v>
      </c>
      <c r="F1727">
        <f t="shared" si="108"/>
        <v>0</v>
      </c>
    </row>
    <row r="1728" spans="1:6" x14ac:dyDescent="0.25">
      <c r="A1728" s="4" t="s">
        <v>368</v>
      </c>
      <c r="B1728">
        <v>153</v>
      </c>
      <c r="C1728">
        <f t="shared" si="107"/>
        <v>11251</v>
      </c>
      <c r="D1728">
        <f t="shared" si="109"/>
        <v>0</v>
      </c>
      <c r="E1728">
        <f t="shared" si="110"/>
        <v>0</v>
      </c>
      <c r="F1728">
        <f t="shared" si="108"/>
        <v>0</v>
      </c>
    </row>
    <row r="1729" spans="1:6" x14ac:dyDescent="0.25">
      <c r="A1729" s="4" t="s">
        <v>370</v>
      </c>
      <c r="B1729">
        <v>418</v>
      </c>
      <c r="C1729">
        <f t="shared" si="107"/>
        <v>11669</v>
      </c>
      <c r="D1729">
        <f t="shared" si="109"/>
        <v>0</v>
      </c>
      <c r="E1729">
        <f t="shared" si="110"/>
        <v>0</v>
      </c>
      <c r="F1729">
        <f t="shared" si="108"/>
        <v>0</v>
      </c>
    </row>
    <row r="1730" spans="1:6" x14ac:dyDescent="0.25">
      <c r="A1730" s="4" t="s">
        <v>393</v>
      </c>
      <c r="B1730">
        <v>725</v>
      </c>
      <c r="C1730">
        <f t="shared" si="107"/>
        <v>12394</v>
      </c>
      <c r="D1730">
        <f t="shared" si="109"/>
        <v>0</v>
      </c>
      <c r="E1730">
        <f t="shared" si="110"/>
        <v>0</v>
      </c>
      <c r="F1730">
        <f t="shared" si="108"/>
        <v>0</v>
      </c>
    </row>
    <row r="1731" spans="1:6" x14ac:dyDescent="0.25">
      <c r="A1731" s="4" t="s">
        <v>399</v>
      </c>
      <c r="B1731">
        <v>172</v>
      </c>
      <c r="C1731">
        <f t="shared" si="107"/>
        <v>12566</v>
      </c>
      <c r="D1731">
        <f t="shared" si="109"/>
        <v>0</v>
      </c>
      <c r="E1731">
        <f t="shared" si="110"/>
        <v>0</v>
      </c>
      <c r="F1731">
        <f t="shared" si="108"/>
        <v>0</v>
      </c>
    </row>
    <row r="1732" spans="1:6" x14ac:dyDescent="0.25">
      <c r="A1732" s="3" t="s">
        <v>31</v>
      </c>
      <c r="B1732">
        <v>18433</v>
      </c>
      <c r="C1732">
        <f t="shared" si="107"/>
        <v>0</v>
      </c>
      <c r="D1732">
        <f t="shared" si="109"/>
        <v>0</v>
      </c>
      <c r="E1732">
        <f t="shared" si="110"/>
        <v>0</v>
      </c>
      <c r="F1732">
        <f t="shared" si="108"/>
        <v>0</v>
      </c>
    </row>
    <row r="1733" spans="1:6" x14ac:dyDescent="0.25">
      <c r="A1733" s="4" t="s">
        <v>97</v>
      </c>
      <c r="B1733">
        <v>141</v>
      </c>
      <c r="C1733">
        <f t="shared" ref="C1733:C1796" si="111">IF(LEN(A1733) &gt;= 12, 0, C1732+B1733)</f>
        <v>141</v>
      </c>
      <c r="D1733">
        <f t="shared" si="109"/>
        <v>0</v>
      </c>
      <c r="E1733">
        <f t="shared" si="110"/>
        <v>0</v>
      </c>
      <c r="F1733">
        <f t="shared" si="108"/>
        <v>0</v>
      </c>
    </row>
    <row r="1734" spans="1:6" x14ac:dyDescent="0.25">
      <c r="A1734" s="4" t="s">
        <v>98</v>
      </c>
      <c r="B1734">
        <v>1006</v>
      </c>
      <c r="C1734">
        <f t="shared" si="111"/>
        <v>1147</v>
      </c>
      <c r="D1734">
        <f t="shared" si="109"/>
        <v>0</v>
      </c>
      <c r="E1734">
        <f t="shared" si="110"/>
        <v>0</v>
      </c>
      <c r="F1734">
        <f t="shared" ref="F1734:F1797" si="112">IF(AND(D1734 = 1, C1734 &lt; 20000), B1734*5, IF(AND(E1734=1, C1734 &gt;= 20000),B1734*10,0))</f>
        <v>0</v>
      </c>
    </row>
    <row r="1735" spans="1:6" x14ac:dyDescent="0.25">
      <c r="A1735" s="4" t="s">
        <v>101</v>
      </c>
      <c r="B1735">
        <v>415</v>
      </c>
      <c r="C1735">
        <f t="shared" si="111"/>
        <v>1562</v>
      </c>
      <c r="D1735">
        <f t="shared" si="109"/>
        <v>0</v>
      </c>
      <c r="E1735">
        <f t="shared" si="110"/>
        <v>0</v>
      </c>
      <c r="F1735">
        <f t="shared" si="112"/>
        <v>0</v>
      </c>
    </row>
    <row r="1736" spans="1:6" x14ac:dyDescent="0.25">
      <c r="A1736" s="4" t="s">
        <v>116</v>
      </c>
      <c r="B1736">
        <v>112</v>
      </c>
      <c r="C1736">
        <f t="shared" si="111"/>
        <v>1674</v>
      </c>
      <c r="D1736">
        <f t="shared" si="109"/>
        <v>0</v>
      </c>
      <c r="E1736">
        <f t="shared" si="110"/>
        <v>0</v>
      </c>
      <c r="F1736">
        <f t="shared" si="112"/>
        <v>0</v>
      </c>
    </row>
    <row r="1737" spans="1:6" x14ac:dyDescent="0.25">
      <c r="A1737" s="4" t="s">
        <v>117</v>
      </c>
      <c r="B1737">
        <v>662</v>
      </c>
      <c r="C1737">
        <f t="shared" si="111"/>
        <v>2336</v>
      </c>
      <c r="D1737">
        <f t="shared" si="109"/>
        <v>0</v>
      </c>
      <c r="E1737">
        <f t="shared" si="110"/>
        <v>0</v>
      </c>
      <c r="F1737">
        <f t="shared" si="112"/>
        <v>0</v>
      </c>
    </row>
    <row r="1738" spans="1:6" x14ac:dyDescent="0.25">
      <c r="A1738" s="4" t="s">
        <v>120</v>
      </c>
      <c r="B1738">
        <v>187</v>
      </c>
      <c r="C1738">
        <f t="shared" si="111"/>
        <v>2523</v>
      </c>
      <c r="D1738">
        <f t="shared" si="109"/>
        <v>0</v>
      </c>
      <c r="E1738">
        <f t="shared" si="110"/>
        <v>0</v>
      </c>
      <c r="F1738">
        <f t="shared" si="112"/>
        <v>0</v>
      </c>
    </row>
    <row r="1739" spans="1:6" x14ac:dyDescent="0.25">
      <c r="A1739" s="4" t="s">
        <v>123</v>
      </c>
      <c r="B1739">
        <v>364</v>
      </c>
      <c r="C1739">
        <f t="shared" si="111"/>
        <v>2887</v>
      </c>
      <c r="D1739">
        <f t="shared" si="109"/>
        <v>0</v>
      </c>
      <c r="E1739">
        <f t="shared" si="110"/>
        <v>0</v>
      </c>
      <c r="F1739">
        <f t="shared" si="112"/>
        <v>0</v>
      </c>
    </row>
    <row r="1740" spans="1:6" x14ac:dyDescent="0.25">
      <c r="A1740" s="4" t="s">
        <v>126</v>
      </c>
      <c r="B1740">
        <v>305</v>
      </c>
      <c r="C1740">
        <f t="shared" si="111"/>
        <v>3192</v>
      </c>
      <c r="D1740">
        <f t="shared" si="109"/>
        <v>0</v>
      </c>
      <c r="E1740">
        <f t="shared" si="110"/>
        <v>0</v>
      </c>
      <c r="F1740">
        <f t="shared" si="112"/>
        <v>0</v>
      </c>
    </row>
    <row r="1741" spans="1:6" x14ac:dyDescent="0.25">
      <c r="A1741" s="4" t="s">
        <v>153</v>
      </c>
      <c r="B1741">
        <v>301</v>
      </c>
      <c r="C1741">
        <f t="shared" si="111"/>
        <v>3493</v>
      </c>
      <c r="D1741">
        <f t="shared" si="109"/>
        <v>0</v>
      </c>
      <c r="E1741">
        <f t="shared" si="110"/>
        <v>0</v>
      </c>
      <c r="F1741">
        <f t="shared" si="112"/>
        <v>0</v>
      </c>
    </row>
    <row r="1742" spans="1:6" x14ac:dyDescent="0.25">
      <c r="A1742" s="4" t="s">
        <v>166</v>
      </c>
      <c r="B1742">
        <v>289</v>
      </c>
      <c r="C1742">
        <f t="shared" si="111"/>
        <v>3782</v>
      </c>
      <c r="D1742">
        <f t="shared" si="109"/>
        <v>0</v>
      </c>
      <c r="E1742">
        <f t="shared" si="110"/>
        <v>0</v>
      </c>
      <c r="F1742">
        <f t="shared" si="112"/>
        <v>0</v>
      </c>
    </row>
    <row r="1743" spans="1:6" x14ac:dyDescent="0.25">
      <c r="A1743" s="4" t="s">
        <v>168</v>
      </c>
      <c r="B1743">
        <v>616</v>
      </c>
      <c r="C1743">
        <f t="shared" si="111"/>
        <v>4398</v>
      </c>
      <c r="D1743">
        <f t="shared" si="109"/>
        <v>0</v>
      </c>
      <c r="E1743">
        <f t="shared" si="110"/>
        <v>0</v>
      </c>
      <c r="F1743">
        <f t="shared" si="112"/>
        <v>0</v>
      </c>
    </row>
    <row r="1744" spans="1:6" x14ac:dyDescent="0.25">
      <c r="A1744" s="4" t="s">
        <v>172</v>
      </c>
      <c r="B1744">
        <v>311</v>
      </c>
      <c r="C1744">
        <f t="shared" si="111"/>
        <v>4709</v>
      </c>
      <c r="D1744">
        <f t="shared" si="109"/>
        <v>0</v>
      </c>
      <c r="E1744">
        <f t="shared" si="110"/>
        <v>0</v>
      </c>
      <c r="F1744">
        <f t="shared" si="112"/>
        <v>0</v>
      </c>
    </row>
    <row r="1745" spans="1:6" x14ac:dyDescent="0.25">
      <c r="A1745" s="4" t="s">
        <v>176</v>
      </c>
      <c r="B1745">
        <v>472</v>
      </c>
      <c r="C1745">
        <f t="shared" si="111"/>
        <v>5181</v>
      </c>
      <c r="D1745">
        <f t="shared" si="109"/>
        <v>0</v>
      </c>
      <c r="E1745">
        <f t="shared" si="110"/>
        <v>0</v>
      </c>
      <c r="F1745">
        <f t="shared" si="112"/>
        <v>0</v>
      </c>
    </row>
    <row r="1746" spans="1:6" x14ac:dyDescent="0.25">
      <c r="A1746" s="4" t="s">
        <v>177</v>
      </c>
      <c r="B1746">
        <v>217</v>
      </c>
      <c r="C1746">
        <f t="shared" si="111"/>
        <v>5398</v>
      </c>
      <c r="D1746">
        <f t="shared" si="109"/>
        <v>0</v>
      </c>
      <c r="E1746">
        <f t="shared" si="110"/>
        <v>0</v>
      </c>
      <c r="F1746">
        <f t="shared" si="112"/>
        <v>0</v>
      </c>
    </row>
    <row r="1747" spans="1:6" x14ac:dyDescent="0.25">
      <c r="A1747" s="4" t="s">
        <v>184</v>
      </c>
      <c r="B1747">
        <v>434</v>
      </c>
      <c r="C1747">
        <f t="shared" si="111"/>
        <v>5832</v>
      </c>
      <c r="D1747">
        <f t="shared" si="109"/>
        <v>0</v>
      </c>
      <c r="E1747">
        <f t="shared" si="110"/>
        <v>0</v>
      </c>
      <c r="F1747">
        <f t="shared" si="112"/>
        <v>0</v>
      </c>
    </row>
    <row r="1748" spans="1:6" x14ac:dyDescent="0.25">
      <c r="A1748" s="4" t="s">
        <v>197</v>
      </c>
      <c r="B1748">
        <v>266</v>
      </c>
      <c r="C1748">
        <f t="shared" si="111"/>
        <v>6098</v>
      </c>
      <c r="D1748">
        <f t="shared" si="109"/>
        <v>0</v>
      </c>
      <c r="E1748">
        <f t="shared" si="110"/>
        <v>0</v>
      </c>
      <c r="F1748">
        <f t="shared" si="112"/>
        <v>0</v>
      </c>
    </row>
    <row r="1749" spans="1:6" x14ac:dyDescent="0.25">
      <c r="A1749" s="4" t="s">
        <v>201</v>
      </c>
      <c r="B1749">
        <v>1174</v>
      </c>
      <c r="C1749">
        <f t="shared" si="111"/>
        <v>7272</v>
      </c>
      <c r="D1749">
        <f t="shared" si="109"/>
        <v>0</v>
      </c>
      <c r="E1749">
        <f t="shared" si="110"/>
        <v>0</v>
      </c>
      <c r="F1749">
        <f t="shared" si="112"/>
        <v>0</v>
      </c>
    </row>
    <row r="1750" spans="1:6" x14ac:dyDescent="0.25">
      <c r="A1750" s="4" t="s">
        <v>203</v>
      </c>
      <c r="B1750">
        <v>224</v>
      </c>
      <c r="C1750">
        <f t="shared" si="111"/>
        <v>7496</v>
      </c>
      <c r="D1750">
        <f t="shared" si="109"/>
        <v>0</v>
      </c>
      <c r="E1750">
        <f t="shared" si="110"/>
        <v>0</v>
      </c>
      <c r="F1750">
        <f t="shared" si="112"/>
        <v>0</v>
      </c>
    </row>
    <row r="1751" spans="1:6" x14ac:dyDescent="0.25">
      <c r="A1751" s="4" t="s">
        <v>208</v>
      </c>
      <c r="B1751">
        <v>949</v>
      </c>
      <c r="C1751">
        <f t="shared" si="111"/>
        <v>8445</v>
      </c>
      <c r="D1751">
        <f t="shared" si="109"/>
        <v>0</v>
      </c>
      <c r="E1751">
        <f t="shared" si="110"/>
        <v>0</v>
      </c>
      <c r="F1751">
        <f t="shared" si="112"/>
        <v>0</v>
      </c>
    </row>
    <row r="1752" spans="1:6" x14ac:dyDescent="0.25">
      <c r="A1752" s="4" t="s">
        <v>211</v>
      </c>
      <c r="B1752">
        <v>185</v>
      </c>
      <c r="C1752">
        <f t="shared" si="111"/>
        <v>8630</v>
      </c>
      <c r="D1752">
        <f t="shared" si="109"/>
        <v>0</v>
      </c>
      <c r="E1752">
        <f t="shared" si="110"/>
        <v>0</v>
      </c>
      <c r="F1752">
        <f t="shared" si="112"/>
        <v>0</v>
      </c>
    </row>
    <row r="1753" spans="1:6" x14ac:dyDescent="0.25">
      <c r="A1753" s="4" t="s">
        <v>216</v>
      </c>
      <c r="B1753">
        <v>484</v>
      </c>
      <c r="C1753">
        <f t="shared" si="111"/>
        <v>9114</v>
      </c>
      <c r="D1753">
        <f t="shared" si="109"/>
        <v>0</v>
      </c>
      <c r="E1753">
        <f t="shared" si="110"/>
        <v>0</v>
      </c>
      <c r="F1753">
        <f t="shared" si="112"/>
        <v>0</v>
      </c>
    </row>
    <row r="1754" spans="1:6" x14ac:dyDescent="0.25">
      <c r="A1754" s="4" t="s">
        <v>219</v>
      </c>
      <c r="B1754">
        <v>405</v>
      </c>
      <c r="C1754">
        <f t="shared" si="111"/>
        <v>9519</v>
      </c>
      <c r="D1754">
        <f t="shared" si="109"/>
        <v>0</v>
      </c>
      <c r="E1754">
        <f t="shared" si="110"/>
        <v>0</v>
      </c>
      <c r="F1754">
        <f t="shared" si="112"/>
        <v>0</v>
      </c>
    </row>
    <row r="1755" spans="1:6" x14ac:dyDescent="0.25">
      <c r="A1755" s="4" t="s">
        <v>220</v>
      </c>
      <c r="B1755">
        <v>676</v>
      </c>
      <c r="C1755">
        <f t="shared" si="111"/>
        <v>10195</v>
      </c>
      <c r="D1755">
        <f t="shared" si="109"/>
        <v>0</v>
      </c>
      <c r="E1755">
        <f t="shared" si="110"/>
        <v>0</v>
      </c>
      <c r="F1755">
        <f t="shared" si="112"/>
        <v>0</v>
      </c>
    </row>
    <row r="1756" spans="1:6" x14ac:dyDescent="0.25">
      <c r="A1756" s="4" t="s">
        <v>232</v>
      </c>
      <c r="B1756">
        <v>685</v>
      </c>
      <c r="C1756">
        <f t="shared" si="111"/>
        <v>10880</v>
      </c>
      <c r="D1756">
        <f t="shared" si="109"/>
        <v>0</v>
      </c>
      <c r="E1756">
        <f t="shared" si="110"/>
        <v>0</v>
      </c>
      <c r="F1756">
        <f t="shared" si="112"/>
        <v>0</v>
      </c>
    </row>
    <row r="1757" spans="1:6" x14ac:dyDescent="0.25">
      <c r="A1757" s="4" t="s">
        <v>235</v>
      </c>
      <c r="B1757">
        <v>269</v>
      </c>
      <c r="C1757">
        <f t="shared" si="111"/>
        <v>11149</v>
      </c>
      <c r="D1757">
        <f t="shared" si="109"/>
        <v>0</v>
      </c>
      <c r="E1757">
        <f t="shared" si="110"/>
        <v>0</v>
      </c>
      <c r="F1757">
        <f t="shared" si="112"/>
        <v>0</v>
      </c>
    </row>
    <row r="1758" spans="1:6" x14ac:dyDescent="0.25">
      <c r="A1758" s="4" t="s">
        <v>269</v>
      </c>
      <c r="B1758">
        <v>904</v>
      </c>
      <c r="C1758">
        <f t="shared" si="111"/>
        <v>12053</v>
      </c>
      <c r="D1758">
        <f t="shared" si="109"/>
        <v>0</v>
      </c>
      <c r="E1758">
        <f t="shared" si="110"/>
        <v>0</v>
      </c>
      <c r="F1758">
        <f t="shared" si="112"/>
        <v>0</v>
      </c>
    </row>
    <row r="1759" spans="1:6" x14ac:dyDescent="0.25">
      <c r="A1759" s="4" t="s">
        <v>279</v>
      </c>
      <c r="B1759">
        <v>389</v>
      </c>
      <c r="C1759">
        <f t="shared" si="111"/>
        <v>12442</v>
      </c>
      <c r="D1759">
        <f t="shared" si="109"/>
        <v>0</v>
      </c>
      <c r="E1759">
        <f t="shared" si="110"/>
        <v>0</v>
      </c>
      <c r="F1759">
        <f t="shared" si="112"/>
        <v>0</v>
      </c>
    </row>
    <row r="1760" spans="1:6" x14ac:dyDescent="0.25">
      <c r="A1760" s="4" t="s">
        <v>281</v>
      </c>
      <c r="B1760">
        <v>369</v>
      </c>
      <c r="C1760">
        <f t="shared" si="111"/>
        <v>12811</v>
      </c>
      <c r="D1760">
        <f t="shared" si="109"/>
        <v>0</v>
      </c>
      <c r="E1760">
        <f t="shared" si="110"/>
        <v>0</v>
      </c>
      <c r="F1760">
        <f t="shared" si="112"/>
        <v>0</v>
      </c>
    </row>
    <row r="1761" spans="1:6" x14ac:dyDescent="0.25">
      <c r="A1761" s="4" t="s">
        <v>283</v>
      </c>
      <c r="B1761">
        <v>175</v>
      </c>
      <c r="C1761">
        <f t="shared" si="111"/>
        <v>12986</v>
      </c>
      <c r="D1761">
        <f t="shared" si="109"/>
        <v>0</v>
      </c>
      <c r="E1761">
        <f t="shared" si="110"/>
        <v>0</v>
      </c>
      <c r="F1761">
        <f t="shared" si="112"/>
        <v>0</v>
      </c>
    </row>
    <row r="1762" spans="1:6" x14ac:dyDescent="0.25">
      <c r="A1762" s="4" t="s">
        <v>289</v>
      </c>
      <c r="B1762">
        <v>143</v>
      </c>
      <c r="C1762">
        <f t="shared" si="111"/>
        <v>13129</v>
      </c>
      <c r="D1762">
        <f t="shared" si="109"/>
        <v>0</v>
      </c>
      <c r="E1762">
        <f t="shared" si="110"/>
        <v>0</v>
      </c>
      <c r="F1762">
        <f t="shared" si="112"/>
        <v>0</v>
      </c>
    </row>
    <row r="1763" spans="1:6" x14ac:dyDescent="0.25">
      <c r="A1763" s="4" t="s">
        <v>295</v>
      </c>
      <c r="B1763">
        <v>248</v>
      </c>
      <c r="C1763">
        <f t="shared" si="111"/>
        <v>13377</v>
      </c>
      <c r="D1763">
        <f t="shared" si="109"/>
        <v>0</v>
      </c>
      <c r="E1763">
        <f t="shared" si="110"/>
        <v>0</v>
      </c>
      <c r="F1763">
        <f t="shared" si="112"/>
        <v>0</v>
      </c>
    </row>
    <row r="1764" spans="1:6" x14ac:dyDescent="0.25">
      <c r="A1764" s="4" t="s">
        <v>304</v>
      </c>
      <c r="B1764">
        <v>22</v>
      </c>
      <c r="C1764">
        <f t="shared" si="111"/>
        <v>13399</v>
      </c>
      <c r="D1764">
        <f t="shared" si="109"/>
        <v>0</v>
      </c>
      <c r="E1764">
        <f t="shared" si="110"/>
        <v>0</v>
      </c>
      <c r="F1764">
        <f t="shared" si="112"/>
        <v>0</v>
      </c>
    </row>
    <row r="1765" spans="1:6" x14ac:dyDescent="0.25">
      <c r="A1765" s="4" t="s">
        <v>308</v>
      </c>
      <c r="B1765">
        <v>458</v>
      </c>
      <c r="C1765">
        <f t="shared" si="111"/>
        <v>13857</v>
      </c>
      <c r="D1765">
        <f t="shared" si="109"/>
        <v>0</v>
      </c>
      <c r="E1765">
        <f t="shared" si="110"/>
        <v>0</v>
      </c>
      <c r="F1765">
        <f t="shared" si="112"/>
        <v>0</v>
      </c>
    </row>
    <row r="1766" spans="1:6" x14ac:dyDescent="0.25">
      <c r="A1766" s="4" t="s">
        <v>327</v>
      </c>
      <c r="B1766">
        <v>243</v>
      </c>
      <c r="C1766">
        <f t="shared" si="111"/>
        <v>14100</v>
      </c>
      <c r="D1766">
        <f t="shared" si="109"/>
        <v>0</v>
      </c>
      <c r="E1766">
        <f t="shared" si="110"/>
        <v>0</v>
      </c>
      <c r="F1766">
        <f t="shared" si="112"/>
        <v>0</v>
      </c>
    </row>
    <row r="1767" spans="1:6" x14ac:dyDescent="0.25">
      <c r="A1767" s="4" t="s">
        <v>335</v>
      </c>
      <c r="B1767">
        <v>238</v>
      </c>
      <c r="C1767">
        <f t="shared" si="111"/>
        <v>14338</v>
      </c>
      <c r="D1767">
        <f t="shared" si="109"/>
        <v>0</v>
      </c>
      <c r="E1767">
        <f t="shared" si="110"/>
        <v>0</v>
      </c>
      <c r="F1767">
        <f t="shared" si="112"/>
        <v>0</v>
      </c>
    </row>
    <row r="1768" spans="1:6" x14ac:dyDescent="0.25">
      <c r="A1768" s="4" t="s">
        <v>339</v>
      </c>
      <c r="B1768">
        <v>338</v>
      </c>
      <c r="C1768">
        <f t="shared" si="111"/>
        <v>14676</v>
      </c>
      <c r="D1768">
        <f t="shared" si="109"/>
        <v>0</v>
      </c>
      <c r="E1768">
        <f t="shared" si="110"/>
        <v>0</v>
      </c>
      <c r="F1768">
        <f t="shared" si="112"/>
        <v>0</v>
      </c>
    </row>
    <row r="1769" spans="1:6" x14ac:dyDescent="0.25">
      <c r="A1769" s="4" t="s">
        <v>351</v>
      </c>
      <c r="B1769">
        <v>194</v>
      </c>
      <c r="C1769">
        <f t="shared" si="111"/>
        <v>14870</v>
      </c>
      <c r="D1769">
        <f t="shared" si="109"/>
        <v>0</v>
      </c>
      <c r="E1769">
        <f t="shared" si="110"/>
        <v>0</v>
      </c>
      <c r="F1769">
        <f t="shared" si="112"/>
        <v>0</v>
      </c>
    </row>
    <row r="1770" spans="1:6" x14ac:dyDescent="0.25">
      <c r="A1770" s="4" t="s">
        <v>353</v>
      </c>
      <c r="B1770">
        <v>327</v>
      </c>
      <c r="C1770">
        <f t="shared" si="111"/>
        <v>15197</v>
      </c>
      <c r="D1770">
        <f t="shared" si="109"/>
        <v>1</v>
      </c>
      <c r="E1770">
        <f t="shared" si="110"/>
        <v>0</v>
      </c>
      <c r="F1770">
        <f t="shared" si="112"/>
        <v>1635</v>
      </c>
    </row>
    <row r="1771" spans="1:6" x14ac:dyDescent="0.25">
      <c r="A1771" s="4" t="s">
        <v>363</v>
      </c>
      <c r="B1771">
        <v>484</v>
      </c>
      <c r="C1771">
        <f t="shared" si="111"/>
        <v>15681</v>
      </c>
      <c r="D1771">
        <f t="shared" si="109"/>
        <v>1</v>
      </c>
      <c r="E1771">
        <f t="shared" si="110"/>
        <v>0</v>
      </c>
      <c r="F1771">
        <f t="shared" si="112"/>
        <v>2420</v>
      </c>
    </row>
    <row r="1772" spans="1:6" x14ac:dyDescent="0.25">
      <c r="A1772" s="4" t="s">
        <v>367</v>
      </c>
      <c r="B1772">
        <v>424</v>
      </c>
      <c r="C1772">
        <f t="shared" si="111"/>
        <v>16105</v>
      </c>
      <c r="D1772">
        <f t="shared" si="109"/>
        <v>1</v>
      </c>
      <c r="E1772">
        <f t="shared" si="110"/>
        <v>0</v>
      </c>
      <c r="F1772">
        <f t="shared" si="112"/>
        <v>2120</v>
      </c>
    </row>
    <row r="1773" spans="1:6" x14ac:dyDescent="0.25">
      <c r="A1773" s="4" t="s">
        <v>375</v>
      </c>
      <c r="B1773">
        <v>338</v>
      </c>
      <c r="C1773">
        <f t="shared" si="111"/>
        <v>16443</v>
      </c>
      <c r="D1773">
        <f t="shared" si="109"/>
        <v>1</v>
      </c>
      <c r="E1773">
        <f t="shared" si="110"/>
        <v>0</v>
      </c>
      <c r="F1773">
        <f t="shared" si="112"/>
        <v>1690</v>
      </c>
    </row>
    <row r="1774" spans="1:6" x14ac:dyDescent="0.25">
      <c r="A1774" s="4" t="s">
        <v>384</v>
      </c>
      <c r="B1774">
        <v>421</v>
      </c>
      <c r="C1774">
        <f t="shared" si="111"/>
        <v>16864</v>
      </c>
      <c r="D1774">
        <f t="shared" si="109"/>
        <v>1</v>
      </c>
      <c r="E1774">
        <f t="shared" si="110"/>
        <v>0</v>
      </c>
      <c r="F1774">
        <f t="shared" si="112"/>
        <v>2105</v>
      </c>
    </row>
    <row r="1775" spans="1:6" x14ac:dyDescent="0.25">
      <c r="A1775" s="4" t="s">
        <v>388</v>
      </c>
      <c r="B1775">
        <v>318</v>
      </c>
      <c r="C1775">
        <f t="shared" si="111"/>
        <v>17182</v>
      </c>
      <c r="D1775">
        <f t="shared" si="109"/>
        <v>1</v>
      </c>
      <c r="E1775">
        <f t="shared" si="110"/>
        <v>0</v>
      </c>
      <c r="F1775">
        <f t="shared" si="112"/>
        <v>1590</v>
      </c>
    </row>
    <row r="1776" spans="1:6" x14ac:dyDescent="0.25">
      <c r="A1776" s="4" t="s">
        <v>393</v>
      </c>
      <c r="B1776">
        <v>452</v>
      </c>
      <c r="C1776">
        <f t="shared" si="111"/>
        <v>17634</v>
      </c>
      <c r="D1776">
        <f t="shared" si="109"/>
        <v>1</v>
      </c>
      <c r="E1776">
        <f t="shared" si="110"/>
        <v>0</v>
      </c>
      <c r="F1776">
        <f t="shared" si="112"/>
        <v>2260</v>
      </c>
    </row>
    <row r="1777" spans="1:6" x14ac:dyDescent="0.25">
      <c r="A1777" s="4" t="s">
        <v>395</v>
      </c>
      <c r="B1777">
        <v>165</v>
      </c>
      <c r="C1777">
        <f t="shared" si="111"/>
        <v>17799</v>
      </c>
      <c r="D1777">
        <f t="shared" ref="D1777:D1840" si="113">IF(C1777 &gt; 15000, 1, 0)</f>
        <v>1</v>
      </c>
      <c r="E1777">
        <f t="shared" ref="E1777:E1840" si="114">IF(AND(D1777 =1,C1777 &gt;= 20000),1,0)</f>
        <v>0</v>
      </c>
      <c r="F1777">
        <f t="shared" si="112"/>
        <v>825</v>
      </c>
    </row>
    <row r="1778" spans="1:6" x14ac:dyDescent="0.25">
      <c r="A1778" s="4" t="s">
        <v>399</v>
      </c>
      <c r="B1778">
        <v>205</v>
      </c>
      <c r="C1778">
        <f t="shared" si="111"/>
        <v>18004</v>
      </c>
      <c r="D1778">
        <f t="shared" si="113"/>
        <v>1</v>
      </c>
      <c r="E1778">
        <f t="shared" si="114"/>
        <v>0</v>
      </c>
      <c r="F1778">
        <f t="shared" si="112"/>
        <v>1025</v>
      </c>
    </row>
    <row r="1779" spans="1:6" x14ac:dyDescent="0.25">
      <c r="A1779" s="4" t="s">
        <v>402</v>
      </c>
      <c r="B1779">
        <v>219</v>
      </c>
      <c r="C1779">
        <f t="shared" si="111"/>
        <v>18223</v>
      </c>
      <c r="D1779">
        <f t="shared" si="113"/>
        <v>1</v>
      </c>
      <c r="E1779">
        <f t="shared" si="114"/>
        <v>0</v>
      </c>
      <c r="F1779">
        <f t="shared" si="112"/>
        <v>1095</v>
      </c>
    </row>
    <row r="1780" spans="1:6" x14ac:dyDescent="0.25">
      <c r="A1780" s="4" t="s">
        <v>403</v>
      </c>
      <c r="B1780">
        <v>210</v>
      </c>
      <c r="C1780">
        <f t="shared" si="111"/>
        <v>18433</v>
      </c>
      <c r="D1780">
        <f t="shared" si="113"/>
        <v>1</v>
      </c>
      <c r="E1780">
        <f t="shared" si="114"/>
        <v>0</v>
      </c>
      <c r="F1780">
        <f t="shared" si="112"/>
        <v>1050</v>
      </c>
    </row>
    <row r="1781" spans="1:6" x14ac:dyDescent="0.25">
      <c r="A1781" s="3" t="s">
        <v>56</v>
      </c>
      <c r="B1781">
        <v>16468</v>
      </c>
      <c r="C1781">
        <f t="shared" si="111"/>
        <v>0</v>
      </c>
      <c r="D1781">
        <f t="shared" si="113"/>
        <v>0</v>
      </c>
      <c r="E1781">
        <f t="shared" si="114"/>
        <v>0</v>
      </c>
      <c r="F1781">
        <f t="shared" si="112"/>
        <v>0</v>
      </c>
    </row>
    <row r="1782" spans="1:6" x14ac:dyDescent="0.25">
      <c r="A1782" s="4" t="s">
        <v>94</v>
      </c>
      <c r="B1782">
        <v>204</v>
      </c>
      <c r="C1782">
        <f t="shared" si="111"/>
        <v>204</v>
      </c>
      <c r="D1782">
        <f t="shared" si="113"/>
        <v>0</v>
      </c>
      <c r="E1782">
        <f t="shared" si="114"/>
        <v>0</v>
      </c>
      <c r="F1782">
        <f t="shared" si="112"/>
        <v>0</v>
      </c>
    </row>
    <row r="1783" spans="1:6" x14ac:dyDescent="0.25">
      <c r="A1783" s="4" t="s">
        <v>99</v>
      </c>
      <c r="B1783">
        <v>424</v>
      </c>
      <c r="C1783">
        <f t="shared" si="111"/>
        <v>628</v>
      </c>
      <c r="D1783">
        <f t="shared" si="113"/>
        <v>0</v>
      </c>
      <c r="E1783">
        <f t="shared" si="114"/>
        <v>0</v>
      </c>
      <c r="F1783">
        <f t="shared" si="112"/>
        <v>0</v>
      </c>
    </row>
    <row r="1784" spans="1:6" x14ac:dyDescent="0.25">
      <c r="A1784" s="4" t="s">
        <v>113</v>
      </c>
      <c r="B1784">
        <v>798</v>
      </c>
      <c r="C1784">
        <f t="shared" si="111"/>
        <v>1426</v>
      </c>
      <c r="D1784">
        <f t="shared" si="113"/>
        <v>0</v>
      </c>
      <c r="E1784">
        <f t="shared" si="114"/>
        <v>0</v>
      </c>
      <c r="F1784">
        <f t="shared" si="112"/>
        <v>0</v>
      </c>
    </row>
    <row r="1785" spans="1:6" x14ac:dyDescent="0.25">
      <c r="A1785" s="4" t="s">
        <v>120</v>
      </c>
      <c r="B1785">
        <v>433</v>
      </c>
      <c r="C1785">
        <f t="shared" si="111"/>
        <v>1859</v>
      </c>
      <c r="D1785">
        <f t="shared" si="113"/>
        <v>0</v>
      </c>
      <c r="E1785">
        <f t="shared" si="114"/>
        <v>0</v>
      </c>
      <c r="F1785">
        <f t="shared" si="112"/>
        <v>0</v>
      </c>
    </row>
    <row r="1786" spans="1:6" x14ac:dyDescent="0.25">
      <c r="A1786" s="4" t="s">
        <v>123</v>
      </c>
      <c r="B1786">
        <v>335</v>
      </c>
      <c r="C1786">
        <f t="shared" si="111"/>
        <v>2194</v>
      </c>
      <c r="D1786">
        <f t="shared" si="113"/>
        <v>0</v>
      </c>
      <c r="E1786">
        <f t="shared" si="114"/>
        <v>0</v>
      </c>
      <c r="F1786">
        <f t="shared" si="112"/>
        <v>0</v>
      </c>
    </row>
    <row r="1787" spans="1:6" x14ac:dyDescent="0.25">
      <c r="A1787" s="4" t="s">
        <v>124</v>
      </c>
      <c r="B1787">
        <v>191</v>
      </c>
      <c r="C1787">
        <f t="shared" si="111"/>
        <v>2385</v>
      </c>
      <c r="D1787">
        <f t="shared" si="113"/>
        <v>0</v>
      </c>
      <c r="E1787">
        <f t="shared" si="114"/>
        <v>0</v>
      </c>
      <c r="F1787">
        <f t="shared" si="112"/>
        <v>0</v>
      </c>
    </row>
    <row r="1788" spans="1:6" x14ac:dyDescent="0.25">
      <c r="A1788" s="4" t="s">
        <v>132</v>
      </c>
      <c r="B1788">
        <v>227</v>
      </c>
      <c r="C1788">
        <f t="shared" si="111"/>
        <v>2612</v>
      </c>
      <c r="D1788">
        <f t="shared" si="113"/>
        <v>0</v>
      </c>
      <c r="E1788">
        <f t="shared" si="114"/>
        <v>0</v>
      </c>
      <c r="F1788">
        <f t="shared" si="112"/>
        <v>0</v>
      </c>
    </row>
    <row r="1789" spans="1:6" x14ac:dyDescent="0.25">
      <c r="A1789" s="4" t="s">
        <v>134</v>
      </c>
      <c r="B1789">
        <v>483</v>
      </c>
      <c r="C1789">
        <f t="shared" si="111"/>
        <v>3095</v>
      </c>
      <c r="D1789">
        <f t="shared" si="113"/>
        <v>0</v>
      </c>
      <c r="E1789">
        <f t="shared" si="114"/>
        <v>0</v>
      </c>
      <c r="F1789">
        <f t="shared" si="112"/>
        <v>0</v>
      </c>
    </row>
    <row r="1790" spans="1:6" x14ac:dyDescent="0.25">
      <c r="A1790" s="4" t="s">
        <v>136</v>
      </c>
      <c r="B1790">
        <v>141</v>
      </c>
      <c r="C1790">
        <f t="shared" si="111"/>
        <v>3236</v>
      </c>
      <c r="D1790">
        <f t="shared" si="113"/>
        <v>0</v>
      </c>
      <c r="E1790">
        <f t="shared" si="114"/>
        <v>0</v>
      </c>
      <c r="F1790">
        <f t="shared" si="112"/>
        <v>0</v>
      </c>
    </row>
    <row r="1791" spans="1:6" x14ac:dyDescent="0.25">
      <c r="A1791" s="4" t="s">
        <v>146</v>
      </c>
      <c r="B1791">
        <v>342</v>
      </c>
      <c r="C1791">
        <f t="shared" si="111"/>
        <v>3578</v>
      </c>
      <c r="D1791">
        <f t="shared" si="113"/>
        <v>0</v>
      </c>
      <c r="E1791">
        <f t="shared" si="114"/>
        <v>0</v>
      </c>
      <c r="F1791">
        <f t="shared" si="112"/>
        <v>0</v>
      </c>
    </row>
    <row r="1792" spans="1:6" x14ac:dyDescent="0.25">
      <c r="A1792" s="4" t="s">
        <v>153</v>
      </c>
      <c r="B1792">
        <v>461</v>
      </c>
      <c r="C1792">
        <f t="shared" si="111"/>
        <v>4039</v>
      </c>
      <c r="D1792">
        <f t="shared" si="113"/>
        <v>0</v>
      </c>
      <c r="E1792">
        <f t="shared" si="114"/>
        <v>0</v>
      </c>
      <c r="F1792">
        <f t="shared" si="112"/>
        <v>0</v>
      </c>
    </row>
    <row r="1793" spans="1:6" x14ac:dyDescent="0.25">
      <c r="A1793" s="4" t="s">
        <v>170</v>
      </c>
      <c r="B1793">
        <v>402</v>
      </c>
      <c r="C1793">
        <f t="shared" si="111"/>
        <v>4441</v>
      </c>
      <c r="D1793">
        <f t="shared" si="113"/>
        <v>0</v>
      </c>
      <c r="E1793">
        <f t="shared" si="114"/>
        <v>0</v>
      </c>
      <c r="F1793">
        <f t="shared" si="112"/>
        <v>0</v>
      </c>
    </row>
    <row r="1794" spans="1:6" x14ac:dyDescent="0.25">
      <c r="A1794" s="4" t="s">
        <v>172</v>
      </c>
      <c r="B1794">
        <v>792</v>
      </c>
      <c r="C1794">
        <f t="shared" si="111"/>
        <v>5233</v>
      </c>
      <c r="D1794">
        <f t="shared" si="113"/>
        <v>0</v>
      </c>
      <c r="E1794">
        <f t="shared" si="114"/>
        <v>0</v>
      </c>
      <c r="F1794">
        <f t="shared" si="112"/>
        <v>0</v>
      </c>
    </row>
    <row r="1795" spans="1:6" x14ac:dyDescent="0.25">
      <c r="A1795" s="4" t="s">
        <v>174</v>
      </c>
      <c r="B1795">
        <v>12</v>
      </c>
      <c r="C1795">
        <f t="shared" si="111"/>
        <v>5245</v>
      </c>
      <c r="D1795">
        <f t="shared" si="113"/>
        <v>0</v>
      </c>
      <c r="E1795">
        <f t="shared" si="114"/>
        <v>0</v>
      </c>
      <c r="F1795">
        <f t="shared" si="112"/>
        <v>0</v>
      </c>
    </row>
    <row r="1796" spans="1:6" x14ac:dyDescent="0.25">
      <c r="A1796" s="4" t="s">
        <v>179</v>
      </c>
      <c r="B1796">
        <v>448</v>
      </c>
      <c r="C1796">
        <f t="shared" si="111"/>
        <v>5693</v>
      </c>
      <c r="D1796">
        <f t="shared" si="113"/>
        <v>0</v>
      </c>
      <c r="E1796">
        <f t="shared" si="114"/>
        <v>0</v>
      </c>
      <c r="F1796">
        <f t="shared" si="112"/>
        <v>0</v>
      </c>
    </row>
    <row r="1797" spans="1:6" x14ac:dyDescent="0.25">
      <c r="A1797" s="4" t="s">
        <v>189</v>
      </c>
      <c r="B1797">
        <v>668</v>
      </c>
      <c r="C1797">
        <f t="shared" ref="C1797:C1860" si="115">IF(LEN(A1797) &gt;= 12, 0, C1796+B1797)</f>
        <v>6361</v>
      </c>
      <c r="D1797">
        <f t="shared" si="113"/>
        <v>0</v>
      </c>
      <c r="E1797">
        <f t="shared" si="114"/>
        <v>0</v>
      </c>
      <c r="F1797">
        <f t="shared" si="112"/>
        <v>0</v>
      </c>
    </row>
    <row r="1798" spans="1:6" x14ac:dyDescent="0.25">
      <c r="A1798" s="4" t="s">
        <v>201</v>
      </c>
      <c r="B1798">
        <v>165</v>
      </c>
      <c r="C1798">
        <f t="shared" si="115"/>
        <v>6526</v>
      </c>
      <c r="D1798">
        <f t="shared" si="113"/>
        <v>0</v>
      </c>
      <c r="E1798">
        <f t="shared" si="114"/>
        <v>0</v>
      </c>
      <c r="F1798">
        <f t="shared" ref="F1798:F1861" si="116">IF(AND(D1798 = 1, C1798 &lt; 20000), B1798*5, IF(AND(E1798=1, C1798 &gt;= 20000),B1798*10,0))</f>
        <v>0</v>
      </c>
    </row>
    <row r="1799" spans="1:6" x14ac:dyDescent="0.25">
      <c r="A1799" s="4" t="s">
        <v>207</v>
      </c>
      <c r="B1799">
        <v>380</v>
      </c>
      <c r="C1799">
        <f t="shared" si="115"/>
        <v>6906</v>
      </c>
      <c r="D1799">
        <f t="shared" si="113"/>
        <v>0</v>
      </c>
      <c r="E1799">
        <f t="shared" si="114"/>
        <v>0</v>
      </c>
      <c r="F1799">
        <f t="shared" si="116"/>
        <v>0</v>
      </c>
    </row>
    <row r="1800" spans="1:6" x14ac:dyDescent="0.25">
      <c r="A1800" s="4" t="s">
        <v>216</v>
      </c>
      <c r="B1800">
        <v>385</v>
      </c>
      <c r="C1800">
        <f t="shared" si="115"/>
        <v>7291</v>
      </c>
      <c r="D1800">
        <f t="shared" si="113"/>
        <v>0</v>
      </c>
      <c r="E1800">
        <f t="shared" si="114"/>
        <v>0</v>
      </c>
      <c r="F1800">
        <f t="shared" si="116"/>
        <v>0</v>
      </c>
    </row>
    <row r="1801" spans="1:6" x14ac:dyDescent="0.25">
      <c r="A1801" s="4" t="s">
        <v>217</v>
      </c>
      <c r="B1801">
        <v>296</v>
      </c>
      <c r="C1801">
        <f t="shared" si="115"/>
        <v>7587</v>
      </c>
      <c r="D1801">
        <f t="shared" si="113"/>
        <v>0</v>
      </c>
      <c r="E1801">
        <f t="shared" si="114"/>
        <v>0</v>
      </c>
      <c r="F1801">
        <f t="shared" si="116"/>
        <v>0</v>
      </c>
    </row>
    <row r="1802" spans="1:6" x14ac:dyDescent="0.25">
      <c r="A1802" s="4" t="s">
        <v>231</v>
      </c>
      <c r="B1802">
        <v>449</v>
      </c>
      <c r="C1802">
        <f t="shared" si="115"/>
        <v>8036</v>
      </c>
      <c r="D1802">
        <f t="shared" si="113"/>
        <v>0</v>
      </c>
      <c r="E1802">
        <f t="shared" si="114"/>
        <v>0</v>
      </c>
      <c r="F1802">
        <f t="shared" si="116"/>
        <v>0</v>
      </c>
    </row>
    <row r="1803" spans="1:6" x14ac:dyDescent="0.25">
      <c r="A1803" s="4" t="s">
        <v>239</v>
      </c>
      <c r="B1803">
        <v>247</v>
      </c>
      <c r="C1803">
        <f t="shared" si="115"/>
        <v>8283</v>
      </c>
      <c r="D1803">
        <f t="shared" si="113"/>
        <v>0</v>
      </c>
      <c r="E1803">
        <f t="shared" si="114"/>
        <v>0</v>
      </c>
      <c r="F1803">
        <f t="shared" si="116"/>
        <v>0</v>
      </c>
    </row>
    <row r="1804" spans="1:6" x14ac:dyDescent="0.25">
      <c r="A1804" s="4" t="s">
        <v>240</v>
      </c>
      <c r="B1804">
        <v>230</v>
      </c>
      <c r="C1804">
        <f t="shared" si="115"/>
        <v>8513</v>
      </c>
      <c r="D1804">
        <f t="shared" si="113"/>
        <v>0</v>
      </c>
      <c r="E1804">
        <f t="shared" si="114"/>
        <v>0</v>
      </c>
      <c r="F1804">
        <f t="shared" si="116"/>
        <v>0</v>
      </c>
    </row>
    <row r="1805" spans="1:6" x14ac:dyDescent="0.25">
      <c r="A1805" s="4" t="s">
        <v>244</v>
      </c>
      <c r="B1805">
        <v>364</v>
      </c>
      <c r="C1805">
        <f t="shared" si="115"/>
        <v>8877</v>
      </c>
      <c r="D1805">
        <f t="shared" si="113"/>
        <v>0</v>
      </c>
      <c r="E1805">
        <f t="shared" si="114"/>
        <v>0</v>
      </c>
      <c r="F1805">
        <f t="shared" si="116"/>
        <v>0</v>
      </c>
    </row>
    <row r="1806" spans="1:6" x14ac:dyDescent="0.25">
      <c r="A1806" s="4" t="s">
        <v>247</v>
      </c>
      <c r="B1806">
        <v>52</v>
      </c>
      <c r="C1806">
        <f t="shared" si="115"/>
        <v>8929</v>
      </c>
      <c r="D1806">
        <f t="shared" si="113"/>
        <v>0</v>
      </c>
      <c r="E1806">
        <f t="shared" si="114"/>
        <v>0</v>
      </c>
      <c r="F1806">
        <f t="shared" si="116"/>
        <v>0</v>
      </c>
    </row>
    <row r="1807" spans="1:6" x14ac:dyDescent="0.25">
      <c r="A1807" s="4" t="s">
        <v>250</v>
      </c>
      <c r="B1807">
        <v>152</v>
      </c>
      <c r="C1807">
        <f t="shared" si="115"/>
        <v>9081</v>
      </c>
      <c r="D1807">
        <f t="shared" si="113"/>
        <v>0</v>
      </c>
      <c r="E1807">
        <f t="shared" si="114"/>
        <v>0</v>
      </c>
      <c r="F1807">
        <f t="shared" si="116"/>
        <v>0</v>
      </c>
    </row>
    <row r="1808" spans="1:6" x14ac:dyDescent="0.25">
      <c r="A1808" s="4" t="s">
        <v>251</v>
      </c>
      <c r="B1808">
        <v>576</v>
      </c>
      <c r="C1808">
        <f t="shared" si="115"/>
        <v>9657</v>
      </c>
      <c r="D1808">
        <f t="shared" si="113"/>
        <v>0</v>
      </c>
      <c r="E1808">
        <f t="shared" si="114"/>
        <v>0</v>
      </c>
      <c r="F1808">
        <f t="shared" si="116"/>
        <v>0</v>
      </c>
    </row>
    <row r="1809" spans="1:6" x14ac:dyDescent="0.25">
      <c r="A1809" s="4" t="s">
        <v>265</v>
      </c>
      <c r="B1809">
        <v>911</v>
      </c>
      <c r="C1809">
        <f t="shared" si="115"/>
        <v>10568</v>
      </c>
      <c r="D1809">
        <f t="shared" si="113"/>
        <v>0</v>
      </c>
      <c r="E1809">
        <f t="shared" si="114"/>
        <v>0</v>
      </c>
      <c r="F1809">
        <f t="shared" si="116"/>
        <v>0</v>
      </c>
    </row>
    <row r="1810" spans="1:6" x14ac:dyDescent="0.25">
      <c r="A1810" s="4" t="s">
        <v>307</v>
      </c>
      <c r="B1810">
        <v>354</v>
      </c>
      <c r="C1810">
        <f t="shared" si="115"/>
        <v>10922</v>
      </c>
      <c r="D1810">
        <f t="shared" si="113"/>
        <v>0</v>
      </c>
      <c r="E1810">
        <f t="shared" si="114"/>
        <v>0</v>
      </c>
      <c r="F1810">
        <f t="shared" si="116"/>
        <v>0</v>
      </c>
    </row>
    <row r="1811" spans="1:6" x14ac:dyDescent="0.25">
      <c r="A1811" s="4" t="s">
        <v>310</v>
      </c>
      <c r="B1811">
        <v>420</v>
      </c>
      <c r="C1811">
        <f t="shared" si="115"/>
        <v>11342</v>
      </c>
      <c r="D1811">
        <f t="shared" si="113"/>
        <v>0</v>
      </c>
      <c r="E1811">
        <f t="shared" si="114"/>
        <v>0</v>
      </c>
      <c r="F1811">
        <f t="shared" si="116"/>
        <v>0</v>
      </c>
    </row>
    <row r="1812" spans="1:6" x14ac:dyDescent="0.25">
      <c r="A1812" s="4" t="s">
        <v>313</v>
      </c>
      <c r="B1812">
        <v>234</v>
      </c>
      <c r="C1812">
        <f t="shared" si="115"/>
        <v>11576</v>
      </c>
      <c r="D1812">
        <f t="shared" si="113"/>
        <v>0</v>
      </c>
      <c r="E1812">
        <f t="shared" si="114"/>
        <v>0</v>
      </c>
      <c r="F1812">
        <f t="shared" si="116"/>
        <v>0</v>
      </c>
    </row>
    <row r="1813" spans="1:6" x14ac:dyDescent="0.25">
      <c r="A1813" s="4" t="s">
        <v>326</v>
      </c>
      <c r="B1813">
        <v>338</v>
      </c>
      <c r="C1813">
        <f t="shared" si="115"/>
        <v>11914</v>
      </c>
      <c r="D1813">
        <f t="shared" si="113"/>
        <v>0</v>
      </c>
      <c r="E1813">
        <f t="shared" si="114"/>
        <v>0</v>
      </c>
      <c r="F1813">
        <f t="shared" si="116"/>
        <v>0</v>
      </c>
    </row>
    <row r="1814" spans="1:6" x14ac:dyDescent="0.25">
      <c r="A1814" s="4" t="s">
        <v>339</v>
      </c>
      <c r="B1814">
        <v>396</v>
      </c>
      <c r="C1814">
        <f t="shared" si="115"/>
        <v>12310</v>
      </c>
      <c r="D1814">
        <f t="shared" si="113"/>
        <v>0</v>
      </c>
      <c r="E1814">
        <f t="shared" si="114"/>
        <v>0</v>
      </c>
      <c r="F1814">
        <f t="shared" si="116"/>
        <v>0</v>
      </c>
    </row>
    <row r="1815" spans="1:6" x14ac:dyDescent="0.25">
      <c r="A1815" s="4" t="s">
        <v>344</v>
      </c>
      <c r="B1815">
        <v>53</v>
      </c>
      <c r="C1815">
        <f t="shared" si="115"/>
        <v>12363</v>
      </c>
      <c r="D1815">
        <f t="shared" si="113"/>
        <v>0</v>
      </c>
      <c r="E1815">
        <f t="shared" si="114"/>
        <v>0</v>
      </c>
      <c r="F1815">
        <f t="shared" si="116"/>
        <v>0</v>
      </c>
    </row>
    <row r="1816" spans="1:6" x14ac:dyDescent="0.25">
      <c r="A1816" s="4" t="s">
        <v>350</v>
      </c>
      <c r="B1816">
        <v>287</v>
      </c>
      <c r="C1816">
        <f t="shared" si="115"/>
        <v>12650</v>
      </c>
      <c r="D1816">
        <f t="shared" si="113"/>
        <v>0</v>
      </c>
      <c r="E1816">
        <f t="shared" si="114"/>
        <v>0</v>
      </c>
      <c r="F1816">
        <f t="shared" si="116"/>
        <v>0</v>
      </c>
    </row>
    <row r="1817" spans="1:6" x14ac:dyDescent="0.25">
      <c r="A1817" s="4" t="s">
        <v>353</v>
      </c>
      <c r="B1817">
        <v>190</v>
      </c>
      <c r="C1817">
        <f t="shared" si="115"/>
        <v>12840</v>
      </c>
      <c r="D1817">
        <f t="shared" si="113"/>
        <v>0</v>
      </c>
      <c r="E1817">
        <f t="shared" si="114"/>
        <v>0</v>
      </c>
      <c r="F1817">
        <f t="shared" si="116"/>
        <v>0</v>
      </c>
    </row>
    <row r="1818" spans="1:6" x14ac:dyDescent="0.25">
      <c r="A1818" s="4" t="s">
        <v>367</v>
      </c>
      <c r="B1818">
        <v>462</v>
      </c>
      <c r="C1818">
        <f t="shared" si="115"/>
        <v>13302</v>
      </c>
      <c r="D1818">
        <f t="shared" si="113"/>
        <v>0</v>
      </c>
      <c r="E1818">
        <f t="shared" si="114"/>
        <v>0</v>
      </c>
      <c r="F1818">
        <f t="shared" si="116"/>
        <v>0</v>
      </c>
    </row>
    <row r="1819" spans="1:6" x14ac:dyDescent="0.25">
      <c r="A1819" s="4" t="s">
        <v>372</v>
      </c>
      <c r="B1819">
        <v>479</v>
      </c>
      <c r="C1819">
        <f t="shared" si="115"/>
        <v>13781</v>
      </c>
      <c r="D1819">
        <f t="shared" si="113"/>
        <v>0</v>
      </c>
      <c r="E1819">
        <f t="shared" si="114"/>
        <v>0</v>
      </c>
      <c r="F1819">
        <f t="shared" si="116"/>
        <v>0</v>
      </c>
    </row>
    <row r="1820" spans="1:6" x14ac:dyDescent="0.25">
      <c r="A1820" s="4" t="s">
        <v>375</v>
      </c>
      <c r="B1820">
        <v>369</v>
      </c>
      <c r="C1820">
        <f t="shared" si="115"/>
        <v>14150</v>
      </c>
      <c r="D1820">
        <f t="shared" si="113"/>
        <v>0</v>
      </c>
      <c r="E1820">
        <f t="shared" si="114"/>
        <v>0</v>
      </c>
      <c r="F1820">
        <f t="shared" si="116"/>
        <v>0</v>
      </c>
    </row>
    <row r="1821" spans="1:6" x14ac:dyDescent="0.25">
      <c r="A1821" s="4" t="s">
        <v>382</v>
      </c>
      <c r="B1821">
        <v>882</v>
      </c>
      <c r="C1821">
        <f t="shared" si="115"/>
        <v>15032</v>
      </c>
      <c r="D1821">
        <f t="shared" si="113"/>
        <v>1</v>
      </c>
      <c r="E1821">
        <f t="shared" si="114"/>
        <v>0</v>
      </c>
      <c r="F1821">
        <f t="shared" si="116"/>
        <v>4410</v>
      </c>
    </row>
    <row r="1822" spans="1:6" x14ac:dyDescent="0.25">
      <c r="A1822" s="4" t="s">
        <v>383</v>
      </c>
      <c r="B1822">
        <v>389</v>
      </c>
      <c r="C1822">
        <f t="shared" si="115"/>
        <v>15421</v>
      </c>
      <c r="D1822">
        <f t="shared" si="113"/>
        <v>1</v>
      </c>
      <c r="E1822">
        <f t="shared" si="114"/>
        <v>0</v>
      </c>
      <c r="F1822">
        <f t="shared" si="116"/>
        <v>1945</v>
      </c>
    </row>
    <row r="1823" spans="1:6" x14ac:dyDescent="0.25">
      <c r="A1823" s="4" t="s">
        <v>391</v>
      </c>
      <c r="B1823">
        <v>681</v>
      </c>
      <c r="C1823">
        <f t="shared" si="115"/>
        <v>16102</v>
      </c>
      <c r="D1823">
        <f t="shared" si="113"/>
        <v>1</v>
      </c>
      <c r="E1823">
        <f t="shared" si="114"/>
        <v>0</v>
      </c>
      <c r="F1823">
        <f t="shared" si="116"/>
        <v>3405</v>
      </c>
    </row>
    <row r="1824" spans="1:6" x14ac:dyDescent="0.25">
      <c r="A1824" s="4" t="s">
        <v>394</v>
      </c>
      <c r="B1824">
        <v>366</v>
      </c>
      <c r="C1824">
        <f t="shared" si="115"/>
        <v>16468</v>
      </c>
      <c r="D1824">
        <f t="shared" si="113"/>
        <v>1</v>
      </c>
      <c r="E1824">
        <f t="shared" si="114"/>
        <v>0</v>
      </c>
      <c r="F1824">
        <f t="shared" si="116"/>
        <v>1830</v>
      </c>
    </row>
    <row r="1825" spans="1:6" x14ac:dyDescent="0.25">
      <c r="A1825" s="3" t="s">
        <v>30</v>
      </c>
      <c r="B1825">
        <v>15825</v>
      </c>
      <c r="C1825">
        <f t="shared" si="115"/>
        <v>0</v>
      </c>
      <c r="D1825">
        <f t="shared" si="113"/>
        <v>0</v>
      </c>
      <c r="E1825">
        <f t="shared" si="114"/>
        <v>0</v>
      </c>
      <c r="F1825">
        <f t="shared" si="116"/>
        <v>0</v>
      </c>
    </row>
    <row r="1826" spans="1:6" x14ac:dyDescent="0.25">
      <c r="A1826" s="4" t="s">
        <v>93</v>
      </c>
      <c r="B1826">
        <v>222</v>
      </c>
      <c r="C1826">
        <f t="shared" si="115"/>
        <v>222</v>
      </c>
      <c r="D1826">
        <f t="shared" si="113"/>
        <v>0</v>
      </c>
      <c r="E1826">
        <f t="shared" si="114"/>
        <v>0</v>
      </c>
      <c r="F1826">
        <f t="shared" si="116"/>
        <v>0</v>
      </c>
    </row>
    <row r="1827" spans="1:6" x14ac:dyDescent="0.25">
      <c r="A1827" s="4" t="s">
        <v>105</v>
      </c>
      <c r="B1827">
        <v>400</v>
      </c>
      <c r="C1827">
        <f t="shared" si="115"/>
        <v>622</v>
      </c>
      <c r="D1827">
        <f t="shared" si="113"/>
        <v>0</v>
      </c>
      <c r="E1827">
        <f t="shared" si="114"/>
        <v>0</v>
      </c>
      <c r="F1827">
        <f t="shared" si="116"/>
        <v>0</v>
      </c>
    </row>
    <row r="1828" spans="1:6" x14ac:dyDescent="0.25">
      <c r="A1828" s="4" t="s">
        <v>106</v>
      </c>
      <c r="B1828">
        <v>405</v>
      </c>
      <c r="C1828">
        <f t="shared" si="115"/>
        <v>1027</v>
      </c>
      <c r="D1828">
        <f t="shared" si="113"/>
        <v>0</v>
      </c>
      <c r="E1828">
        <f t="shared" si="114"/>
        <v>0</v>
      </c>
      <c r="F1828">
        <f t="shared" si="116"/>
        <v>0</v>
      </c>
    </row>
    <row r="1829" spans="1:6" x14ac:dyDescent="0.25">
      <c r="A1829" s="4" t="s">
        <v>121</v>
      </c>
      <c r="B1829">
        <v>149</v>
      </c>
      <c r="C1829">
        <f t="shared" si="115"/>
        <v>1176</v>
      </c>
      <c r="D1829">
        <f t="shared" si="113"/>
        <v>0</v>
      </c>
      <c r="E1829">
        <f t="shared" si="114"/>
        <v>0</v>
      </c>
      <c r="F1829">
        <f t="shared" si="116"/>
        <v>0</v>
      </c>
    </row>
    <row r="1830" spans="1:6" x14ac:dyDescent="0.25">
      <c r="A1830" s="4" t="s">
        <v>129</v>
      </c>
      <c r="B1830">
        <v>409</v>
      </c>
      <c r="C1830">
        <f t="shared" si="115"/>
        <v>1585</v>
      </c>
      <c r="D1830">
        <f t="shared" si="113"/>
        <v>0</v>
      </c>
      <c r="E1830">
        <f t="shared" si="114"/>
        <v>0</v>
      </c>
      <c r="F1830">
        <f t="shared" si="116"/>
        <v>0</v>
      </c>
    </row>
    <row r="1831" spans="1:6" x14ac:dyDescent="0.25">
      <c r="A1831" s="4" t="s">
        <v>146</v>
      </c>
      <c r="B1831">
        <v>409</v>
      </c>
      <c r="C1831">
        <f t="shared" si="115"/>
        <v>1994</v>
      </c>
      <c r="D1831">
        <f t="shared" si="113"/>
        <v>0</v>
      </c>
      <c r="E1831">
        <f t="shared" si="114"/>
        <v>0</v>
      </c>
      <c r="F1831">
        <f t="shared" si="116"/>
        <v>0</v>
      </c>
    </row>
    <row r="1832" spans="1:6" x14ac:dyDescent="0.25">
      <c r="A1832" s="4" t="s">
        <v>151</v>
      </c>
      <c r="B1832">
        <v>750</v>
      </c>
      <c r="C1832">
        <f t="shared" si="115"/>
        <v>2744</v>
      </c>
      <c r="D1832">
        <f t="shared" si="113"/>
        <v>0</v>
      </c>
      <c r="E1832">
        <f t="shared" si="114"/>
        <v>0</v>
      </c>
      <c r="F1832">
        <f t="shared" si="116"/>
        <v>0</v>
      </c>
    </row>
    <row r="1833" spans="1:6" x14ac:dyDescent="0.25">
      <c r="A1833" s="4" t="s">
        <v>154</v>
      </c>
      <c r="B1833">
        <v>614</v>
      </c>
      <c r="C1833">
        <f t="shared" si="115"/>
        <v>3358</v>
      </c>
      <c r="D1833">
        <f t="shared" si="113"/>
        <v>0</v>
      </c>
      <c r="E1833">
        <f t="shared" si="114"/>
        <v>0</v>
      </c>
      <c r="F1833">
        <f t="shared" si="116"/>
        <v>0</v>
      </c>
    </row>
    <row r="1834" spans="1:6" x14ac:dyDescent="0.25">
      <c r="A1834" s="4" t="s">
        <v>164</v>
      </c>
      <c r="B1834">
        <v>736</v>
      </c>
      <c r="C1834">
        <f t="shared" si="115"/>
        <v>4094</v>
      </c>
      <c r="D1834">
        <f t="shared" si="113"/>
        <v>0</v>
      </c>
      <c r="E1834">
        <f t="shared" si="114"/>
        <v>0</v>
      </c>
      <c r="F1834">
        <f t="shared" si="116"/>
        <v>0</v>
      </c>
    </row>
    <row r="1835" spans="1:6" x14ac:dyDescent="0.25">
      <c r="A1835" s="4" t="s">
        <v>167</v>
      </c>
      <c r="B1835">
        <v>218</v>
      </c>
      <c r="C1835">
        <f t="shared" si="115"/>
        <v>4312</v>
      </c>
      <c r="D1835">
        <f t="shared" si="113"/>
        <v>0</v>
      </c>
      <c r="E1835">
        <f t="shared" si="114"/>
        <v>0</v>
      </c>
      <c r="F1835">
        <f t="shared" si="116"/>
        <v>0</v>
      </c>
    </row>
    <row r="1836" spans="1:6" x14ac:dyDescent="0.25">
      <c r="A1836" s="4" t="s">
        <v>169</v>
      </c>
      <c r="B1836">
        <v>420</v>
      </c>
      <c r="C1836">
        <f t="shared" si="115"/>
        <v>4732</v>
      </c>
      <c r="D1836">
        <f t="shared" si="113"/>
        <v>0</v>
      </c>
      <c r="E1836">
        <f t="shared" si="114"/>
        <v>0</v>
      </c>
      <c r="F1836">
        <f t="shared" si="116"/>
        <v>0</v>
      </c>
    </row>
    <row r="1837" spans="1:6" x14ac:dyDescent="0.25">
      <c r="A1837" s="4" t="s">
        <v>170</v>
      </c>
      <c r="B1837">
        <v>612</v>
      </c>
      <c r="C1837">
        <f t="shared" si="115"/>
        <v>5344</v>
      </c>
      <c r="D1837">
        <f t="shared" si="113"/>
        <v>0</v>
      </c>
      <c r="E1837">
        <f t="shared" si="114"/>
        <v>0</v>
      </c>
      <c r="F1837">
        <f t="shared" si="116"/>
        <v>0</v>
      </c>
    </row>
    <row r="1838" spans="1:6" x14ac:dyDescent="0.25">
      <c r="A1838" s="4" t="s">
        <v>171</v>
      </c>
      <c r="B1838">
        <v>603</v>
      </c>
      <c r="C1838">
        <f t="shared" si="115"/>
        <v>5947</v>
      </c>
      <c r="D1838">
        <f t="shared" si="113"/>
        <v>0</v>
      </c>
      <c r="E1838">
        <f t="shared" si="114"/>
        <v>0</v>
      </c>
      <c r="F1838">
        <f t="shared" si="116"/>
        <v>0</v>
      </c>
    </row>
    <row r="1839" spans="1:6" x14ac:dyDescent="0.25">
      <c r="A1839" s="4" t="s">
        <v>173</v>
      </c>
      <c r="B1839">
        <v>136</v>
      </c>
      <c r="C1839">
        <f t="shared" si="115"/>
        <v>6083</v>
      </c>
      <c r="D1839">
        <f t="shared" si="113"/>
        <v>0</v>
      </c>
      <c r="E1839">
        <f t="shared" si="114"/>
        <v>0</v>
      </c>
      <c r="F1839">
        <f t="shared" si="116"/>
        <v>0</v>
      </c>
    </row>
    <row r="1840" spans="1:6" x14ac:dyDescent="0.25">
      <c r="A1840" s="4" t="s">
        <v>178</v>
      </c>
      <c r="B1840">
        <v>881</v>
      </c>
      <c r="C1840">
        <f t="shared" si="115"/>
        <v>6964</v>
      </c>
      <c r="D1840">
        <f t="shared" si="113"/>
        <v>0</v>
      </c>
      <c r="E1840">
        <f t="shared" si="114"/>
        <v>0</v>
      </c>
      <c r="F1840">
        <f t="shared" si="116"/>
        <v>0</v>
      </c>
    </row>
    <row r="1841" spans="1:6" x14ac:dyDescent="0.25">
      <c r="A1841" s="4" t="s">
        <v>183</v>
      </c>
      <c r="B1841">
        <v>304</v>
      </c>
      <c r="C1841">
        <f t="shared" si="115"/>
        <v>7268</v>
      </c>
      <c r="D1841">
        <f t="shared" ref="D1841:D1904" si="117">IF(C1841 &gt; 15000, 1, 0)</f>
        <v>0</v>
      </c>
      <c r="E1841">
        <f t="shared" ref="E1841:E1904" si="118">IF(AND(D1841 =1,C1841 &gt;= 20000),1,0)</f>
        <v>0</v>
      </c>
      <c r="F1841">
        <f t="shared" si="116"/>
        <v>0</v>
      </c>
    </row>
    <row r="1842" spans="1:6" x14ac:dyDescent="0.25">
      <c r="A1842" s="4" t="s">
        <v>184</v>
      </c>
      <c r="B1842">
        <v>474</v>
      </c>
      <c r="C1842">
        <f t="shared" si="115"/>
        <v>7742</v>
      </c>
      <c r="D1842">
        <f t="shared" si="117"/>
        <v>0</v>
      </c>
      <c r="E1842">
        <f t="shared" si="118"/>
        <v>0</v>
      </c>
      <c r="F1842">
        <f t="shared" si="116"/>
        <v>0</v>
      </c>
    </row>
    <row r="1843" spans="1:6" x14ac:dyDescent="0.25">
      <c r="A1843" s="4" t="s">
        <v>216</v>
      </c>
      <c r="B1843">
        <v>308</v>
      </c>
      <c r="C1843">
        <f t="shared" si="115"/>
        <v>8050</v>
      </c>
      <c r="D1843">
        <f t="shared" si="117"/>
        <v>0</v>
      </c>
      <c r="E1843">
        <f t="shared" si="118"/>
        <v>0</v>
      </c>
      <c r="F1843">
        <f t="shared" si="116"/>
        <v>0</v>
      </c>
    </row>
    <row r="1844" spans="1:6" x14ac:dyDescent="0.25">
      <c r="A1844" s="4" t="s">
        <v>228</v>
      </c>
      <c r="B1844">
        <v>366</v>
      </c>
      <c r="C1844">
        <f t="shared" si="115"/>
        <v>8416</v>
      </c>
      <c r="D1844">
        <f t="shared" si="117"/>
        <v>0</v>
      </c>
      <c r="E1844">
        <f t="shared" si="118"/>
        <v>0</v>
      </c>
      <c r="F1844">
        <f t="shared" si="116"/>
        <v>0</v>
      </c>
    </row>
    <row r="1845" spans="1:6" x14ac:dyDescent="0.25">
      <c r="A1845" s="4" t="s">
        <v>253</v>
      </c>
      <c r="B1845">
        <v>228</v>
      </c>
      <c r="C1845">
        <f t="shared" si="115"/>
        <v>8644</v>
      </c>
      <c r="D1845">
        <f t="shared" si="117"/>
        <v>0</v>
      </c>
      <c r="E1845">
        <f t="shared" si="118"/>
        <v>0</v>
      </c>
      <c r="F1845">
        <f t="shared" si="116"/>
        <v>0</v>
      </c>
    </row>
    <row r="1846" spans="1:6" x14ac:dyDescent="0.25">
      <c r="A1846" s="4" t="s">
        <v>264</v>
      </c>
      <c r="B1846">
        <v>123</v>
      </c>
      <c r="C1846">
        <f t="shared" si="115"/>
        <v>8767</v>
      </c>
      <c r="D1846">
        <f t="shared" si="117"/>
        <v>0</v>
      </c>
      <c r="E1846">
        <f t="shared" si="118"/>
        <v>0</v>
      </c>
      <c r="F1846">
        <f t="shared" si="116"/>
        <v>0</v>
      </c>
    </row>
    <row r="1847" spans="1:6" x14ac:dyDescent="0.25">
      <c r="A1847" s="4" t="s">
        <v>266</v>
      </c>
      <c r="B1847">
        <v>457</v>
      </c>
      <c r="C1847">
        <f t="shared" si="115"/>
        <v>9224</v>
      </c>
      <c r="D1847">
        <f t="shared" si="117"/>
        <v>0</v>
      </c>
      <c r="E1847">
        <f t="shared" si="118"/>
        <v>0</v>
      </c>
      <c r="F1847">
        <f t="shared" si="116"/>
        <v>0</v>
      </c>
    </row>
    <row r="1848" spans="1:6" x14ac:dyDescent="0.25">
      <c r="A1848" s="4" t="s">
        <v>273</v>
      </c>
      <c r="B1848">
        <v>524</v>
      </c>
      <c r="C1848">
        <f t="shared" si="115"/>
        <v>9748</v>
      </c>
      <c r="D1848">
        <f t="shared" si="117"/>
        <v>0</v>
      </c>
      <c r="E1848">
        <f t="shared" si="118"/>
        <v>0</v>
      </c>
      <c r="F1848">
        <f t="shared" si="116"/>
        <v>0</v>
      </c>
    </row>
    <row r="1849" spans="1:6" x14ac:dyDescent="0.25">
      <c r="A1849" s="4" t="s">
        <v>279</v>
      </c>
      <c r="B1849">
        <v>177</v>
      </c>
      <c r="C1849">
        <f t="shared" si="115"/>
        <v>9925</v>
      </c>
      <c r="D1849">
        <f t="shared" si="117"/>
        <v>0</v>
      </c>
      <c r="E1849">
        <f t="shared" si="118"/>
        <v>0</v>
      </c>
      <c r="F1849">
        <f t="shared" si="116"/>
        <v>0</v>
      </c>
    </row>
    <row r="1850" spans="1:6" x14ac:dyDescent="0.25">
      <c r="A1850" s="4" t="s">
        <v>285</v>
      </c>
      <c r="B1850">
        <v>43</v>
      </c>
      <c r="C1850">
        <f t="shared" si="115"/>
        <v>9968</v>
      </c>
      <c r="D1850">
        <f t="shared" si="117"/>
        <v>0</v>
      </c>
      <c r="E1850">
        <f t="shared" si="118"/>
        <v>0</v>
      </c>
      <c r="F1850">
        <f t="shared" si="116"/>
        <v>0</v>
      </c>
    </row>
    <row r="1851" spans="1:6" x14ac:dyDescent="0.25">
      <c r="A1851" s="4" t="s">
        <v>288</v>
      </c>
      <c r="B1851">
        <v>472</v>
      </c>
      <c r="C1851">
        <f t="shared" si="115"/>
        <v>10440</v>
      </c>
      <c r="D1851">
        <f t="shared" si="117"/>
        <v>0</v>
      </c>
      <c r="E1851">
        <f t="shared" si="118"/>
        <v>0</v>
      </c>
      <c r="F1851">
        <f t="shared" si="116"/>
        <v>0</v>
      </c>
    </row>
    <row r="1852" spans="1:6" x14ac:dyDescent="0.25">
      <c r="A1852" s="4" t="s">
        <v>301</v>
      </c>
      <c r="B1852">
        <v>217</v>
      </c>
      <c r="C1852">
        <f t="shared" si="115"/>
        <v>10657</v>
      </c>
      <c r="D1852">
        <f t="shared" si="117"/>
        <v>0</v>
      </c>
      <c r="E1852">
        <f t="shared" si="118"/>
        <v>0</v>
      </c>
      <c r="F1852">
        <f t="shared" si="116"/>
        <v>0</v>
      </c>
    </row>
    <row r="1853" spans="1:6" x14ac:dyDescent="0.25">
      <c r="A1853" s="4" t="s">
        <v>302</v>
      </c>
      <c r="B1853">
        <v>176</v>
      </c>
      <c r="C1853">
        <f t="shared" si="115"/>
        <v>10833</v>
      </c>
      <c r="D1853">
        <f t="shared" si="117"/>
        <v>0</v>
      </c>
      <c r="E1853">
        <f t="shared" si="118"/>
        <v>0</v>
      </c>
      <c r="F1853">
        <f t="shared" si="116"/>
        <v>0</v>
      </c>
    </row>
    <row r="1854" spans="1:6" x14ac:dyDescent="0.25">
      <c r="A1854" s="4" t="s">
        <v>303</v>
      </c>
      <c r="B1854">
        <v>143</v>
      </c>
      <c r="C1854">
        <f t="shared" si="115"/>
        <v>10976</v>
      </c>
      <c r="D1854">
        <f t="shared" si="117"/>
        <v>0</v>
      </c>
      <c r="E1854">
        <f t="shared" si="118"/>
        <v>0</v>
      </c>
      <c r="F1854">
        <f t="shared" si="116"/>
        <v>0</v>
      </c>
    </row>
    <row r="1855" spans="1:6" x14ac:dyDescent="0.25">
      <c r="A1855" s="4" t="s">
        <v>312</v>
      </c>
      <c r="B1855">
        <v>203</v>
      </c>
      <c r="C1855">
        <f t="shared" si="115"/>
        <v>11179</v>
      </c>
      <c r="D1855">
        <f t="shared" si="117"/>
        <v>0</v>
      </c>
      <c r="E1855">
        <f t="shared" si="118"/>
        <v>0</v>
      </c>
      <c r="F1855">
        <f t="shared" si="116"/>
        <v>0</v>
      </c>
    </row>
    <row r="1856" spans="1:6" x14ac:dyDescent="0.25">
      <c r="A1856" s="4" t="s">
        <v>315</v>
      </c>
      <c r="B1856">
        <v>325</v>
      </c>
      <c r="C1856">
        <f t="shared" si="115"/>
        <v>11504</v>
      </c>
      <c r="D1856">
        <f t="shared" si="117"/>
        <v>0</v>
      </c>
      <c r="E1856">
        <f t="shared" si="118"/>
        <v>0</v>
      </c>
      <c r="F1856">
        <f t="shared" si="116"/>
        <v>0</v>
      </c>
    </row>
    <row r="1857" spans="1:6" x14ac:dyDescent="0.25">
      <c r="A1857" s="4" t="s">
        <v>317</v>
      </c>
      <c r="B1857">
        <v>458</v>
      </c>
      <c r="C1857">
        <f t="shared" si="115"/>
        <v>11962</v>
      </c>
      <c r="D1857">
        <f t="shared" si="117"/>
        <v>0</v>
      </c>
      <c r="E1857">
        <f t="shared" si="118"/>
        <v>0</v>
      </c>
      <c r="F1857">
        <f t="shared" si="116"/>
        <v>0</v>
      </c>
    </row>
    <row r="1858" spans="1:6" x14ac:dyDescent="0.25">
      <c r="A1858" s="4" t="s">
        <v>333</v>
      </c>
      <c r="B1858">
        <v>614</v>
      </c>
      <c r="C1858">
        <f t="shared" si="115"/>
        <v>12576</v>
      </c>
      <c r="D1858">
        <f t="shared" si="117"/>
        <v>0</v>
      </c>
      <c r="E1858">
        <f t="shared" si="118"/>
        <v>0</v>
      </c>
      <c r="F1858">
        <f t="shared" si="116"/>
        <v>0</v>
      </c>
    </row>
    <row r="1859" spans="1:6" x14ac:dyDescent="0.25">
      <c r="A1859" s="4" t="s">
        <v>340</v>
      </c>
      <c r="B1859">
        <v>207</v>
      </c>
      <c r="C1859">
        <f t="shared" si="115"/>
        <v>12783</v>
      </c>
      <c r="D1859">
        <f t="shared" si="117"/>
        <v>0</v>
      </c>
      <c r="E1859">
        <f t="shared" si="118"/>
        <v>0</v>
      </c>
      <c r="F1859">
        <f t="shared" si="116"/>
        <v>0</v>
      </c>
    </row>
    <row r="1860" spans="1:6" x14ac:dyDescent="0.25">
      <c r="A1860" s="4" t="s">
        <v>341</v>
      </c>
      <c r="B1860">
        <v>117</v>
      </c>
      <c r="C1860">
        <f t="shared" si="115"/>
        <v>12900</v>
      </c>
      <c r="D1860">
        <f t="shared" si="117"/>
        <v>0</v>
      </c>
      <c r="E1860">
        <f t="shared" si="118"/>
        <v>0</v>
      </c>
      <c r="F1860">
        <f t="shared" si="116"/>
        <v>0</v>
      </c>
    </row>
    <row r="1861" spans="1:6" x14ac:dyDescent="0.25">
      <c r="A1861" s="4" t="s">
        <v>354</v>
      </c>
      <c r="B1861">
        <v>413</v>
      </c>
      <c r="C1861">
        <f t="shared" ref="C1861:C1924" si="119">IF(LEN(A1861) &gt;= 12, 0, C1860+B1861)</f>
        <v>13313</v>
      </c>
      <c r="D1861">
        <f t="shared" si="117"/>
        <v>0</v>
      </c>
      <c r="E1861">
        <f t="shared" si="118"/>
        <v>0</v>
      </c>
      <c r="F1861">
        <f t="shared" si="116"/>
        <v>0</v>
      </c>
    </row>
    <row r="1862" spans="1:6" x14ac:dyDescent="0.25">
      <c r="A1862" s="4" t="s">
        <v>356</v>
      </c>
      <c r="B1862">
        <v>482</v>
      </c>
      <c r="C1862">
        <f t="shared" si="119"/>
        <v>13795</v>
      </c>
      <c r="D1862">
        <f t="shared" si="117"/>
        <v>0</v>
      </c>
      <c r="E1862">
        <f t="shared" si="118"/>
        <v>0</v>
      </c>
      <c r="F1862">
        <f t="shared" ref="F1862:F1925" si="120">IF(AND(D1862 = 1, C1862 &lt; 20000), B1862*5, IF(AND(E1862=1, C1862 &gt;= 20000),B1862*10,0))</f>
        <v>0</v>
      </c>
    </row>
    <row r="1863" spans="1:6" x14ac:dyDescent="0.25">
      <c r="A1863" s="4" t="s">
        <v>364</v>
      </c>
      <c r="B1863">
        <v>276</v>
      </c>
      <c r="C1863">
        <f t="shared" si="119"/>
        <v>14071</v>
      </c>
      <c r="D1863">
        <f t="shared" si="117"/>
        <v>0</v>
      </c>
      <c r="E1863">
        <f t="shared" si="118"/>
        <v>0</v>
      </c>
      <c r="F1863">
        <f t="shared" si="120"/>
        <v>0</v>
      </c>
    </row>
    <row r="1864" spans="1:6" x14ac:dyDescent="0.25">
      <c r="A1864" s="4" t="s">
        <v>379</v>
      </c>
      <c r="B1864">
        <v>223</v>
      </c>
      <c r="C1864">
        <f t="shared" si="119"/>
        <v>14294</v>
      </c>
      <c r="D1864">
        <f t="shared" si="117"/>
        <v>0</v>
      </c>
      <c r="E1864">
        <f t="shared" si="118"/>
        <v>0</v>
      </c>
      <c r="F1864">
        <f t="shared" si="120"/>
        <v>0</v>
      </c>
    </row>
    <row r="1865" spans="1:6" x14ac:dyDescent="0.25">
      <c r="A1865" s="4" t="s">
        <v>380</v>
      </c>
      <c r="B1865">
        <v>290</v>
      </c>
      <c r="C1865">
        <f t="shared" si="119"/>
        <v>14584</v>
      </c>
      <c r="D1865">
        <f t="shared" si="117"/>
        <v>0</v>
      </c>
      <c r="E1865">
        <f t="shared" si="118"/>
        <v>0</v>
      </c>
      <c r="F1865">
        <f t="shared" si="120"/>
        <v>0</v>
      </c>
    </row>
    <row r="1866" spans="1:6" x14ac:dyDescent="0.25">
      <c r="A1866" s="4" t="s">
        <v>381</v>
      </c>
      <c r="B1866">
        <v>547</v>
      </c>
      <c r="C1866">
        <f t="shared" si="119"/>
        <v>15131</v>
      </c>
      <c r="D1866">
        <f t="shared" si="117"/>
        <v>1</v>
      </c>
      <c r="E1866">
        <f t="shared" si="118"/>
        <v>0</v>
      </c>
      <c r="F1866">
        <f t="shared" si="120"/>
        <v>2735</v>
      </c>
    </row>
    <row r="1867" spans="1:6" x14ac:dyDescent="0.25">
      <c r="A1867" s="4" t="s">
        <v>396</v>
      </c>
      <c r="B1867">
        <v>494</v>
      </c>
      <c r="C1867">
        <f t="shared" si="119"/>
        <v>15625</v>
      </c>
      <c r="D1867">
        <f t="shared" si="117"/>
        <v>1</v>
      </c>
      <c r="E1867">
        <f t="shared" si="118"/>
        <v>0</v>
      </c>
      <c r="F1867">
        <f t="shared" si="120"/>
        <v>2470</v>
      </c>
    </row>
    <row r="1868" spans="1:6" x14ac:dyDescent="0.25">
      <c r="A1868" s="4" t="s">
        <v>403</v>
      </c>
      <c r="B1868">
        <v>200</v>
      </c>
      <c r="C1868">
        <f t="shared" si="119"/>
        <v>15825</v>
      </c>
      <c r="D1868">
        <f t="shared" si="117"/>
        <v>1</v>
      </c>
      <c r="E1868">
        <f t="shared" si="118"/>
        <v>0</v>
      </c>
      <c r="F1868">
        <f t="shared" si="120"/>
        <v>1000</v>
      </c>
    </row>
    <row r="1869" spans="1:6" x14ac:dyDescent="0.25">
      <c r="A1869" s="3" t="s">
        <v>41</v>
      </c>
      <c r="B1869">
        <v>15169</v>
      </c>
      <c r="C1869">
        <f t="shared" si="119"/>
        <v>0</v>
      </c>
      <c r="D1869">
        <f t="shared" si="117"/>
        <v>0</v>
      </c>
      <c r="E1869">
        <f t="shared" si="118"/>
        <v>0</v>
      </c>
      <c r="F1869">
        <f t="shared" si="120"/>
        <v>0</v>
      </c>
    </row>
    <row r="1870" spans="1:6" x14ac:dyDescent="0.25">
      <c r="A1870" s="4" t="s">
        <v>98</v>
      </c>
      <c r="B1870">
        <v>371</v>
      </c>
      <c r="C1870">
        <f t="shared" si="119"/>
        <v>371</v>
      </c>
      <c r="D1870">
        <f t="shared" si="117"/>
        <v>0</v>
      </c>
      <c r="E1870">
        <f t="shared" si="118"/>
        <v>0</v>
      </c>
      <c r="F1870">
        <f t="shared" si="120"/>
        <v>0</v>
      </c>
    </row>
    <row r="1871" spans="1:6" x14ac:dyDescent="0.25">
      <c r="A1871" s="4" t="s">
        <v>118</v>
      </c>
      <c r="B1871">
        <v>646</v>
      </c>
      <c r="C1871">
        <f t="shared" si="119"/>
        <v>1017</v>
      </c>
      <c r="D1871">
        <f t="shared" si="117"/>
        <v>0</v>
      </c>
      <c r="E1871">
        <f t="shared" si="118"/>
        <v>0</v>
      </c>
      <c r="F1871">
        <f t="shared" si="120"/>
        <v>0</v>
      </c>
    </row>
    <row r="1872" spans="1:6" x14ac:dyDescent="0.25">
      <c r="A1872" s="4" t="s">
        <v>125</v>
      </c>
      <c r="B1872">
        <v>170</v>
      </c>
      <c r="C1872">
        <f t="shared" si="119"/>
        <v>1187</v>
      </c>
      <c r="D1872">
        <f t="shared" si="117"/>
        <v>0</v>
      </c>
      <c r="E1872">
        <f t="shared" si="118"/>
        <v>0</v>
      </c>
      <c r="F1872">
        <f t="shared" si="120"/>
        <v>0</v>
      </c>
    </row>
    <row r="1873" spans="1:6" x14ac:dyDescent="0.25">
      <c r="A1873" s="4" t="s">
        <v>135</v>
      </c>
      <c r="B1873">
        <v>67</v>
      </c>
      <c r="C1873">
        <f t="shared" si="119"/>
        <v>1254</v>
      </c>
      <c r="D1873">
        <f t="shared" si="117"/>
        <v>0</v>
      </c>
      <c r="E1873">
        <f t="shared" si="118"/>
        <v>0</v>
      </c>
      <c r="F1873">
        <f t="shared" si="120"/>
        <v>0</v>
      </c>
    </row>
    <row r="1874" spans="1:6" x14ac:dyDescent="0.25">
      <c r="A1874" s="4" t="s">
        <v>136</v>
      </c>
      <c r="B1874">
        <v>447</v>
      </c>
      <c r="C1874">
        <f t="shared" si="119"/>
        <v>1701</v>
      </c>
      <c r="D1874">
        <f t="shared" si="117"/>
        <v>0</v>
      </c>
      <c r="E1874">
        <f t="shared" si="118"/>
        <v>0</v>
      </c>
      <c r="F1874">
        <f t="shared" si="120"/>
        <v>0</v>
      </c>
    </row>
    <row r="1875" spans="1:6" x14ac:dyDescent="0.25">
      <c r="A1875" s="4" t="s">
        <v>144</v>
      </c>
      <c r="B1875">
        <v>39</v>
      </c>
      <c r="C1875">
        <f t="shared" si="119"/>
        <v>1740</v>
      </c>
      <c r="D1875">
        <f t="shared" si="117"/>
        <v>0</v>
      </c>
      <c r="E1875">
        <f t="shared" si="118"/>
        <v>0</v>
      </c>
      <c r="F1875">
        <f t="shared" si="120"/>
        <v>0</v>
      </c>
    </row>
    <row r="1876" spans="1:6" x14ac:dyDescent="0.25">
      <c r="A1876" s="4" t="s">
        <v>147</v>
      </c>
      <c r="B1876">
        <v>573</v>
      </c>
      <c r="C1876">
        <f t="shared" si="119"/>
        <v>2313</v>
      </c>
      <c r="D1876">
        <f t="shared" si="117"/>
        <v>0</v>
      </c>
      <c r="E1876">
        <f t="shared" si="118"/>
        <v>0</v>
      </c>
      <c r="F1876">
        <f t="shared" si="120"/>
        <v>0</v>
      </c>
    </row>
    <row r="1877" spans="1:6" x14ac:dyDescent="0.25">
      <c r="A1877" s="4" t="s">
        <v>148</v>
      </c>
      <c r="B1877">
        <v>114</v>
      </c>
      <c r="C1877">
        <f t="shared" si="119"/>
        <v>2427</v>
      </c>
      <c r="D1877">
        <f t="shared" si="117"/>
        <v>0</v>
      </c>
      <c r="E1877">
        <f t="shared" si="118"/>
        <v>0</v>
      </c>
      <c r="F1877">
        <f t="shared" si="120"/>
        <v>0</v>
      </c>
    </row>
    <row r="1878" spans="1:6" x14ac:dyDescent="0.25">
      <c r="A1878" s="4" t="s">
        <v>157</v>
      </c>
      <c r="B1878">
        <v>434</v>
      </c>
      <c r="C1878">
        <f t="shared" si="119"/>
        <v>2861</v>
      </c>
      <c r="D1878">
        <f t="shared" si="117"/>
        <v>0</v>
      </c>
      <c r="E1878">
        <f t="shared" si="118"/>
        <v>0</v>
      </c>
      <c r="F1878">
        <f t="shared" si="120"/>
        <v>0</v>
      </c>
    </row>
    <row r="1879" spans="1:6" x14ac:dyDescent="0.25">
      <c r="A1879" s="4" t="s">
        <v>160</v>
      </c>
      <c r="B1879">
        <v>350</v>
      </c>
      <c r="C1879">
        <f t="shared" si="119"/>
        <v>3211</v>
      </c>
      <c r="D1879">
        <f t="shared" si="117"/>
        <v>0</v>
      </c>
      <c r="E1879">
        <f t="shared" si="118"/>
        <v>0</v>
      </c>
      <c r="F1879">
        <f t="shared" si="120"/>
        <v>0</v>
      </c>
    </row>
    <row r="1880" spans="1:6" x14ac:dyDescent="0.25">
      <c r="A1880" s="4" t="s">
        <v>170</v>
      </c>
      <c r="B1880">
        <v>258</v>
      </c>
      <c r="C1880">
        <f t="shared" si="119"/>
        <v>3469</v>
      </c>
      <c r="D1880">
        <f t="shared" si="117"/>
        <v>0</v>
      </c>
      <c r="E1880">
        <f t="shared" si="118"/>
        <v>0</v>
      </c>
      <c r="F1880">
        <f t="shared" si="120"/>
        <v>0</v>
      </c>
    </row>
    <row r="1881" spans="1:6" x14ac:dyDescent="0.25">
      <c r="A1881" s="4" t="s">
        <v>171</v>
      </c>
      <c r="B1881">
        <v>358</v>
      </c>
      <c r="C1881">
        <f t="shared" si="119"/>
        <v>3827</v>
      </c>
      <c r="D1881">
        <f t="shared" si="117"/>
        <v>0</v>
      </c>
      <c r="E1881">
        <f t="shared" si="118"/>
        <v>0</v>
      </c>
      <c r="F1881">
        <f t="shared" si="120"/>
        <v>0</v>
      </c>
    </row>
    <row r="1882" spans="1:6" x14ac:dyDescent="0.25">
      <c r="A1882" s="4" t="s">
        <v>183</v>
      </c>
      <c r="B1882">
        <v>688</v>
      </c>
      <c r="C1882">
        <f t="shared" si="119"/>
        <v>4515</v>
      </c>
      <c r="D1882">
        <f t="shared" si="117"/>
        <v>0</v>
      </c>
      <c r="E1882">
        <f t="shared" si="118"/>
        <v>0</v>
      </c>
      <c r="F1882">
        <f t="shared" si="120"/>
        <v>0</v>
      </c>
    </row>
    <row r="1883" spans="1:6" x14ac:dyDescent="0.25">
      <c r="A1883" s="4" t="s">
        <v>185</v>
      </c>
      <c r="B1883">
        <v>393</v>
      </c>
      <c r="C1883">
        <f t="shared" si="119"/>
        <v>4908</v>
      </c>
      <c r="D1883">
        <f t="shared" si="117"/>
        <v>0</v>
      </c>
      <c r="E1883">
        <f t="shared" si="118"/>
        <v>0</v>
      </c>
      <c r="F1883">
        <f t="shared" si="120"/>
        <v>0</v>
      </c>
    </row>
    <row r="1884" spans="1:6" x14ac:dyDescent="0.25">
      <c r="A1884" s="4" t="s">
        <v>206</v>
      </c>
      <c r="B1884">
        <v>650</v>
      </c>
      <c r="C1884">
        <f t="shared" si="119"/>
        <v>5558</v>
      </c>
      <c r="D1884">
        <f t="shared" si="117"/>
        <v>0</v>
      </c>
      <c r="E1884">
        <f t="shared" si="118"/>
        <v>0</v>
      </c>
      <c r="F1884">
        <f t="shared" si="120"/>
        <v>0</v>
      </c>
    </row>
    <row r="1885" spans="1:6" x14ac:dyDescent="0.25">
      <c r="A1885" s="4" t="s">
        <v>210</v>
      </c>
      <c r="B1885">
        <v>383</v>
      </c>
      <c r="C1885">
        <f t="shared" si="119"/>
        <v>5941</v>
      </c>
      <c r="D1885">
        <f t="shared" si="117"/>
        <v>0</v>
      </c>
      <c r="E1885">
        <f t="shared" si="118"/>
        <v>0</v>
      </c>
      <c r="F1885">
        <f t="shared" si="120"/>
        <v>0</v>
      </c>
    </row>
    <row r="1886" spans="1:6" x14ac:dyDescent="0.25">
      <c r="A1886" s="4" t="s">
        <v>219</v>
      </c>
      <c r="B1886">
        <v>321</v>
      </c>
      <c r="C1886">
        <f t="shared" si="119"/>
        <v>6262</v>
      </c>
      <c r="D1886">
        <f t="shared" si="117"/>
        <v>0</v>
      </c>
      <c r="E1886">
        <f t="shared" si="118"/>
        <v>0</v>
      </c>
      <c r="F1886">
        <f t="shared" si="120"/>
        <v>0</v>
      </c>
    </row>
    <row r="1887" spans="1:6" x14ac:dyDescent="0.25">
      <c r="A1887" s="4" t="s">
        <v>234</v>
      </c>
      <c r="B1887">
        <v>28</v>
      </c>
      <c r="C1887">
        <f t="shared" si="119"/>
        <v>6290</v>
      </c>
      <c r="D1887">
        <f t="shared" si="117"/>
        <v>0</v>
      </c>
      <c r="E1887">
        <f t="shared" si="118"/>
        <v>0</v>
      </c>
      <c r="F1887">
        <f t="shared" si="120"/>
        <v>0</v>
      </c>
    </row>
    <row r="1888" spans="1:6" x14ac:dyDescent="0.25">
      <c r="A1888" s="4" t="s">
        <v>236</v>
      </c>
      <c r="B1888">
        <v>982</v>
      </c>
      <c r="C1888">
        <f t="shared" si="119"/>
        <v>7272</v>
      </c>
      <c r="D1888">
        <f t="shared" si="117"/>
        <v>0</v>
      </c>
      <c r="E1888">
        <f t="shared" si="118"/>
        <v>0</v>
      </c>
      <c r="F1888">
        <f t="shared" si="120"/>
        <v>0</v>
      </c>
    </row>
    <row r="1889" spans="1:6" x14ac:dyDescent="0.25">
      <c r="A1889" s="4" t="s">
        <v>237</v>
      </c>
      <c r="B1889">
        <v>12</v>
      </c>
      <c r="C1889">
        <f t="shared" si="119"/>
        <v>7284</v>
      </c>
      <c r="D1889">
        <f t="shared" si="117"/>
        <v>0</v>
      </c>
      <c r="E1889">
        <f t="shared" si="118"/>
        <v>0</v>
      </c>
      <c r="F1889">
        <f t="shared" si="120"/>
        <v>0</v>
      </c>
    </row>
    <row r="1890" spans="1:6" x14ac:dyDescent="0.25">
      <c r="A1890" s="4" t="s">
        <v>240</v>
      </c>
      <c r="B1890">
        <v>189</v>
      </c>
      <c r="C1890">
        <f t="shared" si="119"/>
        <v>7473</v>
      </c>
      <c r="D1890">
        <f t="shared" si="117"/>
        <v>0</v>
      </c>
      <c r="E1890">
        <f t="shared" si="118"/>
        <v>0</v>
      </c>
      <c r="F1890">
        <f t="shared" si="120"/>
        <v>0</v>
      </c>
    </row>
    <row r="1891" spans="1:6" x14ac:dyDescent="0.25">
      <c r="A1891" s="4" t="s">
        <v>243</v>
      </c>
      <c r="B1891">
        <v>65</v>
      </c>
      <c r="C1891">
        <f t="shared" si="119"/>
        <v>7538</v>
      </c>
      <c r="D1891">
        <f t="shared" si="117"/>
        <v>0</v>
      </c>
      <c r="E1891">
        <f t="shared" si="118"/>
        <v>0</v>
      </c>
      <c r="F1891">
        <f t="shared" si="120"/>
        <v>0</v>
      </c>
    </row>
    <row r="1892" spans="1:6" x14ac:dyDescent="0.25">
      <c r="A1892" s="4" t="s">
        <v>248</v>
      </c>
      <c r="B1892">
        <v>377</v>
      </c>
      <c r="C1892">
        <f t="shared" si="119"/>
        <v>7915</v>
      </c>
      <c r="D1892">
        <f t="shared" si="117"/>
        <v>0</v>
      </c>
      <c r="E1892">
        <f t="shared" si="118"/>
        <v>0</v>
      </c>
      <c r="F1892">
        <f t="shared" si="120"/>
        <v>0</v>
      </c>
    </row>
    <row r="1893" spans="1:6" x14ac:dyDescent="0.25">
      <c r="A1893" s="4" t="s">
        <v>253</v>
      </c>
      <c r="B1893">
        <v>85</v>
      </c>
      <c r="C1893">
        <f t="shared" si="119"/>
        <v>8000</v>
      </c>
      <c r="D1893">
        <f t="shared" si="117"/>
        <v>0</v>
      </c>
      <c r="E1893">
        <f t="shared" si="118"/>
        <v>0</v>
      </c>
      <c r="F1893">
        <f t="shared" si="120"/>
        <v>0</v>
      </c>
    </row>
    <row r="1894" spans="1:6" x14ac:dyDescent="0.25">
      <c r="A1894" s="4" t="s">
        <v>260</v>
      </c>
      <c r="B1894">
        <v>326</v>
      </c>
      <c r="C1894">
        <f t="shared" si="119"/>
        <v>8326</v>
      </c>
      <c r="D1894">
        <f t="shared" si="117"/>
        <v>0</v>
      </c>
      <c r="E1894">
        <f t="shared" si="118"/>
        <v>0</v>
      </c>
      <c r="F1894">
        <f t="shared" si="120"/>
        <v>0</v>
      </c>
    </row>
    <row r="1895" spans="1:6" x14ac:dyDescent="0.25">
      <c r="A1895" s="4" t="s">
        <v>279</v>
      </c>
      <c r="B1895">
        <v>250</v>
      </c>
      <c r="C1895">
        <f t="shared" si="119"/>
        <v>8576</v>
      </c>
      <c r="D1895">
        <f t="shared" si="117"/>
        <v>0</v>
      </c>
      <c r="E1895">
        <f t="shared" si="118"/>
        <v>0</v>
      </c>
      <c r="F1895">
        <f t="shared" si="120"/>
        <v>0</v>
      </c>
    </row>
    <row r="1896" spans="1:6" x14ac:dyDescent="0.25">
      <c r="A1896" s="4" t="s">
        <v>280</v>
      </c>
      <c r="B1896">
        <v>334</v>
      </c>
      <c r="C1896">
        <f t="shared" si="119"/>
        <v>8910</v>
      </c>
      <c r="D1896">
        <f t="shared" si="117"/>
        <v>0</v>
      </c>
      <c r="E1896">
        <f t="shared" si="118"/>
        <v>0</v>
      </c>
      <c r="F1896">
        <f t="shared" si="120"/>
        <v>0</v>
      </c>
    </row>
    <row r="1897" spans="1:6" x14ac:dyDescent="0.25">
      <c r="A1897" s="4" t="s">
        <v>282</v>
      </c>
      <c r="B1897">
        <v>406</v>
      </c>
      <c r="C1897">
        <f t="shared" si="119"/>
        <v>9316</v>
      </c>
      <c r="D1897">
        <f t="shared" si="117"/>
        <v>0</v>
      </c>
      <c r="E1897">
        <f t="shared" si="118"/>
        <v>0</v>
      </c>
      <c r="F1897">
        <f t="shared" si="120"/>
        <v>0</v>
      </c>
    </row>
    <row r="1898" spans="1:6" x14ac:dyDescent="0.25">
      <c r="A1898" s="4" t="s">
        <v>284</v>
      </c>
      <c r="B1898">
        <v>284</v>
      </c>
      <c r="C1898">
        <f t="shared" si="119"/>
        <v>9600</v>
      </c>
      <c r="D1898">
        <f t="shared" si="117"/>
        <v>0</v>
      </c>
      <c r="E1898">
        <f t="shared" si="118"/>
        <v>0</v>
      </c>
      <c r="F1898">
        <f t="shared" si="120"/>
        <v>0</v>
      </c>
    </row>
    <row r="1899" spans="1:6" x14ac:dyDescent="0.25">
      <c r="A1899" s="4" t="s">
        <v>297</v>
      </c>
      <c r="B1899">
        <v>44</v>
      </c>
      <c r="C1899">
        <f t="shared" si="119"/>
        <v>9644</v>
      </c>
      <c r="D1899">
        <f t="shared" si="117"/>
        <v>0</v>
      </c>
      <c r="E1899">
        <f t="shared" si="118"/>
        <v>0</v>
      </c>
      <c r="F1899">
        <f t="shared" si="120"/>
        <v>0</v>
      </c>
    </row>
    <row r="1900" spans="1:6" x14ac:dyDescent="0.25">
      <c r="A1900" s="4" t="s">
        <v>306</v>
      </c>
      <c r="B1900">
        <v>328</v>
      </c>
      <c r="C1900">
        <f t="shared" si="119"/>
        <v>9972</v>
      </c>
      <c r="D1900">
        <f t="shared" si="117"/>
        <v>0</v>
      </c>
      <c r="E1900">
        <f t="shared" si="118"/>
        <v>0</v>
      </c>
      <c r="F1900">
        <f t="shared" si="120"/>
        <v>0</v>
      </c>
    </row>
    <row r="1901" spans="1:6" x14ac:dyDescent="0.25">
      <c r="A1901" s="4" t="s">
        <v>312</v>
      </c>
      <c r="B1901">
        <v>196</v>
      </c>
      <c r="C1901">
        <f t="shared" si="119"/>
        <v>10168</v>
      </c>
      <c r="D1901">
        <f t="shared" si="117"/>
        <v>0</v>
      </c>
      <c r="E1901">
        <f t="shared" si="118"/>
        <v>0</v>
      </c>
      <c r="F1901">
        <f t="shared" si="120"/>
        <v>0</v>
      </c>
    </row>
    <row r="1902" spans="1:6" x14ac:dyDescent="0.25">
      <c r="A1902" s="4" t="s">
        <v>317</v>
      </c>
      <c r="B1902">
        <v>551</v>
      </c>
      <c r="C1902">
        <f t="shared" si="119"/>
        <v>10719</v>
      </c>
      <c r="D1902">
        <f t="shared" si="117"/>
        <v>0</v>
      </c>
      <c r="E1902">
        <f t="shared" si="118"/>
        <v>0</v>
      </c>
      <c r="F1902">
        <f t="shared" si="120"/>
        <v>0</v>
      </c>
    </row>
    <row r="1903" spans="1:6" x14ac:dyDescent="0.25">
      <c r="A1903" s="4" t="s">
        <v>319</v>
      </c>
      <c r="B1903">
        <v>198</v>
      </c>
      <c r="C1903">
        <f t="shared" si="119"/>
        <v>10917</v>
      </c>
      <c r="D1903">
        <f t="shared" si="117"/>
        <v>0</v>
      </c>
      <c r="E1903">
        <f t="shared" si="118"/>
        <v>0</v>
      </c>
      <c r="F1903">
        <f t="shared" si="120"/>
        <v>0</v>
      </c>
    </row>
    <row r="1904" spans="1:6" x14ac:dyDescent="0.25">
      <c r="A1904" s="4" t="s">
        <v>332</v>
      </c>
      <c r="B1904">
        <v>260</v>
      </c>
      <c r="C1904">
        <f t="shared" si="119"/>
        <v>11177</v>
      </c>
      <c r="D1904">
        <f t="shared" si="117"/>
        <v>0</v>
      </c>
      <c r="E1904">
        <f t="shared" si="118"/>
        <v>0</v>
      </c>
      <c r="F1904">
        <f t="shared" si="120"/>
        <v>0</v>
      </c>
    </row>
    <row r="1905" spans="1:6" x14ac:dyDescent="0.25">
      <c r="A1905" s="4" t="s">
        <v>336</v>
      </c>
      <c r="B1905">
        <v>395</v>
      </c>
      <c r="C1905">
        <f t="shared" si="119"/>
        <v>11572</v>
      </c>
      <c r="D1905">
        <f t="shared" ref="D1905:D1968" si="121">IF(C1905 &gt; 15000, 1, 0)</f>
        <v>0</v>
      </c>
      <c r="E1905">
        <f t="shared" ref="E1905:E1968" si="122">IF(AND(D1905 =1,C1905 &gt;= 20000),1,0)</f>
        <v>0</v>
      </c>
      <c r="F1905">
        <f t="shared" si="120"/>
        <v>0</v>
      </c>
    </row>
    <row r="1906" spans="1:6" x14ac:dyDescent="0.25">
      <c r="A1906" s="4" t="s">
        <v>338</v>
      </c>
      <c r="B1906">
        <v>388</v>
      </c>
      <c r="C1906">
        <f t="shared" si="119"/>
        <v>11960</v>
      </c>
      <c r="D1906">
        <f t="shared" si="121"/>
        <v>0</v>
      </c>
      <c r="E1906">
        <f t="shared" si="122"/>
        <v>0</v>
      </c>
      <c r="F1906">
        <f t="shared" si="120"/>
        <v>0</v>
      </c>
    </row>
    <row r="1907" spans="1:6" x14ac:dyDescent="0.25">
      <c r="A1907" s="4" t="s">
        <v>365</v>
      </c>
      <c r="B1907">
        <v>42</v>
      </c>
      <c r="C1907">
        <f t="shared" si="119"/>
        <v>12002</v>
      </c>
      <c r="D1907">
        <f t="shared" si="121"/>
        <v>0</v>
      </c>
      <c r="E1907">
        <f t="shared" si="122"/>
        <v>0</v>
      </c>
      <c r="F1907">
        <f t="shared" si="120"/>
        <v>0</v>
      </c>
    </row>
    <row r="1908" spans="1:6" x14ac:dyDescent="0.25">
      <c r="A1908" s="4" t="s">
        <v>368</v>
      </c>
      <c r="B1908">
        <v>341</v>
      </c>
      <c r="C1908">
        <f t="shared" si="119"/>
        <v>12343</v>
      </c>
      <c r="D1908">
        <f t="shared" si="121"/>
        <v>0</v>
      </c>
      <c r="E1908">
        <f t="shared" si="122"/>
        <v>0</v>
      </c>
      <c r="F1908">
        <f t="shared" si="120"/>
        <v>0</v>
      </c>
    </row>
    <row r="1909" spans="1:6" x14ac:dyDescent="0.25">
      <c r="A1909" s="4" t="s">
        <v>373</v>
      </c>
      <c r="B1909">
        <v>132</v>
      </c>
      <c r="C1909">
        <f t="shared" si="119"/>
        <v>12475</v>
      </c>
      <c r="D1909">
        <f t="shared" si="121"/>
        <v>0</v>
      </c>
      <c r="E1909">
        <f t="shared" si="122"/>
        <v>0</v>
      </c>
      <c r="F1909">
        <f t="shared" si="120"/>
        <v>0</v>
      </c>
    </row>
    <row r="1910" spans="1:6" x14ac:dyDescent="0.25">
      <c r="A1910" s="4" t="s">
        <v>383</v>
      </c>
      <c r="B1910">
        <v>22</v>
      </c>
      <c r="C1910">
        <f t="shared" si="119"/>
        <v>12497</v>
      </c>
      <c r="D1910">
        <f t="shared" si="121"/>
        <v>0</v>
      </c>
      <c r="E1910">
        <f t="shared" si="122"/>
        <v>0</v>
      </c>
      <c r="F1910">
        <f t="shared" si="120"/>
        <v>0</v>
      </c>
    </row>
    <row r="1911" spans="1:6" x14ac:dyDescent="0.25">
      <c r="A1911" s="4" t="s">
        <v>387</v>
      </c>
      <c r="B1911">
        <v>364</v>
      </c>
      <c r="C1911">
        <f t="shared" si="119"/>
        <v>12861</v>
      </c>
      <c r="D1911">
        <f t="shared" si="121"/>
        <v>0</v>
      </c>
      <c r="E1911">
        <f t="shared" si="122"/>
        <v>0</v>
      </c>
      <c r="F1911">
        <f t="shared" si="120"/>
        <v>0</v>
      </c>
    </row>
    <row r="1912" spans="1:6" x14ac:dyDescent="0.25">
      <c r="A1912" s="4" t="s">
        <v>388</v>
      </c>
      <c r="B1912">
        <v>377</v>
      </c>
      <c r="C1912">
        <f t="shared" si="119"/>
        <v>13238</v>
      </c>
      <c r="D1912">
        <f t="shared" si="121"/>
        <v>0</v>
      </c>
      <c r="E1912">
        <f t="shared" si="122"/>
        <v>0</v>
      </c>
      <c r="F1912">
        <f t="shared" si="120"/>
        <v>0</v>
      </c>
    </row>
    <row r="1913" spans="1:6" x14ac:dyDescent="0.25">
      <c r="A1913" s="4" t="s">
        <v>389</v>
      </c>
      <c r="B1913">
        <v>432</v>
      </c>
      <c r="C1913">
        <f t="shared" si="119"/>
        <v>13670</v>
      </c>
      <c r="D1913">
        <f t="shared" si="121"/>
        <v>0</v>
      </c>
      <c r="E1913">
        <f t="shared" si="122"/>
        <v>0</v>
      </c>
      <c r="F1913">
        <f t="shared" si="120"/>
        <v>0</v>
      </c>
    </row>
    <row r="1914" spans="1:6" x14ac:dyDescent="0.25">
      <c r="A1914" s="4" t="s">
        <v>391</v>
      </c>
      <c r="B1914">
        <v>464</v>
      </c>
      <c r="C1914">
        <f t="shared" si="119"/>
        <v>14134</v>
      </c>
      <c r="D1914">
        <f t="shared" si="121"/>
        <v>0</v>
      </c>
      <c r="E1914">
        <f t="shared" si="122"/>
        <v>0</v>
      </c>
      <c r="F1914">
        <f t="shared" si="120"/>
        <v>0</v>
      </c>
    </row>
    <row r="1915" spans="1:6" x14ac:dyDescent="0.25">
      <c r="A1915" s="4" t="s">
        <v>392</v>
      </c>
      <c r="B1915">
        <v>96</v>
      </c>
      <c r="C1915">
        <f t="shared" si="119"/>
        <v>14230</v>
      </c>
      <c r="D1915">
        <f t="shared" si="121"/>
        <v>0</v>
      </c>
      <c r="E1915">
        <f t="shared" si="122"/>
        <v>0</v>
      </c>
      <c r="F1915">
        <f t="shared" si="120"/>
        <v>0</v>
      </c>
    </row>
    <row r="1916" spans="1:6" x14ac:dyDescent="0.25">
      <c r="A1916" s="4" t="s">
        <v>393</v>
      </c>
      <c r="B1916">
        <v>221</v>
      </c>
      <c r="C1916">
        <f t="shared" si="119"/>
        <v>14451</v>
      </c>
      <c r="D1916">
        <f t="shared" si="121"/>
        <v>0</v>
      </c>
      <c r="E1916">
        <f t="shared" si="122"/>
        <v>0</v>
      </c>
      <c r="F1916">
        <f t="shared" si="120"/>
        <v>0</v>
      </c>
    </row>
    <row r="1917" spans="1:6" x14ac:dyDescent="0.25">
      <c r="A1917" s="4" t="s">
        <v>399</v>
      </c>
      <c r="B1917">
        <v>311</v>
      </c>
      <c r="C1917">
        <f t="shared" si="119"/>
        <v>14762</v>
      </c>
      <c r="D1917">
        <f t="shared" si="121"/>
        <v>0</v>
      </c>
      <c r="E1917">
        <f t="shared" si="122"/>
        <v>0</v>
      </c>
      <c r="F1917">
        <f t="shared" si="120"/>
        <v>0</v>
      </c>
    </row>
    <row r="1918" spans="1:6" x14ac:dyDescent="0.25">
      <c r="A1918" s="4" t="s">
        <v>400</v>
      </c>
      <c r="B1918">
        <v>407</v>
      </c>
      <c r="C1918">
        <f t="shared" si="119"/>
        <v>15169</v>
      </c>
      <c r="D1918">
        <f t="shared" si="121"/>
        <v>1</v>
      </c>
      <c r="E1918">
        <f t="shared" si="122"/>
        <v>0</v>
      </c>
      <c r="F1918">
        <f t="shared" si="120"/>
        <v>2035</v>
      </c>
    </row>
    <row r="1919" spans="1:6" x14ac:dyDescent="0.25">
      <c r="A1919" s="3" t="s">
        <v>27</v>
      </c>
      <c r="B1919">
        <v>14214</v>
      </c>
      <c r="C1919">
        <f t="shared" si="119"/>
        <v>0</v>
      </c>
      <c r="D1919">
        <f t="shared" si="121"/>
        <v>0</v>
      </c>
      <c r="E1919">
        <f t="shared" si="122"/>
        <v>0</v>
      </c>
      <c r="F1919">
        <f t="shared" si="120"/>
        <v>0</v>
      </c>
    </row>
    <row r="1920" spans="1:6" x14ac:dyDescent="0.25">
      <c r="A1920" s="4" t="s">
        <v>95</v>
      </c>
      <c r="B1920">
        <v>657</v>
      </c>
      <c r="C1920">
        <f t="shared" si="119"/>
        <v>657</v>
      </c>
      <c r="D1920">
        <f t="shared" si="121"/>
        <v>0</v>
      </c>
      <c r="E1920">
        <f t="shared" si="122"/>
        <v>0</v>
      </c>
      <c r="F1920">
        <f t="shared" si="120"/>
        <v>0</v>
      </c>
    </row>
    <row r="1921" spans="1:6" x14ac:dyDescent="0.25">
      <c r="A1921" s="4" t="s">
        <v>97</v>
      </c>
      <c r="B1921">
        <v>323</v>
      </c>
      <c r="C1921">
        <f t="shared" si="119"/>
        <v>980</v>
      </c>
      <c r="D1921">
        <f t="shared" si="121"/>
        <v>0</v>
      </c>
      <c r="E1921">
        <f t="shared" si="122"/>
        <v>0</v>
      </c>
      <c r="F1921">
        <f t="shared" si="120"/>
        <v>0</v>
      </c>
    </row>
    <row r="1922" spans="1:6" x14ac:dyDescent="0.25">
      <c r="A1922" s="4" t="s">
        <v>98</v>
      </c>
      <c r="B1922">
        <v>270</v>
      </c>
      <c r="C1922">
        <f t="shared" si="119"/>
        <v>1250</v>
      </c>
      <c r="D1922">
        <f t="shared" si="121"/>
        <v>0</v>
      </c>
      <c r="E1922">
        <f t="shared" si="122"/>
        <v>0</v>
      </c>
      <c r="F1922">
        <f t="shared" si="120"/>
        <v>0</v>
      </c>
    </row>
    <row r="1923" spans="1:6" x14ac:dyDescent="0.25">
      <c r="A1923" s="4" t="s">
        <v>99</v>
      </c>
      <c r="B1923">
        <v>103</v>
      </c>
      <c r="C1923">
        <f t="shared" si="119"/>
        <v>1353</v>
      </c>
      <c r="D1923">
        <f t="shared" si="121"/>
        <v>0</v>
      </c>
      <c r="E1923">
        <f t="shared" si="122"/>
        <v>0</v>
      </c>
      <c r="F1923">
        <f t="shared" si="120"/>
        <v>0</v>
      </c>
    </row>
    <row r="1924" spans="1:6" x14ac:dyDescent="0.25">
      <c r="A1924" s="4" t="s">
        <v>105</v>
      </c>
      <c r="B1924">
        <v>19</v>
      </c>
      <c r="C1924">
        <f t="shared" si="119"/>
        <v>1372</v>
      </c>
      <c r="D1924">
        <f t="shared" si="121"/>
        <v>0</v>
      </c>
      <c r="E1924">
        <f t="shared" si="122"/>
        <v>0</v>
      </c>
      <c r="F1924">
        <f t="shared" si="120"/>
        <v>0</v>
      </c>
    </row>
    <row r="1925" spans="1:6" x14ac:dyDescent="0.25">
      <c r="A1925" s="4" t="s">
        <v>108</v>
      </c>
      <c r="B1925">
        <v>497</v>
      </c>
      <c r="C1925">
        <f t="shared" ref="C1925:C1988" si="123">IF(LEN(A1925) &gt;= 12, 0, C1924+B1925)</f>
        <v>1869</v>
      </c>
      <c r="D1925">
        <f t="shared" si="121"/>
        <v>0</v>
      </c>
      <c r="E1925">
        <f t="shared" si="122"/>
        <v>0</v>
      </c>
      <c r="F1925">
        <f t="shared" si="120"/>
        <v>0</v>
      </c>
    </row>
    <row r="1926" spans="1:6" x14ac:dyDescent="0.25">
      <c r="A1926" s="4" t="s">
        <v>116</v>
      </c>
      <c r="B1926">
        <v>145</v>
      </c>
      <c r="C1926">
        <f t="shared" si="123"/>
        <v>2014</v>
      </c>
      <c r="D1926">
        <f t="shared" si="121"/>
        <v>0</v>
      </c>
      <c r="E1926">
        <f t="shared" si="122"/>
        <v>0</v>
      </c>
      <c r="F1926">
        <f t="shared" ref="F1926:F1989" si="124">IF(AND(D1926 = 1, C1926 &lt; 20000), B1926*5, IF(AND(E1926=1, C1926 &gt;= 20000),B1926*10,0))</f>
        <v>0</v>
      </c>
    </row>
    <row r="1927" spans="1:6" x14ac:dyDescent="0.25">
      <c r="A1927" s="4" t="s">
        <v>118</v>
      </c>
      <c r="B1927">
        <v>366</v>
      </c>
      <c r="C1927">
        <f t="shared" si="123"/>
        <v>2380</v>
      </c>
      <c r="D1927">
        <f t="shared" si="121"/>
        <v>0</v>
      </c>
      <c r="E1927">
        <f t="shared" si="122"/>
        <v>0</v>
      </c>
      <c r="F1927">
        <f t="shared" si="124"/>
        <v>0</v>
      </c>
    </row>
    <row r="1928" spans="1:6" x14ac:dyDescent="0.25">
      <c r="A1928" s="4" t="s">
        <v>123</v>
      </c>
      <c r="B1928">
        <v>413</v>
      </c>
      <c r="C1928">
        <f t="shared" si="123"/>
        <v>2793</v>
      </c>
      <c r="D1928">
        <f t="shared" si="121"/>
        <v>0</v>
      </c>
      <c r="E1928">
        <f t="shared" si="122"/>
        <v>0</v>
      </c>
      <c r="F1928">
        <f t="shared" si="124"/>
        <v>0</v>
      </c>
    </row>
    <row r="1929" spans="1:6" x14ac:dyDescent="0.25">
      <c r="A1929" s="4" t="s">
        <v>134</v>
      </c>
      <c r="B1929">
        <v>176</v>
      </c>
      <c r="C1929">
        <f t="shared" si="123"/>
        <v>2969</v>
      </c>
      <c r="D1929">
        <f t="shared" si="121"/>
        <v>0</v>
      </c>
      <c r="E1929">
        <f t="shared" si="122"/>
        <v>0</v>
      </c>
      <c r="F1929">
        <f t="shared" si="124"/>
        <v>0</v>
      </c>
    </row>
    <row r="1930" spans="1:6" x14ac:dyDescent="0.25">
      <c r="A1930" s="4" t="s">
        <v>135</v>
      </c>
      <c r="B1930">
        <v>435</v>
      </c>
      <c r="C1930">
        <f t="shared" si="123"/>
        <v>3404</v>
      </c>
      <c r="D1930">
        <f t="shared" si="121"/>
        <v>0</v>
      </c>
      <c r="E1930">
        <f t="shared" si="122"/>
        <v>0</v>
      </c>
      <c r="F1930">
        <f t="shared" si="124"/>
        <v>0</v>
      </c>
    </row>
    <row r="1931" spans="1:6" x14ac:dyDescent="0.25">
      <c r="A1931" s="4" t="s">
        <v>141</v>
      </c>
      <c r="B1931">
        <v>209</v>
      </c>
      <c r="C1931">
        <f t="shared" si="123"/>
        <v>3613</v>
      </c>
      <c r="D1931">
        <f t="shared" si="121"/>
        <v>0</v>
      </c>
      <c r="E1931">
        <f t="shared" si="122"/>
        <v>0</v>
      </c>
      <c r="F1931">
        <f t="shared" si="124"/>
        <v>0</v>
      </c>
    </row>
    <row r="1932" spans="1:6" x14ac:dyDescent="0.25">
      <c r="A1932" s="4" t="s">
        <v>145</v>
      </c>
      <c r="B1932">
        <v>436</v>
      </c>
      <c r="C1932">
        <f t="shared" si="123"/>
        <v>4049</v>
      </c>
      <c r="D1932">
        <f t="shared" si="121"/>
        <v>0</v>
      </c>
      <c r="E1932">
        <f t="shared" si="122"/>
        <v>0</v>
      </c>
      <c r="F1932">
        <f t="shared" si="124"/>
        <v>0</v>
      </c>
    </row>
    <row r="1933" spans="1:6" x14ac:dyDescent="0.25">
      <c r="A1933" s="4" t="s">
        <v>147</v>
      </c>
      <c r="B1933">
        <v>405</v>
      </c>
      <c r="C1933">
        <f t="shared" si="123"/>
        <v>4454</v>
      </c>
      <c r="D1933">
        <f t="shared" si="121"/>
        <v>0</v>
      </c>
      <c r="E1933">
        <f t="shared" si="122"/>
        <v>0</v>
      </c>
      <c r="F1933">
        <f t="shared" si="124"/>
        <v>0</v>
      </c>
    </row>
    <row r="1934" spans="1:6" x14ac:dyDescent="0.25">
      <c r="A1934" s="4" t="s">
        <v>155</v>
      </c>
      <c r="B1934">
        <v>40</v>
      </c>
      <c r="C1934">
        <f t="shared" si="123"/>
        <v>4494</v>
      </c>
      <c r="D1934">
        <f t="shared" si="121"/>
        <v>0</v>
      </c>
      <c r="E1934">
        <f t="shared" si="122"/>
        <v>0</v>
      </c>
      <c r="F1934">
        <f t="shared" si="124"/>
        <v>0</v>
      </c>
    </row>
    <row r="1935" spans="1:6" x14ac:dyDescent="0.25">
      <c r="A1935" s="4" t="s">
        <v>159</v>
      </c>
      <c r="B1935">
        <v>276</v>
      </c>
      <c r="C1935">
        <f t="shared" si="123"/>
        <v>4770</v>
      </c>
      <c r="D1935">
        <f t="shared" si="121"/>
        <v>0</v>
      </c>
      <c r="E1935">
        <f t="shared" si="122"/>
        <v>0</v>
      </c>
      <c r="F1935">
        <f t="shared" si="124"/>
        <v>0</v>
      </c>
    </row>
    <row r="1936" spans="1:6" x14ac:dyDescent="0.25">
      <c r="A1936" s="4" t="s">
        <v>162</v>
      </c>
      <c r="B1936">
        <v>281</v>
      </c>
      <c r="C1936">
        <f t="shared" si="123"/>
        <v>5051</v>
      </c>
      <c r="D1936">
        <f t="shared" si="121"/>
        <v>0</v>
      </c>
      <c r="E1936">
        <f t="shared" si="122"/>
        <v>0</v>
      </c>
      <c r="F1936">
        <f t="shared" si="124"/>
        <v>0</v>
      </c>
    </row>
    <row r="1937" spans="1:6" x14ac:dyDescent="0.25">
      <c r="A1937" s="4" t="s">
        <v>173</v>
      </c>
      <c r="B1937">
        <v>217</v>
      </c>
      <c r="C1937">
        <f t="shared" si="123"/>
        <v>5268</v>
      </c>
      <c r="D1937">
        <f t="shared" si="121"/>
        <v>0</v>
      </c>
      <c r="E1937">
        <f t="shared" si="122"/>
        <v>0</v>
      </c>
      <c r="F1937">
        <f t="shared" si="124"/>
        <v>0</v>
      </c>
    </row>
    <row r="1938" spans="1:6" x14ac:dyDescent="0.25">
      <c r="A1938" s="4" t="s">
        <v>179</v>
      </c>
      <c r="B1938">
        <v>579</v>
      </c>
      <c r="C1938">
        <f t="shared" si="123"/>
        <v>5847</v>
      </c>
      <c r="D1938">
        <f t="shared" si="121"/>
        <v>0</v>
      </c>
      <c r="E1938">
        <f t="shared" si="122"/>
        <v>0</v>
      </c>
      <c r="F1938">
        <f t="shared" si="124"/>
        <v>0</v>
      </c>
    </row>
    <row r="1939" spans="1:6" x14ac:dyDescent="0.25">
      <c r="A1939" s="4" t="s">
        <v>181</v>
      </c>
      <c r="B1939">
        <v>682</v>
      </c>
      <c r="C1939">
        <f t="shared" si="123"/>
        <v>6529</v>
      </c>
      <c r="D1939">
        <f t="shared" si="121"/>
        <v>0</v>
      </c>
      <c r="E1939">
        <f t="shared" si="122"/>
        <v>0</v>
      </c>
      <c r="F1939">
        <f t="shared" si="124"/>
        <v>0</v>
      </c>
    </row>
    <row r="1940" spans="1:6" x14ac:dyDescent="0.25">
      <c r="A1940" s="4" t="s">
        <v>183</v>
      </c>
      <c r="B1940">
        <v>169</v>
      </c>
      <c r="C1940">
        <f t="shared" si="123"/>
        <v>6698</v>
      </c>
      <c r="D1940">
        <f t="shared" si="121"/>
        <v>0</v>
      </c>
      <c r="E1940">
        <f t="shared" si="122"/>
        <v>0</v>
      </c>
      <c r="F1940">
        <f t="shared" si="124"/>
        <v>0</v>
      </c>
    </row>
    <row r="1941" spans="1:6" x14ac:dyDescent="0.25">
      <c r="A1941" s="4" t="s">
        <v>213</v>
      </c>
      <c r="B1941">
        <v>379</v>
      </c>
      <c r="C1941">
        <f t="shared" si="123"/>
        <v>7077</v>
      </c>
      <c r="D1941">
        <f t="shared" si="121"/>
        <v>0</v>
      </c>
      <c r="E1941">
        <f t="shared" si="122"/>
        <v>0</v>
      </c>
      <c r="F1941">
        <f t="shared" si="124"/>
        <v>0</v>
      </c>
    </row>
    <row r="1942" spans="1:6" x14ac:dyDescent="0.25">
      <c r="A1942" s="4" t="s">
        <v>220</v>
      </c>
      <c r="B1942">
        <v>409</v>
      </c>
      <c r="C1942">
        <f t="shared" si="123"/>
        <v>7486</v>
      </c>
      <c r="D1942">
        <f t="shared" si="121"/>
        <v>0</v>
      </c>
      <c r="E1942">
        <f t="shared" si="122"/>
        <v>0</v>
      </c>
      <c r="F1942">
        <f t="shared" si="124"/>
        <v>0</v>
      </c>
    </row>
    <row r="1943" spans="1:6" x14ac:dyDescent="0.25">
      <c r="A1943" s="4" t="s">
        <v>225</v>
      </c>
      <c r="B1943">
        <v>204</v>
      </c>
      <c r="C1943">
        <f t="shared" si="123"/>
        <v>7690</v>
      </c>
      <c r="D1943">
        <f t="shared" si="121"/>
        <v>0</v>
      </c>
      <c r="E1943">
        <f t="shared" si="122"/>
        <v>0</v>
      </c>
      <c r="F1943">
        <f t="shared" si="124"/>
        <v>0</v>
      </c>
    </row>
    <row r="1944" spans="1:6" x14ac:dyDescent="0.25">
      <c r="A1944" s="4" t="s">
        <v>233</v>
      </c>
      <c r="B1944">
        <v>35</v>
      </c>
      <c r="C1944">
        <f t="shared" si="123"/>
        <v>7725</v>
      </c>
      <c r="D1944">
        <f t="shared" si="121"/>
        <v>0</v>
      </c>
      <c r="E1944">
        <f t="shared" si="122"/>
        <v>0</v>
      </c>
      <c r="F1944">
        <f t="shared" si="124"/>
        <v>0</v>
      </c>
    </row>
    <row r="1945" spans="1:6" x14ac:dyDescent="0.25">
      <c r="A1945" s="4" t="s">
        <v>243</v>
      </c>
      <c r="B1945">
        <v>20</v>
      </c>
      <c r="C1945">
        <f t="shared" si="123"/>
        <v>7745</v>
      </c>
      <c r="D1945">
        <f t="shared" si="121"/>
        <v>0</v>
      </c>
      <c r="E1945">
        <f t="shared" si="122"/>
        <v>0</v>
      </c>
      <c r="F1945">
        <f t="shared" si="124"/>
        <v>0</v>
      </c>
    </row>
    <row r="1946" spans="1:6" x14ac:dyDescent="0.25">
      <c r="A1946" s="4" t="s">
        <v>245</v>
      </c>
      <c r="B1946">
        <v>330</v>
      </c>
      <c r="C1946">
        <f t="shared" si="123"/>
        <v>8075</v>
      </c>
      <c r="D1946">
        <f t="shared" si="121"/>
        <v>0</v>
      </c>
      <c r="E1946">
        <f t="shared" si="122"/>
        <v>0</v>
      </c>
      <c r="F1946">
        <f t="shared" si="124"/>
        <v>0</v>
      </c>
    </row>
    <row r="1947" spans="1:6" x14ac:dyDescent="0.25">
      <c r="A1947" s="4" t="s">
        <v>250</v>
      </c>
      <c r="B1947">
        <v>151</v>
      </c>
      <c r="C1947">
        <f t="shared" si="123"/>
        <v>8226</v>
      </c>
      <c r="D1947">
        <f t="shared" si="121"/>
        <v>0</v>
      </c>
      <c r="E1947">
        <f t="shared" si="122"/>
        <v>0</v>
      </c>
      <c r="F1947">
        <f t="shared" si="124"/>
        <v>0</v>
      </c>
    </row>
    <row r="1948" spans="1:6" x14ac:dyDescent="0.25">
      <c r="A1948" s="4" t="s">
        <v>266</v>
      </c>
      <c r="B1948">
        <v>500</v>
      </c>
      <c r="C1948">
        <f t="shared" si="123"/>
        <v>8726</v>
      </c>
      <c r="D1948">
        <f t="shared" si="121"/>
        <v>0</v>
      </c>
      <c r="E1948">
        <f t="shared" si="122"/>
        <v>0</v>
      </c>
      <c r="F1948">
        <f t="shared" si="124"/>
        <v>0</v>
      </c>
    </row>
    <row r="1949" spans="1:6" x14ac:dyDescent="0.25">
      <c r="A1949" s="4" t="s">
        <v>273</v>
      </c>
      <c r="B1949">
        <v>450</v>
      </c>
      <c r="C1949">
        <f t="shared" si="123"/>
        <v>9176</v>
      </c>
      <c r="D1949">
        <f t="shared" si="121"/>
        <v>0</v>
      </c>
      <c r="E1949">
        <f t="shared" si="122"/>
        <v>0</v>
      </c>
      <c r="F1949">
        <f t="shared" si="124"/>
        <v>0</v>
      </c>
    </row>
    <row r="1950" spans="1:6" x14ac:dyDescent="0.25">
      <c r="A1950" s="4" t="s">
        <v>279</v>
      </c>
      <c r="B1950">
        <v>459</v>
      </c>
      <c r="C1950">
        <f t="shared" si="123"/>
        <v>9635</v>
      </c>
      <c r="D1950">
        <f t="shared" si="121"/>
        <v>0</v>
      </c>
      <c r="E1950">
        <f t="shared" si="122"/>
        <v>0</v>
      </c>
      <c r="F1950">
        <f t="shared" si="124"/>
        <v>0</v>
      </c>
    </row>
    <row r="1951" spans="1:6" x14ac:dyDescent="0.25">
      <c r="A1951" s="4" t="s">
        <v>285</v>
      </c>
      <c r="B1951">
        <v>285</v>
      </c>
      <c r="C1951">
        <f t="shared" si="123"/>
        <v>9920</v>
      </c>
      <c r="D1951">
        <f t="shared" si="121"/>
        <v>0</v>
      </c>
      <c r="E1951">
        <f t="shared" si="122"/>
        <v>0</v>
      </c>
      <c r="F1951">
        <f t="shared" si="124"/>
        <v>0</v>
      </c>
    </row>
    <row r="1952" spans="1:6" x14ac:dyDescent="0.25">
      <c r="A1952" s="4" t="s">
        <v>289</v>
      </c>
      <c r="B1952">
        <v>66</v>
      </c>
      <c r="C1952">
        <f t="shared" si="123"/>
        <v>9986</v>
      </c>
      <c r="D1952">
        <f t="shared" si="121"/>
        <v>0</v>
      </c>
      <c r="E1952">
        <f t="shared" si="122"/>
        <v>0</v>
      </c>
      <c r="F1952">
        <f t="shared" si="124"/>
        <v>0</v>
      </c>
    </row>
    <row r="1953" spans="1:6" x14ac:dyDescent="0.25">
      <c r="A1953" s="4" t="s">
        <v>294</v>
      </c>
      <c r="B1953">
        <v>435</v>
      </c>
      <c r="C1953">
        <f t="shared" si="123"/>
        <v>10421</v>
      </c>
      <c r="D1953">
        <f t="shared" si="121"/>
        <v>0</v>
      </c>
      <c r="E1953">
        <f t="shared" si="122"/>
        <v>0</v>
      </c>
      <c r="F1953">
        <f t="shared" si="124"/>
        <v>0</v>
      </c>
    </row>
    <row r="1954" spans="1:6" x14ac:dyDescent="0.25">
      <c r="A1954" s="4" t="s">
        <v>336</v>
      </c>
      <c r="B1954">
        <v>234</v>
      </c>
      <c r="C1954">
        <f t="shared" si="123"/>
        <v>10655</v>
      </c>
      <c r="D1954">
        <f t="shared" si="121"/>
        <v>0</v>
      </c>
      <c r="E1954">
        <f t="shared" si="122"/>
        <v>0</v>
      </c>
      <c r="F1954">
        <f t="shared" si="124"/>
        <v>0</v>
      </c>
    </row>
    <row r="1955" spans="1:6" x14ac:dyDescent="0.25">
      <c r="A1955" s="4" t="s">
        <v>345</v>
      </c>
      <c r="B1955">
        <v>336</v>
      </c>
      <c r="C1955">
        <f t="shared" si="123"/>
        <v>10991</v>
      </c>
      <c r="D1955">
        <f t="shared" si="121"/>
        <v>0</v>
      </c>
      <c r="E1955">
        <f t="shared" si="122"/>
        <v>0</v>
      </c>
      <c r="F1955">
        <f t="shared" si="124"/>
        <v>0</v>
      </c>
    </row>
    <row r="1956" spans="1:6" x14ac:dyDescent="0.25">
      <c r="A1956" s="4" t="s">
        <v>369</v>
      </c>
      <c r="B1956">
        <v>387</v>
      </c>
      <c r="C1956">
        <f t="shared" si="123"/>
        <v>11378</v>
      </c>
      <c r="D1956">
        <f t="shared" si="121"/>
        <v>0</v>
      </c>
      <c r="E1956">
        <f t="shared" si="122"/>
        <v>0</v>
      </c>
      <c r="F1956">
        <f t="shared" si="124"/>
        <v>0</v>
      </c>
    </row>
    <row r="1957" spans="1:6" x14ac:dyDescent="0.25">
      <c r="A1957" s="4" t="s">
        <v>370</v>
      </c>
      <c r="B1957">
        <v>453</v>
      </c>
      <c r="C1957">
        <f t="shared" si="123"/>
        <v>11831</v>
      </c>
      <c r="D1957">
        <f t="shared" si="121"/>
        <v>0</v>
      </c>
      <c r="E1957">
        <f t="shared" si="122"/>
        <v>0</v>
      </c>
      <c r="F1957">
        <f t="shared" si="124"/>
        <v>0</v>
      </c>
    </row>
    <row r="1958" spans="1:6" x14ac:dyDescent="0.25">
      <c r="A1958" s="4" t="s">
        <v>374</v>
      </c>
      <c r="B1958">
        <v>173</v>
      </c>
      <c r="C1958">
        <f t="shared" si="123"/>
        <v>12004</v>
      </c>
      <c r="D1958">
        <f t="shared" si="121"/>
        <v>0</v>
      </c>
      <c r="E1958">
        <f t="shared" si="122"/>
        <v>0</v>
      </c>
      <c r="F1958">
        <f t="shared" si="124"/>
        <v>0</v>
      </c>
    </row>
    <row r="1959" spans="1:6" x14ac:dyDescent="0.25">
      <c r="A1959" s="4" t="s">
        <v>378</v>
      </c>
      <c r="B1959">
        <v>377</v>
      </c>
      <c r="C1959">
        <f t="shared" si="123"/>
        <v>12381</v>
      </c>
      <c r="D1959">
        <f t="shared" si="121"/>
        <v>0</v>
      </c>
      <c r="E1959">
        <f t="shared" si="122"/>
        <v>0</v>
      </c>
      <c r="F1959">
        <f t="shared" si="124"/>
        <v>0</v>
      </c>
    </row>
    <row r="1960" spans="1:6" x14ac:dyDescent="0.25">
      <c r="A1960" s="4" t="s">
        <v>387</v>
      </c>
      <c r="B1960">
        <v>161</v>
      </c>
      <c r="C1960">
        <f t="shared" si="123"/>
        <v>12542</v>
      </c>
      <c r="D1960">
        <f t="shared" si="121"/>
        <v>0</v>
      </c>
      <c r="E1960">
        <f t="shared" si="122"/>
        <v>0</v>
      </c>
      <c r="F1960">
        <f t="shared" si="124"/>
        <v>0</v>
      </c>
    </row>
    <row r="1961" spans="1:6" x14ac:dyDescent="0.25">
      <c r="A1961" s="4" t="s">
        <v>393</v>
      </c>
      <c r="B1961">
        <v>1283</v>
      </c>
      <c r="C1961">
        <f t="shared" si="123"/>
        <v>13825</v>
      </c>
      <c r="D1961">
        <f t="shared" si="121"/>
        <v>0</v>
      </c>
      <c r="E1961">
        <f t="shared" si="122"/>
        <v>0</v>
      </c>
      <c r="F1961">
        <f t="shared" si="124"/>
        <v>0</v>
      </c>
    </row>
    <row r="1962" spans="1:6" x14ac:dyDescent="0.25">
      <c r="A1962" s="4" t="s">
        <v>403</v>
      </c>
      <c r="B1962">
        <v>389</v>
      </c>
      <c r="C1962">
        <f t="shared" si="123"/>
        <v>14214</v>
      </c>
      <c r="D1962">
        <f t="shared" si="121"/>
        <v>0</v>
      </c>
      <c r="E1962">
        <f t="shared" si="122"/>
        <v>0</v>
      </c>
      <c r="F1962">
        <f t="shared" si="124"/>
        <v>0</v>
      </c>
    </row>
    <row r="1963" spans="1:6" x14ac:dyDescent="0.25">
      <c r="A1963" s="3" t="s">
        <v>52</v>
      </c>
      <c r="B1963">
        <v>15671</v>
      </c>
      <c r="C1963">
        <f t="shared" si="123"/>
        <v>0</v>
      </c>
      <c r="D1963">
        <f t="shared" si="121"/>
        <v>0</v>
      </c>
      <c r="E1963">
        <f t="shared" si="122"/>
        <v>0</v>
      </c>
      <c r="F1963">
        <f t="shared" si="124"/>
        <v>0</v>
      </c>
    </row>
    <row r="1964" spans="1:6" x14ac:dyDescent="0.25">
      <c r="A1964" s="4" t="s">
        <v>119</v>
      </c>
      <c r="B1964">
        <v>481</v>
      </c>
      <c r="C1964">
        <f t="shared" si="123"/>
        <v>481</v>
      </c>
      <c r="D1964">
        <f t="shared" si="121"/>
        <v>0</v>
      </c>
      <c r="E1964">
        <f t="shared" si="122"/>
        <v>0</v>
      </c>
      <c r="F1964">
        <f t="shared" si="124"/>
        <v>0</v>
      </c>
    </row>
    <row r="1965" spans="1:6" x14ac:dyDescent="0.25">
      <c r="A1965" s="4" t="s">
        <v>129</v>
      </c>
      <c r="B1965">
        <v>128</v>
      </c>
      <c r="C1965">
        <f t="shared" si="123"/>
        <v>609</v>
      </c>
      <c r="D1965">
        <f t="shared" si="121"/>
        <v>0</v>
      </c>
      <c r="E1965">
        <f t="shared" si="122"/>
        <v>0</v>
      </c>
      <c r="F1965">
        <f t="shared" si="124"/>
        <v>0</v>
      </c>
    </row>
    <row r="1966" spans="1:6" x14ac:dyDescent="0.25">
      <c r="A1966" s="4" t="s">
        <v>139</v>
      </c>
      <c r="B1966">
        <v>685</v>
      </c>
      <c r="C1966">
        <f t="shared" si="123"/>
        <v>1294</v>
      </c>
      <c r="D1966">
        <f t="shared" si="121"/>
        <v>0</v>
      </c>
      <c r="E1966">
        <f t="shared" si="122"/>
        <v>0</v>
      </c>
      <c r="F1966">
        <f t="shared" si="124"/>
        <v>0</v>
      </c>
    </row>
    <row r="1967" spans="1:6" x14ac:dyDescent="0.25">
      <c r="A1967" s="4" t="s">
        <v>152</v>
      </c>
      <c r="B1967">
        <v>437</v>
      </c>
      <c r="C1967">
        <f t="shared" si="123"/>
        <v>1731</v>
      </c>
      <c r="D1967">
        <f t="shared" si="121"/>
        <v>0</v>
      </c>
      <c r="E1967">
        <f t="shared" si="122"/>
        <v>0</v>
      </c>
      <c r="F1967">
        <f t="shared" si="124"/>
        <v>0</v>
      </c>
    </row>
    <row r="1968" spans="1:6" x14ac:dyDescent="0.25">
      <c r="A1968" s="4" t="s">
        <v>153</v>
      </c>
      <c r="B1968">
        <v>223</v>
      </c>
      <c r="C1968">
        <f t="shared" si="123"/>
        <v>1954</v>
      </c>
      <c r="D1968">
        <f t="shared" si="121"/>
        <v>0</v>
      </c>
      <c r="E1968">
        <f t="shared" si="122"/>
        <v>0</v>
      </c>
      <c r="F1968">
        <f t="shared" si="124"/>
        <v>0</v>
      </c>
    </row>
    <row r="1969" spans="1:6" x14ac:dyDescent="0.25">
      <c r="A1969" s="4" t="s">
        <v>160</v>
      </c>
      <c r="B1969">
        <v>465</v>
      </c>
      <c r="C1969">
        <f t="shared" si="123"/>
        <v>2419</v>
      </c>
      <c r="D1969">
        <f t="shared" ref="D1969:D2032" si="125">IF(C1969 &gt; 15000, 1, 0)</f>
        <v>0</v>
      </c>
      <c r="E1969">
        <f t="shared" ref="E1969:E2032" si="126">IF(AND(D1969 =1,C1969 &gt;= 20000),1,0)</f>
        <v>0</v>
      </c>
      <c r="F1969">
        <f t="shared" si="124"/>
        <v>0</v>
      </c>
    </row>
    <row r="1970" spans="1:6" x14ac:dyDescent="0.25">
      <c r="A1970" s="4" t="s">
        <v>163</v>
      </c>
      <c r="B1970">
        <v>314</v>
      </c>
      <c r="C1970">
        <f t="shared" si="123"/>
        <v>2733</v>
      </c>
      <c r="D1970">
        <f t="shared" si="125"/>
        <v>0</v>
      </c>
      <c r="E1970">
        <f t="shared" si="126"/>
        <v>0</v>
      </c>
      <c r="F1970">
        <f t="shared" si="124"/>
        <v>0</v>
      </c>
    </row>
    <row r="1971" spans="1:6" x14ac:dyDescent="0.25">
      <c r="A1971" s="4" t="s">
        <v>166</v>
      </c>
      <c r="B1971">
        <v>229</v>
      </c>
      <c r="C1971">
        <f t="shared" si="123"/>
        <v>2962</v>
      </c>
      <c r="D1971">
        <f t="shared" si="125"/>
        <v>0</v>
      </c>
      <c r="E1971">
        <f t="shared" si="126"/>
        <v>0</v>
      </c>
      <c r="F1971">
        <f t="shared" si="124"/>
        <v>0</v>
      </c>
    </row>
    <row r="1972" spans="1:6" x14ac:dyDescent="0.25">
      <c r="A1972" s="4" t="s">
        <v>168</v>
      </c>
      <c r="B1972">
        <v>399</v>
      </c>
      <c r="C1972">
        <f t="shared" si="123"/>
        <v>3361</v>
      </c>
      <c r="D1972">
        <f t="shared" si="125"/>
        <v>0</v>
      </c>
      <c r="E1972">
        <f t="shared" si="126"/>
        <v>0</v>
      </c>
      <c r="F1972">
        <f t="shared" si="124"/>
        <v>0</v>
      </c>
    </row>
    <row r="1973" spans="1:6" x14ac:dyDescent="0.25">
      <c r="A1973" s="4" t="s">
        <v>171</v>
      </c>
      <c r="B1973">
        <v>624</v>
      </c>
      <c r="C1973">
        <f t="shared" si="123"/>
        <v>3985</v>
      </c>
      <c r="D1973">
        <f t="shared" si="125"/>
        <v>0</v>
      </c>
      <c r="E1973">
        <f t="shared" si="126"/>
        <v>0</v>
      </c>
      <c r="F1973">
        <f t="shared" si="124"/>
        <v>0</v>
      </c>
    </row>
    <row r="1974" spans="1:6" x14ac:dyDescent="0.25">
      <c r="A1974" s="4" t="s">
        <v>183</v>
      </c>
      <c r="B1974">
        <v>426</v>
      </c>
      <c r="C1974">
        <f t="shared" si="123"/>
        <v>4411</v>
      </c>
      <c r="D1974">
        <f t="shared" si="125"/>
        <v>0</v>
      </c>
      <c r="E1974">
        <f t="shared" si="126"/>
        <v>0</v>
      </c>
      <c r="F1974">
        <f t="shared" si="124"/>
        <v>0</v>
      </c>
    </row>
    <row r="1975" spans="1:6" x14ac:dyDescent="0.25">
      <c r="A1975" s="4" t="s">
        <v>188</v>
      </c>
      <c r="B1975">
        <v>710</v>
      </c>
      <c r="C1975">
        <f t="shared" si="123"/>
        <v>5121</v>
      </c>
      <c r="D1975">
        <f t="shared" si="125"/>
        <v>0</v>
      </c>
      <c r="E1975">
        <f t="shared" si="126"/>
        <v>0</v>
      </c>
      <c r="F1975">
        <f t="shared" si="124"/>
        <v>0</v>
      </c>
    </row>
    <row r="1976" spans="1:6" x14ac:dyDescent="0.25">
      <c r="A1976" s="4" t="s">
        <v>189</v>
      </c>
      <c r="B1976">
        <v>415</v>
      </c>
      <c r="C1976">
        <f t="shared" si="123"/>
        <v>5536</v>
      </c>
      <c r="D1976">
        <f t="shared" si="125"/>
        <v>0</v>
      </c>
      <c r="E1976">
        <f t="shared" si="126"/>
        <v>0</v>
      </c>
      <c r="F1976">
        <f t="shared" si="124"/>
        <v>0</v>
      </c>
    </row>
    <row r="1977" spans="1:6" x14ac:dyDescent="0.25">
      <c r="A1977" s="4" t="s">
        <v>193</v>
      </c>
      <c r="B1977">
        <v>358</v>
      </c>
      <c r="C1977">
        <f t="shared" si="123"/>
        <v>5894</v>
      </c>
      <c r="D1977">
        <f t="shared" si="125"/>
        <v>0</v>
      </c>
      <c r="E1977">
        <f t="shared" si="126"/>
        <v>0</v>
      </c>
      <c r="F1977">
        <f t="shared" si="124"/>
        <v>0</v>
      </c>
    </row>
    <row r="1978" spans="1:6" x14ac:dyDescent="0.25">
      <c r="A1978" s="4" t="s">
        <v>195</v>
      </c>
      <c r="B1978">
        <v>421</v>
      </c>
      <c r="C1978">
        <f t="shared" si="123"/>
        <v>6315</v>
      </c>
      <c r="D1978">
        <f t="shared" si="125"/>
        <v>0</v>
      </c>
      <c r="E1978">
        <f t="shared" si="126"/>
        <v>0</v>
      </c>
      <c r="F1978">
        <f t="shared" si="124"/>
        <v>0</v>
      </c>
    </row>
    <row r="1979" spans="1:6" x14ac:dyDescent="0.25">
      <c r="A1979" s="4" t="s">
        <v>196</v>
      </c>
      <c r="B1979">
        <v>410</v>
      </c>
      <c r="C1979">
        <f t="shared" si="123"/>
        <v>6725</v>
      </c>
      <c r="D1979">
        <f t="shared" si="125"/>
        <v>0</v>
      </c>
      <c r="E1979">
        <f t="shared" si="126"/>
        <v>0</v>
      </c>
      <c r="F1979">
        <f t="shared" si="124"/>
        <v>0</v>
      </c>
    </row>
    <row r="1980" spans="1:6" x14ac:dyDescent="0.25">
      <c r="A1980" s="4" t="s">
        <v>212</v>
      </c>
      <c r="B1980">
        <v>355</v>
      </c>
      <c r="C1980">
        <f t="shared" si="123"/>
        <v>7080</v>
      </c>
      <c r="D1980">
        <f t="shared" si="125"/>
        <v>0</v>
      </c>
      <c r="E1980">
        <f t="shared" si="126"/>
        <v>0</v>
      </c>
      <c r="F1980">
        <f t="shared" si="124"/>
        <v>0</v>
      </c>
    </row>
    <row r="1981" spans="1:6" x14ac:dyDescent="0.25">
      <c r="A1981" s="4" t="s">
        <v>213</v>
      </c>
      <c r="B1981">
        <v>441</v>
      </c>
      <c r="C1981">
        <f t="shared" si="123"/>
        <v>7521</v>
      </c>
      <c r="D1981">
        <f t="shared" si="125"/>
        <v>0</v>
      </c>
      <c r="E1981">
        <f t="shared" si="126"/>
        <v>0</v>
      </c>
      <c r="F1981">
        <f t="shared" si="124"/>
        <v>0</v>
      </c>
    </row>
    <row r="1982" spans="1:6" x14ac:dyDescent="0.25">
      <c r="A1982" s="4" t="s">
        <v>231</v>
      </c>
      <c r="B1982">
        <v>392</v>
      </c>
      <c r="C1982">
        <f t="shared" si="123"/>
        <v>7913</v>
      </c>
      <c r="D1982">
        <f t="shared" si="125"/>
        <v>0</v>
      </c>
      <c r="E1982">
        <f t="shared" si="126"/>
        <v>0</v>
      </c>
      <c r="F1982">
        <f t="shared" si="124"/>
        <v>0</v>
      </c>
    </row>
    <row r="1983" spans="1:6" x14ac:dyDescent="0.25">
      <c r="A1983" s="4" t="s">
        <v>247</v>
      </c>
      <c r="B1983">
        <v>338</v>
      </c>
      <c r="C1983">
        <f t="shared" si="123"/>
        <v>8251</v>
      </c>
      <c r="D1983">
        <f t="shared" si="125"/>
        <v>0</v>
      </c>
      <c r="E1983">
        <f t="shared" si="126"/>
        <v>0</v>
      </c>
      <c r="F1983">
        <f t="shared" si="124"/>
        <v>0</v>
      </c>
    </row>
    <row r="1984" spans="1:6" x14ac:dyDescent="0.25">
      <c r="A1984" s="4" t="s">
        <v>257</v>
      </c>
      <c r="B1984">
        <v>233</v>
      </c>
      <c r="C1984">
        <f t="shared" si="123"/>
        <v>8484</v>
      </c>
      <c r="D1984">
        <f t="shared" si="125"/>
        <v>0</v>
      </c>
      <c r="E1984">
        <f t="shared" si="126"/>
        <v>0</v>
      </c>
      <c r="F1984">
        <f t="shared" si="124"/>
        <v>0</v>
      </c>
    </row>
    <row r="1985" spans="1:6" x14ac:dyDescent="0.25">
      <c r="A1985" s="4" t="s">
        <v>280</v>
      </c>
      <c r="B1985">
        <v>54</v>
      </c>
      <c r="C1985">
        <f t="shared" si="123"/>
        <v>8538</v>
      </c>
      <c r="D1985">
        <f t="shared" si="125"/>
        <v>0</v>
      </c>
      <c r="E1985">
        <f t="shared" si="126"/>
        <v>0</v>
      </c>
      <c r="F1985">
        <f t="shared" si="124"/>
        <v>0</v>
      </c>
    </row>
    <row r="1986" spans="1:6" x14ac:dyDescent="0.25">
      <c r="A1986" s="4" t="s">
        <v>281</v>
      </c>
      <c r="B1986">
        <v>57</v>
      </c>
      <c r="C1986">
        <f t="shared" si="123"/>
        <v>8595</v>
      </c>
      <c r="D1986">
        <f t="shared" si="125"/>
        <v>0</v>
      </c>
      <c r="E1986">
        <f t="shared" si="126"/>
        <v>0</v>
      </c>
      <c r="F1986">
        <f t="shared" si="124"/>
        <v>0</v>
      </c>
    </row>
    <row r="1987" spans="1:6" x14ac:dyDescent="0.25">
      <c r="A1987" s="4" t="s">
        <v>290</v>
      </c>
      <c r="B1987">
        <v>466</v>
      </c>
      <c r="C1987">
        <f t="shared" si="123"/>
        <v>9061</v>
      </c>
      <c r="D1987">
        <f t="shared" si="125"/>
        <v>0</v>
      </c>
      <c r="E1987">
        <f t="shared" si="126"/>
        <v>0</v>
      </c>
      <c r="F1987">
        <f t="shared" si="124"/>
        <v>0</v>
      </c>
    </row>
    <row r="1988" spans="1:6" x14ac:dyDescent="0.25">
      <c r="A1988" s="4" t="s">
        <v>301</v>
      </c>
      <c r="B1988">
        <v>136</v>
      </c>
      <c r="C1988">
        <f t="shared" si="123"/>
        <v>9197</v>
      </c>
      <c r="D1988">
        <f t="shared" si="125"/>
        <v>0</v>
      </c>
      <c r="E1988">
        <f t="shared" si="126"/>
        <v>0</v>
      </c>
      <c r="F1988">
        <f t="shared" si="124"/>
        <v>0</v>
      </c>
    </row>
    <row r="1989" spans="1:6" x14ac:dyDescent="0.25">
      <c r="A1989" s="4" t="s">
        <v>303</v>
      </c>
      <c r="B1989">
        <v>471</v>
      </c>
      <c r="C1989">
        <f t="shared" ref="C1989:C2052" si="127">IF(LEN(A1989) &gt;= 12, 0, C1988+B1989)</f>
        <v>9668</v>
      </c>
      <c r="D1989">
        <f t="shared" si="125"/>
        <v>0</v>
      </c>
      <c r="E1989">
        <f t="shared" si="126"/>
        <v>0</v>
      </c>
      <c r="F1989">
        <f t="shared" si="124"/>
        <v>0</v>
      </c>
    </row>
    <row r="1990" spans="1:6" x14ac:dyDescent="0.25">
      <c r="A1990" s="4" t="s">
        <v>304</v>
      </c>
      <c r="B1990">
        <v>167</v>
      </c>
      <c r="C1990">
        <f t="shared" si="127"/>
        <v>9835</v>
      </c>
      <c r="D1990">
        <f t="shared" si="125"/>
        <v>0</v>
      </c>
      <c r="E1990">
        <f t="shared" si="126"/>
        <v>0</v>
      </c>
      <c r="F1990">
        <f t="shared" ref="F1990:F2053" si="128">IF(AND(D1990 = 1, C1990 &lt; 20000), B1990*5, IF(AND(E1990=1, C1990 &gt;= 20000),B1990*10,0))</f>
        <v>0</v>
      </c>
    </row>
    <row r="1991" spans="1:6" x14ac:dyDescent="0.25">
      <c r="A1991" s="4" t="s">
        <v>305</v>
      </c>
      <c r="B1991">
        <v>266</v>
      </c>
      <c r="C1991">
        <f t="shared" si="127"/>
        <v>10101</v>
      </c>
      <c r="D1991">
        <f t="shared" si="125"/>
        <v>0</v>
      </c>
      <c r="E1991">
        <f t="shared" si="126"/>
        <v>0</v>
      </c>
      <c r="F1991">
        <f t="shared" si="128"/>
        <v>0</v>
      </c>
    </row>
    <row r="1992" spans="1:6" x14ac:dyDescent="0.25">
      <c r="A1992" s="4" t="s">
        <v>312</v>
      </c>
      <c r="B1992">
        <v>487</v>
      </c>
      <c r="C1992">
        <f t="shared" si="127"/>
        <v>10588</v>
      </c>
      <c r="D1992">
        <f t="shared" si="125"/>
        <v>0</v>
      </c>
      <c r="E1992">
        <f t="shared" si="126"/>
        <v>0</v>
      </c>
      <c r="F1992">
        <f t="shared" si="128"/>
        <v>0</v>
      </c>
    </row>
    <row r="1993" spans="1:6" x14ac:dyDescent="0.25">
      <c r="A1993" s="4" t="s">
        <v>319</v>
      </c>
      <c r="B1993">
        <v>32</v>
      </c>
      <c r="C1993">
        <f t="shared" si="127"/>
        <v>10620</v>
      </c>
      <c r="D1993">
        <f t="shared" si="125"/>
        <v>0</v>
      </c>
      <c r="E1993">
        <f t="shared" si="126"/>
        <v>0</v>
      </c>
      <c r="F1993">
        <f t="shared" si="128"/>
        <v>0</v>
      </c>
    </row>
    <row r="1994" spans="1:6" x14ac:dyDescent="0.25">
      <c r="A1994" s="4" t="s">
        <v>321</v>
      </c>
      <c r="B1994">
        <v>125</v>
      </c>
      <c r="C1994">
        <f t="shared" si="127"/>
        <v>10745</v>
      </c>
      <c r="D1994">
        <f t="shared" si="125"/>
        <v>0</v>
      </c>
      <c r="E1994">
        <f t="shared" si="126"/>
        <v>0</v>
      </c>
      <c r="F1994">
        <f t="shared" si="128"/>
        <v>0</v>
      </c>
    </row>
    <row r="1995" spans="1:6" x14ac:dyDescent="0.25">
      <c r="A1995" s="4" t="s">
        <v>322</v>
      </c>
      <c r="B1995">
        <v>484</v>
      </c>
      <c r="C1995">
        <f t="shared" si="127"/>
        <v>11229</v>
      </c>
      <c r="D1995">
        <f t="shared" si="125"/>
        <v>0</v>
      </c>
      <c r="E1995">
        <f t="shared" si="126"/>
        <v>0</v>
      </c>
      <c r="F1995">
        <f t="shared" si="128"/>
        <v>0</v>
      </c>
    </row>
    <row r="1996" spans="1:6" x14ac:dyDescent="0.25">
      <c r="A1996" s="4" t="s">
        <v>324</v>
      </c>
      <c r="B1996">
        <v>29</v>
      </c>
      <c r="C1996">
        <f t="shared" si="127"/>
        <v>11258</v>
      </c>
      <c r="D1996">
        <f t="shared" si="125"/>
        <v>0</v>
      </c>
      <c r="E1996">
        <f t="shared" si="126"/>
        <v>0</v>
      </c>
      <c r="F1996">
        <f t="shared" si="128"/>
        <v>0</v>
      </c>
    </row>
    <row r="1997" spans="1:6" x14ac:dyDescent="0.25">
      <c r="A1997" s="4" t="s">
        <v>326</v>
      </c>
      <c r="B1997">
        <v>552</v>
      </c>
      <c r="C1997">
        <f t="shared" si="127"/>
        <v>11810</v>
      </c>
      <c r="D1997">
        <f t="shared" si="125"/>
        <v>0</v>
      </c>
      <c r="E1997">
        <f t="shared" si="126"/>
        <v>0</v>
      </c>
      <c r="F1997">
        <f t="shared" si="128"/>
        <v>0</v>
      </c>
    </row>
    <row r="1998" spans="1:6" x14ac:dyDescent="0.25">
      <c r="A1998" s="4" t="s">
        <v>341</v>
      </c>
      <c r="B1998">
        <v>457</v>
      </c>
      <c r="C1998">
        <f t="shared" si="127"/>
        <v>12267</v>
      </c>
      <c r="D1998">
        <f t="shared" si="125"/>
        <v>0</v>
      </c>
      <c r="E1998">
        <f t="shared" si="126"/>
        <v>0</v>
      </c>
      <c r="F1998">
        <f t="shared" si="128"/>
        <v>0</v>
      </c>
    </row>
    <row r="1999" spans="1:6" x14ac:dyDescent="0.25">
      <c r="A1999" s="4" t="s">
        <v>350</v>
      </c>
      <c r="B1999">
        <v>403</v>
      </c>
      <c r="C1999">
        <f t="shared" si="127"/>
        <v>12670</v>
      </c>
      <c r="D1999">
        <f t="shared" si="125"/>
        <v>0</v>
      </c>
      <c r="E1999">
        <f t="shared" si="126"/>
        <v>0</v>
      </c>
      <c r="F1999">
        <f t="shared" si="128"/>
        <v>0</v>
      </c>
    </row>
    <row r="2000" spans="1:6" x14ac:dyDescent="0.25">
      <c r="A2000" s="4" t="s">
        <v>354</v>
      </c>
      <c r="B2000">
        <v>68</v>
      </c>
      <c r="C2000">
        <f t="shared" si="127"/>
        <v>12738</v>
      </c>
      <c r="D2000">
        <f t="shared" si="125"/>
        <v>0</v>
      </c>
      <c r="E2000">
        <f t="shared" si="126"/>
        <v>0</v>
      </c>
      <c r="F2000">
        <f t="shared" si="128"/>
        <v>0</v>
      </c>
    </row>
    <row r="2001" spans="1:6" x14ac:dyDescent="0.25">
      <c r="A2001" s="4" t="s">
        <v>355</v>
      </c>
      <c r="B2001">
        <v>178</v>
      </c>
      <c r="C2001">
        <f t="shared" si="127"/>
        <v>12916</v>
      </c>
      <c r="D2001">
        <f t="shared" si="125"/>
        <v>0</v>
      </c>
      <c r="E2001">
        <f t="shared" si="126"/>
        <v>0</v>
      </c>
      <c r="F2001">
        <f t="shared" si="128"/>
        <v>0</v>
      </c>
    </row>
    <row r="2002" spans="1:6" x14ac:dyDescent="0.25">
      <c r="A2002" s="4" t="s">
        <v>357</v>
      </c>
      <c r="B2002">
        <v>435</v>
      </c>
      <c r="C2002">
        <f t="shared" si="127"/>
        <v>13351</v>
      </c>
      <c r="D2002">
        <f t="shared" si="125"/>
        <v>0</v>
      </c>
      <c r="E2002">
        <f t="shared" si="126"/>
        <v>0</v>
      </c>
      <c r="F2002">
        <f t="shared" si="128"/>
        <v>0</v>
      </c>
    </row>
    <row r="2003" spans="1:6" x14ac:dyDescent="0.25">
      <c r="A2003" s="4" t="s">
        <v>367</v>
      </c>
      <c r="B2003">
        <v>238</v>
      </c>
      <c r="C2003">
        <f t="shared" si="127"/>
        <v>13589</v>
      </c>
      <c r="D2003">
        <f t="shared" si="125"/>
        <v>0</v>
      </c>
      <c r="E2003">
        <f t="shared" si="126"/>
        <v>0</v>
      </c>
      <c r="F2003">
        <f t="shared" si="128"/>
        <v>0</v>
      </c>
    </row>
    <row r="2004" spans="1:6" x14ac:dyDescent="0.25">
      <c r="A2004" s="4" t="s">
        <v>372</v>
      </c>
      <c r="B2004">
        <v>150</v>
      </c>
      <c r="C2004">
        <f t="shared" si="127"/>
        <v>13739</v>
      </c>
      <c r="D2004">
        <f t="shared" si="125"/>
        <v>0</v>
      </c>
      <c r="E2004">
        <f t="shared" si="126"/>
        <v>0</v>
      </c>
      <c r="F2004">
        <f t="shared" si="128"/>
        <v>0</v>
      </c>
    </row>
    <row r="2005" spans="1:6" x14ac:dyDescent="0.25">
      <c r="A2005" s="4" t="s">
        <v>375</v>
      </c>
      <c r="B2005">
        <v>205</v>
      </c>
      <c r="C2005">
        <f t="shared" si="127"/>
        <v>13944</v>
      </c>
      <c r="D2005">
        <f t="shared" si="125"/>
        <v>0</v>
      </c>
      <c r="E2005">
        <f t="shared" si="126"/>
        <v>0</v>
      </c>
      <c r="F2005">
        <f t="shared" si="128"/>
        <v>0</v>
      </c>
    </row>
    <row r="2006" spans="1:6" x14ac:dyDescent="0.25">
      <c r="A2006" s="4" t="s">
        <v>383</v>
      </c>
      <c r="B2006">
        <v>315</v>
      </c>
      <c r="C2006">
        <f t="shared" si="127"/>
        <v>14259</v>
      </c>
      <c r="D2006">
        <f t="shared" si="125"/>
        <v>0</v>
      </c>
      <c r="E2006">
        <f t="shared" si="126"/>
        <v>0</v>
      </c>
      <c r="F2006">
        <f t="shared" si="128"/>
        <v>0</v>
      </c>
    </row>
    <row r="2007" spans="1:6" x14ac:dyDescent="0.25">
      <c r="A2007" s="4" t="s">
        <v>388</v>
      </c>
      <c r="B2007">
        <v>333</v>
      </c>
      <c r="C2007">
        <f t="shared" si="127"/>
        <v>14592</v>
      </c>
      <c r="D2007">
        <f t="shared" si="125"/>
        <v>0</v>
      </c>
      <c r="E2007">
        <f t="shared" si="126"/>
        <v>0</v>
      </c>
      <c r="F2007">
        <f t="shared" si="128"/>
        <v>0</v>
      </c>
    </row>
    <row r="2008" spans="1:6" x14ac:dyDescent="0.25">
      <c r="A2008" s="4" t="s">
        <v>393</v>
      </c>
      <c r="B2008">
        <v>417</v>
      </c>
      <c r="C2008">
        <f t="shared" si="127"/>
        <v>15009</v>
      </c>
      <c r="D2008">
        <f t="shared" si="125"/>
        <v>1</v>
      </c>
      <c r="E2008">
        <f t="shared" si="126"/>
        <v>0</v>
      </c>
      <c r="F2008">
        <f t="shared" si="128"/>
        <v>2085</v>
      </c>
    </row>
    <row r="2009" spans="1:6" x14ac:dyDescent="0.25">
      <c r="A2009" s="4" t="s">
        <v>399</v>
      </c>
      <c r="B2009">
        <v>662</v>
      </c>
      <c r="C2009">
        <f t="shared" si="127"/>
        <v>15671</v>
      </c>
      <c r="D2009">
        <f t="shared" si="125"/>
        <v>1</v>
      </c>
      <c r="E2009">
        <f t="shared" si="126"/>
        <v>0</v>
      </c>
      <c r="F2009">
        <f t="shared" si="128"/>
        <v>3310</v>
      </c>
    </row>
    <row r="2010" spans="1:6" x14ac:dyDescent="0.25">
      <c r="A2010" s="3" t="s">
        <v>35</v>
      </c>
      <c r="B2010">
        <v>13577</v>
      </c>
      <c r="C2010">
        <f t="shared" si="127"/>
        <v>0</v>
      </c>
      <c r="D2010">
        <f t="shared" si="125"/>
        <v>0</v>
      </c>
      <c r="E2010">
        <f t="shared" si="126"/>
        <v>0</v>
      </c>
      <c r="F2010">
        <f t="shared" si="128"/>
        <v>0</v>
      </c>
    </row>
    <row r="2011" spans="1:6" x14ac:dyDescent="0.25">
      <c r="A2011" s="4" t="s">
        <v>95</v>
      </c>
      <c r="B2011">
        <v>318</v>
      </c>
      <c r="C2011">
        <f t="shared" si="127"/>
        <v>318</v>
      </c>
      <c r="D2011">
        <f t="shared" si="125"/>
        <v>0</v>
      </c>
      <c r="E2011">
        <f t="shared" si="126"/>
        <v>0</v>
      </c>
      <c r="F2011">
        <f t="shared" si="128"/>
        <v>0</v>
      </c>
    </row>
    <row r="2012" spans="1:6" x14ac:dyDescent="0.25">
      <c r="A2012" s="4" t="s">
        <v>96</v>
      </c>
      <c r="B2012">
        <v>69</v>
      </c>
      <c r="C2012">
        <f t="shared" si="127"/>
        <v>387</v>
      </c>
      <c r="D2012">
        <f t="shared" si="125"/>
        <v>0</v>
      </c>
      <c r="E2012">
        <f t="shared" si="126"/>
        <v>0</v>
      </c>
      <c r="F2012">
        <f t="shared" si="128"/>
        <v>0</v>
      </c>
    </row>
    <row r="2013" spans="1:6" x14ac:dyDescent="0.25">
      <c r="A2013" s="4" t="s">
        <v>97</v>
      </c>
      <c r="B2013">
        <v>455</v>
      </c>
      <c r="C2013">
        <f t="shared" si="127"/>
        <v>842</v>
      </c>
      <c r="D2013">
        <f t="shared" si="125"/>
        <v>0</v>
      </c>
      <c r="E2013">
        <f t="shared" si="126"/>
        <v>0</v>
      </c>
      <c r="F2013">
        <f t="shared" si="128"/>
        <v>0</v>
      </c>
    </row>
    <row r="2014" spans="1:6" x14ac:dyDescent="0.25">
      <c r="A2014" s="4" t="s">
        <v>101</v>
      </c>
      <c r="B2014">
        <v>369</v>
      </c>
      <c r="C2014">
        <f t="shared" si="127"/>
        <v>1211</v>
      </c>
      <c r="D2014">
        <f t="shared" si="125"/>
        <v>0</v>
      </c>
      <c r="E2014">
        <f t="shared" si="126"/>
        <v>0</v>
      </c>
      <c r="F2014">
        <f t="shared" si="128"/>
        <v>0</v>
      </c>
    </row>
    <row r="2015" spans="1:6" x14ac:dyDescent="0.25">
      <c r="A2015" s="4" t="s">
        <v>113</v>
      </c>
      <c r="B2015">
        <v>646</v>
      </c>
      <c r="C2015">
        <f t="shared" si="127"/>
        <v>1857</v>
      </c>
      <c r="D2015">
        <f t="shared" si="125"/>
        <v>0</v>
      </c>
      <c r="E2015">
        <f t="shared" si="126"/>
        <v>0</v>
      </c>
      <c r="F2015">
        <f t="shared" si="128"/>
        <v>0</v>
      </c>
    </row>
    <row r="2016" spans="1:6" x14ac:dyDescent="0.25">
      <c r="A2016" s="4" t="s">
        <v>117</v>
      </c>
      <c r="B2016">
        <v>148</v>
      </c>
      <c r="C2016">
        <f t="shared" si="127"/>
        <v>2005</v>
      </c>
      <c r="D2016">
        <f t="shared" si="125"/>
        <v>0</v>
      </c>
      <c r="E2016">
        <f t="shared" si="126"/>
        <v>0</v>
      </c>
      <c r="F2016">
        <f t="shared" si="128"/>
        <v>0</v>
      </c>
    </row>
    <row r="2017" spans="1:6" x14ac:dyDescent="0.25">
      <c r="A2017" s="4" t="s">
        <v>141</v>
      </c>
      <c r="B2017">
        <v>674</v>
      </c>
      <c r="C2017">
        <f t="shared" si="127"/>
        <v>2679</v>
      </c>
      <c r="D2017">
        <f t="shared" si="125"/>
        <v>0</v>
      </c>
      <c r="E2017">
        <f t="shared" si="126"/>
        <v>0</v>
      </c>
      <c r="F2017">
        <f t="shared" si="128"/>
        <v>0</v>
      </c>
    </row>
    <row r="2018" spans="1:6" x14ac:dyDescent="0.25">
      <c r="A2018" s="4" t="s">
        <v>151</v>
      </c>
      <c r="B2018">
        <v>322</v>
      </c>
      <c r="C2018">
        <f t="shared" si="127"/>
        <v>3001</v>
      </c>
      <c r="D2018">
        <f t="shared" si="125"/>
        <v>0</v>
      </c>
      <c r="E2018">
        <f t="shared" si="126"/>
        <v>0</v>
      </c>
      <c r="F2018">
        <f t="shared" si="128"/>
        <v>0</v>
      </c>
    </row>
    <row r="2019" spans="1:6" x14ac:dyDescent="0.25">
      <c r="A2019" s="4" t="s">
        <v>155</v>
      </c>
      <c r="B2019">
        <v>405</v>
      </c>
      <c r="C2019">
        <f t="shared" si="127"/>
        <v>3406</v>
      </c>
      <c r="D2019">
        <f t="shared" si="125"/>
        <v>0</v>
      </c>
      <c r="E2019">
        <f t="shared" si="126"/>
        <v>0</v>
      </c>
      <c r="F2019">
        <f t="shared" si="128"/>
        <v>0</v>
      </c>
    </row>
    <row r="2020" spans="1:6" x14ac:dyDescent="0.25">
      <c r="A2020" s="4" t="s">
        <v>165</v>
      </c>
      <c r="B2020">
        <v>407</v>
      </c>
      <c r="C2020">
        <f t="shared" si="127"/>
        <v>3813</v>
      </c>
      <c r="D2020">
        <f t="shared" si="125"/>
        <v>0</v>
      </c>
      <c r="E2020">
        <f t="shared" si="126"/>
        <v>0</v>
      </c>
      <c r="F2020">
        <f t="shared" si="128"/>
        <v>0</v>
      </c>
    </row>
    <row r="2021" spans="1:6" x14ac:dyDescent="0.25">
      <c r="A2021" s="4" t="s">
        <v>176</v>
      </c>
      <c r="B2021">
        <v>541</v>
      </c>
      <c r="C2021">
        <f t="shared" si="127"/>
        <v>4354</v>
      </c>
      <c r="D2021">
        <f t="shared" si="125"/>
        <v>0</v>
      </c>
      <c r="E2021">
        <f t="shared" si="126"/>
        <v>0</v>
      </c>
      <c r="F2021">
        <f t="shared" si="128"/>
        <v>0</v>
      </c>
    </row>
    <row r="2022" spans="1:6" x14ac:dyDescent="0.25">
      <c r="A2022" s="4" t="s">
        <v>178</v>
      </c>
      <c r="B2022">
        <v>489</v>
      </c>
      <c r="C2022">
        <f t="shared" si="127"/>
        <v>4843</v>
      </c>
      <c r="D2022">
        <f t="shared" si="125"/>
        <v>0</v>
      </c>
      <c r="E2022">
        <f t="shared" si="126"/>
        <v>0</v>
      </c>
      <c r="F2022">
        <f t="shared" si="128"/>
        <v>0</v>
      </c>
    </row>
    <row r="2023" spans="1:6" x14ac:dyDescent="0.25">
      <c r="A2023" s="4" t="s">
        <v>198</v>
      </c>
      <c r="B2023">
        <v>438</v>
      </c>
      <c r="C2023">
        <f t="shared" si="127"/>
        <v>5281</v>
      </c>
      <c r="D2023">
        <f t="shared" si="125"/>
        <v>0</v>
      </c>
      <c r="E2023">
        <f t="shared" si="126"/>
        <v>0</v>
      </c>
      <c r="F2023">
        <f t="shared" si="128"/>
        <v>0</v>
      </c>
    </row>
    <row r="2024" spans="1:6" x14ac:dyDescent="0.25">
      <c r="A2024" s="4" t="s">
        <v>203</v>
      </c>
      <c r="B2024">
        <v>259</v>
      </c>
      <c r="C2024">
        <f t="shared" si="127"/>
        <v>5540</v>
      </c>
      <c r="D2024">
        <f t="shared" si="125"/>
        <v>0</v>
      </c>
      <c r="E2024">
        <f t="shared" si="126"/>
        <v>0</v>
      </c>
      <c r="F2024">
        <f t="shared" si="128"/>
        <v>0</v>
      </c>
    </row>
    <row r="2025" spans="1:6" x14ac:dyDescent="0.25">
      <c r="A2025" s="4" t="s">
        <v>208</v>
      </c>
      <c r="B2025">
        <v>490</v>
      </c>
      <c r="C2025">
        <f t="shared" si="127"/>
        <v>6030</v>
      </c>
      <c r="D2025">
        <f t="shared" si="125"/>
        <v>0</v>
      </c>
      <c r="E2025">
        <f t="shared" si="126"/>
        <v>0</v>
      </c>
      <c r="F2025">
        <f t="shared" si="128"/>
        <v>0</v>
      </c>
    </row>
    <row r="2026" spans="1:6" x14ac:dyDescent="0.25">
      <c r="A2026" s="4" t="s">
        <v>209</v>
      </c>
      <c r="B2026">
        <v>585</v>
      </c>
      <c r="C2026">
        <f t="shared" si="127"/>
        <v>6615</v>
      </c>
      <c r="D2026">
        <f t="shared" si="125"/>
        <v>0</v>
      </c>
      <c r="E2026">
        <f t="shared" si="126"/>
        <v>0</v>
      </c>
      <c r="F2026">
        <f t="shared" si="128"/>
        <v>0</v>
      </c>
    </row>
    <row r="2027" spans="1:6" x14ac:dyDescent="0.25">
      <c r="A2027" s="4" t="s">
        <v>223</v>
      </c>
      <c r="B2027">
        <v>303</v>
      </c>
      <c r="C2027">
        <f t="shared" si="127"/>
        <v>6918</v>
      </c>
      <c r="D2027">
        <f t="shared" si="125"/>
        <v>0</v>
      </c>
      <c r="E2027">
        <f t="shared" si="126"/>
        <v>0</v>
      </c>
      <c r="F2027">
        <f t="shared" si="128"/>
        <v>0</v>
      </c>
    </row>
    <row r="2028" spans="1:6" x14ac:dyDescent="0.25">
      <c r="A2028" s="4" t="s">
        <v>225</v>
      </c>
      <c r="B2028">
        <v>258</v>
      </c>
      <c r="C2028">
        <f t="shared" si="127"/>
        <v>7176</v>
      </c>
      <c r="D2028">
        <f t="shared" si="125"/>
        <v>0</v>
      </c>
      <c r="E2028">
        <f t="shared" si="126"/>
        <v>0</v>
      </c>
      <c r="F2028">
        <f t="shared" si="128"/>
        <v>0</v>
      </c>
    </row>
    <row r="2029" spans="1:6" x14ac:dyDescent="0.25">
      <c r="A2029" s="4" t="s">
        <v>230</v>
      </c>
      <c r="B2029">
        <v>221</v>
      </c>
      <c r="C2029">
        <f t="shared" si="127"/>
        <v>7397</v>
      </c>
      <c r="D2029">
        <f t="shared" si="125"/>
        <v>0</v>
      </c>
      <c r="E2029">
        <f t="shared" si="126"/>
        <v>0</v>
      </c>
      <c r="F2029">
        <f t="shared" si="128"/>
        <v>0</v>
      </c>
    </row>
    <row r="2030" spans="1:6" x14ac:dyDescent="0.25">
      <c r="A2030" s="4" t="s">
        <v>251</v>
      </c>
      <c r="B2030">
        <v>329</v>
      </c>
      <c r="C2030">
        <f t="shared" si="127"/>
        <v>7726</v>
      </c>
      <c r="D2030">
        <f t="shared" si="125"/>
        <v>0</v>
      </c>
      <c r="E2030">
        <f t="shared" si="126"/>
        <v>0</v>
      </c>
      <c r="F2030">
        <f t="shared" si="128"/>
        <v>0</v>
      </c>
    </row>
    <row r="2031" spans="1:6" x14ac:dyDescent="0.25">
      <c r="A2031" s="4" t="s">
        <v>255</v>
      </c>
      <c r="B2031">
        <v>69</v>
      </c>
      <c r="C2031">
        <f t="shared" si="127"/>
        <v>7795</v>
      </c>
      <c r="D2031">
        <f t="shared" si="125"/>
        <v>0</v>
      </c>
      <c r="E2031">
        <f t="shared" si="126"/>
        <v>0</v>
      </c>
      <c r="F2031">
        <f t="shared" si="128"/>
        <v>0</v>
      </c>
    </row>
    <row r="2032" spans="1:6" x14ac:dyDescent="0.25">
      <c r="A2032" s="4" t="s">
        <v>271</v>
      </c>
      <c r="B2032">
        <v>420</v>
      </c>
      <c r="C2032">
        <f t="shared" si="127"/>
        <v>8215</v>
      </c>
      <c r="D2032">
        <f t="shared" si="125"/>
        <v>0</v>
      </c>
      <c r="E2032">
        <f t="shared" si="126"/>
        <v>0</v>
      </c>
      <c r="F2032">
        <f t="shared" si="128"/>
        <v>0</v>
      </c>
    </row>
    <row r="2033" spans="1:6" x14ac:dyDescent="0.25">
      <c r="A2033" s="4" t="s">
        <v>276</v>
      </c>
      <c r="B2033">
        <v>465</v>
      </c>
      <c r="C2033">
        <f t="shared" si="127"/>
        <v>8680</v>
      </c>
      <c r="D2033">
        <f t="shared" ref="D2033:D2096" si="129">IF(C2033 &gt; 15000, 1, 0)</f>
        <v>0</v>
      </c>
      <c r="E2033">
        <f t="shared" ref="E2033:E2096" si="130">IF(AND(D2033 =1,C2033 &gt;= 20000),1,0)</f>
        <v>0</v>
      </c>
      <c r="F2033">
        <f t="shared" si="128"/>
        <v>0</v>
      </c>
    </row>
    <row r="2034" spans="1:6" x14ac:dyDescent="0.25">
      <c r="A2034" s="4" t="s">
        <v>279</v>
      </c>
      <c r="B2034">
        <v>499</v>
      </c>
      <c r="C2034">
        <f t="shared" si="127"/>
        <v>9179</v>
      </c>
      <c r="D2034">
        <f t="shared" si="129"/>
        <v>0</v>
      </c>
      <c r="E2034">
        <f t="shared" si="130"/>
        <v>0</v>
      </c>
      <c r="F2034">
        <f t="shared" si="128"/>
        <v>0</v>
      </c>
    </row>
    <row r="2035" spans="1:6" x14ac:dyDescent="0.25">
      <c r="A2035" s="4" t="s">
        <v>291</v>
      </c>
      <c r="B2035">
        <v>285</v>
      </c>
      <c r="C2035">
        <f t="shared" si="127"/>
        <v>9464</v>
      </c>
      <c r="D2035">
        <f t="shared" si="129"/>
        <v>0</v>
      </c>
      <c r="E2035">
        <f t="shared" si="130"/>
        <v>0</v>
      </c>
      <c r="F2035">
        <f t="shared" si="128"/>
        <v>0</v>
      </c>
    </row>
    <row r="2036" spans="1:6" x14ac:dyDescent="0.25">
      <c r="A2036" s="4" t="s">
        <v>305</v>
      </c>
      <c r="B2036">
        <v>416</v>
      </c>
      <c r="C2036">
        <f t="shared" si="127"/>
        <v>9880</v>
      </c>
      <c r="D2036">
        <f t="shared" si="129"/>
        <v>0</v>
      </c>
      <c r="E2036">
        <f t="shared" si="130"/>
        <v>0</v>
      </c>
      <c r="F2036">
        <f t="shared" si="128"/>
        <v>0</v>
      </c>
    </row>
    <row r="2037" spans="1:6" x14ac:dyDescent="0.25">
      <c r="A2037" s="4" t="s">
        <v>307</v>
      </c>
      <c r="B2037">
        <v>203</v>
      </c>
      <c r="C2037">
        <f t="shared" si="127"/>
        <v>10083</v>
      </c>
      <c r="D2037">
        <f t="shared" si="129"/>
        <v>0</v>
      </c>
      <c r="E2037">
        <f t="shared" si="130"/>
        <v>0</v>
      </c>
      <c r="F2037">
        <f t="shared" si="128"/>
        <v>0</v>
      </c>
    </row>
    <row r="2038" spans="1:6" x14ac:dyDescent="0.25">
      <c r="A2038" s="4" t="s">
        <v>315</v>
      </c>
      <c r="B2038">
        <v>394</v>
      </c>
      <c r="C2038">
        <f t="shared" si="127"/>
        <v>10477</v>
      </c>
      <c r="D2038">
        <f t="shared" si="129"/>
        <v>0</v>
      </c>
      <c r="E2038">
        <f t="shared" si="130"/>
        <v>0</v>
      </c>
      <c r="F2038">
        <f t="shared" si="128"/>
        <v>0</v>
      </c>
    </row>
    <row r="2039" spans="1:6" x14ac:dyDescent="0.25">
      <c r="A2039" s="4" t="s">
        <v>319</v>
      </c>
      <c r="B2039">
        <v>364</v>
      </c>
      <c r="C2039">
        <f t="shared" si="127"/>
        <v>10841</v>
      </c>
      <c r="D2039">
        <f t="shared" si="129"/>
        <v>0</v>
      </c>
      <c r="E2039">
        <f t="shared" si="130"/>
        <v>0</v>
      </c>
      <c r="F2039">
        <f t="shared" si="128"/>
        <v>0</v>
      </c>
    </row>
    <row r="2040" spans="1:6" x14ac:dyDescent="0.25">
      <c r="A2040" s="4" t="s">
        <v>336</v>
      </c>
      <c r="B2040">
        <v>454</v>
      </c>
      <c r="C2040">
        <f t="shared" si="127"/>
        <v>11295</v>
      </c>
      <c r="D2040">
        <f t="shared" si="129"/>
        <v>0</v>
      </c>
      <c r="E2040">
        <f t="shared" si="130"/>
        <v>0</v>
      </c>
      <c r="F2040">
        <f t="shared" si="128"/>
        <v>0</v>
      </c>
    </row>
    <row r="2041" spans="1:6" x14ac:dyDescent="0.25">
      <c r="A2041" s="4" t="s">
        <v>344</v>
      </c>
      <c r="B2041">
        <v>102</v>
      </c>
      <c r="C2041">
        <f t="shared" si="127"/>
        <v>11397</v>
      </c>
      <c r="D2041">
        <f t="shared" si="129"/>
        <v>0</v>
      </c>
      <c r="E2041">
        <f t="shared" si="130"/>
        <v>0</v>
      </c>
      <c r="F2041">
        <f t="shared" si="128"/>
        <v>0</v>
      </c>
    </row>
    <row r="2042" spans="1:6" x14ac:dyDescent="0.25">
      <c r="A2042" s="4" t="s">
        <v>351</v>
      </c>
      <c r="B2042">
        <v>475</v>
      </c>
      <c r="C2042">
        <f t="shared" si="127"/>
        <v>11872</v>
      </c>
      <c r="D2042">
        <f t="shared" si="129"/>
        <v>0</v>
      </c>
      <c r="E2042">
        <f t="shared" si="130"/>
        <v>0</v>
      </c>
      <c r="F2042">
        <f t="shared" si="128"/>
        <v>0</v>
      </c>
    </row>
    <row r="2043" spans="1:6" x14ac:dyDescent="0.25">
      <c r="A2043" s="4" t="s">
        <v>357</v>
      </c>
      <c r="B2043">
        <v>70</v>
      </c>
      <c r="C2043">
        <f t="shared" si="127"/>
        <v>11942</v>
      </c>
      <c r="D2043">
        <f t="shared" si="129"/>
        <v>0</v>
      </c>
      <c r="E2043">
        <f t="shared" si="130"/>
        <v>0</v>
      </c>
      <c r="F2043">
        <f t="shared" si="128"/>
        <v>0</v>
      </c>
    </row>
    <row r="2044" spans="1:6" x14ac:dyDescent="0.25">
      <c r="A2044" s="4" t="s">
        <v>369</v>
      </c>
      <c r="B2044">
        <v>435</v>
      </c>
      <c r="C2044">
        <f t="shared" si="127"/>
        <v>12377</v>
      </c>
      <c r="D2044">
        <f t="shared" si="129"/>
        <v>0</v>
      </c>
      <c r="E2044">
        <f t="shared" si="130"/>
        <v>0</v>
      </c>
      <c r="F2044">
        <f t="shared" si="128"/>
        <v>0</v>
      </c>
    </row>
    <row r="2045" spans="1:6" x14ac:dyDescent="0.25">
      <c r="A2045" s="4" t="s">
        <v>371</v>
      </c>
      <c r="B2045">
        <v>149</v>
      </c>
      <c r="C2045">
        <f t="shared" si="127"/>
        <v>12526</v>
      </c>
      <c r="D2045">
        <f t="shared" si="129"/>
        <v>0</v>
      </c>
      <c r="E2045">
        <f t="shared" si="130"/>
        <v>0</v>
      </c>
      <c r="F2045">
        <f t="shared" si="128"/>
        <v>0</v>
      </c>
    </row>
    <row r="2046" spans="1:6" x14ac:dyDescent="0.25">
      <c r="A2046" s="4" t="s">
        <v>381</v>
      </c>
      <c r="B2046">
        <v>222</v>
      </c>
      <c r="C2046">
        <f t="shared" si="127"/>
        <v>12748</v>
      </c>
      <c r="D2046">
        <f t="shared" si="129"/>
        <v>0</v>
      </c>
      <c r="E2046">
        <f t="shared" si="130"/>
        <v>0</v>
      </c>
      <c r="F2046">
        <f t="shared" si="128"/>
        <v>0</v>
      </c>
    </row>
    <row r="2047" spans="1:6" x14ac:dyDescent="0.25">
      <c r="A2047" s="4" t="s">
        <v>384</v>
      </c>
      <c r="B2047">
        <v>393</v>
      </c>
      <c r="C2047">
        <f t="shared" si="127"/>
        <v>13141</v>
      </c>
      <c r="D2047">
        <f t="shared" si="129"/>
        <v>0</v>
      </c>
      <c r="E2047">
        <f t="shared" si="130"/>
        <v>0</v>
      </c>
      <c r="F2047">
        <f t="shared" si="128"/>
        <v>0</v>
      </c>
    </row>
    <row r="2048" spans="1:6" x14ac:dyDescent="0.25">
      <c r="A2048" s="4" t="s">
        <v>398</v>
      </c>
      <c r="B2048">
        <v>91</v>
      </c>
      <c r="C2048">
        <f t="shared" si="127"/>
        <v>13232</v>
      </c>
      <c r="D2048">
        <f t="shared" si="129"/>
        <v>0</v>
      </c>
      <c r="E2048">
        <f t="shared" si="130"/>
        <v>0</v>
      </c>
      <c r="F2048">
        <f t="shared" si="128"/>
        <v>0</v>
      </c>
    </row>
    <row r="2049" spans="1:6" x14ac:dyDescent="0.25">
      <c r="A2049" s="4" t="s">
        <v>399</v>
      </c>
      <c r="B2049">
        <v>312</v>
      </c>
      <c r="C2049">
        <f t="shared" si="127"/>
        <v>13544</v>
      </c>
      <c r="D2049">
        <f t="shared" si="129"/>
        <v>0</v>
      </c>
      <c r="E2049">
        <f t="shared" si="130"/>
        <v>0</v>
      </c>
      <c r="F2049">
        <f t="shared" si="128"/>
        <v>0</v>
      </c>
    </row>
    <row r="2050" spans="1:6" x14ac:dyDescent="0.25">
      <c r="A2050" s="4" t="s">
        <v>401</v>
      </c>
      <c r="B2050">
        <v>33</v>
      </c>
      <c r="C2050">
        <f t="shared" si="127"/>
        <v>13577</v>
      </c>
      <c r="D2050">
        <f t="shared" si="129"/>
        <v>0</v>
      </c>
      <c r="E2050">
        <f t="shared" si="130"/>
        <v>0</v>
      </c>
      <c r="F2050">
        <f t="shared" si="128"/>
        <v>0</v>
      </c>
    </row>
    <row r="2051" spans="1:6" x14ac:dyDescent="0.25">
      <c r="A2051" s="3" t="s">
        <v>54</v>
      </c>
      <c r="B2051">
        <v>17571</v>
      </c>
      <c r="C2051">
        <f t="shared" si="127"/>
        <v>0</v>
      </c>
      <c r="D2051">
        <f t="shared" si="129"/>
        <v>0</v>
      </c>
      <c r="E2051">
        <f t="shared" si="130"/>
        <v>0</v>
      </c>
      <c r="F2051">
        <f t="shared" si="128"/>
        <v>0</v>
      </c>
    </row>
    <row r="2052" spans="1:6" x14ac:dyDescent="0.25">
      <c r="A2052" s="4" t="s">
        <v>99</v>
      </c>
      <c r="B2052">
        <v>577</v>
      </c>
      <c r="C2052">
        <f t="shared" si="127"/>
        <v>577</v>
      </c>
      <c r="D2052">
        <f t="shared" si="129"/>
        <v>0</v>
      </c>
      <c r="E2052">
        <f t="shared" si="130"/>
        <v>0</v>
      </c>
      <c r="F2052">
        <f t="shared" si="128"/>
        <v>0</v>
      </c>
    </row>
    <row r="2053" spans="1:6" x14ac:dyDescent="0.25">
      <c r="A2053" s="4" t="s">
        <v>127</v>
      </c>
      <c r="B2053">
        <v>71</v>
      </c>
      <c r="C2053">
        <f t="shared" ref="C2053:C2116" si="131">IF(LEN(A2053) &gt;= 12, 0, C2052+B2053)</f>
        <v>648</v>
      </c>
      <c r="D2053">
        <f t="shared" si="129"/>
        <v>0</v>
      </c>
      <c r="E2053">
        <f t="shared" si="130"/>
        <v>0</v>
      </c>
      <c r="F2053">
        <f t="shared" si="128"/>
        <v>0</v>
      </c>
    </row>
    <row r="2054" spans="1:6" x14ac:dyDescent="0.25">
      <c r="A2054" s="4" t="s">
        <v>132</v>
      </c>
      <c r="B2054">
        <v>836</v>
      </c>
      <c r="C2054">
        <f t="shared" si="131"/>
        <v>1484</v>
      </c>
      <c r="D2054">
        <f t="shared" si="129"/>
        <v>0</v>
      </c>
      <c r="E2054">
        <f t="shared" si="130"/>
        <v>0</v>
      </c>
      <c r="F2054">
        <f t="shared" ref="F2054:F2117" si="132">IF(AND(D2054 = 1, C2054 &lt; 20000), B2054*5, IF(AND(E2054=1, C2054 &gt;= 20000),B2054*10,0))</f>
        <v>0</v>
      </c>
    </row>
    <row r="2055" spans="1:6" x14ac:dyDescent="0.25">
      <c r="A2055" s="4" t="s">
        <v>136</v>
      </c>
      <c r="B2055">
        <v>155</v>
      </c>
      <c r="C2055">
        <f t="shared" si="131"/>
        <v>1639</v>
      </c>
      <c r="D2055">
        <f t="shared" si="129"/>
        <v>0</v>
      </c>
      <c r="E2055">
        <f t="shared" si="130"/>
        <v>0</v>
      </c>
      <c r="F2055">
        <f t="shared" si="132"/>
        <v>0</v>
      </c>
    </row>
    <row r="2056" spans="1:6" x14ac:dyDescent="0.25">
      <c r="A2056" s="4" t="s">
        <v>143</v>
      </c>
      <c r="B2056">
        <v>488</v>
      </c>
      <c r="C2056">
        <f t="shared" si="131"/>
        <v>2127</v>
      </c>
      <c r="D2056">
        <f t="shared" si="129"/>
        <v>0</v>
      </c>
      <c r="E2056">
        <f t="shared" si="130"/>
        <v>0</v>
      </c>
      <c r="F2056">
        <f t="shared" si="132"/>
        <v>0</v>
      </c>
    </row>
    <row r="2057" spans="1:6" x14ac:dyDescent="0.25">
      <c r="A2057" s="4" t="s">
        <v>144</v>
      </c>
      <c r="B2057">
        <v>263</v>
      </c>
      <c r="C2057">
        <f t="shared" si="131"/>
        <v>2390</v>
      </c>
      <c r="D2057">
        <f t="shared" si="129"/>
        <v>0</v>
      </c>
      <c r="E2057">
        <f t="shared" si="130"/>
        <v>0</v>
      </c>
      <c r="F2057">
        <f t="shared" si="132"/>
        <v>0</v>
      </c>
    </row>
    <row r="2058" spans="1:6" x14ac:dyDescent="0.25">
      <c r="A2058" s="4" t="s">
        <v>156</v>
      </c>
      <c r="B2058">
        <v>495</v>
      </c>
      <c r="C2058">
        <f t="shared" si="131"/>
        <v>2885</v>
      </c>
      <c r="D2058">
        <f t="shared" si="129"/>
        <v>0</v>
      </c>
      <c r="E2058">
        <f t="shared" si="130"/>
        <v>0</v>
      </c>
      <c r="F2058">
        <f t="shared" si="132"/>
        <v>0</v>
      </c>
    </row>
    <row r="2059" spans="1:6" x14ac:dyDescent="0.25">
      <c r="A2059" s="4" t="s">
        <v>159</v>
      </c>
      <c r="B2059">
        <v>627</v>
      </c>
      <c r="C2059">
        <f t="shared" si="131"/>
        <v>3512</v>
      </c>
      <c r="D2059">
        <f t="shared" si="129"/>
        <v>0</v>
      </c>
      <c r="E2059">
        <f t="shared" si="130"/>
        <v>0</v>
      </c>
      <c r="F2059">
        <f t="shared" si="132"/>
        <v>0</v>
      </c>
    </row>
    <row r="2060" spans="1:6" x14ac:dyDescent="0.25">
      <c r="A2060" s="4" t="s">
        <v>160</v>
      </c>
      <c r="B2060">
        <v>336</v>
      </c>
      <c r="C2060">
        <f t="shared" si="131"/>
        <v>3848</v>
      </c>
      <c r="D2060">
        <f t="shared" si="129"/>
        <v>0</v>
      </c>
      <c r="E2060">
        <f t="shared" si="130"/>
        <v>0</v>
      </c>
      <c r="F2060">
        <f t="shared" si="132"/>
        <v>0</v>
      </c>
    </row>
    <row r="2061" spans="1:6" x14ac:dyDescent="0.25">
      <c r="A2061" s="4" t="s">
        <v>165</v>
      </c>
      <c r="B2061">
        <v>682</v>
      </c>
      <c r="C2061">
        <f t="shared" si="131"/>
        <v>4530</v>
      </c>
      <c r="D2061">
        <f t="shared" si="129"/>
        <v>0</v>
      </c>
      <c r="E2061">
        <f t="shared" si="130"/>
        <v>0</v>
      </c>
      <c r="F2061">
        <f t="shared" si="132"/>
        <v>0</v>
      </c>
    </row>
    <row r="2062" spans="1:6" x14ac:dyDescent="0.25">
      <c r="A2062" s="4" t="s">
        <v>171</v>
      </c>
      <c r="B2062">
        <v>517</v>
      </c>
      <c r="C2062">
        <f t="shared" si="131"/>
        <v>5047</v>
      </c>
      <c r="D2062">
        <f t="shared" si="129"/>
        <v>0</v>
      </c>
      <c r="E2062">
        <f t="shared" si="130"/>
        <v>0</v>
      </c>
      <c r="F2062">
        <f t="shared" si="132"/>
        <v>0</v>
      </c>
    </row>
    <row r="2063" spans="1:6" x14ac:dyDescent="0.25">
      <c r="A2063" s="4" t="s">
        <v>175</v>
      </c>
      <c r="B2063">
        <v>620</v>
      </c>
      <c r="C2063">
        <f t="shared" si="131"/>
        <v>5667</v>
      </c>
      <c r="D2063">
        <f t="shared" si="129"/>
        <v>0</v>
      </c>
      <c r="E2063">
        <f t="shared" si="130"/>
        <v>0</v>
      </c>
      <c r="F2063">
        <f t="shared" si="132"/>
        <v>0</v>
      </c>
    </row>
    <row r="2064" spans="1:6" x14ac:dyDescent="0.25">
      <c r="A2064" s="4" t="s">
        <v>184</v>
      </c>
      <c r="B2064">
        <v>591</v>
      </c>
      <c r="C2064">
        <f t="shared" si="131"/>
        <v>6258</v>
      </c>
      <c r="D2064">
        <f t="shared" si="129"/>
        <v>0</v>
      </c>
      <c r="E2064">
        <f t="shared" si="130"/>
        <v>0</v>
      </c>
      <c r="F2064">
        <f t="shared" si="132"/>
        <v>0</v>
      </c>
    </row>
    <row r="2065" spans="1:6" x14ac:dyDescent="0.25">
      <c r="A2065" s="4" t="s">
        <v>195</v>
      </c>
      <c r="B2065">
        <v>516</v>
      </c>
      <c r="C2065">
        <f t="shared" si="131"/>
        <v>6774</v>
      </c>
      <c r="D2065">
        <f t="shared" si="129"/>
        <v>0</v>
      </c>
      <c r="E2065">
        <f t="shared" si="130"/>
        <v>0</v>
      </c>
      <c r="F2065">
        <f t="shared" si="132"/>
        <v>0</v>
      </c>
    </row>
    <row r="2066" spans="1:6" x14ac:dyDescent="0.25">
      <c r="A2066" s="4" t="s">
        <v>206</v>
      </c>
      <c r="B2066">
        <v>346</v>
      </c>
      <c r="C2066">
        <f t="shared" si="131"/>
        <v>7120</v>
      </c>
      <c r="D2066">
        <f t="shared" si="129"/>
        <v>0</v>
      </c>
      <c r="E2066">
        <f t="shared" si="130"/>
        <v>0</v>
      </c>
      <c r="F2066">
        <f t="shared" si="132"/>
        <v>0</v>
      </c>
    </row>
    <row r="2067" spans="1:6" x14ac:dyDescent="0.25">
      <c r="A2067" s="4" t="s">
        <v>209</v>
      </c>
      <c r="B2067">
        <v>176</v>
      </c>
      <c r="C2067">
        <f t="shared" si="131"/>
        <v>7296</v>
      </c>
      <c r="D2067">
        <f t="shared" si="129"/>
        <v>0</v>
      </c>
      <c r="E2067">
        <f t="shared" si="130"/>
        <v>0</v>
      </c>
      <c r="F2067">
        <f t="shared" si="132"/>
        <v>0</v>
      </c>
    </row>
    <row r="2068" spans="1:6" x14ac:dyDescent="0.25">
      <c r="A2068" s="4" t="s">
        <v>225</v>
      </c>
      <c r="B2068">
        <v>384</v>
      </c>
      <c r="C2068">
        <f t="shared" si="131"/>
        <v>7680</v>
      </c>
      <c r="D2068">
        <f t="shared" si="129"/>
        <v>0</v>
      </c>
      <c r="E2068">
        <f t="shared" si="130"/>
        <v>0</v>
      </c>
      <c r="F2068">
        <f t="shared" si="132"/>
        <v>0</v>
      </c>
    </row>
    <row r="2069" spans="1:6" x14ac:dyDescent="0.25">
      <c r="A2069" s="4" t="s">
        <v>239</v>
      </c>
      <c r="B2069">
        <v>174</v>
      </c>
      <c r="C2069">
        <f t="shared" si="131"/>
        <v>7854</v>
      </c>
      <c r="D2069">
        <f t="shared" si="129"/>
        <v>0</v>
      </c>
      <c r="E2069">
        <f t="shared" si="130"/>
        <v>0</v>
      </c>
      <c r="F2069">
        <f t="shared" si="132"/>
        <v>0</v>
      </c>
    </row>
    <row r="2070" spans="1:6" x14ac:dyDescent="0.25">
      <c r="A2070" s="4" t="s">
        <v>241</v>
      </c>
      <c r="B2070">
        <v>277</v>
      </c>
      <c r="C2070">
        <f t="shared" si="131"/>
        <v>8131</v>
      </c>
      <c r="D2070">
        <f t="shared" si="129"/>
        <v>0</v>
      </c>
      <c r="E2070">
        <f t="shared" si="130"/>
        <v>0</v>
      </c>
      <c r="F2070">
        <f t="shared" si="132"/>
        <v>0</v>
      </c>
    </row>
    <row r="2071" spans="1:6" x14ac:dyDescent="0.25">
      <c r="A2071" s="4" t="s">
        <v>247</v>
      </c>
      <c r="B2071">
        <v>126</v>
      </c>
      <c r="C2071">
        <f t="shared" si="131"/>
        <v>8257</v>
      </c>
      <c r="D2071">
        <f t="shared" si="129"/>
        <v>0</v>
      </c>
      <c r="E2071">
        <f t="shared" si="130"/>
        <v>0</v>
      </c>
      <c r="F2071">
        <f t="shared" si="132"/>
        <v>0</v>
      </c>
    </row>
    <row r="2072" spans="1:6" x14ac:dyDescent="0.25">
      <c r="A2072" s="4" t="s">
        <v>248</v>
      </c>
      <c r="B2072">
        <v>518</v>
      </c>
      <c r="C2072">
        <f t="shared" si="131"/>
        <v>8775</v>
      </c>
      <c r="D2072">
        <f t="shared" si="129"/>
        <v>0</v>
      </c>
      <c r="E2072">
        <f t="shared" si="130"/>
        <v>0</v>
      </c>
      <c r="F2072">
        <f t="shared" si="132"/>
        <v>0</v>
      </c>
    </row>
    <row r="2073" spans="1:6" x14ac:dyDescent="0.25">
      <c r="A2073" s="4" t="s">
        <v>249</v>
      </c>
      <c r="B2073">
        <v>183</v>
      </c>
      <c r="C2073">
        <f t="shared" si="131"/>
        <v>8958</v>
      </c>
      <c r="D2073">
        <f t="shared" si="129"/>
        <v>0</v>
      </c>
      <c r="E2073">
        <f t="shared" si="130"/>
        <v>0</v>
      </c>
      <c r="F2073">
        <f t="shared" si="132"/>
        <v>0</v>
      </c>
    </row>
    <row r="2074" spans="1:6" x14ac:dyDescent="0.25">
      <c r="A2074" s="4" t="s">
        <v>250</v>
      </c>
      <c r="B2074">
        <v>83</v>
      </c>
      <c r="C2074">
        <f t="shared" si="131"/>
        <v>9041</v>
      </c>
      <c r="D2074">
        <f t="shared" si="129"/>
        <v>0</v>
      </c>
      <c r="E2074">
        <f t="shared" si="130"/>
        <v>0</v>
      </c>
      <c r="F2074">
        <f t="shared" si="132"/>
        <v>0</v>
      </c>
    </row>
    <row r="2075" spans="1:6" x14ac:dyDescent="0.25">
      <c r="A2075" s="4" t="s">
        <v>258</v>
      </c>
      <c r="B2075">
        <v>408</v>
      </c>
      <c r="C2075">
        <f t="shared" si="131"/>
        <v>9449</v>
      </c>
      <c r="D2075">
        <f t="shared" si="129"/>
        <v>0</v>
      </c>
      <c r="E2075">
        <f t="shared" si="130"/>
        <v>0</v>
      </c>
      <c r="F2075">
        <f t="shared" si="132"/>
        <v>0</v>
      </c>
    </row>
    <row r="2076" spans="1:6" x14ac:dyDescent="0.25">
      <c r="A2076" s="4" t="s">
        <v>261</v>
      </c>
      <c r="B2076">
        <v>334</v>
      </c>
      <c r="C2076">
        <f t="shared" si="131"/>
        <v>9783</v>
      </c>
      <c r="D2076">
        <f t="shared" si="129"/>
        <v>0</v>
      </c>
      <c r="E2076">
        <f t="shared" si="130"/>
        <v>0</v>
      </c>
      <c r="F2076">
        <f t="shared" si="132"/>
        <v>0</v>
      </c>
    </row>
    <row r="2077" spans="1:6" x14ac:dyDescent="0.25">
      <c r="A2077" s="4" t="s">
        <v>263</v>
      </c>
      <c r="B2077">
        <v>33</v>
      </c>
      <c r="C2077">
        <f t="shared" si="131"/>
        <v>9816</v>
      </c>
      <c r="D2077">
        <f t="shared" si="129"/>
        <v>0</v>
      </c>
      <c r="E2077">
        <f t="shared" si="130"/>
        <v>0</v>
      </c>
      <c r="F2077">
        <f t="shared" si="132"/>
        <v>0</v>
      </c>
    </row>
    <row r="2078" spans="1:6" x14ac:dyDescent="0.25">
      <c r="A2078" s="4" t="s">
        <v>274</v>
      </c>
      <c r="B2078">
        <v>382</v>
      </c>
      <c r="C2078">
        <f t="shared" si="131"/>
        <v>10198</v>
      </c>
      <c r="D2078">
        <f t="shared" si="129"/>
        <v>0</v>
      </c>
      <c r="E2078">
        <f t="shared" si="130"/>
        <v>0</v>
      </c>
      <c r="F2078">
        <f t="shared" si="132"/>
        <v>0</v>
      </c>
    </row>
    <row r="2079" spans="1:6" x14ac:dyDescent="0.25">
      <c r="A2079" s="4" t="s">
        <v>275</v>
      </c>
      <c r="B2079">
        <v>437</v>
      </c>
      <c r="C2079">
        <f t="shared" si="131"/>
        <v>10635</v>
      </c>
      <c r="D2079">
        <f t="shared" si="129"/>
        <v>0</v>
      </c>
      <c r="E2079">
        <f t="shared" si="130"/>
        <v>0</v>
      </c>
      <c r="F2079">
        <f t="shared" si="132"/>
        <v>0</v>
      </c>
    </row>
    <row r="2080" spans="1:6" x14ac:dyDescent="0.25">
      <c r="A2080" s="4" t="s">
        <v>276</v>
      </c>
      <c r="B2080">
        <v>150</v>
      </c>
      <c r="C2080">
        <f t="shared" si="131"/>
        <v>10785</v>
      </c>
      <c r="D2080">
        <f t="shared" si="129"/>
        <v>0</v>
      </c>
      <c r="E2080">
        <f t="shared" si="130"/>
        <v>0</v>
      </c>
      <c r="F2080">
        <f t="shared" si="132"/>
        <v>0</v>
      </c>
    </row>
    <row r="2081" spans="1:6" x14ac:dyDescent="0.25">
      <c r="A2081" s="4" t="s">
        <v>291</v>
      </c>
      <c r="B2081">
        <v>495</v>
      </c>
      <c r="C2081">
        <f t="shared" si="131"/>
        <v>11280</v>
      </c>
      <c r="D2081">
        <f t="shared" si="129"/>
        <v>0</v>
      </c>
      <c r="E2081">
        <f t="shared" si="130"/>
        <v>0</v>
      </c>
      <c r="F2081">
        <f t="shared" si="132"/>
        <v>0</v>
      </c>
    </row>
    <row r="2082" spans="1:6" x14ac:dyDescent="0.25">
      <c r="A2082" s="4" t="s">
        <v>303</v>
      </c>
      <c r="B2082">
        <v>498</v>
      </c>
      <c r="C2082">
        <f t="shared" si="131"/>
        <v>11778</v>
      </c>
      <c r="D2082">
        <f t="shared" si="129"/>
        <v>0</v>
      </c>
      <c r="E2082">
        <f t="shared" si="130"/>
        <v>0</v>
      </c>
      <c r="F2082">
        <f t="shared" si="132"/>
        <v>0</v>
      </c>
    </row>
    <row r="2083" spans="1:6" x14ac:dyDescent="0.25">
      <c r="A2083" s="4" t="s">
        <v>307</v>
      </c>
      <c r="B2083">
        <v>481</v>
      </c>
      <c r="C2083">
        <f t="shared" si="131"/>
        <v>12259</v>
      </c>
      <c r="D2083">
        <f t="shared" si="129"/>
        <v>0</v>
      </c>
      <c r="E2083">
        <f t="shared" si="130"/>
        <v>0</v>
      </c>
      <c r="F2083">
        <f t="shared" si="132"/>
        <v>0</v>
      </c>
    </row>
    <row r="2084" spans="1:6" x14ac:dyDescent="0.25">
      <c r="A2084" s="4" t="s">
        <v>309</v>
      </c>
      <c r="B2084">
        <v>433</v>
      </c>
      <c r="C2084">
        <f t="shared" si="131"/>
        <v>12692</v>
      </c>
      <c r="D2084">
        <f t="shared" si="129"/>
        <v>0</v>
      </c>
      <c r="E2084">
        <f t="shared" si="130"/>
        <v>0</v>
      </c>
      <c r="F2084">
        <f t="shared" si="132"/>
        <v>0</v>
      </c>
    </row>
    <row r="2085" spans="1:6" x14ac:dyDescent="0.25">
      <c r="A2085" s="4" t="s">
        <v>313</v>
      </c>
      <c r="B2085">
        <v>15</v>
      </c>
      <c r="C2085">
        <f t="shared" si="131"/>
        <v>12707</v>
      </c>
      <c r="D2085">
        <f t="shared" si="129"/>
        <v>0</v>
      </c>
      <c r="E2085">
        <f t="shared" si="130"/>
        <v>0</v>
      </c>
      <c r="F2085">
        <f t="shared" si="132"/>
        <v>0</v>
      </c>
    </row>
    <row r="2086" spans="1:6" x14ac:dyDescent="0.25">
      <c r="A2086" s="4" t="s">
        <v>314</v>
      </c>
      <c r="B2086">
        <v>821</v>
      </c>
      <c r="C2086">
        <f t="shared" si="131"/>
        <v>13528</v>
      </c>
      <c r="D2086">
        <f t="shared" si="129"/>
        <v>0</v>
      </c>
      <c r="E2086">
        <f t="shared" si="130"/>
        <v>0</v>
      </c>
      <c r="F2086">
        <f t="shared" si="132"/>
        <v>0</v>
      </c>
    </row>
    <row r="2087" spans="1:6" x14ac:dyDescent="0.25">
      <c r="A2087" s="4" t="s">
        <v>320</v>
      </c>
      <c r="B2087">
        <v>417</v>
      </c>
      <c r="C2087">
        <f t="shared" si="131"/>
        <v>13945</v>
      </c>
      <c r="D2087">
        <f t="shared" si="129"/>
        <v>0</v>
      </c>
      <c r="E2087">
        <f t="shared" si="130"/>
        <v>0</v>
      </c>
      <c r="F2087">
        <f t="shared" si="132"/>
        <v>0</v>
      </c>
    </row>
    <row r="2088" spans="1:6" x14ac:dyDescent="0.25">
      <c r="A2088" s="4" t="s">
        <v>325</v>
      </c>
      <c r="B2088">
        <v>397</v>
      </c>
      <c r="C2088">
        <f t="shared" si="131"/>
        <v>14342</v>
      </c>
      <c r="D2088">
        <f t="shared" si="129"/>
        <v>0</v>
      </c>
      <c r="E2088">
        <f t="shared" si="130"/>
        <v>0</v>
      </c>
      <c r="F2088">
        <f t="shared" si="132"/>
        <v>0</v>
      </c>
    </row>
    <row r="2089" spans="1:6" x14ac:dyDescent="0.25">
      <c r="A2089" s="4" t="s">
        <v>327</v>
      </c>
      <c r="B2089">
        <v>139</v>
      </c>
      <c r="C2089">
        <f t="shared" si="131"/>
        <v>14481</v>
      </c>
      <c r="D2089">
        <f t="shared" si="129"/>
        <v>0</v>
      </c>
      <c r="E2089">
        <f t="shared" si="130"/>
        <v>0</v>
      </c>
      <c r="F2089">
        <f t="shared" si="132"/>
        <v>0</v>
      </c>
    </row>
    <row r="2090" spans="1:6" x14ac:dyDescent="0.25">
      <c r="A2090" s="4" t="s">
        <v>329</v>
      </c>
      <c r="B2090">
        <v>96</v>
      </c>
      <c r="C2090">
        <f t="shared" si="131"/>
        <v>14577</v>
      </c>
      <c r="D2090">
        <f t="shared" si="129"/>
        <v>0</v>
      </c>
      <c r="E2090">
        <f t="shared" si="130"/>
        <v>0</v>
      </c>
      <c r="F2090">
        <f t="shared" si="132"/>
        <v>0</v>
      </c>
    </row>
    <row r="2091" spans="1:6" x14ac:dyDescent="0.25">
      <c r="A2091" s="4" t="s">
        <v>331</v>
      </c>
      <c r="B2091">
        <v>124</v>
      </c>
      <c r="C2091">
        <f t="shared" si="131"/>
        <v>14701</v>
      </c>
      <c r="D2091">
        <f t="shared" si="129"/>
        <v>0</v>
      </c>
      <c r="E2091">
        <f t="shared" si="130"/>
        <v>0</v>
      </c>
      <c r="F2091">
        <f t="shared" si="132"/>
        <v>0</v>
      </c>
    </row>
    <row r="2092" spans="1:6" x14ac:dyDescent="0.25">
      <c r="A2092" s="4" t="s">
        <v>335</v>
      </c>
      <c r="B2092">
        <v>416</v>
      </c>
      <c r="C2092">
        <f t="shared" si="131"/>
        <v>15117</v>
      </c>
      <c r="D2092">
        <f t="shared" si="129"/>
        <v>1</v>
      </c>
      <c r="E2092">
        <f t="shared" si="130"/>
        <v>0</v>
      </c>
      <c r="F2092">
        <f t="shared" si="132"/>
        <v>2080</v>
      </c>
    </row>
    <row r="2093" spans="1:6" x14ac:dyDescent="0.25">
      <c r="A2093" s="4" t="s">
        <v>336</v>
      </c>
      <c r="B2093">
        <v>17</v>
      </c>
      <c r="C2093">
        <f t="shared" si="131"/>
        <v>15134</v>
      </c>
      <c r="D2093">
        <f t="shared" si="129"/>
        <v>1</v>
      </c>
      <c r="E2093">
        <f t="shared" si="130"/>
        <v>0</v>
      </c>
      <c r="F2093">
        <f t="shared" si="132"/>
        <v>85</v>
      </c>
    </row>
    <row r="2094" spans="1:6" x14ac:dyDescent="0.25">
      <c r="A2094" s="4" t="s">
        <v>343</v>
      </c>
      <c r="B2094">
        <v>27</v>
      </c>
      <c r="C2094">
        <f t="shared" si="131"/>
        <v>15161</v>
      </c>
      <c r="D2094">
        <f t="shared" si="129"/>
        <v>1</v>
      </c>
      <c r="E2094">
        <f t="shared" si="130"/>
        <v>0</v>
      </c>
      <c r="F2094">
        <f t="shared" si="132"/>
        <v>135</v>
      </c>
    </row>
    <row r="2095" spans="1:6" x14ac:dyDescent="0.25">
      <c r="A2095" s="4" t="s">
        <v>349</v>
      </c>
      <c r="B2095">
        <v>305</v>
      </c>
      <c r="C2095">
        <f t="shared" si="131"/>
        <v>15466</v>
      </c>
      <c r="D2095">
        <f t="shared" si="129"/>
        <v>1</v>
      </c>
      <c r="E2095">
        <f t="shared" si="130"/>
        <v>0</v>
      </c>
      <c r="F2095">
        <f t="shared" si="132"/>
        <v>1525</v>
      </c>
    </row>
    <row r="2096" spans="1:6" x14ac:dyDescent="0.25">
      <c r="A2096" s="4" t="s">
        <v>353</v>
      </c>
      <c r="B2096">
        <v>236</v>
      </c>
      <c r="C2096">
        <f t="shared" si="131"/>
        <v>15702</v>
      </c>
      <c r="D2096">
        <f t="shared" si="129"/>
        <v>1</v>
      </c>
      <c r="E2096">
        <f t="shared" si="130"/>
        <v>0</v>
      </c>
      <c r="F2096">
        <f t="shared" si="132"/>
        <v>1180</v>
      </c>
    </row>
    <row r="2097" spans="1:6" x14ac:dyDescent="0.25">
      <c r="A2097" s="4" t="s">
        <v>356</v>
      </c>
      <c r="B2097">
        <v>279</v>
      </c>
      <c r="C2097">
        <f t="shared" si="131"/>
        <v>15981</v>
      </c>
      <c r="D2097">
        <f t="shared" ref="D2097:D2160" si="133">IF(C2097 &gt; 15000, 1, 0)</f>
        <v>1</v>
      </c>
      <c r="E2097">
        <f t="shared" ref="E2097:E2160" si="134">IF(AND(D2097 =1,C2097 &gt;= 20000),1,0)</f>
        <v>0</v>
      </c>
      <c r="F2097">
        <f t="shared" si="132"/>
        <v>1395</v>
      </c>
    </row>
    <row r="2098" spans="1:6" x14ac:dyDescent="0.25">
      <c r="A2098" s="4" t="s">
        <v>371</v>
      </c>
      <c r="B2098">
        <v>418</v>
      </c>
      <c r="C2098">
        <f t="shared" si="131"/>
        <v>16399</v>
      </c>
      <c r="D2098">
        <f t="shared" si="133"/>
        <v>1</v>
      </c>
      <c r="E2098">
        <f t="shared" si="134"/>
        <v>0</v>
      </c>
      <c r="F2098">
        <f t="shared" si="132"/>
        <v>2090</v>
      </c>
    </row>
    <row r="2099" spans="1:6" x14ac:dyDescent="0.25">
      <c r="A2099" s="4" t="s">
        <v>373</v>
      </c>
      <c r="B2099">
        <v>210</v>
      </c>
      <c r="C2099">
        <f t="shared" si="131"/>
        <v>16609</v>
      </c>
      <c r="D2099">
        <f t="shared" si="133"/>
        <v>1</v>
      </c>
      <c r="E2099">
        <f t="shared" si="134"/>
        <v>0</v>
      </c>
      <c r="F2099">
        <f t="shared" si="132"/>
        <v>1050</v>
      </c>
    </row>
    <row r="2100" spans="1:6" x14ac:dyDescent="0.25">
      <c r="A2100" s="4" t="s">
        <v>382</v>
      </c>
      <c r="B2100">
        <v>64</v>
      </c>
      <c r="C2100">
        <f t="shared" si="131"/>
        <v>16673</v>
      </c>
      <c r="D2100">
        <f t="shared" si="133"/>
        <v>1</v>
      </c>
      <c r="E2100">
        <f t="shared" si="134"/>
        <v>0</v>
      </c>
      <c r="F2100">
        <f t="shared" si="132"/>
        <v>320</v>
      </c>
    </row>
    <row r="2101" spans="1:6" x14ac:dyDescent="0.25">
      <c r="A2101" s="4" t="s">
        <v>392</v>
      </c>
      <c r="B2101">
        <v>623</v>
      </c>
      <c r="C2101">
        <f t="shared" si="131"/>
        <v>17296</v>
      </c>
      <c r="D2101">
        <f t="shared" si="133"/>
        <v>1</v>
      </c>
      <c r="E2101">
        <f t="shared" si="134"/>
        <v>0</v>
      </c>
      <c r="F2101">
        <f t="shared" si="132"/>
        <v>3115</v>
      </c>
    </row>
    <row r="2102" spans="1:6" x14ac:dyDescent="0.25">
      <c r="A2102" s="4" t="s">
        <v>394</v>
      </c>
      <c r="B2102">
        <v>206</v>
      </c>
      <c r="C2102">
        <f t="shared" si="131"/>
        <v>17502</v>
      </c>
      <c r="D2102">
        <f t="shared" si="133"/>
        <v>1</v>
      </c>
      <c r="E2102">
        <f t="shared" si="134"/>
        <v>0</v>
      </c>
      <c r="F2102">
        <f t="shared" si="132"/>
        <v>1030</v>
      </c>
    </row>
    <row r="2103" spans="1:6" x14ac:dyDescent="0.25">
      <c r="A2103" s="4" t="s">
        <v>396</v>
      </c>
      <c r="B2103">
        <v>69</v>
      </c>
      <c r="C2103">
        <f t="shared" si="131"/>
        <v>17571</v>
      </c>
      <c r="D2103">
        <f t="shared" si="133"/>
        <v>1</v>
      </c>
      <c r="E2103">
        <f t="shared" si="134"/>
        <v>0</v>
      </c>
      <c r="F2103">
        <f t="shared" si="132"/>
        <v>345</v>
      </c>
    </row>
    <row r="2104" spans="1:6" x14ac:dyDescent="0.25">
      <c r="A2104" s="3" t="s">
        <v>67</v>
      </c>
      <c r="B2104">
        <v>15215</v>
      </c>
      <c r="C2104">
        <f t="shared" si="131"/>
        <v>0</v>
      </c>
      <c r="D2104">
        <f t="shared" si="133"/>
        <v>0</v>
      </c>
      <c r="E2104">
        <f t="shared" si="134"/>
        <v>0</v>
      </c>
      <c r="F2104">
        <f t="shared" si="132"/>
        <v>0</v>
      </c>
    </row>
    <row r="2105" spans="1:6" x14ac:dyDescent="0.25">
      <c r="A2105" s="4" t="s">
        <v>94</v>
      </c>
      <c r="B2105">
        <v>331</v>
      </c>
      <c r="C2105">
        <f t="shared" si="131"/>
        <v>331</v>
      </c>
      <c r="D2105">
        <f t="shared" si="133"/>
        <v>0</v>
      </c>
      <c r="E2105">
        <f t="shared" si="134"/>
        <v>0</v>
      </c>
      <c r="F2105">
        <f t="shared" si="132"/>
        <v>0</v>
      </c>
    </row>
    <row r="2106" spans="1:6" x14ac:dyDescent="0.25">
      <c r="A2106" s="4" t="s">
        <v>97</v>
      </c>
      <c r="B2106">
        <v>740</v>
      </c>
      <c r="C2106">
        <f t="shared" si="131"/>
        <v>1071</v>
      </c>
      <c r="D2106">
        <f t="shared" si="133"/>
        <v>0</v>
      </c>
      <c r="E2106">
        <f t="shared" si="134"/>
        <v>0</v>
      </c>
      <c r="F2106">
        <f t="shared" si="132"/>
        <v>0</v>
      </c>
    </row>
    <row r="2107" spans="1:6" x14ac:dyDescent="0.25">
      <c r="A2107" s="4" t="s">
        <v>99</v>
      </c>
      <c r="B2107">
        <v>208</v>
      </c>
      <c r="C2107">
        <f t="shared" si="131"/>
        <v>1279</v>
      </c>
      <c r="D2107">
        <f t="shared" si="133"/>
        <v>0</v>
      </c>
      <c r="E2107">
        <f t="shared" si="134"/>
        <v>0</v>
      </c>
      <c r="F2107">
        <f t="shared" si="132"/>
        <v>0</v>
      </c>
    </row>
    <row r="2108" spans="1:6" x14ac:dyDescent="0.25">
      <c r="A2108" s="4" t="s">
        <v>102</v>
      </c>
      <c r="B2108">
        <v>159</v>
      </c>
      <c r="C2108">
        <f t="shared" si="131"/>
        <v>1438</v>
      </c>
      <c r="D2108">
        <f t="shared" si="133"/>
        <v>0</v>
      </c>
      <c r="E2108">
        <f t="shared" si="134"/>
        <v>0</v>
      </c>
      <c r="F2108">
        <f t="shared" si="132"/>
        <v>0</v>
      </c>
    </row>
    <row r="2109" spans="1:6" x14ac:dyDescent="0.25">
      <c r="A2109" s="4" t="s">
        <v>105</v>
      </c>
      <c r="B2109">
        <v>396</v>
      </c>
      <c r="C2109">
        <f t="shared" si="131"/>
        <v>1834</v>
      </c>
      <c r="D2109">
        <f t="shared" si="133"/>
        <v>0</v>
      </c>
      <c r="E2109">
        <f t="shared" si="134"/>
        <v>0</v>
      </c>
      <c r="F2109">
        <f t="shared" si="132"/>
        <v>0</v>
      </c>
    </row>
    <row r="2110" spans="1:6" x14ac:dyDescent="0.25">
      <c r="A2110" s="4" t="s">
        <v>115</v>
      </c>
      <c r="B2110">
        <v>337</v>
      </c>
      <c r="C2110">
        <f t="shared" si="131"/>
        <v>2171</v>
      </c>
      <c r="D2110">
        <f t="shared" si="133"/>
        <v>0</v>
      </c>
      <c r="E2110">
        <f t="shared" si="134"/>
        <v>0</v>
      </c>
      <c r="F2110">
        <f t="shared" si="132"/>
        <v>0</v>
      </c>
    </row>
    <row r="2111" spans="1:6" x14ac:dyDescent="0.25">
      <c r="A2111" s="4" t="s">
        <v>119</v>
      </c>
      <c r="B2111">
        <v>344</v>
      </c>
      <c r="C2111">
        <f t="shared" si="131"/>
        <v>2515</v>
      </c>
      <c r="D2111">
        <f t="shared" si="133"/>
        <v>0</v>
      </c>
      <c r="E2111">
        <f t="shared" si="134"/>
        <v>0</v>
      </c>
      <c r="F2111">
        <f t="shared" si="132"/>
        <v>0</v>
      </c>
    </row>
    <row r="2112" spans="1:6" x14ac:dyDescent="0.25">
      <c r="A2112" s="4" t="s">
        <v>121</v>
      </c>
      <c r="B2112">
        <v>697</v>
      </c>
      <c r="C2112">
        <f t="shared" si="131"/>
        <v>3212</v>
      </c>
      <c r="D2112">
        <f t="shared" si="133"/>
        <v>0</v>
      </c>
      <c r="E2112">
        <f t="shared" si="134"/>
        <v>0</v>
      </c>
      <c r="F2112">
        <f t="shared" si="132"/>
        <v>0</v>
      </c>
    </row>
    <row r="2113" spans="1:6" x14ac:dyDescent="0.25">
      <c r="A2113" s="4" t="s">
        <v>123</v>
      </c>
      <c r="B2113">
        <v>107</v>
      </c>
      <c r="C2113">
        <f t="shared" si="131"/>
        <v>3319</v>
      </c>
      <c r="D2113">
        <f t="shared" si="133"/>
        <v>0</v>
      </c>
      <c r="E2113">
        <f t="shared" si="134"/>
        <v>0</v>
      </c>
      <c r="F2113">
        <f t="shared" si="132"/>
        <v>0</v>
      </c>
    </row>
    <row r="2114" spans="1:6" x14ac:dyDescent="0.25">
      <c r="A2114" s="4" t="s">
        <v>131</v>
      </c>
      <c r="B2114">
        <v>472</v>
      </c>
      <c r="C2114">
        <f t="shared" si="131"/>
        <v>3791</v>
      </c>
      <c r="D2114">
        <f t="shared" si="133"/>
        <v>0</v>
      </c>
      <c r="E2114">
        <f t="shared" si="134"/>
        <v>0</v>
      </c>
      <c r="F2114">
        <f t="shared" si="132"/>
        <v>0</v>
      </c>
    </row>
    <row r="2115" spans="1:6" x14ac:dyDescent="0.25">
      <c r="A2115" s="4" t="s">
        <v>143</v>
      </c>
      <c r="B2115">
        <v>12</v>
      </c>
      <c r="C2115">
        <f t="shared" si="131"/>
        <v>3803</v>
      </c>
      <c r="D2115">
        <f t="shared" si="133"/>
        <v>0</v>
      </c>
      <c r="E2115">
        <f t="shared" si="134"/>
        <v>0</v>
      </c>
      <c r="F2115">
        <f t="shared" si="132"/>
        <v>0</v>
      </c>
    </row>
    <row r="2116" spans="1:6" x14ac:dyDescent="0.25">
      <c r="A2116" s="4" t="s">
        <v>155</v>
      </c>
      <c r="B2116">
        <v>116</v>
      </c>
      <c r="C2116">
        <f t="shared" si="131"/>
        <v>3919</v>
      </c>
      <c r="D2116">
        <f t="shared" si="133"/>
        <v>0</v>
      </c>
      <c r="E2116">
        <f t="shared" si="134"/>
        <v>0</v>
      </c>
      <c r="F2116">
        <f t="shared" si="132"/>
        <v>0</v>
      </c>
    </row>
    <row r="2117" spans="1:6" x14ac:dyDescent="0.25">
      <c r="A2117" s="4" t="s">
        <v>177</v>
      </c>
      <c r="B2117">
        <v>460</v>
      </c>
      <c r="C2117">
        <f t="shared" ref="C2117:C2180" si="135">IF(LEN(A2117) &gt;= 12, 0, C2116+B2117)</f>
        <v>4379</v>
      </c>
      <c r="D2117">
        <f t="shared" si="133"/>
        <v>0</v>
      </c>
      <c r="E2117">
        <f t="shared" si="134"/>
        <v>0</v>
      </c>
      <c r="F2117">
        <f t="shared" si="132"/>
        <v>0</v>
      </c>
    </row>
    <row r="2118" spans="1:6" x14ac:dyDescent="0.25">
      <c r="A2118" s="4" t="s">
        <v>179</v>
      </c>
      <c r="B2118">
        <v>413</v>
      </c>
      <c r="C2118">
        <f t="shared" si="135"/>
        <v>4792</v>
      </c>
      <c r="D2118">
        <f t="shared" si="133"/>
        <v>0</v>
      </c>
      <c r="E2118">
        <f t="shared" si="134"/>
        <v>0</v>
      </c>
      <c r="F2118">
        <f t="shared" ref="F2118:F2181" si="136">IF(AND(D2118 = 1, C2118 &lt; 20000), B2118*5, IF(AND(E2118=1, C2118 &gt;= 20000),B2118*10,0))</f>
        <v>0</v>
      </c>
    </row>
    <row r="2119" spans="1:6" x14ac:dyDescent="0.25">
      <c r="A2119" s="4" t="s">
        <v>180</v>
      </c>
      <c r="B2119">
        <v>598</v>
      </c>
      <c r="C2119">
        <f t="shared" si="135"/>
        <v>5390</v>
      </c>
      <c r="D2119">
        <f t="shared" si="133"/>
        <v>0</v>
      </c>
      <c r="E2119">
        <f t="shared" si="134"/>
        <v>0</v>
      </c>
      <c r="F2119">
        <f t="shared" si="136"/>
        <v>0</v>
      </c>
    </row>
    <row r="2120" spans="1:6" x14ac:dyDescent="0.25">
      <c r="A2120" s="4" t="s">
        <v>181</v>
      </c>
      <c r="B2120">
        <v>474</v>
      </c>
      <c r="C2120">
        <f t="shared" si="135"/>
        <v>5864</v>
      </c>
      <c r="D2120">
        <f t="shared" si="133"/>
        <v>0</v>
      </c>
      <c r="E2120">
        <f t="shared" si="134"/>
        <v>0</v>
      </c>
      <c r="F2120">
        <f t="shared" si="136"/>
        <v>0</v>
      </c>
    </row>
    <row r="2121" spans="1:6" x14ac:dyDescent="0.25">
      <c r="A2121" s="4" t="s">
        <v>182</v>
      </c>
      <c r="B2121">
        <v>305</v>
      </c>
      <c r="C2121">
        <f t="shared" si="135"/>
        <v>6169</v>
      </c>
      <c r="D2121">
        <f t="shared" si="133"/>
        <v>0</v>
      </c>
      <c r="E2121">
        <f t="shared" si="134"/>
        <v>0</v>
      </c>
      <c r="F2121">
        <f t="shared" si="136"/>
        <v>0</v>
      </c>
    </row>
    <row r="2122" spans="1:6" x14ac:dyDescent="0.25">
      <c r="A2122" s="4" t="s">
        <v>191</v>
      </c>
      <c r="B2122">
        <v>423</v>
      </c>
      <c r="C2122">
        <f t="shared" si="135"/>
        <v>6592</v>
      </c>
      <c r="D2122">
        <f t="shared" si="133"/>
        <v>0</v>
      </c>
      <c r="E2122">
        <f t="shared" si="134"/>
        <v>0</v>
      </c>
      <c r="F2122">
        <f t="shared" si="136"/>
        <v>0</v>
      </c>
    </row>
    <row r="2123" spans="1:6" x14ac:dyDescent="0.25">
      <c r="A2123" s="4" t="s">
        <v>201</v>
      </c>
      <c r="B2123">
        <v>533</v>
      </c>
      <c r="C2123">
        <f t="shared" si="135"/>
        <v>7125</v>
      </c>
      <c r="D2123">
        <f t="shared" si="133"/>
        <v>0</v>
      </c>
      <c r="E2123">
        <f t="shared" si="134"/>
        <v>0</v>
      </c>
      <c r="F2123">
        <f t="shared" si="136"/>
        <v>0</v>
      </c>
    </row>
    <row r="2124" spans="1:6" x14ac:dyDescent="0.25">
      <c r="A2124" s="4" t="s">
        <v>209</v>
      </c>
      <c r="B2124">
        <v>206</v>
      </c>
      <c r="C2124">
        <f t="shared" si="135"/>
        <v>7331</v>
      </c>
      <c r="D2124">
        <f t="shared" si="133"/>
        <v>0</v>
      </c>
      <c r="E2124">
        <f t="shared" si="134"/>
        <v>0</v>
      </c>
      <c r="F2124">
        <f t="shared" si="136"/>
        <v>0</v>
      </c>
    </row>
    <row r="2125" spans="1:6" x14ac:dyDescent="0.25">
      <c r="A2125" s="4" t="s">
        <v>215</v>
      </c>
      <c r="B2125">
        <v>446</v>
      </c>
      <c r="C2125">
        <f t="shared" si="135"/>
        <v>7777</v>
      </c>
      <c r="D2125">
        <f t="shared" si="133"/>
        <v>0</v>
      </c>
      <c r="E2125">
        <f t="shared" si="134"/>
        <v>0</v>
      </c>
      <c r="F2125">
        <f t="shared" si="136"/>
        <v>0</v>
      </c>
    </row>
    <row r="2126" spans="1:6" x14ac:dyDescent="0.25">
      <c r="A2126" s="4" t="s">
        <v>221</v>
      </c>
      <c r="B2126">
        <v>463</v>
      </c>
      <c r="C2126">
        <f t="shared" si="135"/>
        <v>8240</v>
      </c>
      <c r="D2126">
        <f t="shared" si="133"/>
        <v>0</v>
      </c>
      <c r="E2126">
        <f t="shared" si="134"/>
        <v>0</v>
      </c>
      <c r="F2126">
        <f t="shared" si="136"/>
        <v>0</v>
      </c>
    </row>
    <row r="2127" spans="1:6" x14ac:dyDescent="0.25">
      <c r="A2127" s="4" t="s">
        <v>225</v>
      </c>
      <c r="B2127">
        <v>482</v>
      </c>
      <c r="C2127">
        <f t="shared" si="135"/>
        <v>8722</v>
      </c>
      <c r="D2127">
        <f t="shared" si="133"/>
        <v>0</v>
      </c>
      <c r="E2127">
        <f t="shared" si="134"/>
        <v>0</v>
      </c>
      <c r="F2127">
        <f t="shared" si="136"/>
        <v>0</v>
      </c>
    </row>
    <row r="2128" spans="1:6" x14ac:dyDescent="0.25">
      <c r="A2128" s="4" t="s">
        <v>246</v>
      </c>
      <c r="B2128">
        <v>25</v>
      </c>
      <c r="C2128">
        <f t="shared" si="135"/>
        <v>8747</v>
      </c>
      <c r="D2128">
        <f t="shared" si="133"/>
        <v>0</v>
      </c>
      <c r="E2128">
        <f t="shared" si="134"/>
        <v>0</v>
      </c>
      <c r="F2128">
        <f t="shared" si="136"/>
        <v>0</v>
      </c>
    </row>
    <row r="2129" spans="1:6" x14ac:dyDescent="0.25">
      <c r="A2129" s="4" t="s">
        <v>273</v>
      </c>
      <c r="B2129">
        <v>418</v>
      </c>
      <c r="C2129">
        <f t="shared" si="135"/>
        <v>9165</v>
      </c>
      <c r="D2129">
        <f t="shared" si="133"/>
        <v>0</v>
      </c>
      <c r="E2129">
        <f t="shared" si="134"/>
        <v>0</v>
      </c>
      <c r="F2129">
        <f t="shared" si="136"/>
        <v>0</v>
      </c>
    </row>
    <row r="2130" spans="1:6" x14ac:dyDescent="0.25">
      <c r="A2130" s="4" t="s">
        <v>279</v>
      </c>
      <c r="B2130">
        <v>244</v>
      </c>
      <c r="C2130">
        <f t="shared" si="135"/>
        <v>9409</v>
      </c>
      <c r="D2130">
        <f t="shared" si="133"/>
        <v>0</v>
      </c>
      <c r="E2130">
        <f t="shared" si="134"/>
        <v>0</v>
      </c>
      <c r="F2130">
        <f t="shared" si="136"/>
        <v>0</v>
      </c>
    </row>
    <row r="2131" spans="1:6" x14ac:dyDescent="0.25">
      <c r="A2131" s="4" t="s">
        <v>281</v>
      </c>
      <c r="B2131">
        <v>458</v>
      </c>
      <c r="C2131">
        <f t="shared" si="135"/>
        <v>9867</v>
      </c>
      <c r="D2131">
        <f t="shared" si="133"/>
        <v>0</v>
      </c>
      <c r="E2131">
        <f t="shared" si="134"/>
        <v>0</v>
      </c>
      <c r="F2131">
        <f t="shared" si="136"/>
        <v>0</v>
      </c>
    </row>
    <row r="2132" spans="1:6" x14ac:dyDescent="0.25">
      <c r="A2132" s="4" t="s">
        <v>285</v>
      </c>
      <c r="B2132">
        <v>562</v>
      </c>
      <c r="C2132">
        <f t="shared" si="135"/>
        <v>10429</v>
      </c>
      <c r="D2132">
        <f t="shared" si="133"/>
        <v>0</v>
      </c>
      <c r="E2132">
        <f t="shared" si="134"/>
        <v>0</v>
      </c>
      <c r="F2132">
        <f t="shared" si="136"/>
        <v>0</v>
      </c>
    </row>
    <row r="2133" spans="1:6" x14ac:dyDescent="0.25">
      <c r="A2133" s="4" t="s">
        <v>289</v>
      </c>
      <c r="B2133">
        <v>244</v>
      </c>
      <c r="C2133">
        <f t="shared" si="135"/>
        <v>10673</v>
      </c>
      <c r="D2133">
        <f t="shared" si="133"/>
        <v>0</v>
      </c>
      <c r="E2133">
        <f t="shared" si="134"/>
        <v>0</v>
      </c>
      <c r="F2133">
        <f t="shared" si="136"/>
        <v>0</v>
      </c>
    </row>
    <row r="2134" spans="1:6" x14ac:dyDescent="0.25">
      <c r="A2134" s="4" t="s">
        <v>293</v>
      </c>
      <c r="B2134">
        <v>356</v>
      </c>
      <c r="C2134">
        <f t="shared" si="135"/>
        <v>11029</v>
      </c>
      <c r="D2134">
        <f t="shared" si="133"/>
        <v>0</v>
      </c>
      <c r="E2134">
        <f t="shared" si="134"/>
        <v>0</v>
      </c>
      <c r="F2134">
        <f t="shared" si="136"/>
        <v>0</v>
      </c>
    </row>
    <row r="2135" spans="1:6" x14ac:dyDescent="0.25">
      <c r="A2135" s="4" t="s">
        <v>295</v>
      </c>
      <c r="B2135">
        <v>332</v>
      </c>
      <c r="C2135">
        <f t="shared" si="135"/>
        <v>11361</v>
      </c>
      <c r="D2135">
        <f t="shared" si="133"/>
        <v>0</v>
      </c>
      <c r="E2135">
        <f t="shared" si="134"/>
        <v>0</v>
      </c>
      <c r="F2135">
        <f t="shared" si="136"/>
        <v>0</v>
      </c>
    </row>
    <row r="2136" spans="1:6" x14ac:dyDescent="0.25">
      <c r="A2136" s="4" t="s">
        <v>297</v>
      </c>
      <c r="B2136">
        <v>429</v>
      </c>
      <c r="C2136">
        <f t="shared" si="135"/>
        <v>11790</v>
      </c>
      <c r="D2136">
        <f t="shared" si="133"/>
        <v>0</v>
      </c>
      <c r="E2136">
        <f t="shared" si="134"/>
        <v>0</v>
      </c>
      <c r="F2136">
        <f t="shared" si="136"/>
        <v>0</v>
      </c>
    </row>
    <row r="2137" spans="1:6" x14ac:dyDescent="0.25">
      <c r="A2137" s="4" t="s">
        <v>303</v>
      </c>
      <c r="B2137">
        <v>470</v>
      </c>
      <c r="C2137">
        <f t="shared" si="135"/>
        <v>12260</v>
      </c>
      <c r="D2137">
        <f t="shared" si="133"/>
        <v>0</v>
      </c>
      <c r="E2137">
        <f t="shared" si="134"/>
        <v>0</v>
      </c>
      <c r="F2137">
        <f t="shared" si="136"/>
        <v>0</v>
      </c>
    </row>
    <row r="2138" spans="1:6" x14ac:dyDescent="0.25">
      <c r="A2138" s="4" t="s">
        <v>309</v>
      </c>
      <c r="B2138">
        <v>544</v>
      </c>
      <c r="C2138">
        <f t="shared" si="135"/>
        <v>12804</v>
      </c>
      <c r="D2138">
        <f t="shared" si="133"/>
        <v>0</v>
      </c>
      <c r="E2138">
        <f t="shared" si="134"/>
        <v>0</v>
      </c>
      <c r="F2138">
        <f t="shared" si="136"/>
        <v>0</v>
      </c>
    </row>
    <row r="2139" spans="1:6" x14ac:dyDescent="0.25">
      <c r="A2139" s="4" t="s">
        <v>314</v>
      </c>
      <c r="B2139">
        <v>459</v>
      </c>
      <c r="C2139">
        <f t="shared" si="135"/>
        <v>13263</v>
      </c>
      <c r="D2139">
        <f t="shared" si="133"/>
        <v>0</v>
      </c>
      <c r="E2139">
        <f t="shared" si="134"/>
        <v>0</v>
      </c>
      <c r="F2139">
        <f t="shared" si="136"/>
        <v>0</v>
      </c>
    </row>
    <row r="2140" spans="1:6" x14ac:dyDescent="0.25">
      <c r="A2140" s="4" t="s">
        <v>322</v>
      </c>
      <c r="B2140">
        <v>367</v>
      </c>
      <c r="C2140">
        <f t="shared" si="135"/>
        <v>13630</v>
      </c>
      <c r="D2140">
        <f t="shared" si="133"/>
        <v>0</v>
      </c>
      <c r="E2140">
        <f t="shared" si="134"/>
        <v>0</v>
      </c>
      <c r="F2140">
        <f t="shared" si="136"/>
        <v>0</v>
      </c>
    </row>
    <row r="2141" spans="1:6" x14ac:dyDescent="0.25">
      <c r="A2141" s="4" t="s">
        <v>326</v>
      </c>
      <c r="B2141">
        <v>280</v>
      </c>
      <c r="C2141">
        <f t="shared" si="135"/>
        <v>13910</v>
      </c>
      <c r="D2141">
        <f t="shared" si="133"/>
        <v>0</v>
      </c>
      <c r="E2141">
        <f t="shared" si="134"/>
        <v>0</v>
      </c>
      <c r="F2141">
        <f t="shared" si="136"/>
        <v>0</v>
      </c>
    </row>
    <row r="2142" spans="1:6" x14ac:dyDescent="0.25">
      <c r="A2142" s="4" t="s">
        <v>327</v>
      </c>
      <c r="B2142">
        <v>408</v>
      </c>
      <c r="C2142">
        <f t="shared" si="135"/>
        <v>14318</v>
      </c>
      <c r="D2142">
        <f t="shared" si="133"/>
        <v>0</v>
      </c>
      <c r="E2142">
        <f t="shared" si="134"/>
        <v>0</v>
      </c>
      <c r="F2142">
        <f t="shared" si="136"/>
        <v>0</v>
      </c>
    </row>
    <row r="2143" spans="1:6" x14ac:dyDescent="0.25">
      <c r="A2143" s="4" t="s">
        <v>356</v>
      </c>
      <c r="B2143">
        <v>443</v>
      </c>
      <c r="C2143">
        <f t="shared" si="135"/>
        <v>14761</v>
      </c>
      <c r="D2143">
        <f t="shared" si="133"/>
        <v>0</v>
      </c>
      <c r="E2143">
        <f t="shared" si="134"/>
        <v>0</v>
      </c>
      <c r="F2143">
        <f t="shared" si="136"/>
        <v>0</v>
      </c>
    </row>
    <row r="2144" spans="1:6" x14ac:dyDescent="0.25">
      <c r="A2144" s="4" t="s">
        <v>357</v>
      </c>
      <c r="B2144">
        <v>454</v>
      </c>
      <c r="C2144">
        <f t="shared" si="135"/>
        <v>15215</v>
      </c>
      <c r="D2144">
        <f t="shared" si="133"/>
        <v>1</v>
      </c>
      <c r="E2144">
        <f t="shared" si="134"/>
        <v>0</v>
      </c>
      <c r="F2144">
        <f t="shared" si="136"/>
        <v>2270</v>
      </c>
    </row>
    <row r="2145" spans="1:6" x14ac:dyDescent="0.25">
      <c r="A2145" s="3" t="s">
        <v>43</v>
      </c>
      <c r="B2145">
        <v>11670</v>
      </c>
      <c r="C2145">
        <f t="shared" si="135"/>
        <v>0</v>
      </c>
      <c r="D2145">
        <f t="shared" si="133"/>
        <v>0</v>
      </c>
      <c r="E2145">
        <f t="shared" si="134"/>
        <v>0</v>
      </c>
      <c r="F2145">
        <f t="shared" si="136"/>
        <v>0</v>
      </c>
    </row>
    <row r="2146" spans="1:6" x14ac:dyDescent="0.25">
      <c r="A2146" s="4" t="s">
        <v>103</v>
      </c>
      <c r="B2146">
        <v>249</v>
      </c>
      <c r="C2146">
        <f t="shared" si="135"/>
        <v>249</v>
      </c>
      <c r="D2146">
        <f t="shared" si="133"/>
        <v>0</v>
      </c>
      <c r="E2146">
        <f t="shared" si="134"/>
        <v>0</v>
      </c>
      <c r="F2146">
        <f t="shared" si="136"/>
        <v>0</v>
      </c>
    </row>
    <row r="2147" spans="1:6" x14ac:dyDescent="0.25">
      <c r="A2147" s="4" t="s">
        <v>104</v>
      </c>
      <c r="B2147">
        <v>556</v>
      </c>
      <c r="C2147">
        <f t="shared" si="135"/>
        <v>805</v>
      </c>
      <c r="D2147">
        <f t="shared" si="133"/>
        <v>0</v>
      </c>
      <c r="E2147">
        <f t="shared" si="134"/>
        <v>0</v>
      </c>
      <c r="F2147">
        <f t="shared" si="136"/>
        <v>0</v>
      </c>
    </row>
    <row r="2148" spans="1:6" x14ac:dyDescent="0.25">
      <c r="A2148" s="4" t="s">
        <v>105</v>
      </c>
      <c r="B2148">
        <v>272</v>
      </c>
      <c r="C2148">
        <f t="shared" si="135"/>
        <v>1077</v>
      </c>
      <c r="D2148">
        <f t="shared" si="133"/>
        <v>0</v>
      </c>
      <c r="E2148">
        <f t="shared" si="134"/>
        <v>0</v>
      </c>
      <c r="F2148">
        <f t="shared" si="136"/>
        <v>0</v>
      </c>
    </row>
    <row r="2149" spans="1:6" x14ac:dyDescent="0.25">
      <c r="A2149" s="4" t="s">
        <v>123</v>
      </c>
      <c r="B2149">
        <v>238</v>
      </c>
      <c r="C2149">
        <f t="shared" si="135"/>
        <v>1315</v>
      </c>
      <c r="D2149">
        <f t="shared" si="133"/>
        <v>0</v>
      </c>
      <c r="E2149">
        <f t="shared" si="134"/>
        <v>0</v>
      </c>
      <c r="F2149">
        <f t="shared" si="136"/>
        <v>0</v>
      </c>
    </row>
    <row r="2150" spans="1:6" x14ac:dyDescent="0.25">
      <c r="A2150" s="4" t="s">
        <v>124</v>
      </c>
      <c r="B2150">
        <v>353</v>
      </c>
      <c r="C2150">
        <f t="shared" si="135"/>
        <v>1668</v>
      </c>
      <c r="D2150">
        <f t="shared" si="133"/>
        <v>0</v>
      </c>
      <c r="E2150">
        <f t="shared" si="134"/>
        <v>0</v>
      </c>
      <c r="F2150">
        <f t="shared" si="136"/>
        <v>0</v>
      </c>
    </row>
    <row r="2151" spans="1:6" x14ac:dyDescent="0.25">
      <c r="A2151" s="4" t="s">
        <v>127</v>
      </c>
      <c r="B2151">
        <v>573</v>
      </c>
      <c r="C2151">
        <f t="shared" si="135"/>
        <v>2241</v>
      </c>
      <c r="D2151">
        <f t="shared" si="133"/>
        <v>0</v>
      </c>
      <c r="E2151">
        <f t="shared" si="134"/>
        <v>0</v>
      </c>
      <c r="F2151">
        <f t="shared" si="136"/>
        <v>0</v>
      </c>
    </row>
    <row r="2152" spans="1:6" x14ac:dyDescent="0.25">
      <c r="A2152" s="4" t="s">
        <v>131</v>
      </c>
      <c r="B2152">
        <v>780</v>
      </c>
      <c r="C2152">
        <f t="shared" si="135"/>
        <v>3021</v>
      </c>
      <c r="D2152">
        <f t="shared" si="133"/>
        <v>0</v>
      </c>
      <c r="E2152">
        <f t="shared" si="134"/>
        <v>0</v>
      </c>
      <c r="F2152">
        <f t="shared" si="136"/>
        <v>0</v>
      </c>
    </row>
    <row r="2153" spans="1:6" x14ac:dyDescent="0.25">
      <c r="A2153" s="4" t="s">
        <v>135</v>
      </c>
      <c r="B2153">
        <v>74</v>
      </c>
      <c r="C2153">
        <f t="shared" si="135"/>
        <v>3095</v>
      </c>
      <c r="D2153">
        <f t="shared" si="133"/>
        <v>0</v>
      </c>
      <c r="E2153">
        <f t="shared" si="134"/>
        <v>0</v>
      </c>
      <c r="F2153">
        <f t="shared" si="136"/>
        <v>0</v>
      </c>
    </row>
    <row r="2154" spans="1:6" x14ac:dyDescent="0.25">
      <c r="A2154" s="4" t="s">
        <v>137</v>
      </c>
      <c r="B2154">
        <v>510</v>
      </c>
      <c r="C2154">
        <f t="shared" si="135"/>
        <v>3605</v>
      </c>
      <c r="D2154">
        <f t="shared" si="133"/>
        <v>0</v>
      </c>
      <c r="E2154">
        <f t="shared" si="134"/>
        <v>0</v>
      </c>
      <c r="F2154">
        <f t="shared" si="136"/>
        <v>0</v>
      </c>
    </row>
    <row r="2155" spans="1:6" x14ac:dyDescent="0.25">
      <c r="A2155" s="4" t="s">
        <v>141</v>
      </c>
      <c r="B2155">
        <v>504</v>
      </c>
      <c r="C2155">
        <f t="shared" si="135"/>
        <v>4109</v>
      </c>
      <c r="D2155">
        <f t="shared" si="133"/>
        <v>0</v>
      </c>
      <c r="E2155">
        <f t="shared" si="134"/>
        <v>0</v>
      </c>
      <c r="F2155">
        <f t="shared" si="136"/>
        <v>0</v>
      </c>
    </row>
    <row r="2156" spans="1:6" x14ac:dyDescent="0.25">
      <c r="A2156" s="4" t="s">
        <v>142</v>
      </c>
      <c r="B2156">
        <v>123</v>
      </c>
      <c r="C2156">
        <f t="shared" si="135"/>
        <v>4232</v>
      </c>
      <c r="D2156">
        <f t="shared" si="133"/>
        <v>0</v>
      </c>
      <c r="E2156">
        <f t="shared" si="134"/>
        <v>0</v>
      </c>
      <c r="F2156">
        <f t="shared" si="136"/>
        <v>0</v>
      </c>
    </row>
    <row r="2157" spans="1:6" x14ac:dyDescent="0.25">
      <c r="A2157" s="4" t="s">
        <v>152</v>
      </c>
      <c r="B2157">
        <v>278</v>
      </c>
      <c r="C2157">
        <f t="shared" si="135"/>
        <v>4510</v>
      </c>
      <c r="D2157">
        <f t="shared" si="133"/>
        <v>0</v>
      </c>
      <c r="E2157">
        <f t="shared" si="134"/>
        <v>0</v>
      </c>
      <c r="F2157">
        <f t="shared" si="136"/>
        <v>0</v>
      </c>
    </row>
    <row r="2158" spans="1:6" x14ac:dyDescent="0.25">
      <c r="A2158" s="4" t="s">
        <v>158</v>
      </c>
      <c r="B2158">
        <v>332</v>
      </c>
      <c r="C2158">
        <f t="shared" si="135"/>
        <v>4842</v>
      </c>
      <c r="D2158">
        <f t="shared" si="133"/>
        <v>0</v>
      </c>
      <c r="E2158">
        <f t="shared" si="134"/>
        <v>0</v>
      </c>
      <c r="F2158">
        <f t="shared" si="136"/>
        <v>0</v>
      </c>
    </row>
    <row r="2159" spans="1:6" x14ac:dyDescent="0.25">
      <c r="A2159" s="4" t="s">
        <v>162</v>
      </c>
      <c r="B2159">
        <v>579</v>
      </c>
      <c r="C2159">
        <f t="shared" si="135"/>
        <v>5421</v>
      </c>
      <c r="D2159">
        <f t="shared" si="133"/>
        <v>0</v>
      </c>
      <c r="E2159">
        <f t="shared" si="134"/>
        <v>0</v>
      </c>
      <c r="F2159">
        <f t="shared" si="136"/>
        <v>0</v>
      </c>
    </row>
    <row r="2160" spans="1:6" x14ac:dyDescent="0.25">
      <c r="A2160" s="4" t="s">
        <v>165</v>
      </c>
      <c r="B2160">
        <v>269</v>
      </c>
      <c r="C2160">
        <f t="shared" si="135"/>
        <v>5690</v>
      </c>
      <c r="D2160">
        <f t="shared" si="133"/>
        <v>0</v>
      </c>
      <c r="E2160">
        <f t="shared" si="134"/>
        <v>0</v>
      </c>
      <c r="F2160">
        <f t="shared" si="136"/>
        <v>0</v>
      </c>
    </row>
    <row r="2161" spans="1:6" x14ac:dyDescent="0.25">
      <c r="A2161" s="4" t="s">
        <v>174</v>
      </c>
      <c r="B2161">
        <v>498</v>
      </c>
      <c r="C2161">
        <f t="shared" si="135"/>
        <v>6188</v>
      </c>
      <c r="D2161">
        <f t="shared" ref="D2161:D2224" si="137">IF(C2161 &gt; 15000, 1, 0)</f>
        <v>0</v>
      </c>
      <c r="E2161">
        <f t="shared" ref="E2161:E2224" si="138">IF(AND(D2161 =1,C2161 &gt;= 20000),1,0)</f>
        <v>0</v>
      </c>
      <c r="F2161">
        <f t="shared" si="136"/>
        <v>0</v>
      </c>
    </row>
    <row r="2162" spans="1:6" x14ac:dyDescent="0.25">
      <c r="A2162" s="4" t="s">
        <v>187</v>
      </c>
      <c r="B2162">
        <v>383</v>
      </c>
      <c r="C2162">
        <f t="shared" si="135"/>
        <v>6571</v>
      </c>
      <c r="D2162">
        <f t="shared" si="137"/>
        <v>0</v>
      </c>
      <c r="E2162">
        <f t="shared" si="138"/>
        <v>0</v>
      </c>
      <c r="F2162">
        <f t="shared" si="136"/>
        <v>0</v>
      </c>
    </row>
    <row r="2163" spans="1:6" x14ac:dyDescent="0.25">
      <c r="A2163" s="4" t="s">
        <v>223</v>
      </c>
      <c r="B2163">
        <v>256</v>
      </c>
      <c r="C2163">
        <f t="shared" si="135"/>
        <v>6827</v>
      </c>
      <c r="D2163">
        <f t="shared" si="137"/>
        <v>0</v>
      </c>
      <c r="E2163">
        <f t="shared" si="138"/>
        <v>0</v>
      </c>
      <c r="F2163">
        <f t="shared" si="136"/>
        <v>0</v>
      </c>
    </row>
    <row r="2164" spans="1:6" x14ac:dyDescent="0.25">
      <c r="A2164" s="4" t="s">
        <v>235</v>
      </c>
      <c r="B2164">
        <v>282</v>
      </c>
      <c r="C2164">
        <f t="shared" si="135"/>
        <v>7109</v>
      </c>
      <c r="D2164">
        <f t="shared" si="137"/>
        <v>0</v>
      </c>
      <c r="E2164">
        <f t="shared" si="138"/>
        <v>0</v>
      </c>
      <c r="F2164">
        <f t="shared" si="136"/>
        <v>0</v>
      </c>
    </row>
    <row r="2165" spans="1:6" x14ac:dyDescent="0.25">
      <c r="A2165" s="4" t="s">
        <v>246</v>
      </c>
      <c r="B2165">
        <v>201</v>
      </c>
      <c r="C2165">
        <f t="shared" si="135"/>
        <v>7310</v>
      </c>
      <c r="D2165">
        <f t="shared" si="137"/>
        <v>0</v>
      </c>
      <c r="E2165">
        <f t="shared" si="138"/>
        <v>0</v>
      </c>
      <c r="F2165">
        <f t="shared" si="136"/>
        <v>0</v>
      </c>
    </row>
    <row r="2166" spans="1:6" x14ac:dyDescent="0.25">
      <c r="A2166" s="4" t="s">
        <v>264</v>
      </c>
      <c r="B2166">
        <v>153</v>
      </c>
      <c r="C2166">
        <f t="shared" si="135"/>
        <v>7463</v>
      </c>
      <c r="D2166">
        <f t="shared" si="137"/>
        <v>0</v>
      </c>
      <c r="E2166">
        <f t="shared" si="138"/>
        <v>0</v>
      </c>
      <c r="F2166">
        <f t="shared" si="136"/>
        <v>0</v>
      </c>
    </row>
    <row r="2167" spans="1:6" x14ac:dyDescent="0.25">
      <c r="A2167" s="4" t="s">
        <v>267</v>
      </c>
      <c r="B2167">
        <v>380</v>
      </c>
      <c r="C2167">
        <f t="shared" si="135"/>
        <v>7843</v>
      </c>
      <c r="D2167">
        <f t="shared" si="137"/>
        <v>0</v>
      </c>
      <c r="E2167">
        <f t="shared" si="138"/>
        <v>0</v>
      </c>
      <c r="F2167">
        <f t="shared" si="136"/>
        <v>0</v>
      </c>
    </row>
    <row r="2168" spans="1:6" x14ac:dyDescent="0.25">
      <c r="A2168" s="4" t="s">
        <v>272</v>
      </c>
      <c r="B2168">
        <v>190</v>
      </c>
      <c r="C2168">
        <f t="shared" si="135"/>
        <v>8033</v>
      </c>
      <c r="D2168">
        <f t="shared" si="137"/>
        <v>0</v>
      </c>
      <c r="E2168">
        <f t="shared" si="138"/>
        <v>0</v>
      </c>
      <c r="F2168">
        <f t="shared" si="136"/>
        <v>0</v>
      </c>
    </row>
    <row r="2169" spans="1:6" x14ac:dyDescent="0.25">
      <c r="A2169" s="4" t="s">
        <v>273</v>
      </c>
      <c r="B2169">
        <v>297</v>
      </c>
      <c r="C2169">
        <f t="shared" si="135"/>
        <v>8330</v>
      </c>
      <c r="D2169">
        <f t="shared" si="137"/>
        <v>0</v>
      </c>
      <c r="E2169">
        <f t="shared" si="138"/>
        <v>0</v>
      </c>
      <c r="F2169">
        <f t="shared" si="136"/>
        <v>0</v>
      </c>
    </row>
    <row r="2170" spans="1:6" x14ac:dyDescent="0.25">
      <c r="A2170" s="4" t="s">
        <v>299</v>
      </c>
      <c r="B2170">
        <v>385</v>
      </c>
      <c r="C2170">
        <f t="shared" si="135"/>
        <v>8715</v>
      </c>
      <c r="D2170">
        <f t="shared" si="137"/>
        <v>0</v>
      </c>
      <c r="E2170">
        <f t="shared" si="138"/>
        <v>0</v>
      </c>
      <c r="F2170">
        <f t="shared" si="136"/>
        <v>0</v>
      </c>
    </row>
    <row r="2171" spans="1:6" x14ac:dyDescent="0.25">
      <c r="A2171" s="4" t="s">
        <v>300</v>
      </c>
      <c r="B2171">
        <v>398</v>
      </c>
      <c r="C2171">
        <f t="shared" si="135"/>
        <v>9113</v>
      </c>
      <c r="D2171">
        <f t="shared" si="137"/>
        <v>0</v>
      </c>
      <c r="E2171">
        <f t="shared" si="138"/>
        <v>0</v>
      </c>
      <c r="F2171">
        <f t="shared" si="136"/>
        <v>0</v>
      </c>
    </row>
    <row r="2172" spans="1:6" x14ac:dyDescent="0.25">
      <c r="A2172" s="4" t="s">
        <v>319</v>
      </c>
      <c r="B2172">
        <v>56</v>
      </c>
      <c r="C2172">
        <f t="shared" si="135"/>
        <v>9169</v>
      </c>
      <c r="D2172">
        <f t="shared" si="137"/>
        <v>0</v>
      </c>
      <c r="E2172">
        <f t="shared" si="138"/>
        <v>0</v>
      </c>
      <c r="F2172">
        <f t="shared" si="136"/>
        <v>0</v>
      </c>
    </row>
    <row r="2173" spans="1:6" x14ac:dyDescent="0.25">
      <c r="A2173" s="4" t="s">
        <v>327</v>
      </c>
      <c r="B2173">
        <v>400</v>
      </c>
      <c r="C2173">
        <f t="shared" si="135"/>
        <v>9569</v>
      </c>
      <c r="D2173">
        <f t="shared" si="137"/>
        <v>0</v>
      </c>
      <c r="E2173">
        <f t="shared" si="138"/>
        <v>0</v>
      </c>
      <c r="F2173">
        <f t="shared" si="136"/>
        <v>0</v>
      </c>
    </row>
    <row r="2174" spans="1:6" x14ac:dyDescent="0.25">
      <c r="A2174" s="4" t="s">
        <v>345</v>
      </c>
      <c r="B2174">
        <v>23</v>
      </c>
      <c r="C2174">
        <f t="shared" si="135"/>
        <v>9592</v>
      </c>
      <c r="D2174">
        <f t="shared" si="137"/>
        <v>0</v>
      </c>
      <c r="E2174">
        <f t="shared" si="138"/>
        <v>0</v>
      </c>
      <c r="F2174">
        <f t="shared" si="136"/>
        <v>0</v>
      </c>
    </row>
    <row r="2175" spans="1:6" x14ac:dyDescent="0.25">
      <c r="A2175" s="4" t="s">
        <v>355</v>
      </c>
      <c r="B2175">
        <v>119</v>
      </c>
      <c r="C2175">
        <f t="shared" si="135"/>
        <v>9711</v>
      </c>
      <c r="D2175">
        <f t="shared" si="137"/>
        <v>0</v>
      </c>
      <c r="E2175">
        <f t="shared" si="138"/>
        <v>0</v>
      </c>
      <c r="F2175">
        <f t="shared" si="136"/>
        <v>0</v>
      </c>
    </row>
    <row r="2176" spans="1:6" x14ac:dyDescent="0.25">
      <c r="A2176" s="4" t="s">
        <v>358</v>
      </c>
      <c r="B2176">
        <v>127</v>
      </c>
      <c r="C2176">
        <f t="shared" si="135"/>
        <v>9838</v>
      </c>
      <c r="D2176">
        <f t="shared" si="137"/>
        <v>0</v>
      </c>
      <c r="E2176">
        <f t="shared" si="138"/>
        <v>0</v>
      </c>
      <c r="F2176">
        <f t="shared" si="136"/>
        <v>0</v>
      </c>
    </row>
    <row r="2177" spans="1:6" x14ac:dyDescent="0.25">
      <c r="A2177" s="4" t="s">
        <v>375</v>
      </c>
      <c r="B2177">
        <v>370</v>
      </c>
      <c r="C2177">
        <f t="shared" si="135"/>
        <v>10208</v>
      </c>
      <c r="D2177">
        <f t="shared" si="137"/>
        <v>0</v>
      </c>
      <c r="E2177">
        <f t="shared" si="138"/>
        <v>0</v>
      </c>
      <c r="F2177">
        <f t="shared" si="136"/>
        <v>0</v>
      </c>
    </row>
    <row r="2178" spans="1:6" x14ac:dyDescent="0.25">
      <c r="A2178" s="4" t="s">
        <v>377</v>
      </c>
      <c r="B2178">
        <v>372</v>
      </c>
      <c r="C2178">
        <f t="shared" si="135"/>
        <v>10580</v>
      </c>
      <c r="D2178">
        <f t="shared" si="137"/>
        <v>0</v>
      </c>
      <c r="E2178">
        <f t="shared" si="138"/>
        <v>0</v>
      </c>
      <c r="F2178">
        <f t="shared" si="136"/>
        <v>0</v>
      </c>
    </row>
    <row r="2179" spans="1:6" x14ac:dyDescent="0.25">
      <c r="A2179" s="4" t="s">
        <v>378</v>
      </c>
      <c r="B2179">
        <v>296</v>
      </c>
      <c r="C2179">
        <f t="shared" si="135"/>
        <v>10876</v>
      </c>
      <c r="D2179">
        <f t="shared" si="137"/>
        <v>0</v>
      </c>
      <c r="E2179">
        <f t="shared" si="138"/>
        <v>0</v>
      </c>
      <c r="F2179">
        <f t="shared" si="136"/>
        <v>0</v>
      </c>
    </row>
    <row r="2180" spans="1:6" x14ac:dyDescent="0.25">
      <c r="A2180" s="4" t="s">
        <v>395</v>
      </c>
      <c r="B2180">
        <v>298</v>
      </c>
      <c r="C2180">
        <f t="shared" si="135"/>
        <v>11174</v>
      </c>
      <c r="D2180">
        <f t="shared" si="137"/>
        <v>0</v>
      </c>
      <c r="E2180">
        <f t="shared" si="138"/>
        <v>0</v>
      </c>
      <c r="F2180">
        <f t="shared" si="136"/>
        <v>0</v>
      </c>
    </row>
    <row r="2181" spans="1:6" x14ac:dyDescent="0.25">
      <c r="A2181" s="4" t="s">
        <v>399</v>
      </c>
      <c r="B2181">
        <v>334</v>
      </c>
      <c r="C2181">
        <f t="shared" ref="C2181:C2244" si="139">IF(LEN(A2181) &gt;= 12, 0, C2180+B2181)</f>
        <v>11508</v>
      </c>
      <c r="D2181">
        <f t="shared" si="137"/>
        <v>0</v>
      </c>
      <c r="E2181">
        <f t="shared" si="138"/>
        <v>0</v>
      </c>
      <c r="F2181">
        <f t="shared" si="136"/>
        <v>0</v>
      </c>
    </row>
    <row r="2182" spans="1:6" x14ac:dyDescent="0.25">
      <c r="A2182" s="4" t="s">
        <v>400</v>
      </c>
      <c r="B2182">
        <v>162</v>
      </c>
      <c r="C2182">
        <f t="shared" si="139"/>
        <v>11670</v>
      </c>
      <c r="D2182">
        <f t="shared" si="137"/>
        <v>0</v>
      </c>
      <c r="E2182">
        <f t="shared" si="138"/>
        <v>0</v>
      </c>
      <c r="F2182">
        <f t="shared" ref="F2182:F2245" si="140">IF(AND(D2182 = 1, C2182 &lt; 20000), B2182*5, IF(AND(E2182=1, C2182 &gt;= 20000),B2182*10,0))</f>
        <v>0</v>
      </c>
    </row>
    <row r="2183" spans="1:6" x14ac:dyDescent="0.25">
      <c r="A2183" s="3" t="s">
        <v>59</v>
      </c>
      <c r="B2183">
        <v>12382</v>
      </c>
      <c r="C2183">
        <f t="shared" si="139"/>
        <v>0</v>
      </c>
      <c r="D2183">
        <f t="shared" si="137"/>
        <v>0</v>
      </c>
      <c r="E2183">
        <f t="shared" si="138"/>
        <v>0</v>
      </c>
      <c r="F2183">
        <f t="shared" si="140"/>
        <v>0</v>
      </c>
    </row>
    <row r="2184" spans="1:6" x14ac:dyDescent="0.25">
      <c r="A2184" s="4" t="s">
        <v>95</v>
      </c>
      <c r="B2184">
        <v>114</v>
      </c>
      <c r="C2184">
        <f t="shared" si="139"/>
        <v>114</v>
      </c>
      <c r="D2184">
        <f t="shared" si="137"/>
        <v>0</v>
      </c>
      <c r="E2184">
        <f t="shared" si="138"/>
        <v>0</v>
      </c>
      <c r="F2184">
        <f t="shared" si="140"/>
        <v>0</v>
      </c>
    </row>
    <row r="2185" spans="1:6" x14ac:dyDescent="0.25">
      <c r="A2185" s="4" t="s">
        <v>99</v>
      </c>
      <c r="B2185">
        <v>127</v>
      </c>
      <c r="C2185">
        <f t="shared" si="139"/>
        <v>241</v>
      </c>
      <c r="D2185">
        <f t="shared" si="137"/>
        <v>0</v>
      </c>
      <c r="E2185">
        <f t="shared" si="138"/>
        <v>0</v>
      </c>
      <c r="F2185">
        <f t="shared" si="140"/>
        <v>0</v>
      </c>
    </row>
    <row r="2186" spans="1:6" x14ac:dyDescent="0.25">
      <c r="A2186" s="4" t="s">
        <v>119</v>
      </c>
      <c r="B2186">
        <v>650</v>
      </c>
      <c r="C2186">
        <f t="shared" si="139"/>
        <v>891</v>
      </c>
      <c r="D2186">
        <f t="shared" si="137"/>
        <v>0</v>
      </c>
      <c r="E2186">
        <f t="shared" si="138"/>
        <v>0</v>
      </c>
      <c r="F2186">
        <f t="shared" si="140"/>
        <v>0</v>
      </c>
    </row>
    <row r="2187" spans="1:6" x14ac:dyDescent="0.25">
      <c r="A2187" s="4" t="s">
        <v>137</v>
      </c>
      <c r="B2187">
        <v>448</v>
      </c>
      <c r="C2187">
        <f t="shared" si="139"/>
        <v>1339</v>
      </c>
      <c r="D2187">
        <f t="shared" si="137"/>
        <v>0</v>
      </c>
      <c r="E2187">
        <f t="shared" si="138"/>
        <v>0</v>
      </c>
      <c r="F2187">
        <f t="shared" si="140"/>
        <v>0</v>
      </c>
    </row>
    <row r="2188" spans="1:6" x14ac:dyDescent="0.25">
      <c r="A2188" s="4" t="s">
        <v>165</v>
      </c>
      <c r="B2188">
        <v>256</v>
      </c>
      <c r="C2188">
        <f t="shared" si="139"/>
        <v>1595</v>
      </c>
      <c r="D2188">
        <f t="shared" si="137"/>
        <v>0</v>
      </c>
      <c r="E2188">
        <f t="shared" si="138"/>
        <v>0</v>
      </c>
      <c r="F2188">
        <f t="shared" si="140"/>
        <v>0</v>
      </c>
    </row>
    <row r="2189" spans="1:6" x14ac:dyDescent="0.25">
      <c r="A2189" s="4" t="s">
        <v>175</v>
      </c>
      <c r="B2189">
        <v>453</v>
      </c>
      <c r="C2189">
        <f t="shared" si="139"/>
        <v>2048</v>
      </c>
      <c r="D2189">
        <f t="shared" si="137"/>
        <v>0</v>
      </c>
      <c r="E2189">
        <f t="shared" si="138"/>
        <v>0</v>
      </c>
      <c r="F2189">
        <f t="shared" si="140"/>
        <v>0</v>
      </c>
    </row>
    <row r="2190" spans="1:6" x14ac:dyDescent="0.25">
      <c r="A2190" s="4" t="s">
        <v>183</v>
      </c>
      <c r="B2190">
        <v>277</v>
      </c>
      <c r="C2190">
        <f t="shared" si="139"/>
        <v>2325</v>
      </c>
      <c r="D2190">
        <f t="shared" si="137"/>
        <v>0</v>
      </c>
      <c r="E2190">
        <f t="shared" si="138"/>
        <v>0</v>
      </c>
      <c r="F2190">
        <f t="shared" si="140"/>
        <v>0</v>
      </c>
    </row>
    <row r="2191" spans="1:6" x14ac:dyDescent="0.25">
      <c r="A2191" s="4" t="s">
        <v>199</v>
      </c>
      <c r="B2191">
        <v>47</v>
      </c>
      <c r="C2191">
        <f t="shared" si="139"/>
        <v>2372</v>
      </c>
      <c r="D2191">
        <f t="shared" si="137"/>
        <v>0</v>
      </c>
      <c r="E2191">
        <f t="shared" si="138"/>
        <v>0</v>
      </c>
      <c r="F2191">
        <f t="shared" si="140"/>
        <v>0</v>
      </c>
    </row>
    <row r="2192" spans="1:6" x14ac:dyDescent="0.25">
      <c r="A2192" s="4" t="s">
        <v>201</v>
      </c>
      <c r="B2192">
        <v>195</v>
      </c>
      <c r="C2192">
        <f t="shared" si="139"/>
        <v>2567</v>
      </c>
      <c r="D2192">
        <f t="shared" si="137"/>
        <v>0</v>
      </c>
      <c r="E2192">
        <f t="shared" si="138"/>
        <v>0</v>
      </c>
      <c r="F2192">
        <f t="shared" si="140"/>
        <v>0</v>
      </c>
    </row>
    <row r="2193" spans="1:6" x14ac:dyDescent="0.25">
      <c r="A2193" s="4" t="s">
        <v>203</v>
      </c>
      <c r="B2193">
        <v>437</v>
      </c>
      <c r="C2193">
        <f t="shared" si="139"/>
        <v>3004</v>
      </c>
      <c r="D2193">
        <f t="shared" si="137"/>
        <v>0</v>
      </c>
      <c r="E2193">
        <f t="shared" si="138"/>
        <v>0</v>
      </c>
      <c r="F2193">
        <f t="shared" si="140"/>
        <v>0</v>
      </c>
    </row>
    <row r="2194" spans="1:6" x14ac:dyDescent="0.25">
      <c r="A2194" s="4" t="s">
        <v>204</v>
      </c>
      <c r="B2194">
        <v>171</v>
      </c>
      <c r="C2194">
        <f t="shared" si="139"/>
        <v>3175</v>
      </c>
      <c r="D2194">
        <f t="shared" si="137"/>
        <v>0</v>
      </c>
      <c r="E2194">
        <f t="shared" si="138"/>
        <v>0</v>
      </c>
      <c r="F2194">
        <f t="shared" si="140"/>
        <v>0</v>
      </c>
    </row>
    <row r="2195" spans="1:6" x14ac:dyDescent="0.25">
      <c r="A2195" s="4" t="s">
        <v>205</v>
      </c>
      <c r="B2195">
        <v>555</v>
      </c>
      <c r="C2195">
        <f t="shared" si="139"/>
        <v>3730</v>
      </c>
      <c r="D2195">
        <f t="shared" si="137"/>
        <v>0</v>
      </c>
      <c r="E2195">
        <f t="shared" si="138"/>
        <v>0</v>
      </c>
      <c r="F2195">
        <f t="shared" si="140"/>
        <v>0</v>
      </c>
    </row>
    <row r="2196" spans="1:6" x14ac:dyDescent="0.25">
      <c r="A2196" s="4" t="s">
        <v>213</v>
      </c>
      <c r="B2196">
        <v>1111</v>
      </c>
      <c r="C2196">
        <f t="shared" si="139"/>
        <v>4841</v>
      </c>
      <c r="D2196">
        <f t="shared" si="137"/>
        <v>0</v>
      </c>
      <c r="E2196">
        <f t="shared" si="138"/>
        <v>0</v>
      </c>
      <c r="F2196">
        <f t="shared" si="140"/>
        <v>0</v>
      </c>
    </row>
    <row r="2197" spans="1:6" x14ac:dyDescent="0.25">
      <c r="A2197" s="4" t="s">
        <v>227</v>
      </c>
      <c r="B2197">
        <v>183</v>
      </c>
      <c r="C2197">
        <f t="shared" si="139"/>
        <v>5024</v>
      </c>
      <c r="D2197">
        <f t="shared" si="137"/>
        <v>0</v>
      </c>
      <c r="E2197">
        <f t="shared" si="138"/>
        <v>0</v>
      </c>
      <c r="F2197">
        <f t="shared" si="140"/>
        <v>0</v>
      </c>
    </row>
    <row r="2198" spans="1:6" x14ac:dyDescent="0.25">
      <c r="A2198" s="4" t="s">
        <v>234</v>
      </c>
      <c r="B2198">
        <v>345</v>
      </c>
      <c r="C2198">
        <f t="shared" si="139"/>
        <v>5369</v>
      </c>
      <c r="D2198">
        <f t="shared" si="137"/>
        <v>0</v>
      </c>
      <c r="E2198">
        <f t="shared" si="138"/>
        <v>0</v>
      </c>
      <c r="F2198">
        <f t="shared" si="140"/>
        <v>0</v>
      </c>
    </row>
    <row r="2199" spans="1:6" x14ac:dyDescent="0.25">
      <c r="A2199" s="4" t="s">
        <v>240</v>
      </c>
      <c r="B2199">
        <v>352</v>
      </c>
      <c r="C2199">
        <f t="shared" si="139"/>
        <v>5721</v>
      </c>
      <c r="D2199">
        <f t="shared" si="137"/>
        <v>0</v>
      </c>
      <c r="E2199">
        <f t="shared" si="138"/>
        <v>0</v>
      </c>
      <c r="F2199">
        <f t="shared" si="140"/>
        <v>0</v>
      </c>
    </row>
    <row r="2200" spans="1:6" x14ac:dyDescent="0.25">
      <c r="A2200" s="4" t="s">
        <v>245</v>
      </c>
      <c r="B2200">
        <v>19</v>
      </c>
      <c r="C2200">
        <f t="shared" si="139"/>
        <v>5740</v>
      </c>
      <c r="D2200">
        <f t="shared" si="137"/>
        <v>0</v>
      </c>
      <c r="E2200">
        <f t="shared" si="138"/>
        <v>0</v>
      </c>
      <c r="F2200">
        <f t="shared" si="140"/>
        <v>0</v>
      </c>
    </row>
    <row r="2201" spans="1:6" x14ac:dyDescent="0.25">
      <c r="A2201" s="4" t="s">
        <v>255</v>
      </c>
      <c r="B2201">
        <v>427</v>
      </c>
      <c r="C2201">
        <f t="shared" si="139"/>
        <v>6167</v>
      </c>
      <c r="D2201">
        <f t="shared" si="137"/>
        <v>0</v>
      </c>
      <c r="E2201">
        <f t="shared" si="138"/>
        <v>0</v>
      </c>
      <c r="F2201">
        <f t="shared" si="140"/>
        <v>0</v>
      </c>
    </row>
    <row r="2202" spans="1:6" x14ac:dyDescent="0.25">
      <c r="A2202" s="4" t="s">
        <v>260</v>
      </c>
      <c r="B2202">
        <v>162</v>
      </c>
      <c r="C2202">
        <f t="shared" si="139"/>
        <v>6329</v>
      </c>
      <c r="D2202">
        <f t="shared" si="137"/>
        <v>0</v>
      </c>
      <c r="E2202">
        <f t="shared" si="138"/>
        <v>0</v>
      </c>
      <c r="F2202">
        <f t="shared" si="140"/>
        <v>0</v>
      </c>
    </row>
    <row r="2203" spans="1:6" x14ac:dyDescent="0.25">
      <c r="A2203" s="4" t="s">
        <v>273</v>
      </c>
      <c r="B2203">
        <v>18</v>
      </c>
      <c r="C2203">
        <f t="shared" si="139"/>
        <v>6347</v>
      </c>
      <c r="D2203">
        <f t="shared" si="137"/>
        <v>0</v>
      </c>
      <c r="E2203">
        <f t="shared" si="138"/>
        <v>0</v>
      </c>
      <c r="F2203">
        <f t="shared" si="140"/>
        <v>0</v>
      </c>
    </row>
    <row r="2204" spans="1:6" x14ac:dyDescent="0.25">
      <c r="A2204" s="4" t="s">
        <v>274</v>
      </c>
      <c r="B2204">
        <v>232</v>
      </c>
      <c r="C2204">
        <f t="shared" si="139"/>
        <v>6579</v>
      </c>
      <c r="D2204">
        <f t="shared" si="137"/>
        <v>0</v>
      </c>
      <c r="E2204">
        <f t="shared" si="138"/>
        <v>0</v>
      </c>
      <c r="F2204">
        <f t="shared" si="140"/>
        <v>0</v>
      </c>
    </row>
    <row r="2205" spans="1:6" x14ac:dyDescent="0.25">
      <c r="A2205" s="4" t="s">
        <v>280</v>
      </c>
      <c r="B2205">
        <v>277</v>
      </c>
      <c r="C2205">
        <f t="shared" si="139"/>
        <v>6856</v>
      </c>
      <c r="D2205">
        <f t="shared" si="137"/>
        <v>0</v>
      </c>
      <c r="E2205">
        <f t="shared" si="138"/>
        <v>0</v>
      </c>
      <c r="F2205">
        <f t="shared" si="140"/>
        <v>0</v>
      </c>
    </row>
    <row r="2206" spans="1:6" x14ac:dyDescent="0.25">
      <c r="A2206" s="4" t="s">
        <v>285</v>
      </c>
      <c r="B2206">
        <v>95</v>
      </c>
      <c r="C2206">
        <f t="shared" si="139"/>
        <v>6951</v>
      </c>
      <c r="D2206">
        <f t="shared" si="137"/>
        <v>0</v>
      </c>
      <c r="E2206">
        <f t="shared" si="138"/>
        <v>0</v>
      </c>
      <c r="F2206">
        <f t="shared" si="140"/>
        <v>0</v>
      </c>
    </row>
    <row r="2207" spans="1:6" x14ac:dyDescent="0.25">
      <c r="A2207" s="4" t="s">
        <v>295</v>
      </c>
      <c r="B2207">
        <v>234</v>
      </c>
      <c r="C2207">
        <f t="shared" si="139"/>
        <v>7185</v>
      </c>
      <c r="D2207">
        <f t="shared" si="137"/>
        <v>0</v>
      </c>
      <c r="E2207">
        <f t="shared" si="138"/>
        <v>0</v>
      </c>
      <c r="F2207">
        <f t="shared" si="140"/>
        <v>0</v>
      </c>
    </row>
    <row r="2208" spans="1:6" x14ac:dyDescent="0.25">
      <c r="A2208" s="4" t="s">
        <v>296</v>
      </c>
      <c r="B2208">
        <v>432</v>
      </c>
      <c r="C2208">
        <f t="shared" si="139"/>
        <v>7617</v>
      </c>
      <c r="D2208">
        <f t="shared" si="137"/>
        <v>0</v>
      </c>
      <c r="E2208">
        <f t="shared" si="138"/>
        <v>0</v>
      </c>
      <c r="F2208">
        <f t="shared" si="140"/>
        <v>0</v>
      </c>
    </row>
    <row r="2209" spans="1:6" x14ac:dyDescent="0.25">
      <c r="A2209" s="4" t="s">
        <v>303</v>
      </c>
      <c r="B2209">
        <v>167</v>
      </c>
      <c r="C2209">
        <f t="shared" si="139"/>
        <v>7784</v>
      </c>
      <c r="D2209">
        <f t="shared" si="137"/>
        <v>0</v>
      </c>
      <c r="E2209">
        <f t="shared" si="138"/>
        <v>0</v>
      </c>
      <c r="F2209">
        <f t="shared" si="140"/>
        <v>0</v>
      </c>
    </row>
    <row r="2210" spans="1:6" x14ac:dyDescent="0.25">
      <c r="A2210" s="4" t="s">
        <v>315</v>
      </c>
      <c r="B2210">
        <v>101</v>
      </c>
      <c r="C2210">
        <f t="shared" si="139"/>
        <v>7885</v>
      </c>
      <c r="D2210">
        <f t="shared" si="137"/>
        <v>0</v>
      </c>
      <c r="E2210">
        <f t="shared" si="138"/>
        <v>0</v>
      </c>
      <c r="F2210">
        <f t="shared" si="140"/>
        <v>0</v>
      </c>
    </row>
    <row r="2211" spans="1:6" x14ac:dyDescent="0.25">
      <c r="A2211" s="4" t="s">
        <v>323</v>
      </c>
      <c r="B2211">
        <v>340</v>
      </c>
      <c r="C2211">
        <f t="shared" si="139"/>
        <v>8225</v>
      </c>
      <c r="D2211">
        <f t="shared" si="137"/>
        <v>0</v>
      </c>
      <c r="E2211">
        <f t="shared" si="138"/>
        <v>0</v>
      </c>
      <c r="F2211">
        <f t="shared" si="140"/>
        <v>0</v>
      </c>
    </row>
    <row r="2212" spans="1:6" x14ac:dyDescent="0.25">
      <c r="A2212" s="4" t="s">
        <v>324</v>
      </c>
      <c r="B2212">
        <v>226</v>
      </c>
      <c r="C2212">
        <f t="shared" si="139"/>
        <v>8451</v>
      </c>
      <c r="D2212">
        <f t="shared" si="137"/>
        <v>0</v>
      </c>
      <c r="E2212">
        <f t="shared" si="138"/>
        <v>0</v>
      </c>
      <c r="F2212">
        <f t="shared" si="140"/>
        <v>0</v>
      </c>
    </row>
    <row r="2213" spans="1:6" x14ac:dyDescent="0.25">
      <c r="A2213" s="4" t="s">
        <v>329</v>
      </c>
      <c r="B2213">
        <v>372</v>
      </c>
      <c r="C2213">
        <f t="shared" si="139"/>
        <v>8823</v>
      </c>
      <c r="D2213">
        <f t="shared" si="137"/>
        <v>0</v>
      </c>
      <c r="E2213">
        <f t="shared" si="138"/>
        <v>0</v>
      </c>
      <c r="F2213">
        <f t="shared" si="140"/>
        <v>0</v>
      </c>
    </row>
    <row r="2214" spans="1:6" x14ac:dyDescent="0.25">
      <c r="A2214" s="4" t="s">
        <v>343</v>
      </c>
      <c r="B2214">
        <v>248</v>
      </c>
      <c r="C2214">
        <f t="shared" si="139"/>
        <v>9071</v>
      </c>
      <c r="D2214">
        <f t="shared" si="137"/>
        <v>0</v>
      </c>
      <c r="E2214">
        <f t="shared" si="138"/>
        <v>0</v>
      </c>
      <c r="F2214">
        <f t="shared" si="140"/>
        <v>0</v>
      </c>
    </row>
    <row r="2215" spans="1:6" x14ac:dyDescent="0.25">
      <c r="A2215" s="4" t="s">
        <v>350</v>
      </c>
      <c r="B2215">
        <v>395</v>
      </c>
      <c r="C2215">
        <f t="shared" si="139"/>
        <v>9466</v>
      </c>
      <c r="D2215">
        <f t="shared" si="137"/>
        <v>0</v>
      </c>
      <c r="E2215">
        <f t="shared" si="138"/>
        <v>0</v>
      </c>
      <c r="F2215">
        <f t="shared" si="140"/>
        <v>0</v>
      </c>
    </row>
    <row r="2216" spans="1:6" x14ac:dyDescent="0.25">
      <c r="A2216" s="4" t="s">
        <v>360</v>
      </c>
      <c r="B2216">
        <v>286</v>
      </c>
      <c r="C2216">
        <f t="shared" si="139"/>
        <v>9752</v>
      </c>
      <c r="D2216">
        <f t="shared" si="137"/>
        <v>0</v>
      </c>
      <c r="E2216">
        <f t="shared" si="138"/>
        <v>0</v>
      </c>
      <c r="F2216">
        <f t="shared" si="140"/>
        <v>0</v>
      </c>
    </row>
    <row r="2217" spans="1:6" x14ac:dyDescent="0.25">
      <c r="A2217" s="4" t="s">
        <v>378</v>
      </c>
      <c r="B2217">
        <v>648</v>
      </c>
      <c r="C2217">
        <f t="shared" si="139"/>
        <v>10400</v>
      </c>
      <c r="D2217">
        <f t="shared" si="137"/>
        <v>0</v>
      </c>
      <c r="E2217">
        <f t="shared" si="138"/>
        <v>0</v>
      </c>
      <c r="F2217">
        <f t="shared" si="140"/>
        <v>0</v>
      </c>
    </row>
    <row r="2218" spans="1:6" x14ac:dyDescent="0.25">
      <c r="A2218" s="4" t="s">
        <v>379</v>
      </c>
      <c r="B2218">
        <v>394</v>
      </c>
      <c r="C2218">
        <f t="shared" si="139"/>
        <v>10794</v>
      </c>
      <c r="D2218">
        <f t="shared" si="137"/>
        <v>0</v>
      </c>
      <c r="E2218">
        <f t="shared" si="138"/>
        <v>0</v>
      </c>
      <c r="F2218">
        <f t="shared" si="140"/>
        <v>0</v>
      </c>
    </row>
    <row r="2219" spans="1:6" x14ac:dyDescent="0.25">
      <c r="A2219" s="4" t="s">
        <v>381</v>
      </c>
      <c r="B2219">
        <v>332</v>
      </c>
      <c r="C2219">
        <f t="shared" si="139"/>
        <v>11126</v>
      </c>
      <c r="D2219">
        <f t="shared" si="137"/>
        <v>0</v>
      </c>
      <c r="E2219">
        <f t="shared" si="138"/>
        <v>0</v>
      </c>
      <c r="F2219">
        <f t="shared" si="140"/>
        <v>0</v>
      </c>
    </row>
    <row r="2220" spans="1:6" x14ac:dyDescent="0.25">
      <c r="A2220" s="4" t="s">
        <v>385</v>
      </c>
      <c r="B2220">
        <v>148</v>
      </c>
      <c r="C2220">
        <f t="shared" si="139"/>
        <v>11274</v>
      </c>
      <c r="D2220">
        <f t="shared" si="137"/>
        <v>0</v>
      </c>
      <c r="E2220">
        <f t="shared" si="138"/>
        <v>0</v>
      </c>
      <c r="F2220">
        <f t="shared" si="140"/>
        <v>0</v>
      </c>
    </row>
    <row r="2221" spans="1:6" x14ac:dyDescent="0.25">
      <c r="A2221" s="4" t="s">
        <v>386</v>
      </c>
      <c r="B2221">
        <v>579</v>
      </c>
      <c r="C2221">
        <f t="shared" si="139"/>
        <v>11853</v>
      </c>
      <c r="D2221">
        <f t="shared" si="137"/>
        <v>0</v>
      </c>
      <c r="E2221">
        <f t="shared" si="138"/>
        <v>0</v>
      </c>
      <c r="F2221">
        <f t="shared" si="140"/>
        <v>0</v>
      </c>
    </row>
    <row r="2222" spans="1:6" x14ac:dyDescent="0.25">
      <c r="A2222" s="4" t="s">
        <v>388</v>
      </c>
      <c r="B2222">
        <v>275</v>
      </c>
      <c r="C2222">
        <f t="shared" si="139"/>
        <v>12128</v>
      </c>
      <c r="D2222">
        <f t="shared" si="137"/>
        <v>0</v>
      </c>
      <c r="E2222">
        <f t="shared" si="138"/>
        <v>0</v>
      </c>
      <c r="F2222">
        <f t="shared" si="140"/>
        <v>0</v>
      </c>
    </row>
    <row r="2223" spans="1:6" x14ac:dyDescent="0.25">
      <c r="A2223" s="4" t="s">
        <v>390</v>
      </c>
      <c r="B2223">
        <v>254</v>
      </c>
      <c r="C2223">
        <f t="shared" si="139"/>
        <v>12382</v>
      </c>
      <c r="D2223">
        <f t="shared" si="137"/>
        <v>0</v>
      </c>
      <c r="E2223">
        <f t="shared" si="138"/>
        <v>0</v>
      </c>
      <c r="F2223">
        <f t="shared" si="140"/>
        <v>0</v>
      </c>
    </row>
    <row r="2224" spans="1:6" x14ac:dyDescent="0.25">
      <c r="A2224" s="3" t="s">
        <v>42</v>
      </c>
      <c r="B2224">
        <v>13179</v>
      </c>
      <c r="C2224">
        <f t="shared" si="139"/>
        <v>0</v>
      </c>
      <c r="D2224">
        <f t="shared" si="137"/>
        <v>0</v>
      </c>
      <c r="E2224">
        <f t="shared" si="138"/>
        <v>0</v>
      </c>
      <c r="F2224">
        <f t="shared" si="140"/>
        <v>0</v>
      </c>
    </row>
    <row r="2225" spans="1:6" x14ac:dyDescent="0.25">
      <c r="A2225" s="4" t="s">
        <v>98</v>
      </c>
      <c r="B2225">
        <v>139</v>
      </c>
      <c r="C2225">
        <f t="shared" si="139"/>
        <v>139</v>
      </c>
      <c r="D2225">
        <f t="shared" ref="D2225:D2288" si="141">IF(C2225 &gt; 15000, 1, 0)</f>
        <v>0</v>
      </c>
      <c r="E2225">
        <f t="shared" ref="E2225:E2288" si="142">IF(AND(D2225 =1,C2225 &gt;= 20000),1,0)</f>
        <v>0</v>
      </c>
      <c r="F2225">
        <f t="shared" si="140"/>
        <v>0</v>
      </c>
    </row>
    <row r="2226" spans="1:6" x14ac:dyDescent="0.25">
      <c r="A2226" s="4" t="s">
        <v>106</v>
      </c>
      <c r="B2226">
        <v>211</v>
      </c>
      <c r="C2226">
        <f t="shared" si="139"/>
        <v>350</v>
      </c>
      <c r="D2226">
        <f t="shared" si="141"/>
        <v>0</v>
      </c>
      <c r="E2226">
        <f t="shared" si="142"/>
        <v>0</v>
      </c>
      <c r="F2226">
        <f t="shared" si="140"/>
        <v>0</v>
      </c>
    </row>
    <row r="2227" spans="1:6" x14ac:dyDescent="0.25">
      <c r="A2227" s="4" t="s">
        <v>109</v>
      </c>
      <c r="B2227">
        <v>247</v>
      </c>
      <c r="C2227">
        <f t="shared" si="139"/>
        <v>597</v>
      </c>
      <c r="D2227">
        <f t="shared" si="141"/>
        <v>0</v>
      </c>
      <c r="E2227">
        <f t="shared" si="142"/>
        <v>0</v>
      </c>
      <c r="F2227">
        <f t="shared" si="140"/>
        <v>0</v>
      </c>
    </row>
    <row r="2228" spans="1:6" x14ac:dyDescent="0.25">
      <c r="A2228" s="4" t="s">
        <v>126</v>
      </c>
      <c r="B2228">
        <v>333</v>
      </c>
      <c r="C2228">
        <f t="shared" si="139"/>
        <v>930</v>
      </c>
      <c r="D2228">
        <f t="shared" si="141"/>
        <v>0</v>
      </c>
      <c r="E2228">
        <f t="shared" si="142"/>
        <v>0</v>
      </c>
      <c r="F2228">
        <f t="shared" si="140"/>
        <v>0</v>
      </c>
    </row>
    <row r="2229" spans="1:6" x14ac:dyDescent="0.25">
      <c r="A2229" s="4" t="s">
        <v>127</v>
      </c>
      <c r="B2229">
        <v>728</v>
      </c>
      <c r="C2229">
        <f t="shared" si="139"/>
        <v>1658</v>
      </c>
      <c r="D2229">
        <f t="shared" si="141"/>
        <v>0</v>
      </c>
      <c r="E2229">
        <f t="shared" si="142"/>
        <v>0</v>
      </c>
      <c r="F2229">
        <f t="shared" si="140"/>
        <v>0</v>
      </c>
    </row>
    <row r="2230" spans="1:6" x14ac:dyDescent="0.25">
      <c r="A2230" s="4" t="s">
        <v>133</v>
      </c>
      <c r="B2230">
        <v>315</v>
      </c>
      <c r="C2230">
        <f t="shared" si="139"/>
        <v>1973</v>
      </c>
      <c r="D2230">
        <f t="shared" si="141"/>
        <v>0</v>
      </c>
      <c r="E2230">
        <f t="shared" si="142"/>
        <v>0</v>
      </c>
      <c r="F2230">
        <f t="shared" si="140"/>
        <v>0</v>
      </c>
    </row>
    <row r="2231" spans="1:6" x14ac:dyDescent="0.25">
      <c r="A2231" s="4" t="s">
        <v>147</v>
      </c>
      <c r="B2231">
        <v>91</v>
      </c>
      <c r="C2231">
        <f t="shared" si="139"/>
        <v>2064</v>
      </c>
      <c r="D2231">
        <f t="shared" si="141"/>
        <v>0</v>
      </c>
      <c r="E2231">
        <f t="shared" si="142"/>
        <v>0</v>
      </c>
      <c r="F2231">
        <f t="shared" si="140"/>
        <v>0</v>
      </c>
    </row>
    <row r="2232" spans="1:6" x14ac:dyDescent="0.25">
      <c r="A2232" s="4" t="s">
        <v>157</v>
      </c>
      <c r="B2232">
        <v>422</v>
      </c>
      <c r="C2232">
        <f t="shared" si="139"/>
        <v>2486</v>
      </c>
      <c r="D2232">
        <f t="shared" si="141"/>
        <v>0</v>
      </c>
      <c r="E2232">
        <f t="shared" si="142"/>
        <v>0</v>
      </c>
      <c r="F2232">
        <f t="shared" si="140"/>
        <v>0</v>
      </c>
    </row>
    <row r="2233" spans="1:6" x14ac:dyDescent="0.25">
      <c r="A2233" s="4" t="s">
        <v>165</v>
      </c>
      <c r="B2233">
        <v>335</v>
      </c>
      <c r="C2233">
        <f t="shared" si="139"/>
        <v>2821</v>
      </c>
      <c r="D2233">
        <f t="shared" si="141"/>
        <v>0</v>
      </c>
      <c r="E2233">
        <f t="shared" si="142"/>
        <v>0</v>
      </c>
      <c r="F2233">
        <f t="shared" si="140"/>
        <v>0</v>
      </c>
    </row>
    <row r="2234" spans="1:6" x14ac:dyDescent="0.25">
      <c r="A2234" s="4" t="s">
        <v>172</v>
      </c>
      <c r="B2234">
        <v>392</v>
      </c>
      <c r="C2234">
        <f t="shared" si="139"/>
        <v>3213</v>
      </c>
      <c r="D2234">
        <f t="shared" si="141"/>
        <v>0</v>
      </c>
      <c r="E2234">
        <f t="shared" si="142"/>
        <v>0</v>
      </c>
      <c r="F2234">
        <f t="shared" si="140"/>
        <v>0</v>
      </c>
    </row>
    <row r="2235" spans="1:6" x14ac:dyDescent="0.25">
      <c r="A2235" s="4" t="s">
        <v>173</v>
      </c>
      <c r="B2235">
        <v>399</v>
      </c>
      <c r="C2235">
        <f t="shared" si="139"/>
        <v>3612</v>
      </c>
      <c r="D2235">
        <f t="shared" si="141"/>
        <v>0</v>
      </c>
      <c r="E2235">
        <f t="shared" si="142"/>
        <v>0</v>
      </c>
      <c r="F2235">
        <f t="shared" si="140"/>
        <v>0</v>
      </c>
    </row>
    <row r="2236" spans="1:6" x14ac:dyDescent="0.25">
      <c r="A2236" s="4" t="s">
        <v>175</v>
      </c>
      <c r="B2236">
        <v>582</v>
      </c>
      <c r="C2236">
        <f t="shared" si="139"/>
        <v>4194</v>
      </c>
      <c r="D2236">
        <f t="shared" si="141"/>
        <v>0</v>
      </c>
      <c r="E2236">
        <f t="shared" si="142"/>
        <v>0</v>
      </c>
      <c r="F2236">
        <f t="shared" si="140"/>
        <v>0</v>
      </c>
    </row>
    <row r="2237" spans="1:6" x14ac:dyDescent="0.25">
      <c r="A2237" s="4" t="s">
        <v>193</v>
      </c>
      <c r="B2237">
        <v>51</v>
      </c>
      <c r="C2237">
        <f t="shared" si="139"/>
        <v>4245</v>
      </c>
      <c r="D2237">
        <f t="shared" si="141"/>
        <v>0</v>
      </c>
      <c r="E2237">
        <f t="shared" si="142"/>
        <v>0</v>
      </c>
      <c r="F2237">
        <f t="shared" si="140"/>
        <v>0</v>
      </c>
    </row>
    <row r="2238" spans="1:6" x14ac:dyDescent="0.25">
      <c r="A2238" s="4" t="s">
        <v>200</v>
      </c>
      <c r="B2238">
        <v>129</v>
      </c>
      <c r="C2238">
        <f t="shared" si="139"/>
        <v>4374</v>
      </c>
      <c r="D2238">
        <f t="shared" si="141"/>
        <v>0</v>
      </c>
      <c r="E2238">
        <f t="shared" si="142"/>
        <v>0</v>
      </c>
      <c r="F2238">
        <f t="shared" si="140"/>
        <v>0</v>
      </c>
    </row>
    <row r="2239" spans="1:6" x14ac:dyDescent="0.25">
      <c r="A2239" s="4" t="s">
        <v>204</v>
      </c>
      <c r="B2239">
        <v>1134</v>
      </c>
      <c r="C2239">
        <f t="shared" si="139"/>
        <v>5508</v>
      </c>
      <c r="D2239">
        <f t="shared" si="141"/>
        <v>0</v>
      </c>
      <c r="E2239">
        <f t="shared" si="142"/>
        <v>0</v>
      </c>
      <c r="F2239">
        <f t="shared" si="140"/>
        <v>0</v>
      </c>
    </row>
    <row r="2240" spans="1:6" x14ac:dyDescent="0.25">
      <c r="A2240" s="4" t="s">
        <v>211</v>
      </c>
      <c r="B2240">
        <v>280</v>
      </c>
      <c r="C2240">
        <f t="shared" si="139"/>
        <v>5788</v>
      </c>
      <c r="D2240">
        <f t="shared" si="141"/>
        <v>0</v>
      </c>
      <c r="E2240">
        <f t="shared" si="142"/>
        <v>0</v>
      </c>
      <c r="F2240">
        <f t="shared" si="140"/>
        <v>0</v>
      </c>
    </row>
    <row r="2241" spans="1:6" x14ac:dyDescent="0.25">
      <c r="A2241" s="4" t="s">
        <v>214</v>
      </c>
      <c r="B2241">
        <v>220</v>
      </c>
      <c r="C2241">
        <f t="shared" si="139"/>
        <v>6008</v>
      </c>
      <c r="D2241">
        <f t="shared" si="141"/>
        <v>0</v>
      </c>
      <c r="E2241">
        <f t="shared" si="142"/>
        <v>0</v>
      </c>
      <c r="F2241">
        <f t="shared" si="140"/>
        <v>0</v>
      </c>
    </row>
    <row r="2242" spans="1:6" x14ac:dyDescent="0.25">
      <c r="A2242" s="4" t="s">
        <v>220</v>
      </c>
      <c r="B2242">
        <v>413</v>
      </c>
      <c r="C2242">
        <f t="shared" si="139"/>
        <v>6421</v>
      </c>
      <c r="D2242">
        <f t="shared" si="141"/>
        <v>0</v>
      </c>
      <c r="E2242">
        <f t="shared" si="142"/>
        <v>0</v>
      </c>
      <c r="F2242">
        <f t="shared" si="140"/>
        <v>0</v>
      </c>
    </row>
    <row r="2243" spans="1:6" x14ac:dyDescent="0.25">
      <c r="A2243" s="4" t="s">
        <v>225</v>
      </c>
      <c r="B2243">
        <v>448</v>
      </c>
      <c r="C2243">
        <f t="shared" si="139"/>
        <v>6869</v>
      </c>
      <c r="D2243">
        <f t="shared" si="141"/>
        <v>0</v>
      </c>
      <c r="E2243">
        <f t="shared" si="142"/>
        <v>0</v>
      </c>
      <c r="F2243">
        <f t="shared" si="140"/>
        <v>0</v>
      </c>
    </row>
    <row r="2244" spans="1:6" x14ac:dyDescent="0.25">
      <c r="A2244" s="4" t="s">
        <v>229</v>
      </c>
      <c r="B2244">
        <v>113</v>
      </c>
      <c r="C2244">
        <f t="shared" si="139"/>
        <v>6982</v>
      </c>
      <c r="D2244">
        <f t="shared" si="141"/>
        <v>0</v>
      </c>
      <c r="E2244">
        <f t="shared" si="142"/>
        <v>0</v>
      </c>
      <c r="F2244">
        <f t="shared" si="140"/>
        <v>0</v>
      </c>
    </row>
    <row r="2245" spans="1:6" x14ac:dyDescent="0.25">
      <c r="A2245" s="4" t="s">
        <v>233</v>
      </c>
      <c r="B2245">
        <v>206</v>
      </c>
      <c r="C2245">
        <f t="shared" ref="C2245:C2308" si="143">IF(LEN(A2245) &gt;= 12, 0, C2244+B2245)</f>
        <v>7188</v>
      </c>
      <c r="D2245">
        <f t="shared" si="141"/>
        <v>0</v>
      </c>
      <c r="E2245">
        <f t="shared" si="142"/>
        <v>0</v>
      </c>
      <c r="F2245">
        <f t="shared" si="140"/>
        <v>0</v>
      </c>
    </row>
    <row r="2246" spans="1:6" x14ac:dyDescent="0.25">
      <c r="A2246" s="4" t="s">
        <v>242</v>
      </c>
      <c r="B2246">
        <v>61</v>
      </c>
      <c r="C2246">
        <f t="shared" si="143"/>
        <v>7249</v>
      </c>
      <c r="D2246">
        <f t="shared" si="141"/>
        <v>0</v>
      </c>
      <c r="E2246">
        <f t="shared" si="142"/>
        <v>0</v>
      </c>
      <c r="F2246">
        <f t="shared" ref="F2246:F2309" si="144">IF(AND(D2246 = 1, C2246 &lt; 20000), B2246*5, IF(AND(E2246=1, C2246 &gt;= 20000),B2246*10,0))</f>
        <v>0</v>
      </c>
    </row>
    <row r="2247" spans="1:6" x14ac:dyDescent="0.25">
      <c r="A2247" s="4" t="s">
        <v>248</v>
      </c>
      <c r="B2247">
        <v>392</v>
      </c>
      <c r="C2247">
        <f t="shared" si="143"/>
        <v>7641</v>
      </c>
      <c r="D2247">
        <f t="shared" si="141"/>
        <v>0</v>
      </c>
      <c r="E2247">
        <f t="shared" si="142"/>
        <v>0</v>
      </c>
      <c r="F2247">
        <f t="shared" si="144"/>
        <v>0</v>
      </c>
    </row>
    <row r="2248" spans="1:6" x14ac:dyDescent="0.25">
      <c r="A2248" s="4" t="s">
        <v>261</v>
      </c>
      <c r="B2248">
        <v>230</v>
      </c>
      <c r="C2248">
        <f t="shared" si="143"/>
        <v>7871</v>
      </c>
      <c r="D2248">
        <f t="shared" si="141"/>
        <v>0</v>
      </c>
      <c r="E2248">
        <f t="shared" si="142"/>
        <v>0</v>
      </c>
      <c r="F2248">
        <f t="shared" si="144"/>
        <v>0</v>
      </c>
    </row>
    <row r="2249" spans="1:6" x14ac:dyDescent="0.25">
      <c r="A2249" s="4" t="s">
        <v>267</v>
      </c>
      <c r="B2249">
        <v>81</v>
      </c>
      <c r="C2249">
        <f t="shared" si="143"/>
        <v>7952</v>
      </c>
      <c r="D2249">
        <f t="shared" si="141"/>
        <v>0</v>
      </c>
      <c r="E2249">
        <f t="shared" si="142"/>
        <v>0</v>
      </c>
      <c r="F2249">
        <f t="shared" si="144"/>
        <v>0</v>
      </c>
    </row>
    <row r="2250" spans="1:6" x14ac:dyDescent="0.25">
      <c r="A2250" s="4" t="s">
        <v>272</v>
      </c>
      <c r="B2250">
        <v>66</v>
      </c>
      <c r="C2250">
        <f t="shared" si="143"/>
        <v>8018</v>
      </c>
      <c r="D2250">
        <f t="shared" si="141"/>
        <v>0</v>
      </c>
      <c r="E2250">
        <f t="shared" si="142"/>
        <v>0</v>
      </c>
      <c r="F2250">
        <f t="shared" si="144"/>
        <v>0</v>
      </c>
    </row>
    <row r="2251" spans="1:6" x14ac:dyDescent="0.25">
      <c r="A2251" s="4" t="s">
        <v>273</v>
      </c>
      <c r="B2251">
        <v>284</v>
      </c>
      <c r="C2251">
        <f t="shared" si="143"/>
        <v>8302</v>
      </c>
      <c r="D2251">
        <f t="shared" si="141"/>
        <v>0</v>
      </c>
      <c r="E2251">
        <f t="shared" si="142"/>
        <v>0</v>
      </c>
      <c r="F2251">
        <f t="shared" si="144"/>
        <v>0</v>
      </c>
    </row>
    <row r="2252" spans="1:6" x14ac:dyDescent="0.25">
      <c r="A2252" s="4" t="s">
        <v>282</v>
      </c>
      <c r="B2252">
        <v>271</v>
      </c>
      <c r="C2252">
        <f t="shared" si="143"/>
        <v>8573</v>
      </c>
      <c r="D2252">
        <f t="shared" si="141"/>
        <v>0</v>
      </c>
      <c r="E2252">
        <f t="shared" si="142"/>
        <v>0</v>
      </c>
      <c r="F2252">
        <f t="shared" si="144"/>
        <v>0</v>
      </c>
    </row>
    <row r="2253" spans="1:6" x14ac:dyDescent="0.25">
      <c r="A2253" s="4" t="s">
        <v>284</v>
      </c>
      <c r="B2253">
        <v>56</v>
      </c>
      <c r="C2253">
        <f t="shared" si="143"/>
        <v>8629</v>
      </c>
      <c r="D2253">
        <f t="shared" si="141"/>
        <v>0</v>
      </c>
      <c r="E2253">
        <f t="shared" si="142"/>
        <v>0</v>
      </c>
      <c r="F2253">
        <f t="shared" si="144"/>
        <v>0</v>
      </c>
    </row>
    <row r="2254" spans="1:6" x14ac:dyDescent="0.25">
      <c r="A2254" s="4" t="s">
        <v>302</v>
      </c>
      <c r="B2254">
        <v>99</v>
      </c>
      <c r="C2254">
        <f t="shared" si="143"/>
        <v>8728</v>
      </c>
      <c r="D2254">
        <f t="shared" si="141"/>
        <v>0</v>
      </c>
      <c r="E2254">
        <f t="shared" si="142"/>
        <v>0</v>
      </c>
      <c r="F2254">
        <f t="shared" si="144"/>
        <v>0</v>
      </c>
    </row>
    <row r="2255" spans="1:6" x14ac:dyDescent="0.25">
      <c r="A2255" s="4" t="s">
        <v>306</v>
      </c>
      <c r="B2255">
        <v>53</v>
      </c>
      <c r="C2255">
        <f t="shared" si="143"/>
        <v>8781</v>
      </c>
      <c r="D2255">
        <f t="shared" si="141"/>
        <v>0</v>
      </c>
      <c r="E2255">
        <f t="shared" si="142"/>
        <v>0</v>
      </c>
      <c r="F2255">
        <f t="shared" si="144"/>
        <v>0</v>
      </c>
    </row>
    <row r="2256" spans="1:6" x14ac:dyDescent="0.25">
      <c r="A2256" s="4" t="s">
        <v>312</v>
      </c>
      <c r="B2256">
        <v>260</v>
      </c>
      <c r="C2256">
        <f t="shared" si="143"/>
        <v>9041</v>
      </c>
      <c r="D2256">
        <f t="shared" si="141"/>
        <v>0</v>
      </c>
      <c r="E2256">
        <f t="shared" si="142"/>
        <v>0</v>
      </c>
      <c r="F2256">
        <f t="shared" si="144"/>
        <v>0</v>
      </c>
    </row>
    <row r="2257" spans="1:6" x14ac:dyDescent="0.25">
      <c r="A2257" s="4" t="s">
        <v>315</v>
      </c>
      <c r="B2257">
        <v>164</v>
      </c>
      <c r="C2257">
        <f t="shared" si="143"/>
        <v>9205</v>
      </c>
      <c r="D2257">
        <f t="shared" si="141"/>
        <v>0</v>
      </c>
      <c r="E2257">
        <f t="shared" si="142"/>
        <v>0</v>
      </c>
      <c r="F2257">
        <f t="shared" si="144"/>
        <v>0</v>
      </c>
    </row>
    <row r="2258" spans="1:6" x14ac:dyDescent="0.25">
      <c r="A2258" s="4" t="s">
        <v>316</v>
      </c>
      <c r="B2258">
        <v>498</v>
      </c>
      <c r="C2258">
        <f t="shared" si="143"/>
        <v>9703</v>
      </c>
      <c r="D2258">
        <f t="shared" si="141"/>
        <v>0</v>
      </c>
      <c r="E2258">
        <f t="shared" si="142"/>
        <v>0</v>
      </c>
      <c r="F2258">
        <f t="shared" si="144"/>
        <v>0</v>
      </c>
    </row>
    <row r="2259" spans="1:6" x14ac:dyDescent="0.25">
      <c r="A2259" s="4" t="s">
        <v>317</v>
      </c>
      <c r="B2259">
        <v>307</v>
      </c>
      <c r="C2259">
        <f t="shared" si="143"/>
        <v>10010</v>
      </c>
      <c r="D2259">
        <f t="shared" si="141"/>
        <v>0</v>
      </c>
      <c r="E2259">
        <f t="shared" si="142"/>
        <v>0</v>
      </c>
      <c r="F2259">
        <f t="shared" si="144"/>
        <v>0</v>
      </c>
    </row>
    <row r="2260" spans="1:6" x14ac:dyDescent="0.25">
      <c r="A2260" s="4" t="s">
        <v>341</v>
      </c>
      <c r="B2260">
        <v>490</v>
      </c>
      <c r="C2260">
        <f t="shared" si="143"/>
        <v>10500</v>
      </c>
      <c r="D2260">
        <f t="shared" si="141"/>
        <v>0</v>
      </c>
      <c r="E2260">
        <f t="shared" si="142"/>
        <v>0</v>
      </c>
      <c r="F2260">
        <f t="shared" si="144"/>
        <v>0</v>
      </c>
    </row>
    <row r="2261" spans="1:6" x14ac:dyDescent="0.25">
      <c r="A2261" s="4" t="s">
        <v>346</v>
      </c>
      <c r="B2261">
        <v>339</v>
      </c>
      <c r="C2261">
        <f t="shared" si="143"/>
        <v>10839</v>
      </c>
      <c r="D2261">
        <f t="shared" si="141"/>
        <v>0</v>
      </c>
      <c r="E2261">
        <f t="shared" si="142"/>
        <v>0</v>
      </c>
      <c r="F2261">
        <f t="shared" si="144"/>
        <v>0</v>
      </c>
    </row>
    <row r="2262" spans="1:6" x14ac:dyDescent="0.25">
      <c r="A2262" s="4" t="s">
        <v>348</v>
      </c>
      <c r="B2262">
        <v>251</v>
      </c>
      <c r="C2262">
        <f t="shared" si="143"/>
        <v>11090</v>
      </c>
      <c r="D2262">
        <f t="shared" si="141"/>
        <v>0</v>
      </c>
      <c r="E2262">
        <f t="shared" si="142"/>
        <v>0</v>
      </c>
      <c r="F2262">
        <f t="shared" si="144"/>
        <v>0</v>
      </c>
    </row>
    <row r="2263" spans="1:6" x14ac:dyDescent="0.25">
      <c r="A2263" s="4" t="s">
        <v>357</v>
      </c>
      <c r="B2263">
        <v>23</v>
      </c>
      <c r="C2263">
        <f t="shared" si="143"/>
        <v>11113</v>
      </c>
      <c r="D2263">
        <f t="shared" si="141"/>
        <v>0</v>
      </c>
      <c r="E2263">
        <f t="shared" si="142"/>
        <v>0</v>
      </c>
      <c r="F2263">
        <f t="shared" si="144"/>
        <v>0</v>
      </c>
    </row>
    <row r="2264" spans="1:6" x14ac:dyDescent="0.25">
      <c r="A2264" s="4" t="s">
        <v>366</v>
      </c>
      <c r="B2264">
        <v>244</v>
      </c>
      <c r="C2264">
        <f t="shared" si="143"/>
        <v>11357</v>
      </c>
      <c r="D2264">
        <f t="shared" si="141"/>
        <v>0</v>
      </c>
      <c r="E2264">
        <f t="shared" si="142"/>
        <v>0</v>
      </c>
      <c r="F2264">
        <f t="shared" si="144"/>
        <v>0</v>
      </c>
    </row>
    <row r="2265" spans="1:6" x14ac:dyDescent="0.25">
      <c r="A2265" s="4" t="s">
        <v>371</v>
      </c>
      <c r="B2265">
        <v>454</v>
      </c>
      <c r="C2265">
        <f t="shared" si="143"/>
        <v>11811</v>
      </c>
      <c r="D2265">
        <f t="shared" si="141"/>
        <v>0</v>
      </c>
      <c r="E2265">
        <f t="shared" si="142"/>
        <v>0</v>
      </c>
      <c r="F2265">
        <f t="shared" si="144"/>
        <v>0</v>
      </c>
    </row>
    <row r="2266" spans="1:6" x14ac:dyDescent="0.25">
      <c r="A2266" s="4" t="s">
        <v>397</v>
      </c>
      <c r="B2266">
        <v>585</v>
      </c>
      <c r="C2266">
        <f t="shared" si="143"/>
        <v>12396</v>
      </c>
      <c r="D2266">
        <f t="shared" si="141"/>
        <v>0</v>
      </c>
      <c r="E2266">
        <f t="shared" si="142"/>
        <v>0</v>
      </c>
      <c r="F2266">
        <f t="shared" si="144"/>
        <v>0</v>
      </c>
    </row>
    <row r="2267" spans="1:6" x14ac:dyDescent="0.25">
      <c r="A2267" s="4" t="s">
        <v>400</v>
      </c>
      <c r="B2267">
        <v>783</v>
      </c>
      <c r="C2267">
        <f t="shared" si="143"/>
        <v>13179</v>
      </c>
      <c r="D2267">
        <f t="shared" si="141"/>
        <v>0</v>
      </c>
      <c r="E2267">
        <f t="shared" si="142"/>
        <v>0</v>
      </c>
      <c r="F2267">
        <f t="shared" si="144"/>
        <v>0</v>
      </c>
    </row>
    <row r="2268" spans="1:6" x14ac:dyDescent="0.25">
      <c r="A2268" s="3" t="s">
        <v>16</v>
      </c>
      <c r="B2268">
        <v>12985</v>
      </c>
      <c r="C2268">
        <f t="shared" si="143"/>
        <v>0</v>
      </c>
      <c r="D2268">
        <f t="shared" si="141"/>
        <v>0</v>
      </c>
      <c r="E2268">
        <f t="shared" si="142"/>
        <v>0</v>
      </c>
      <c r="F2268">
        <f t="shared" si="144"/>
        <v>0</v>
      </c>
    </row>
    <row r="2269" spans="1:6" x14ac:dyDescent="0.25">
      <c r="A2269" s="4" t="s">
        <v>93</v>
      </c>
      <c r="B2269">
        <v>1130</v>
      </c>
      <c r="C2269">
        <f t="shared" si="143"/>
        <v>1130</v>
      </c>
      <c r="D2269">
        <f t="shared" si="141"/>
        <v>0</v>
      </c>
      <c r="E2269">
        <f t="shared" si="142"/>
        <v>0</v>
      </c>
      <c r="F2269">
        <f t="shared" si="144"/>
        <v>0</v>
      </c>
    </row>
    <row r="2270" spans="1:6" x14ac:dyDescent="0.25">
      <c r="A2270" s="4" t="s">
        <v>103</v>
      </c>
      <c r="B2270">
        <v>536</v>
      </c>
      <c r="C2270">
        <f t="shared" si="143"/>
        <v>1666</v>
      </c>
      <c r="D2270">
        <f t="shared" si="141"/>
        <v>0</v>
      </c>
      <c r="E2270">
        <f t="shared" si="142"/>
        <v>0</v>
      </c>
      <c r="F2270">
        <f t="shared" si="144"/>
        <v>0</v>
      </c>
    </row>
    <row r="2271" spans="1:6" x14ac:dyDescent="0.25">
      <c r="A2271" s="4" t="s">
        <v>106</v>
      </c>
      <c r="B2271">
        <v>577</v>
      </c>
      <c r="C2271">
        <f t="shared" si="143"/>
        <v>2243</v>
      </c>
      <c r="D2271">
        <f t="shared" si="141"/>
        <v>0</v>
      </c>
      <c r="E2271">
        <f t="shared" si="142"/>
        <v>0</v>
      </c>
      <c r="F2271">
        <f t="shared" si="144"/>
        <v>0</v>
      </c>
    </row>
    <row r="2272" spans="1:6" x14ac:dyDescent="0.25">
      <c r="A2272" s="4" t="s">
        <v>110</v>
      </c>
      <c r="B2272">
        <v>59</v>
      </c>
      <c r="C2272">
        <f t="shared" si="143"/>
        <v>2302</v>
      </c>
      <c r="D2272">
        <f t="shared" si="141"/>
        <v>0</v>
      </c>
      <c r="E2272">
        <f t="shared" si="142"/>
        <v>0</v>
      </c>
      <c r="F2272">
        <f t="shared" si="144"/>
        <v>0</v>
      </c>
    </row>
    <row r="2273" spans="1:6" x14ac:dyDescent="0.25">
      <c r="A2273" s="4" t="s">
        <v>113</v>
      </c>
      <c r="B2273">
        <v>460</v>
      </c>
      <c r="C2273">
        <f t="shared" si="143"/>
        <v>2762</v>
      </c>
      <c r="D2273">
        <f t="shared" si="141"/>
        <v>0</v>
      </c>
      <c r="E2273">
        <f t="shared" si="142"/>
        <v>0</v>
      </c>
      <c r="F2273">
        <f t="shared" si="144"/>
        <v>0</v>
      </c>
    </row>
    <row r="2274" spans="1:6" x14ac:dyDescent="0.25">
      <c r="A2274" s="4" t="s">
        <v>121</v>
      </c>
      <c r="B2274">
        <v>433</v>
      </c>
      <c r="C2274">
        <f t="shared" si="143"/>
        <v>3195</v>
      </c>
      <c r="D2274">
        <f t="shared" si="141"/>
        <v>0</v>
      </c>
      <c r="E2274">
        <f t="shared" si="142"/>
        <v>0</v>
      </c>
      <c r="F2274">
        <f t="shared" si="144"/>
        <v>0</v>
      </c>
    </row>
    <row r="2275" spans="1:6" x14ac:dyDescent="0.25">
      <c r="A2275" s="4" t="s">
        <v>123</v>
      </c>
      <c r="B2275">
        <v>476</v>
      </c>
      <c r="C2275">
        <f t="shared" si="143"/>
        <v>3671</v>
      </c>
      <c r="D2275">
        <f t="shared" si="141"/>
        <v>0</v>
      </c>
      <c r="E2275">
        <f t="shared" si="142"/>
        <v>0</v>
      </c>
      <c r="F2275">
        <f t="shared" si="144"/>
        <v>0</v>
      </c>
    </row>
    <row r="2276" spans="1:6" x14ac:dyDescent="0.25">
      <c r="A2276" s="4" t="s">
        <v>143</v>
      </c>
      <c r="B2276">
        <v>716</v>
      </c>
      <c r="C2276">
        <f t="shared" si="143"/>
        <v>4387</v>
      </c>
      <c r="D2276">
        <f t="shared" si="141"/>
        <v>0</v>
      </c>
      <c r="E2276">
        <f t="shared" si="142"/>
        <v>0</v>
      </c>
      <c r="F2276">
        <f t="shared" si="144"/>
        <v>0</v>
      </c>
    </row>
    <row r="2277" spans="1:6" x14ac:dyDescent="0.25">
      <c r="A2277" s="4" t="s">
        <v>156</v>
      </c>
      <c r="B2277">
        <v>138</v>
      </c>
      <c r="C2277">
        <f t="shared" si="143"/>
        <v>4525</v>
      </c>
      <c r="D2277">
        <f t="shared" si="141"/>
        <v>0</v>
      </c>
      <c r="E2277">
        <f t="shared" si="142"/>
        <v>0</v>
      </c>
      <c r="F2277">
        <f t="shared" si="144"/>
        <v>0</v>
      </c>
    </row>
    <row r="2278" spans="1:6" x14ac:dyDescent="0.25">
      <c r="A2278" s="4" t="s">
        <v>169</v>
      </c>
      <c r="B2278">
        <v>284</v>
      </c>
      <c r="C2278">
        <f t="shared" si="143"/>
        <v>4809</v>
      </c>
      <c r="D2278">
        <f t="shared" si="141"/>
        <v>0</v>
      </c>
      <c r="E2278">
        <f t="shared" si="142"/>
        <v>0</v>
      </c>
      <c r="F2278">
        <f t="shared" si="144"/>
        <v>0</v>
      </c>
    </row>
    <row r="2279" spans="1:6" x14ac:dyDescent="0.25">
      <c r="A2279" s="4" t="s">
        <v>171</v>
      </c>
      <c r="B2279">
        <v>534</v>
      </c>
      <c r="C2279">
        <f t="shared" si="143"/>
        <v>5343</v>
      </c>
      <c r="D2279">
        <f t="shared" si="141"/>
        <v>0</v>
      </c>
      <c r="E2279">
        <f t="shared" si="142"/>
        <v>0</v>
      </c>
      <c r="F2279">
        <f t="shared" si="144"/>
        <v>0</v>
      </c>
    </row>
    <row r="2280" spans="1:6" x14ac:dyDescent="0.25">
      <c r="A2280" s="4" t="s">
        <v>183</v>
      </c>
      <c r="B2280">
        <v>616</v>
      </c>
      <c r="C2280">
        <f t="shared" si="143"/>
        <v>5959</v>
      </c>
      <c r="D2280">
        <f t="shared" si="141"/>
        <v>0</v>
      </c>
      <c r="E2280">
        <f t="shared" si="142"/>
        <v>0</v>
      </c>
      <c r="F2280">
        <f t="shared" si="144"/>
        <v>0</v>
      </c>
    </row>
    <row r="2281" spans="1:6" x14ac:dyDescent="0.25">
      <c r="A2281" s="4" t="s">
        <v>192</v>
      </c>
      <c r="B2281">
        <v>101</v>
      </c>
      <c r="C2281">
        <f t="shared" si="143"/>
        <v>6060</v>
      </c>
      <c r="D2281">
        <f t="shared" si="141"/>
        <v>0</v>
      </c>
      <c r="E2281">
        <f t="shared" si="142"/>
        <v>0</v>
      </c>
      <c r="F2281">
        <f t="shared" si="144"/>
        <v>0</v>
      </c>
    </row>
    <row r="2282" spans="1:6" x14ac:dyDescent="0.25">
      <c r="A2282" s="4" t="s">
        <v>194</v>
      </c>
      <c r="B2282">
        <v>589</v>
      </c>
      <c r="C2282">
        <f t="shared" si="143"/>
        <v>6649</v>
      </c>
      <c r="D2282">
        <f t="shared" si="141"/>
        <v>0</v>
      </c>
      <c r="E2282">
        <f t="shared" si="142"/>
        <v>0</v>
      </c>
      <c r="F2282">
        <f t="shared" si="144"/>
        <v>0</v>
      </c>
    </row>
    <row r="2283" spans="1:6" x14ac:dyDescent="0.25">
      <c r="A2283" s="4" t="s">
        <v>195</v>
      </c>
      <c r="B2283">
        <v>368</v>
      </c>
      <c r="C2283">
        <f t="shared" si="143"/>
        <v>7017</v>
      </c>
      <c r="D2283">
        <f t="shared" si="141"/>
        <v>0</v>
      </c>
      <c r="E2283">
        <f t="shared" si="142"/>
        <v>0</v>
      </c>
      <c r="F2283">
        <f t="shared" si="144"/>
        <v>0</v>
      </c>
    </row>
    <row r="2284" spans="1:6" x14ac:dyDescent="0.25">
      <c r="A2284" s="4" t="s">
        <v>201</v>
      </c>
      <c r="B2284">
        <v>55</v>
      </c>
      <c r="C2284">
        <f t="shared" si="143"/>
        <v>7072</v>
      </c>
      <c r="D2284">
        <f t="shared" si="141"/>
        <v>0</v>
      </c>
      <c r="E2284">
        <f t="shared" si="142"/>
        <v>0</v>
      </c>
      <c r="F2284">
        <f t="shared" si="144"/>
        <v>0</v>
      </c>
    </row>
    <row r="2285" spans="1:6" x14ac:dyDescent="0.25">
      <c r="A2285" s="4" t="s">
        <v>205</v>
      </c>
      <c r="B2285">
        <v>303</v>
      </c>
      <c r="C2285">
        <f t="shared" si="143"/>
        <v>7375</v>
      </c>
      <c r="D2285">
        <f t="shared" si="141"/>
        <v>0</v>
      </c>
      <c r="E2285">
        <f t="shared" si="142"/>
        <v>0</v>
      </c>
      <c r="F2285">
        <f t="shared" si="144"/>
        <v>0</v>
      </c>
    </row>
    <row r="2286" spans="1:6" x14ac:dyDescent="0.25">
      <c r="A2286" s="4" t="s">
        <v>221</v>
      </c>
      <c r="B2286">
        <v>434</v>
      </c>
      <c r="C2286">
        <f t="shared" si="143"/>
        <v>7809</v>
      </c>
      <c r="D2286">
        <f t="shared" si="141"/>
        <v>0</v>
      </c>
      <c r="E2286">
        <f t="shared" si="142"/>
        <v>0</v>
      </c>
      <c r="F2286">
        <f t="shared" si="144"/>
        <v>0</v>
      </c>
    </row>
    <row r="2287" spans="1:6" x14ac:dyDescent="0.25">
      <c r="A2287" s="4" t="s">
        <v>222</v>
      </c>
      <c r="B2287">
        <v>174</v>
      </c>
      <c r="C2287">
        <f t="shared" si="143"/>
        <v>7983</v>
      </c>
      <c r="D2287">
        <f t="shared" si="141"/>
        <v>0</v>
      </c>
      <c r="E2287">
        <f t="shared" si="142"/>
        <v>0</v>
      </c>
      <c r="F2287">
        <f t="shared" si="144"/>
        <v>0</v>
      </c>
    </row>
    <row r="2288" spans="1:6" x14ac:dyDescent="0.25">
      <c r="A2288" s="4" t="s">
        <v>223</v>
      </c>
      <c r="B2288">
        <v>289</v>
      </c>
      <c r="C2288">
        <f t="shared" si="143"/>
        <v>8272</v>
      </c>
      <c r="D2288">
        <f t="shared" si="141"/>
        <v>0</v>
      </c>
      <c r="E2288">
        <f t="shared" si="142"/>
        <v>0</v>
      </c>
      <c r="F2288">
        <f t="shared" si="144"/>
        <v>0</v>
      </c>
    </row>
    <row r="2289" spans="1:6" x14ac:dyDescent="0.25">
      <c r="A2289" s="4" t="s">
        <v>231</v>
      </c>
      <c r="B2289">
        <v>182</v>
      </c>
      <c r="C2289">
        <f t="shared" si="143"/>
        <v>8454</v>
      </c>
      <c r="D2289">
        <f t="shared" ref="D2289:D2352" si="145">IF(C2289 &gt; 15000, 1, 0)</f>
        <v>0</v>
      </c>
      <c r="E2289">
        <f t="shared" ref="E2289:E2352" si="146">IF(AND(D2289 =1,C2289 &gt;= 20000),1,0)</f>
        <v>0</v>
      </c>
      <c r="F2289">
        <f t="shared" si="144"/>
        <v>0</v>
      </c>
    </row>
    <row r="2290" spans="1:6" x14ac:dyDescent="0.25">
      <c r="A2290" s="4" t="s">
        <v>241</v>
      </c>
      <c r="B2290">
        <v>58</v>
      </c>
      <c r="C2290">
        <f t="shared" si="143"/>
        <v>8512</v>
      </c>
      <c r="D2290">
        <f t="shared" si="145"/>
        <v>0</v>
      </c>
      <c r="E2290">
        <f t="shared" si="146"/>
        <v>0</v>
      </c>
      <c r="F2290">
        <f t="shared" si="144"/>
        <v>0</v>
      </c>
    </row>
    <row r="2291" spans="1:6" x14ac:dyDescent="0.25">
      <c r="A2291" s="4" t="s">
        <v>251</v>
      </c>
      <c r="B2291">
        <v>433</v>
      </c>
      <c r="C2291">
        <f t="shared" si="143"/>
        <v>8945</v>
      </c>
      <c r="D2291">
        <f t="shared" si="145"/>
        <v>0</v>
      </c>
      <c r="E2291">
        <f t="shared" si="146"/>
        <v>0</v>
      </c>
      <c r="F2291">
        <f t="shared" si="144"/>
        <v>0</v>
      </c>
    </row>
    <row r="2292" spans="1:6" x14ac:dyDescent="0.25">
      <c r="A2292" s="4" t="s">
        <v>255</v>
      </c>
      <c r="B2292">
        <v>231</v>
      </c>
      <c r="C2292">
        <f t="shared" si="143"/>
        <v>9176</v>
      </c>
      <c r="D2292">
        <f t="shared" si="145"/>
        <v>0</v>
      </c>
      <c r="E2292">
        <f t="shared" si="146"/>
        <v>0</v>
      </c>
      <c r="F2292">
        <f t="shared" si="144"/>
        <v>0</v>
      </c>
    </row>
    <row r="2293" spans="1:6" x14ac:dyDescent="0.25">
      <c r="A2293" s="4" t="s">
        <v>263</v>
      </c>
      <c r="B2293">
        <v>280</v>
      </c>
      <c r="C2293">
        <f t="shared" si="143"/>
        <v>9456</v>
      </c>
      <c r="D2293">
        <f t="shared" si="145"/>
        <v>0</v>
      </c>
      <c r="E2293">
        <f t="shared" si="146"/>
        <v>0</v>
      </c>
      <c r="F2293">
        <f t="shared" si="144"/>
        <v>0</v>
      </c>
    </row>
    <row r="2294" spans="1:6" x14ac:dyDescent="0.25">
      <c r="A2294" s="4" t="s">
        <v>282</v>
      </c>
      <c r="B2294">
        <v>196</v>
      </c>
      <c r="C2294">
        <f t="shared" si="143"/>
        <v>9652</v>
      </c>
      <c r="D2294">
        <f t="shared" si="145"/>
        <v>0</v>
      </c>
      <c r="E2294">
        <f t="shared" si="146"/>
        <v>0</v>
      </c>
      <c r="F2294">
        <f t="shared" si="144"/>
        <v>0</v>
      </c>
    </row>
    <row r="2295" spans="1:6" x14ac:dyDescent="0.25">
      <c r="A2295" s="4" t="s">
        <v>287</v>
      </c>
      <c r="B2295">
        <v>420</v>
      </c>
      <c r="C2295">
        <f t="shared" si="143"/>
        <v>10072</v>
      </c>
      <c r="D2295">
        <f t="shared" si="145"/>
        <v>0</v>
      </c>
      <c r="E2295">
        <f t="shared" si="146"/>
        <v>0</v>
      </c>
      <c r="F2295">
        <f t="shared" si="144"/>
        <v>0</v>
      </c>
    </row>
    <row r="2296" spans="1:6" x14ac:dyDescent="0.25">
      <c r="A2296" s="4" t="s">
        <v>296</v>
      </c>
      <c r="B2296">
        <v>471</v>
      </c>
      <c r="C2296">
        <f t="shared" si="143"/>
        <v>10543</v>
      </c>
      <c r="D2296">
        <f t="shared" si="145"/>
        <v>0</v>
      </c>
      <c r="E2296">
        <f t="shared" si="146"/>
        <v>0</v>
      </c>
      <c r="F2296">
        <f t="shared" si="144"/>
        <v>0</v>
      </c>
    </row>
    <row r="2297" spans="1:6" x14ac:dyDescent="0.25">
      <c r="A2297" s="4" t="s">
        <v>306</v>
      </c>
      <c r="B2297">
        <v>396</v>
      </c>
      <c r="C2297">
        <f t="shared" si="143"/>
        <v>10939</v>
      </c>
      <c r="D2297">
        <f t="shared" si="145"/>
        <v>0</v>
      </c>
      <c r="E2297">
        <f t="shared" si="146"/>
        <v>0</v>
      </c>
      <c r="F2297">
        <f t="shared" si="144"/>
        <v>0</v>
      </c>
    </row>
    <row r="2298" spans="1:6" x14ac:dyDescent="0.25">
      <c r="A2298" s="4" t="s">
        <v>307</v>
      </c>
      <c r="B2298">
        <v>391</v>
      </c>
      <c r="C2298">
        <f t="shared" si="143"/>
        <v>11330</v>
      </c>
      <c r="D2298">
        <f t="shared" si="145"/>
        <v>0</v>
      </c>
      <c r="E2298">
        <f t="shared" si="146"/>
        <v>0</v>
      </c>
      <c r="F2298">
        <f t="shared" si="144"/>
        <v>0</v>
      </c>
    </row>
    <row r="2299" spans="1:6" x14ac:dyDescent="0.25">
      <c r="A2299" s="4" t="s">
        <v>308</v>
      </c>
      <c r="B2299">
        <v>108</v>
      </c>
      <c r="C2299">
        <f t="shared" si="143"/>
        <v>11438</v>
      </c>
      <c r="D2299">
        <f t="shared" si="145"/>
        <v>0</v>
      </c>
      <c r="E2299">
        <f t="shared" si="146"/>
        <v>0</v>
      </c>
      <c r="F2299">
        <f t="shared" si="144"/>
        <v>0</v>
      </c>
    </row>
    <row r="2300" spans="1:6" x14ac:dyDescent="0.25">
      <c r="A2300" s="4" t="s">
        <v>318</v>
      </c>
      <c r="B2300">
        <v>165</v>
      </c>
      <c r="C2300">
        <f t="shared" si="143"/>
        <v>11603</v>
      </c>
      <c r="D2300">
        <f t="shared" si="145"/>
        <v>0</v>
      </c>
      <c r="E2300">
        <f t="shared" si="146"/>
        <v>0</v>
      </c>
      <c r="F2300">
        <f t="shared" si="144"/>
        <v>0</v>
      </c>
    </row>
    <row r="2301" spans="1:6" x14ac:dyDescent="0.25">
      <c r="A2301" s="4" t="s">
        <v>321</v>
      </c>
      <c r="B2301">
        <v>20</v>
      </c>
      <c r="C2301">
        <f t="shared" si="143"/>
        <v>11623</v>
      </c>
      <c r="D2301">
        <f t="shared" si="145"/>
        <v>0</v>
      </c>
      <c r="E2301">
        <f t="shared" si="146"/>
        <v>0</v>
      </c>
      <c r="F2301">
        <f t="shared" si="144"/>
        <v>0</v>
      </c>
    </row>
    <row r="2302" spans="1:6" x14ac:dyDescent="0.25">
      <c r="A2302" s="4" t="s">
        <v>344</v>
      </c>
      <c r="B2302">
        <v>142</v>
      </c>
      <c r="C2302">
        <f t="shared" si="143"/>
        <v>11765</v>
      </c>
      <c r="D2302">
        <f t="shared" si="145"/>
        <v>0</v>
      </c>
      <c r="E2302">
        <f t="shared" si="146"/>
        <v>0</v>
      </c>
      <c r="F2302">
        <f t="shared" si="144"/>
        <v>0</v>
      </c>
    </row>
    <row r="2303" spans="1:6" x14ac:dyDescent="0.25">
      <c r="A2303" s="4" t="s">
        <v>358</v>
      </c>
      <c r="B2303">
        <v>161</v>
      </c>
      <c r="C2303">
        <f t="shared" si="143"/>
        <v>11926</v>
      </c>
      <c r="D2303">
        <f t="shared" si="145"/>
        <v>0</v>
      </c>
      <c r="E2303">
        <f t="shared" si="146"/>
        <v>0</v>
      </c>
      <c r="F2303">
        <f t="shared" si="144"/>
        <v>0</v>
      </c>
    </row>
    <row r="2304" spans="1:6" x14ac:dyDescent="0.25">
      <c r="A2304" s="4" t="s">
        <v>372</v>
      </c>
      <c r="B2304">
        <v>226</v>
      </c>
      <c r="C2304">
        <f t="shared" si="143"/>
        <v>12152</v>
      </c>
      <c r="D2304">
        <f t="shared" si="145"/>
        <v>0</v>
      </c>
      <c r="E2304">
        <f t="shared" si="146"/>
        <v>0</v>
      </c>
      <c r="F2304">
        <f t="shared" si="144"/>
        <v>0</v>
      </c>
    </row>
    <row r="2305" spans="1:6" x14ac:dyDescent="0.25">
      <c r="A2305" s="4" t="s">
        <v>402</v>
      </c>
      <c r="B2305">
        <v>445</v>
      </c>
      <c r="C2305">
        <f t="shared" si="143"/>
        <v>12597</v>
      </c>
      <c r="D2305">
        <f t="shared" si="145"/>
        <v>0</v>
      </c>
      <c r="E2305">
        <f t="shared" si="146"/>
        <v>0</v>
      </c>
      <c r="F2305">
        <f t="shared" si="144"/>
        <v>0</v>
      </c>
    </row>
    <row r="2306" spans="1:6" x14ac:dyDescent="0.25">
      <c r="A2306" s="9" t="s">
        <v>404</v>
      </c>
      <c r="B2306">
        <v>388</v>
      </c>
      <c r="C2306">
        <f t="shared" si="143"/>
        <v>12985</v>
      </c>
      <c r="D2306">
        <f t="shared" si="145"/>
        <v>0</v>
      </c>
      <c r="E2306">
        <f t="shared" si="146"/>
        <v>0</v>
      </c>
      <c r="F2306">
        <f t="shared" si="144"/>
        <v>0</v>
      </c>
    </row>
    <row r="2307" spans="1:6" x14ac:dyDescent="0.25">
      <c r="A2307" s="8" t="s">
        <v>49</v>
      </c>
      <c r="B2307">
        <v>13391</v>
      </c>
      <c r="C2307">
        <f t="shared" si="143"/>
        <v>0</v>
      </c>
      <c r="D2307">
        <f t="shared" si="145"/>
        <v>0</v>
      </c>
      <c r="E2307">
        <f t="shared" si="146"/>
        <v>0</v>
      </c>
      <c r="F2307">
        <f t="shared" si="144"/>
        <v>0</v>
      </c>
    </row>
    <row r="2308" spans="1:6" x14ac:dyDescent="0.25">
      <c r="A2308" s="4" t="s">
        <v>99</v>
      </c>
      <c r="B2308">
        <v>266</v>
      </c>
      <c r="C2308">
        <f t="shared" si="143"/>
        <v>266</v>
      </c>
      <c r="D2308">
        <f t="shared" si="145"/>
        <v>0</v>
      </c>
      <c r="E2308">
        <f t="shared" si="146"/>
        <v>0</v>
      </c>
      <c r="F2308">
        <f t="shared" si="144"/>
        <v>0</v>
      </c>
    </row>
    <row r="2309" spans="1:6" x14ac:dyDescent="0.25">
      <c r="A2309" s="4" t="s">
        <v>103</v>
      </c>
      <c r="B2309">
        <v>183</v>
      </c>
      <c r="C2309">
        <f t="shared" ref="C2309:C2353" si="147">IF(LEN(A2309) &gt;= 12, 0, C2308+B2309)</f>
        <v>449</v>
      </c>
      <c r="D2309">
        <f t="shared" si="145"/>
        <v>0</v>
      </c>
      <c r="E2309">
        <f t="shared" si="146"/>
        <v>0</v>
      </c>
      <c r="F2309">
        <f t="shared" si="144"/>
        <v>0</v>
      </c>
    </row>
    <row r="2310" spans="1:6" x14ac:dyDescent="0.25">
      <c r="A2310" s="4" t="s">
        <v>107</v>
      </c>
      <c r="B2310">
        <v>327</v>
      </c>
      <c r="C2310">
        <f t="shared" si="147"/>
        <v>776</v>
      </c>
      <c r="D2310">
        <f t="shared" si="145"/>
        <v>0</v>
      </c>
      <c r="E2310">
        <f t="shared" si="146"/>
        <v>0</v>
      </c>
      <c r="F2310">
        <f t="shared" ref="F2310:F2353" si="148">IF(AND(D2310 = 1, C2310 &lt; 20000), B2310*5, IF(AND(E2310=1, C2310 &gt;= 20000),B2310*10,0))</f>
        <v>0</v>
      </c>
    </row>
    <row r="2311" spans="1:6" x14ac:dyDescent="0.25">
      <c r="A2311" s="4" t="s">
        <v>112</v>
      </c>
      <c r="B2311">
        <v>417</v>
      </c>
      <c r="C2311">
        <f t="shared" si="147"/>
        <v>1193</v>
      </c>
      <c r="D2311">
        <f t="shared" si="145"/>
        <v>0</v>
      </c>
      <c r="E2311">
        <f t="shared" si="146"/>
        <v>0</v>
      </c>
      <c r="F2311">
        <f t="shared" si="148"/>
        <v>0</v>
      </c>
    </row>
    <row r="2312" spans="1:6" x14ac:dyDescent="0.25">
      <c r="A2312" s="4" t="s">
        <v>117</v>
      </c>
      <c r="B2312">
        <v>18</v>
      </c>
      <c r="C2312">
        <f t="shared" si="147"/>
        <v>1211</v>
      </c>
      <c r="D2312">
        <f t="shared" si="145"/>
        <v>0</v>
      </c>
      <c r="E2312">
        <f t="shared" si="146"/>
        <v>0</v>
      </c>
      <c r="F2312">
        <f t="shared" si="148"/>
        <v>0</v>
      </c>
    </row>
    <row r="2313" spans="1:6" x14ac:dyDescent="0.25">
      <c r="A2313" s="4" t="s">
        <v>127</v>
      </c>
      <c r="B2313">
        <v>586</v>
      </c>
      <c r="C2313">
        <f t="shared" si="147"/>
        <v>1797</v>
      </c>
      <c r="D2313">
        <f t="shared" si="145"/>
        <v>0</v>
      </c>
      <c r="E2313">
        <f t="shared" si="146"/>
        <v>0</v>
      </c>
      <c r="F2313">
        <f t="shared" si="148"/>
        <v>0</v>
      </c>
    </row>
    <row r="2314" spans="1:6" x14ac:dyDescent="0.25">
      <c r="A2314" s="4" t="s">
        <v>134</v>
      </c>
      <c r="B2314">
        <v>272</v>
      </c>
      <c r="C2314">
        <f t="shared" si="147"/>
        <v>2069</v>
      </c>
      <c r="D2314">
        <f t="shared" si="145"/>
        <v>0</v>
      </c>
      <c r="E2314">
        <f t="shared" si="146"/>
        <v>0</v>
      </c>
      <c r="F2314">
        <f t="shared" si="148"/>
        <v>0</v>
      </c>
    </row>
    <row r="2315" spans="1:6" x14ac:dyDescent="0.25">
      <c r="A2315" s="4" t="s">
        <v>144</v>
      </c>
      <c r="B2315">
        <v>394</v>
      </c>
      <c r="C2315">
        <f t="shared" si="147"/>
        <v>2463</v>
      </c>
      <c r="D2315">
        <f t="shared" si="145"/>
        <v>0</v>
      </c>
      <c r="E2315">
        <f t="shared" si="146"/>
        <v>0</v>
      </c>
      <c r="F2315">
        <f t="shared" si="148"/>
        <v>0</v>
      </c>
    </row>
    <row r="2316" spans="1:6" x14ac:dyDescent="0.25">
      <c r="A2316" s="4" t="s">
        <v>145</v>
      </c>
      <c r="B2316">
        <v>668</v>
      </c>
      <c r="C2316">
        <f t="shared" si="147"/>
        <v>3131</v>
      </c>
      <c r="D2316">
        <f t="shared" si="145"/>
        <v>0</v>
      </c>
      <c r="E2316">
        <f t="shared" si="146"/>
        <v>0</v>
      </c>
      <c r="F2316">
        <f t="shared" si="148"/>
        <v>0</v>
      </c>
    </row>
    <row r="2317" spans="1:6" x14ac:dyDescent="0.25">
      <c r="A2317" s="4" t="s">
        <v>152</v>
      </c>
      <c r="B2317">
        <v>386</v>
      </c>
      <c r="C2317">
        <f t="shared" si="147"/>
        <v>3517</v>
      </c>
      <c r="D2317">
        <f t="shared" si="145"/>
        <v>0</v>
      </c>
      <c r="E2317">
        <f t="shared" si="146"/>
        <v>0</v>
      </c>
      <c r="F2317">
        <f t="shared" si="148"/>
        <v>0</v>
      </c>
    </row>
    <row r="2318" spans="1:6" x14ac:dyDescent="0.25">
      <c r="A2318" s="4" t="s">
        <v>153</v>
      </c>
      <c r="B2318">
        <v>497</v>
      </c>
      <c r="C2318">
        <f t="shared" si="147"/>
        <v>4014</v>
      </c>
      <c r="D2318">
        <f t="shared" si="145"/>
        <v>0</v>
      </c>
      <c r="E2318">
        <f t="shared" si="146"/>
        <v>0</v>
      </c>
      <c r="F2318">
        <f t="shared" si="148"/>
        <v>0</v>
      </c>
    </row>
    <row r="2319" spans="1:6" x14ac:dyDescent="0.25">
      <c r="A2319" s="4" t="s">
        <v>158</v>
      </c>
      <c r="B2319">
        <v>161</v>
      </c>
      <c r="C2319">
        <f t="shared" si="147"/>
        <v>4175</v>
      </c>
      <c r="D2319">
        <f t="shared" si="145"/>
        <v>0</v>
      </c>
      <c r="E2319">
        <f t="shared" si="146"/>
        <v>0</v>
      </c>
      <c r="F2319">
        <f t="shared" si="148"/>
        <v>0</v>
      </c>
    </row>
    <row r="2320" spans="1:6" x14ac:dyDescent="0.25">
      <c r="A2320" s="4" t="s">
        <v>166</v>
      </c>
      <c r="B2320">
        <v>291</v>
      </c>
      <c r="C2320">
        <f t="shared" si="147"/>
        <v>4466</v>
      </c>
      <c r="D2320">
        <f t="shared" si="145"/>
        <v>0</v>
      </c>
      <c r="E2320">
        <f t="shared" si="146"/>
        <v>0</v>
      </c>
      <c r="F2320">
        <f t="shared" si="148"/>
        <v>0</v>
      </c>
    </row>
    <row r="2321" spans="1:6" x14ac:dyDescent="0.25">
      <c r="A2321" s="4" t="s">
        <v>169</v>
      </c>
      <c r="B2321">
        <v>409</v>
      </c>
      <c r="C2321">
        <f t="shared" si="147"/>
        <v>4875</v>
      </c>
      <c r="D2321">
        <f t="shared" si="145"/>
        <v>0</v>
      </c>
      <c r="E2321">
        <f t="shared" si="146"/>
        <v>0</v>
      </c>
      <c r="F2321">
        <f t="shared" si="148"/>
        <v>0</v>
      </c>
    </row>
    <row r="2322" spans="1:6" x14ac:dyDescent="0.25">
      <c r="A2322" s="4" t="s">
        <v>172</v>
      </c>
      <c r="B2322">
        <v>293</v>
      </c>
      <c r="C2322">
        <f t="shared" si="147"/>
        <v>5168</v>
      </c>
      <c r="D2322">
        <f t="shared" si="145"/>
        <v>0</v>
      </c>
      <c r="E2322">
        <f t="shared" si="146"/>
        <v>0</v>
      </c>
      <c r="F2322">
        <f t="shared" si="148"/>
        <v>0</v>
      </c>
    </row>
    <row r="2323" spans="1:6" x14ac:dyDescent="0.25">
      <c r="A2323" s="4" t="s">
        <v>175</v>
      </c>
      <c r="B2323">
        <v>369</v>
      </c>
      <c r="C2323">
        <f t="shared" si="147"/>
        <v>5537</v>
      </c>
      <c r="D2323">
        <f t="shared" si="145"/>
        <v>0</v>
      </c>
      <c r="E2323">
        <f t="shared" si="146"/>
        <v>0</v>
      </c>
      <c r="F2323">
        <f t="shared" si="148"/>
        <v>0</v>
      </c>
    </row>
    <row r="2324" spans="1:6" x14ac:dyDescent="0.25">
      <c r="A2324" s="4" t="s">
        <v>178</v>
      </c>
      <c r="B2324">
        <v>253</v>
      </c>
      <c r="C2324">
        <f t="shared" si="147"/>
        <v>5790</v>
      </c>
      <c r="D2324">
        <f t="shared" si="145"/>
        <v>0</v>
      </c>
      <c r="E2324">
        <f t="shared" si="146"/>
        <v>0</v>
      </c>
      <c r="F2324">
        <f t="shared" si="148"/>
        <v>0</v>
      </c>
    </row>
    <row r="2325" spans="1:6" x14ac:dyDescent="0.25">
      <c r="A2325" s="4" t="s">
        <v>183</v>
      </c>
      <c r="B2325">
        <v>218</v>
      </c>
      <c r="C2325">
        <f t="shared" si="147"/>
        <v>6008</v>
      </c>
      <c r="D2325">
        <f t="shared" si="145"/>
        <v>0</v>
      </c>
      <c r="E2325">
        <f t="shared" si="146"/>
        <v>0</v>
      </c>
      <c r="F2325">
        <f t="shared" si="148"/>
        <v>0</v>
      </c>
    </row>
    <row r="2326" spans="1:6" x14ac:dyDescent="0.25">
      <c r="A2326" s="4" t="s">
        <v>186</v>
      </c>
      <c r="B2326">
        <v>344</v>
      </c>
      <c r="C2326">
        <f t="shared" si="147"/>
        <v>6352</v>
      </c>
      <c r="D2326">
        <f t="shared" si="145"/>
        <v>0</v>
      </c>
      <c r="E2326">
        <f t="shared" si="146"/>
        <v>0</v>
      </c>
      <c r="F2326">
        <f t="shared" si="148"/>
        <v>0</v>
      </c>
    </row>
    <row r="2327" spans="1:6" x14ac:dyDescent="0.25">
      <c r="A2327" s="4" t="s">
        <v>192</v>
      </c>
      <c r="B2327">
        <v>297</v>
      </c>
      <c r="C2327">
        <f t="shared" si="147"/>
        <v>6649</v>
      </c>
      <c r="D2327">
        <f t="shared" si="145"/>
        <v>0</v>
      </c>
      <c r="E2327">
        <f t="shared" si="146"/>
        <v>0</v>
      </c>
      <c r="F2327">
        <f t="shared" si="148"/>
        <v>0</v>
      </c>
    </row>
    <row r="2328" spans="1:6" x14ac:dyDescent="0.25">
      <c r="A2328" s="4" t="s">
        <v>201</v>
      </c>
      <c r="B2328">
        <v>132</v>
      </c>
      <c r="C2328">
        <f t="shared" si="147"/>
        <v>6781</v>
      </c>
      <c r="D2328">
        <f t="shared" si="145"/>
        <v>0</v>
      </c>
      <c r="E2328">
        <f t="shared" si="146"/>
        <v>0</v>
      </c>
      <c r="F2328">
        <f t="shared" si="148"/>
        <v>0</v>
      </c>
    </row>
    <row r="2329" spans="1:6" x14ac:dyDescent="0.25">
      <c r="A2329" s="4" t="s">
        <v>214</v>
      </c>
      <c r="B2329">
        <v>487</v>
      </c>
      <c r="C2329">
        <f t="shared" si="147"/>
        <v>7268</v>
      </c>
      <c r="D2329">
        <f t="shared" si="145"/>
        <v>0</v>
      </c>
      <c r="E2329">
        <f t="shared" si="146"/>
        <v>0</v>
      </c>
      <c r="F2329">
        <f t="shared" si="148"/>
        <v>0</v>
      </c>
    </row>
    <row r="2330" spans="1:6" x14ac:dyDescent="0.25">
      <c r="A2330" s="4" t="s">
        <v>217</v>
      </c>
      <c r="B2330">
        <v>670</v>
      </c>
      <c r="C2330">
        <f t="shared" si="147"/>
        <v>7938</v>
      </c>
      <c r="D2330">
        <f t="shared" si="145"/>
        <v>0</v>
      </c>
      <c r="E2330">
        <f t="shared" si="146"/>
        <v>0</v>
      </c>
      <c r="F2330">
        <f t="shared" si="148"/>
        <v>0</v>
      </c>
    </row>
    <row r="2331" spans="1:6" x14ac:dyDescent="0.25">
      <c r="A2331" s="4" t="s">
        <v>220</v>
      </c>
      <c r="B2331">
        <v>219</v>
      </c>
      <c r="C2331">
        <f t="shared" si="147"/>
        <v>8157</v>
      </c>
      <c r="D2331">
        <f t="shared" si="145"/>
        <v>0</v>
      </c>
      <c r="E2331">
        <f t="shared" si="146"/>
        <v>0</v>
      </c>
      <c r="F2331">
        <f t="shared" si="148"/>
        <v>0</v>
      </c>
    </row>
    <row r="2332" spans="1:6" x14ac:dyDescent="0.25">
      <c r="A2332" s="4" t="s">
        <v>227</v>
      </c>
      <c r="B2332">
        <v>402</v>
      </c>
      <c r="C2332">
        <f t="shared" si="147"/>
        <v>8559</v>
      </c>
      <c r="D2332">
        <f t="shared" si="145"/>
        <v>0</v>
      </c>
      <c r="E2332">
        <f t="shared" si="146"/>
        <v>0</v>
      </c>
      <c r="F2332">
        <f t="shared" si="148"/>
        <v>0</v>
      </c>
    </row>
    <row r="2333" spans="1:6" x14ac:dyDescent="0.25">
      <c r="A2333" s="4" t="s">
        <v>231</v>
      </c>
      <c r="B2333">
        <v>107</v>
      </c>
      <c r="C2333">
        <f t="shared" si="147"/>
        <v>8666</v>
      </c>
      <c r="D2333">
        <f t="shared" si="145"/>
        <v>0</v>
      </c>
      <c r="E2333">
        <f t="shared" si="146"/>
        <v>0</v>
      </c>
      <c r="F2333">
        <f t="shared" si="148"/>
        <v>0</v>
      </c>
    </row>
    <row r="2334" spans="1:6" x14ac:dyDescent="0.25">
      <c r="A2334" s="4" t="s">
        <v>235</v>
      </c>
      <c r="B2334">
        <v>93</v>
      </c>
      <c r="C2334">
        <f t="shared" si="147"/>
        <v>8759</v>
      </c>
      <c r="D2334">
        <f t="shared" si="145"/>
        <v>0</v>
      </c>
      <c r="E2334">
        <f t="shared" si="146"/>
        <v>0</v>
      </c>
      <c r="F2334">
        <f t="shared" si="148"/>
        <v>0</v>
      </c>
    </row>
    <row r="2335" spans="1:6" x14ac:dyDescent="0.25">
      <c r="A2335" s="4" t="s">
        <v>249</v>
      </c>
      <c r="B2335">
        <v>227</v>
      </c>
      <c r="C2335">
        <f t="shared" si="147"/>
        <v>8986</v>
      </c>
      <c r="D2335">
        <f t="shared" si="145"/>
        <v>0</v>
      </c>
      <c r="E2335">
        <f t="shared" si="146"/>
        <v>0</v>
      </c>
      <c r="F2335">
        <f t="shared" si="148"/>
        <v>0</v>
      </c>
    </row>
    <row r="2336" spans="1:6" x14ac:dyDescent="0.25">
      <c r="A2336" s="4" t="s">
        <v>257</v>
      </c>
      <c r="B2336">
        <v>236</v>
      </c>
      <c r="C2336">
        <f t="shared" si="147"/>
        <v>9222</v>
      </c>
      <c r="D2336">
        <f t="shared" si="145"/>
        <v>0</v>
      </c>
      <c r="E2336">
        <f t="shared" si="146"/>
        <v>0</v>
      </c>
      <c r="F2336">
        <f t="shared" si="148"/>
        <v>0</v>
      </c>
    </row>
    <row r="2337" spans="1:6" x14ac:dyDescent="0.25">
      <c r="A2337" s="4" t="s">
        <v>263</v>
      </c>
      <c r="B2337">
        <v>303</v>
      </c>
      <c r="C2337">
        <f t="shared" si="147"/>
        <v>9525</v>
      </c>
      <c r="D2337">
        <f t="shared" si="145"/>
        <v>0</v>
      </c>
      <c r="E2337">
        <f t="shared" si="146"/>
        <v>0</v>
      </c>
      <c r="F2337">
        <f t="shared" si="148"/>
        <v>0</v>
      </c>
    </row>
    <row r="2338" spans="1:6" x14ac:dyDescent="0.25">
      <c r="A2338" s="4" t="s">
        <v>268</v>
      </c>
      <c r="B2338">
        <v>252</v>
      </c>
      <c r="C2338">
        <f t="shared" si="147"/>
        <v>9777</v>
      </c>
      <c r="D2338">
        <f t="shared" si="145"/>
        <v>0</v>
      </c>
      <c r="E2338">
        <f t="shared" si="146"/>
        <v>0</v>
      </c>
      <c r="F2338">
        <f t="shared" si="148"/>
        <v>0</v>
      </c>
    </row>
    <row r="2339" spans="1:6" x14ac:dyDescent="0.25">
      <c r="A2339" s="4" t="s">
        <v>284</v>
      </c>
      <c r="B2339">
        <v>475</v>
      </c>
      <c r="C2339">
        <f t="shared" si="147"/>
        <v>10252</v>
      </c>
      <c r="D2339">
        <f t="shared" si="145"/>
        <v>0</v>
      </c>
      <c r="E2339">
        <f t="shared" si="146"/>
        <v>0</v>
      </c>
      <c r="F2339">
        <f t="shared" si="148"/>
        <v>0</v>
      </c>
    </row>
    <row r="2340" spans="1:6" x14ac:dyDescent="0.25">
      <c r="A2340" s="4" t="s">
        <v>301</v>
      </c>
      <c r="B2340">
        <v>179</v>
      </c>
      <c r="C2340">
        <f t="shared" si="147"/>
        <v>10431</v>
      </c>
      <c r="D2340">
        <f t="shared" si="145"/>
        <v>0</v>
      </c>
      <c r="E2340">
        <f t="shared" si="146"/>
        <v>0</v>
      </c>
      <c r="F2340">
        <f t="shared" si="148"/>
        <v>0</v>
      </c>
    </row>
    <row r="2341" spans="1:6" x14ac:dyDescent="0.25">
      <c r="A2341" s="4" t="s">
        <v>319</v>
      </c>
      <c r="B2341">
        <v>477</v>
      </c>
      <c r="C2341">
        <f t="shared" si="147"/>
        <v>10908</v>
      </c>
      <c r="D2341">
        <f t="shared" si="145"/>
        <v>0</v>
      </c>
      <c r="E2341">
        <f t="shared" si="146"/>
        <v>0</v>
      </c>
      <c r="F2341">
        <f t="shared" si="148"/>
        <v>0</v>
      </c>
    </row>
    <row r="2342" spans="1:6" x14ac:dyDescent="0.25">
      <c r="A2342" s="4" t="s">
        <v>321</v>
      </c>
      <c r="B2342">
        <v>19</v>
      </c>
      <c r="C2342">
        <f t="shared" si="147"/>
        <v>10927</v>
      </c>
      <c r="D2342">
        <f t="shared" si="145"/>
        <v>0</v>
      </c>
      <c r="E2342">
        <f t="shared" si="146"/>
        <v>0</v>
      </c>
      <c r="F2342">
        <f t="shared" si="148"/>
        <v>0</v>
      </c>
    </row>
    <row r="2343" spans="1:6" x14ac:dyDescent="0.25">
      <c r="A2343" s="4" t="s">
        <v>339</v>
      </c>
      <c r="B2343">
        <v>30</v>
      </c>
      <c r="C2343">
        <f t="shared" si="147"/>
        <v>10957</v>
      </c>
      <c r="D2343">
        <f t="shared" si="145"/>
        <v>0</v>
      </c>
      <c r="E2343">
        <f t="shared" si="146"/>
        <v>0</v>
      </c>
      <c r="F2343">
        <f t="shared" si="148"/>
        <v>0</v>
      </c>
    </row>
    <row r="2344" spans="1:6" x14ac:dyDescent="0.25">
      <c r="A2344" s="4" t="s">
        <v>342</v>
      </c>
      <c r="B2344">
        <v>398</v>
      </c>
      <c r="C2344">
        <f t="shared" si="147"/>
        <v>11355</v>
      </c>
      <c r="D2344">
        <f t="shared" si="145"/>
        <v>0</v>
      </c>
      <c r="E2344">
        <f t="shared" si="146"/>
        <v>0</v>
      </c>
      <c r="F2344">
        <f t="shared" si="148"/>
        <v>0</v>
      </c>
    </row>
    <row r="2345" spans="1:6" x14ac:dyDescent="0.25">
      <c r="A2345" s="4" t="s">
        <v>349</v>
      </c>
      <c r="B2345">
        <v>249</v>
      </c>
      <c r="C2345">
        <f t="shared" si="147"/>
        <v>11604</v>
      </c>
      <c r="D2345">
        <f t="shared" si="145"/>
        <v>0</v>
      </c>
      <c r="E2345">
        <f t="shared" si="146"/>
        <v>0</v>
      </c>
      <c r="F2345">
        <f t="shared" si="148"/>
        <v>0</v>
      </c>
    </row>
    <row r="2346" spans="1:6" x14ac:dyDescent="0.25">
      <c r="A2346" s="4" t="s">
        <v>351</v>
      </c>
      <c r="B2346">
        <v>267</v>
      </c>
      <c r="C2346">
        <f t="shared" si="147"/>
        <v>11871</v>
      </c>
      <c r="D2346">
        <f t="shared" si="145"/>
        <v>0</v>
      </c>
      <c r="E2346">
        <f t="shared" si="146"/>
        <v>0</v>
      </c>
      <c r="F2346">
        <f t="shared" si="148"/>
        <v>0</v>
      </c>
    </row>
    <row r="2347" spans="1:6" x14ac:dyDescent="0.25">
      <c r="A2347" s="4" t="s">
        <v>363</v>
      </c>
      <c r="B2347">
        <v>230</v>
      </c>
      <c r="C2347">
        <f t="shared" si="147"/>
        <v>12101</v>
      </c>
      <c r="D2347">
        <f t="shared" si="145"/>
        <v>0</v>
      </c>
      <c r="E2347">
        <f t="shared" si="146"/>
        <v>0</v>
      </c>
      <c r="F2347">
        <f t="shared" si="148"/>
        <v>0</v>
      </c>
    </row>
    <row r="2348" spans="1:6" x14ac:dyDescent="0.25">
      <c r="A2348" s="4" t="s">
        <v>365</v>
      </c>
      <c r="B2348">
        <v>440</v>
      </c>
      <c r="C2348">
        <f t="shared" si="147"/>
        <v>12541</v>
      </c>
      <c r="D2348">
        <f t="shared" si="145"/>
        <v>0</v>
      </c>
      <c r="E2348">
        <f t="shared" si="146"/>
        <v>0</v>
      </c>
      <c r="F2348">
        <f t="shared" si="148"/>
        <v>0</v>
      </c>
    </row>
    <row r="2349" spans="1:6" x14ac:dyDescent="0.25">
      <c r="A2349" s="4" t="s">
        <v>368</v>
      </c>
      <c r="B2349">
        <v>100</v>
      </c>
      <c r="C2349">
        <f t="shared" si="147"/>
        <v>12641</v>
      </c>
      <c r="D2349">
        <f t="shared" si="145"/>
        <v>0</v>
      </c>
      <c r="E2349">
        <f t="shared" si="146"/>
        <v>0</v>
      </c>
      <c r="F2349">
        <f t="shared" si="148"/>
        <v>0</v>
      </c>
    </row>
    <row r="2350" spans="1:6" x14ac:dyDescent="0.25">
      <c r="A2350" s="4" t="s">
        <v>370</v>
      </c>
      <c r="B2350">
        <v>173</v>
      </c>
      <c r="C2350">
        <f t="shared" si="147"/>
        <v>12814</v>
      </c>
      <c r="D2350">
        <f t="shared" si="145"/>
        <v>0</v>
      </c>
      <c r="E2350">
        <f t="shared" si="146"/>
        <v>0</v>
      </c>
      <c r="F2350">
        <f t="shared" si="148"/>
        <v>0</v>
      </c>
    </row>
    <row r="2351" spans="1:6" x14ac:dyDescent="0.25">
      <c r="A2351" s="4" t="s">
        <v>389</v>
      </c>
      <c r="B2351">
        <v>153</v>
      </c>
      <c r="C2351">
        <f t="shared" si="147"/>
        <v>12967</v>
      </c>
      <c r="D2351">
        <f t="shared" si="145"/>
        <v>0</v>
      </c>
      <c r="E2351">
        <f t="shared" si="146"/>
        <v>0</v>
      </c>
      <c r="F2351">
        <f t="shared" si="148"/>
        <v>0</v>
      </c>
    </row>
    <row r="2352" spans="1:6" x14ac:dyDescent="0.25">
      <c r="A2352" s="4" t="s">
        <v>399</v>
      </c>
      <c r="B2352">
        <v>424</v>
      </c>
      <c r="C2352">
        <f t="shared" si="147"/>
        <v>13391</v>
      </c>
      <c r="D2352">
        <f t="shared" si="145"/>
        <v>0</v>
      </c>
      <c r="E2352">
        <f t="shared" si="146"/>
        <v>0</v>
      </c>
      <c r="F2352">
        <f t="shared" si="148"/>
        <v>0</v>
      </c>
    </row>
    <row r="2353" spans="1:6" x14ac:dyDescent="0.25">
      <c r="A2353" s="3" t="s">
        <v>70</v>
      </c>
      <c r="B2353">
        <v>759179</v>
      </c>
      <c r="C2353">
        <f t="shared" si="147"/>
        <v>0</v>
      </c>
      <c r="D2353">
        <f t="shared" ref="D2353" si="149">IF(C2353 &gt; 15000, 1, 0)</f>
        <v>0</v>
      </c>
      <c r="E2353">
        <f t="shared" ref="E2353" si="150">IF(AND(D2353 =1,C2353 &gt;= 20000),1,0)</f>
        <v>0</v>
      </c>
      <c r="F2353">
        <f t="shared" si="148"/>
        <v>0</v>
      </c>
    </row>
  </sheetData>
  <mergeCells count="1">
    <mergeCell ref="D3:F3"/>
  </mergeCells>
  <conditionalFormatting sqref="C1:C1048576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547C-044A-4109-9C12-79064A1927B6}">
  <dimension ref="A1:F4"/>
  <sheetViews>
    <sheetView workbookViewId="0">
      <selection activeCell="A3" sqref="A3:F4"/>
    </sheetView>
  </sheetViews>
  <sheetFormatPr defaultRowHeight="15" x14ac:dyDescent="0.25"/>
  <cols>
    <col min="1" max="1" width="16.5703125" bestFit="1" customWidth="1"/>
    <col min="2" max="2" width="22.85546875" bestFit="1" customWidth="1"/>
    <col min="3" max="3" width="14.7109375" bestFit="1" customWidth="1"/>
    <col min="4" max="4" width="13.28515625" bestFit="1" customWidth="1"/>
    <col min="5" max="5" width="12" bestFit="1" customWidth="1"/>
    <col min="6" max="6" width="17" bestFit="1" customWidth="1"/>
  </cols>
  <sheetData>
    <row r="1" spans="1:6" x14ac:dyDescent="0.25">
      <c r="A1" s="7" t="s">
        <v>431</v>
      </c>
    </row>
    <row r="3" spans="1:6" x14ac:dyDescent="0.25">
      <c r="A3" t="s">
        <v>72</v>
      </c>
      <c r="B3" t="s">
        <v>74</v>
      </c>
      <c r="C3" t="s">
        <v>73</v>
      </c>
      <c r="D3" t="s">
        <v>75</v>
      </c>
      <c r="E3" t="s">
        <v>76</v>
      </c>
      <c r="F3" t="s">
        <v>430</v>
      </c>
    </row>
    <row r="4" spans="1:6" x14ac:dyDescent="0.25">
      <c r="A4" s="1">
        <v>44915</v>
      </c>
      <c r="B4" t="s">
        <v>5</v>
      </c>
      <c r="C4" t="s">
        <v>17</v>
      </c>
      <c r="D4" t="s">
        <v>22</v>
      </c>
      <c r="E4">
        <v>356</v>
      </c>
      <c r="F4">
        <v>1210.3999999999999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C0F6-F668-45F1-B8F1-86E23D0573EC}">
  <dimension ref="A1:K2501"/>
  <sheetViews>
    <sheetView tabSelected="1" workbookViewId="0">
      <selection activeCell="H14" sqref="H14"/>
    </sheetView>
  </sheetViews>
  <sheetFormatPr defaultRowHeight="15" x14ac:dyDescent="0.25"/>
  <cols>
    <col min="1" max="1" width="26.140625" bestFit="1" customWidth="1"/>
    <col min="2" max="2" width="21.140625" bestFit="1" customWidth="1"/>
    <col min="3" max="3" width="12.42578125" bestFit="1" customWidth="1"/>
    <col min="4" max="4" width="13.28515625" bestFit="1" customWidth="1"/>
    <col min="5" max="5" width="9.7109375" bestFit="1" customWidth="1"/>
    <col min="6" max="6" width="15.7109375" customWidth="1"/>
    <col min="7" max="7" width="17.85546875" bestFit="1" customWidth="1"/>
    <col min="8" max="8" width="17.85546875" customWidth="1"/>
    <col min="9" max="9" width="17.85546875" bestFit="1" customWidth="1"/>
    <col min="10" max="10" width="28.85546875" bestFit="1" customWidth="1"/>
    <col min="11" max="12" width="14.42578125" bestFit="1" customWidth="1"/>
  </cols>
  <sheetData>
    <row r="1" spans="1:10" x14ac:dyDescent="0.25">
      <c r="A1" t="s">
        <v>72</v>
      </c>
      <c r="B1" t="s">
        <v>74</v>
      </c>
      <c r="C1" t="s">
        <v>73</v>
      </c>
      <c r="D1" t="s">
        <v>75</v>
      </c>
      <c r="E1" t="s">
        <v>76</v>
      </c>
      <c r="F1" t="s">
        <v>80</v>
      </c>
      <c r="G1" t="s">
        <v>435</v>
      </c>
      <c r="H1" t="s">
        <v>436</v>
      </c>
      <c r="I1" t="s">
        <v>77</v>
      </c>
      <c r="J1" t="s">
        <v>78</v>
      </c>
    </row>
    <row r="2" spans="1:10" x14ac:dyDescent="0.25">
      <c r="A2" s="1">
        <v>44564</v>
      </c>
      <c r="B2" t="s">
        <v>7</v>
      </c>
      <c r="C2" t="s">
        <v>17</v>
      </c>
      <c r="D2" t="s">
        <v>61</v>
      </c>
      <c r="E2">
        <v>470</v>
      </c>
      <c r="F2">
        <f>E2* _xlfn.XLOOKUP(B2,$I$2:$I$17,$J$2:$J$17,"0",0,1)</f>
        <v>1598</v>
      </c>
      <c r="G2">
        <f>SUMIF($D$2:$D2,$D2,$E$2:$E2)</f>
        <v>470</v>
      </c>
      <c r="H2">
        <f>IF(AND($G2 &gt; 15000,$G2 &lt; 20000),5*$E2,IF($G2 &gt;= 20000,10*$E2,0))</f>
        <v>0</v>
      </c>
      <c r="I2" t="s">
        <v>0</v>
      </c>
      <c r="J2">
        <v>2.9</v>
      </c>
    </row>
    <row r="3" spans="1:10" x14ac:dyDescent="0.25">
      <c r="A3" s="1">
        <v>44564</v>
      </c>
      <c r="B3" t="s">
        <v>7</v>
      </c>
      <c r="C3" t="s">
        <v>17</v>
      </c>
      <c r="D3" t="s">
        <v>16</v>
      </c>
      <c r="E3">
        <v>410</v>
      </c>
      <c r="F3">
        <f t="shared" ref="F3:F66" si="0">E3* _xlfn.XLOOKUP(B3,$I$2:$I$17,$J$2:$J$17,"0",0,1)</f>
        <v>1394</v>
      </c>
      <c r="G3">
        <f>SUMIF($D$2:$D3,$D3,$E$2:$E3)</f>
        <v>410</v>
      </c>
      <c r="H3">
        <f t="shared" ref="H3:H66" si="1">IF(AND($G3 &gt; 15000,$G3 &lt; 20000),5*$E3,IF($G3 &gt;= 20000,10*$E3,0))</f>
        <v>0</v>
      </c>
      <c r="I3" t="s">
        <v>1</v>
      </c>
      <c r="J3">
        <v>3.2</v>
      </c>
    </row>
    <row r="4" spans="1:10" x14ac:dyDescent="0.25">
      <c r="A4" s="1">
        <v>44564</v>
      </c>
      <c r="B4" t="s">
        <v>8</v>
      </c>
      <c r="C4" t="s">
        <v>17</v>
      </c>
      <c r="D4" t="s">
        <v>62</v>
      </c>
      <c r="E4">
        <v>242</v>
      </c>
      <c r="F4">
        <f t="shared" si="0"/>
        <v>847</v>
      </c>
      <c r="G4">
        <f>SUMIF($D$2:$D4,$D4,$E$2:$E4)</f>
        <v>242</v>
      </c>
      <c r="H4">
        <f t="shared" si="1"/>
        <v>0</v>
      </c>
      <c r="I4" t="s">
        <v>2</v>
      </c>
      <c r="J4">
        <v>3.2</v>
      </c>
    </row>
    <row r="5" spans="1:10" x14ac:dyDescent="0.25">
      <c r="A5" s="1">
        <v>44564</v>
      </c>
      <c r="B5" t="s">
        <v>8</v>
      </c>
      <c r="C5" t="s">
        <v>17</v>
      </c>
      <c r="D5" t="s">
        <v>21</v>
      </c>
      <c r="E5">
        <v>533</v>
      </c>
      <c r="F5">
        <f t="shared" si="0"/>
        <v>1865.5</v>
      </c>
      <c r="G5">
        <f>SUMIF($D$2:$D5,$D5,$E$2:$E5)</f>
        <v>533</v>
      </c>
      <c r="H5">
        <f t="shared" si="1"/>
        <v>0</v>
      </c>
      <c r="I5" t="s">
        <v>3</v>
      </c>
      <c r="J5">
        <v>3.2</v>
      </c>
    </row>
    <row r="6" spans="1:10" x14ac:dyDescent="0.25">
      <c r="A6" s="1">
        <v>44564</v>
      </c>
      <c r="B6" t="s">
        <v>7</v>
      </c>
      <c r="C6" t="s">
        <v>17</v>
      </c>
      <c r="D6" t="s">
        <v>29</v>
      </c>
      <c r="E6">
        <v>543</v>
      </c>
      <c r="F6">
        <f t="shared" si="0"/>
        <v>1846.2</v>
      </c>
      <c r="G6">
        <f>SUMIF($D$2:$D6,$D6,$E$2:$E6)</f>
        <v>543</v>
      </c>
      <c r="H6">
        <f t="shared" si="1"/>
        <v>0</v>
      </c>
      <c r="I6" t="s">
        <v>4</v>
      </c>
      <c r="J6">
        <v>3.4</v>
      </c>
    </row>
    <row r="7" spans="1:10" x14ac:dyDescent="0.25">
      <c r="A7" s="1">
        <v>44564</v>
      </c>
      <c r="B7" t="s">
        <v>0</v>
      </c>
      <c r="C7" t="s">
        <v>17</v>
      </c>
      <c r="D7" t="s">
        <v>29</v>
      </c>
      <c r="E7">
        <v>341</v>
      </c>
      <c r="F7">
        <f t="shared" si="0"/>
        <v>988.9</v>
      </c>
      <c r="G7">
        <f>SUMIF($D$2:$D7,$D7,$E$2:$E7)</f>
        <v>884</v>
      </c>
      <c r="H7">
        <f t="shared" si="1"/>
        <v>0</v>
      </c>
      <c r="I7" t="s">
        <v>5</v>
      </c>
      <c r="J7">
        <v>3.4</v>
      </c>
    </row>
    <row r="8" spans="1:10" x14ac:dyDescent="0.25">
      <c r="A8" s="1">
        <v>44564</v>
      </c>
      <c r="B8" t="s">
        <v>10</v>
      </c>
      <c r="C8" t="s">
        <v>17</v>
      </c>
      <c r="D8" t="s">
        <v>64</v>
      </c>
      <c r="E8">
        <v>284</v>
      </c>
      <c r="F8">
        <f t="shared" si="0"/>
        <v>965.6</v>
      </c>
      <c r="G8">
        <f>SUMIF($D$2:$D8,$D8,$E$2:$E8)</f>
        <v>284</v>
      </c>
      <c r="H8">
        <f t="shared" si="1"/>
        <v>0</v>
      </c>
      <c r="I8" t="s">
        <v>6</v>
      </c>
      <c r="J8">
        <v>3.4</v>
      </c>
    </row>
    <row r="9" spans="1:10" x14ac:dyDescent="0.25">
      <c r="A9" s="1">
        <v>44564</v>
      </c>
      <c r="B9" t="s">
        <v>6</v>
      </c>
      <c r="C9" t="s">
        <v>17</v>
      </c>
      <c r="D9" t="s">
        <v>25</v>
      </c>
      <c r="E9">
        <v>159</v>
      </c>
      <c r="F9">
        <f t="shared" si="0"/>
        <v>540.6</v>
      </c>
      <c r="G9">
        <f>SUMIF($D$2:$D9,$D9,$E$2:$E9)</f>
        <v>159</v>
      </c>
      <c r="H9">
        <f t="shared" si="1"/>
        <v>0</v>
      </c>
      <c r="I9" t="s">
        <v>7</v>
      </c>
      <c r="J9">
        <v>3.4</v>
      </c>
    </row>
    <row r="10" spans="1:10" x14ac:dyDescent="0.25">
      <c r="A10" s="1">
        <v>44564</v>
      </c>
      <c r="B10" t="s">
        <v>4</v>
      </c>
      <c r="C10" t="s">
        <v>17</v>
      </c>
      <c r="D10" t="s">
        <v>29</v>
      </c>
      <c r="E10">
        <v>609</v>
      </c>
      <c r="F10">
        <f t="shared" si="0"/>
        <v>2070.6</v>
      </c>
      <c r="G10">
        <f>SUMIF($D$2:$D10,$D10,$E$2:$E10)</f>
        <v>1493</v>
      </c>
      <c r="H10">
        <f t="shared" si="1"/>
        <v>0</v>
      </c>
      <c r="I10" t="s">
        <v>8</v>
      </c>
      <c r="J10">
        <v>3.5</v>
      </c>
    </row>
    <row r="11" spans="1:10" x14ac:dyDescent="0.25">
      <c r="A11" s="1">
        <v>44564</v>
      </c>
      <c r="B11" t="s">
        <v>6</v>
      </c>
      <c r="C11" t="s">
        <v>17</v>
      </c>
      <c r="D11" t="s">
        <v>46</v>
      </c>
      <c r="E11">
        <v>464</v>
      </c>
      <c r="F11">
        <f t="shared" si="0"/>
        <v>1577.6</v>
      </c>
      <c r="G11">
        <f>SUMIF($D$2:$D11,$D11,$E$2:$E11)</f>
        <v>464</v>
      </c>
      <c r="H11">
        <f t="shared" si="1"/>
        <v>0</v>
      </c>
      <c r="I11" t="s">
        <v>9</v>
      </c>
      <c r="J11">
        <v>2.5</v>
      </c>
    </row>
    <row r="12" spans="1:10" x14ac:dyDescent="0.25">
      <c r="A12" s="1">
        <v>44564</v>
      </c>
      <c r="B12" t="s">
        <v>15</v>
      </c>
      <c r="C12" t="s">
        <v>17</v>
      </c>
      <c r="D12" t="s">
        <v>23</v>
      </c>
      <c r="E12">
        <v>570</v>
      </c>
      <c r="F12">
        <f t="shared" si="0"/>
        <v>1368</v>
      </c>
      <c r="G12">
        <f>SUMIF($D$2:$D12,$D12,$E$2:$E12)</f>
        <v>570</v>
      </c>
      <c r="H12">
        <f t="shared" si="1"/>
        <v>0</v>
      </c>
      <c r="I12" t="s">
        <v>10</v>
      </c>
      <c r="J12">
        <v>3.4</v>
      </c>
    </row>
    <row r="13" spans="1:10" x14ac:dyDescent="0.25">
      <c r="A13" s="1">
        <v>44564</v>
      </c>
      <c r="B13" t="s">
        <v>5</v>
      </c>
      <c r="C13" t="s">
        <v>17</v>
      </c>
      <c r="D13" t="s">
        <v>30</v>
      </c>
      <c r="E13">
        <v>222</v>
      </c>
      <c r="F13">
        <f t="shared" si="0"/>
        <v>754.8</v>
      </c>
      <c r="G13">
        <f>SUMIF($D$2:$D13,$D13,$E$2:$E13)</f>
        <v>222</v>
      </c>
      <c r="H13">
        <f t="shared" si="1"/>
        <v>0</v>
      </c>
      <c r="I13" t="s">
        <v>11</v>
      </c>
      <c r="J13">
        <v>2.5</v>
      </c>
    </row>
    <row r="14" spans="1:10" x14ac:dyDescent="0.25">
      <c r="A14" s="1">
        <v>44564</v>
      </c>
      <c r="B14" t="s">
        <v>4</v>
      </c>
      <c r="C14" t="s">
        <v>17</v>
      </c>
      <c r="D14" t="s">
        <v>16</v>
      </c>
      <c r="E14">
        <v>720</v>
      </c>
      <c r="F14">
        <f t="shared" si="0"/>
        <v>2448</v>
      </c>
      <c r="G14">
        <f>SUMIF($D$2:$D14,$D14,$E$2:$E14)</f>
        <v>1130</v>
      </c>
      <c r="H14">
        <f t="shared" si="1"/>
        <v>0</v>
      </c>
      <c r="I14" t="s">
        <v>12</v>
      </c>
      <c r="J14">
        <v>2.7</v>
      </c>
    </row>
    <row r="15" spans="1:10" x14ac:dyDescent="0.25">
      <c r="A15" s="1">
        <v>44564</v>
      </c>
      <c r="B15" t="s">
        <v>7</v>
      </c>
      <c r="C15" t="s">
        <v>17</v>
      </c>
      <c r="D15" t="s">
        <v>58</v>
      </c>
      <c r="E15">
        <v>283</v>
      </c>
      <c r="F15">
        <f t="shared" si="0"/>
        <v>962.19999999999993</v>
      </c>
      <c r="G15">
        <f>SUMIF($D$2:$D15,$D15,$E$2:$E15)</f>
        <v>283</v>
      </c>
      <c r="H15">
        <f t="shared" si="1"/>
        <v>0</v>
      </c>
      <c r="I15" t="s">
        <v>13</v>
      </c>
      <c r="J15">
        <v>3.2</v>
      </c>
    </row>
    <row r="16" spans="1:10" x14ac:dyDescent="0.25">
      <c r="A16" s="1">
        <v>44565</v>
      </c>
      <c r="B16" t="s">
        <v>15</v>
      </c>
      <c r="C16" t="s">
        <v>17</v>
      </c>
      <c r="D16" t="s">
        <v>56</v>
      </c>
      <c r="E16">
        <v>204</v>
      </c>
      <c r="F16">
        <f t="shared" si="0"/>
        <v>489.59999999999997</v>
      </c>
      <c r="G16">
        <f>SUMIF($D$2:$D16,$D16,$E$2:$E16)</f>
        <v>204</v>
      </c>
      <c r="H16">
        <f t="shared" si="1"/>
        <v>0</v>
      </c>
      <c r="I16" t="s">
        <v>14</v>
      </c>
      <c r="J16">
        <v>3.5</v>
      </c>
    </row>
    <row r="17" spans="1:11" x14ac:dyDescent="0.25">
      <c r="A17" s="1">
        <v>44565</v>
      </c>
      <c r="B17" t="s">
        <v>0</v>
      </c>
      <c r="C17" t="s">
        <v>17</v>
      </c>
      <c r="D17" t="s">
        <v>62</v>
      </c>
      <c r="E17">
        <v>368</v>
      </c>
      <c r="F17">
        <f t="shared" si="0"/>
        <v>1067.2</v>
      </c>
      <c r="G17">
        <f>SUMIF($D$2:$D17,$D17,$E$2:$E17)</f>
        <v>610</v>
      </c>
      <c r="H17">
        <f t="shared" si="1"/>
        <v>0</v>
      </c>
      <c r="I17" t="s">
        <v>15</v>
      </c>
      <c r="J17">
        <v>2.4</v>
      </c>
    </row>
    <row r="18" spans="1:11" x14ac:dyDescent="0.25">
      <c r="A18" s="1">
        <v>44565</v>
      </c>
      <c r="B18" t="s">
        <v>5</v>
      </c>
      <c r="C18" t="s">
        <v>17</v>
      </c>
      <c r="D18" t="s">
        <v>25</v>
      </c>
      <c r="E18">
        <v>110</v>
      </c>
      <c r="F18">
        <f t="shared" si="0"/>
        <v>374</v>
      </c>
      <c r="G18">
        <f>SUMIF($D$2:$D18,$D18,$E$2:$E18)</f>
        <v>269</v>
      </c>
      <c r="H18">
        <f t="shared" si="1"/>
        <v>0</v>
      </c>
    </row>
    <row r="19" spans="1:11" x14ac:dyDescent="0.25">
      <c r="A19" s="1">
        <v>44565</v>
      </c>
      <c r="B19" t="s">
        <v>15</v>
      </c>
      <c r="C19" t="s">
        <v>17</v>
      </c>
      <c r="D19" t="s">
        <v>28</v>
      </c>
      <c r="E19">
        <v>534</v>
      </c>
      <c r="F19">
        <f t="shared" si="0"/>
        <v>1281.5999999999999</v>
      </c>
      <c r="G19">
        <f>SUMIF($D$2:$D19,$D19,$E$2:$E19)</f>
        <v>534</v>
      </c>
      <c r="H19">
        <f t="shared" si="1"/>
        <v>0</v>
      </c>
    </row>
    <row r="20" spans="1:11" x14ac:dyDescent="0.25">
      <c r="A20" s="1">
        <v>44565</v>
      </c>
      <c r="B20" t="s">
        <v>2</v>
      </c>
      <c r="C20" t="s">
        <v>17</v>
      </c>
      <c r="D20" t="s">
        <v>39</v>
      </c>
      <c r="E20">
        <v>438</v>
      </c>
      <c r="F20">
        <f t="shared" si="0"/>
        <v>1401.6000000000001</v>
      </c>
      <c r="G20">
        <f>SUMIF($D$2:$D20,$D20,$E$2:$E20)</f>
        <v>438</v>
      </c>
      <c r="H20">
        <f t="shared" si="1"/>
        <v>0</v>
      </c>
      <c r="I20" s="10">
        <f>SUM(F:F)</f>
        <v>2421164.4000000027</v>
      </c>
    </row>
    <row r="21" spans="1:11" x14ac:dyDescent="0.25">
      <c r="A21" s="1">
        <v>44565</v>
      </c>
      <c r="B21" t="s">
        <v>5</v>
      </c>
      <c r="C21" t="s">
        <v>17</v>
      </c>
      <c r="D21" t="s">
        <v>58</v>
      </c>
      <c r="E21">
        <v>34</v>
      </c>
      <c r="F21">
        <f t="shared" si="0"/>
        <v>115.6</v>
      </c>
      <c r="G21">
        <f>SUMIF($D$2:$D21,$D21,$E$2:$E21)</f>
        <v>317</v>
      </c>
      <c r="H21">
        <f t="shared" si="1"/>
        <v>0</v>
      </c>
    </row>
    <row r="22" spans="1:11" x14ac:dyDescent="0.25">
      <c r="A22" s="1">
        <v>44565</v>
      </c>
      <c r="B22" t="s">
        <v>10</v>
      </c>
      <c r="C22" t="s">
        <v>17</v>
      </c>
      <c r="D22" t="s">
        <v>63</v>
      </c>
      <c r="E22">
        <v>64</v>
      </c>
      <c r="F22">
        <f t="shared" si="0"/>
        <v>217.6</v>
      </c>
      <c r="G22">
        <f>SUMIF($D$2:$D22,$D22,$E$2:$E22)</f>
        <v>64</v>
      </c>
      <c r="H22">
        <f t="shared" si="1"/>
        <v>0</v>
      </c>
      <c r="J22" t="s">
        <v>433</v>
      </c>
      <c r="K22" s="12">
        <f>SUM(H:H)/100</f>
        <v>3089.1</v>
      </c>
    </row>
    <row r="23" spans="1:11" x14ac:dyDescent="0.25">
      <c r="A23" s="1">
        <v>44565</v>
      </c>
      <c r="B23" t="s">
        <v>15</v>
      </c>
      <c r="C23" t="s">
        <v>17</v>
      </c>
      <c r="D23" t="s">
        <v>26</v>
      </c>
      <c r="E23">
        <v>555</v>
      </c>
      <c r="F23">
        <f t="shared" si="0"/>
        <v>1332</v>
      </c>
      <c r="G23">
        <f>SUMIF($D$2:$D23,$D23,$E$2:$E23)</f>
        <v>555</v>
      </c>
      <c r="H23">
        <f t="shared" si="1"/>
        <v>0</v>
      </c>
      <c r="J23" t="s">
        <v>437</v>
      </c>
      <c r="K23">
        <f>COUNTIF(H:H,"&gt;0")</f>
        <v>180</v>
      </c>
    </row>
    <row r="24" spans="1:11" x14ac:dyDescent="0.25">
      <c r="A24" s="1">
        <v>44565</v>
      </c>
      <c r="B24" t="s">
        <v>8</v>
      </c>
      <c r="C24" t="s">
        <v>17</v>
      </c>
      <c r="D24" t="s">
        <v>26</v>
      </c>
      <c r="E24">
        <v>640</v>
      </c>
      <c r="F24">
        <f t="shared" si="0"/>
        <v>2240</v>
      </c>
      <c r="G24">
        <f>SUMIF($D$2:$D24,$D24,$E$2:$E24)</f>
        <v>1195</v>
      </c>
      <c r="H24">
        <f t="shared" si="1"/>
        <v>0</v>
      </c>
    </row>
    <row r="25" spans="1:11" x14ac:dyDescent="0.25">
      <c r="A25" s="1">
        <v>44565</v>
      </c>
      <c r="B25" t="s">
        <v>15</v>
      </c>
      <c r="C25" t="s">
        <v>17</v>
      </c>
      <c r="D25" t="s">
        <v>67</v>
      </c>
      <c r="E25">
        <v>331</v>
      </c>
      <c r="F25">
        <f t="shared" si="0"/>
        <v>794.4</v>
      </c>
      <c r="G25">
        <f>SUMIF($D$2:$D25,$D25,$E$2:$E25)</f>
        <v>331</v>
      </c>
      <c r="H25">
        <f t="shared" si="1"/>
        <v>0</v>
      </c>
    </row>
    <row r="26" spans="1:11" x14ac:dyDescent="0.25">
      <c r="A26" s="1">
        <v>44566</v>
      </c>
      <c r="B26" t="s">
        <v>0</v>
      </c>
      <c r="C26" t="s">
        <v>17</v>
      </c>
      <c r="D26" t="s">
        <v>59</v>
      </c>
      <c r="E26">
        <v>114</v>
      </c>
      <c r="F26">
        <f t="shared" si="0"/>
        <v>330.59999999999997</v>
      </c>
      <c r="G26">
        <f>SUMIF($D$2:$D26,$D26,$E$2:$E26)</f>
        <v>114</v>
      </c>
      <c r="H26">
        <f t="shared" si="1"/>
        <v>0</v>
      </c>
    </row>
    <row r="27" spans="1:11" x14ac:dyDescent="0.25">
      <c r="A27" s="1">
        <v>44566</v>
      </c>
      <c r="B27" t="s">
        <v>10</v>
      </c>
      <c r="C27" t="s">
        <v>17</v>
      </c>
      <c r="D27" t="s">
        <v>22</v>
      </c>
      <c r="E27">
        <v>110</v>
      </c>
      <c r="F27">
        <f t="shared" si="0"/>
        <v>374</v>
      </c>
      <c r="G27">
        <f>SUMIF($D$2:$D27,$D27,$E$2:$E27)</f>
        <v>110</v>
      </c>
      <c r="H27">
        <f t="shared" si="1"/>
        <v>0</v>
      </c>
    </row>
    <row r="28" spans="1:11" x14ac:dyDescent="0.25">
      <c r="A28" s="1">
        <v>44566</v>
      </c>
      <c r="B28" t="s">
        <v>7</v>
      </c>
      <c r="C28" t="s">
        <v>17</v>
      </c>
      <c r="D28" t="s">
        <v>28</v>
      </c>
      <c r="E28">
        <v>378</v>
      </c>
      <c r="F28">
        <f t="shared" si="0"/>
        <v>1285.2</v>
      </c>
      <c r="G28">
        <f>SUMIF($D$2:$D28,$D28,$E$2:$E28)</f>
        <v>912</v>
      </c>
      <c r="H28">
        <f t="shared" si="1"/>
        <v>0</v>
      </c>
    </row>
    <row r="29" spans="1:11" x14ac:dyDescent="0.25">
      <c r="A29" s="1">
        <v>44566</v>
      </c>
      <c r="B29" t="s">
        <v>0</v>
      </c>
      <c r="C29" t="s">
        <v>17</v>
      </c>
      <c r="D29" t="s">
        <v>33</v>
      </c>
      <c r="E29">
        <v>206</v>
      </c>
      <c r="F29">
        <f t="shared" si="0"/>
        <v>597.4</v>
      </c>
      <c r="G29">
        <f>SUMIF($D$2:$D29,$D29,$E$2:$E29)</f>
        <v>206</v>
      </c>
      <c r="H29">
        <f t="shared" si="1"/>
        <v>0</v>
      </c>
    </row>
    <row r="30" spans="1:11" x14ac:dyDescent="0.25">
      <c r="A30" s="1">
        <v>44566</v>
      </c>
      <c r="B30" t="s">
        <v>8</v>
      </c>
      <c r="C30" t="s">
        <v>17</v>
      </c>
      <c r="D30" t="s">
        <v>35</v>
      </c>
      <c r="E30">
        <v>318</v>
      </c>
      <c r="F30">
        <f t="shared" si="0"/>
        <v>1113</v>
      </c>
      <c r="G30">
        <f>SUMIF($D$2:$D30,$D30,$E$2:$E30)</f>
        <v>318</v>
      </c>
      <c r="H30">
        <f t="shared" si="1"/>
        <v>0</v>
      </c>
    </row>
    <row r="31" spans="1:11" x14ac:dyDescent="0.25">
      <c r="A31" s="1">
        <v>44566</v>
      </c>
      <c r="B31" t="s">
        <v>8</v>
      </c>
      <c r="C31" t="s">
        <v>17</v>
      </c>
      <c r="D31" t="s">
        <v>27</v>
      </c>
      <c r="E31">
        <v>657</v>
      </c>
      <c r="F31">
        <f t="shared" si="0"/>
        <v>2299.5</v>
      </c>
      <c r="G31">
        <f>SUMIF($D$2:$D31,$D31,$E$2:$E31)</f>
        <v>657</v>
      </c>
      <c r="H31">
        <f t="shared" si="1"/>
        <v>0</v>
      </c>
    </row>
    <row r="32" spans="1:11" x14ac:dyDescent="0.25">
      <c r="A32" s="1">
        <v>44566</v>
      </c>
      <c r="B32" t="s">
        <v>7</v>
      </c>
      <c r="C32" t="s">
        <v>17</v>
      </c>
      <c r="D32" t="s">
        <v>33</v>
      </c>
      <c r="E32">
        <v>316</v>
      </c>
      <c r="F32">
        <f t="shared" si="0"/>
        <v>1074.3999999999999</v>
      </c>
      <c r="G32">
        <f>SUMIF($D$2:$D32,$D32,$E$2:$E32)</f>
        <v>522</v>
      </c>
      <c r="H32">
        <f t="shared" si="1"/>
        <v>0</v>
      </c>
    </row>
    <row r="33" spans="1:8" x14ac:dyDescent="0.25">
      <c r="A33" s="1">
        <v>44566</v>
      </c>
      <c r="B33" t="s">
        <v>2</v>
      </c>
      <c r="C33" t="s">
        <v>17</v>
      </c>
      <c r="D33" t="s">
        <v>19</v>
      </c>
      <c r="E33">
        <v>139</v>
      </c>
      <c r="F33">
        <f t="shared" si="0"/>
        <v>444.8</v>
      </c>
      <c r="G33">
        <f>SUMIF($D$2:$D33,$D33,$E$2:$E33)</f>
        <v>139</v>
      </c>
      <c r="H33">
        <f t="shared" si="1"/>
        <v>0</v>
      </c>
    </row>
    <row r="34" spans="1:8" x14ac:dyDescent="0.25">
      <c r="A34" s="1">
        <v>44567</v>
      </c>
      <c r="B34" t="s">
        <v>6</v>
      </c>
      <c r="C34" t="s">
        <v>17</v>
      </c>
      <c r="D34" t="s">
        <v>36</v>
      </c>
      <c r="E34">
        <v>254</v>
      </c>
      <c r="F34">
        <f t="shared" si="0"/>
        <v>863.6</v>
      </c>
      <c r="G34">
        <f>SUMIF($D$2:$D34,$D34,$E$2:$E34)</f>
        <v>254</v>
      </c>
      <c r="H34">
        <f t="shared" si="1"/>
        <v>0</v>
      </c>
    </row>
    <row r="35" spans="1:8" x14ac:dyDescent="0.25">
      <c r="A35" s="1">
        <v>44567</v>
      </c>
      <c r="B35" t="s">
        <v>10</v>
      </c>
      <c r="C35" t="s">
        <v>17</v>
      </c>
      <c r="D35" t="s">
        <v>35</v>
      </c>
      <c r="E35">
        <v>69</v>
      </c>
      <c r="F35">
        <f t="shared" si="0"/>
        <v>234.6</v>
      </c>
      <c r="G35">
        <f>SUMIF($D$2:$D35,$D35,$E$2:$E35)</f>
        <v>387</v>
      </c>
      <c r="H35">
        <f t="shared" si="1"/>
        <v>0</v>
      </c>
    </row>
    <row r="36" spans="1:8" x14ac:dyDescent="0.25">
      <c r="A36" s="1">
        <v>44568</v>
      </c>
      <c r="B36" t="s">
        <v>6</v>
      </c>
      <c r="C36" t="s">
        <v>17</v>
      </c>
      <c r="D36" t="s">
        <v>31</v>
      </c>
      <c r="E36">
        <v>141</v>
      </c>
      <c r="F36">
        <f t="shared" si="0"/>
        <v>479.4</v>
      </c>
      <c r="G36">
        <f>SUMIF($D$2:$D36,$D36,$E$2:$E36)</f>
        <v>141</v>
      </c>
      <c r="H36">
        <f t="shared" si="1"/>
        <v>0</v>
      </c>
    </row>
    <row r="37" spans="1:8" x14ac:dyDescent="0.25">
      <c r="A37" s="1">
        <v>44568</v>
      </c>
      <c r="B37" t="s">
        <v>4</v>
      </c>
      <c r="C37" t="s">
        <v>17</v>
      </c>
      <c r="D37" t="s">
        <v>67</v>
      </c>
      <c r="E37">
        <v>740</v>
      </c>
      <c r="F37">
        <f t="shared" si="0"/>
        <v>2516</v>
      </c>
      <c r="G37">
        <f>SUMIF($D$2:$D37,$D37,$E$2:$E37)</f>
        <v>1071</v>
      </c>
      <c r="H37">
        <f t="shared" si="1"/>
        <v>0</v>
      </c>
    </row>
    <row r="38" spans="1:8" x14ac:dyDescent="0.25">
      <c r="A38" s="1">
        <v>44568</v>
      </c>
      <c r="B38" t="s">
        <v>4</v>
      </c>
      <c r="C38" t="s">
        <v>17</v>
      </c>
      <c r="D38" t="s">
        <v>53</v>
      </c>
      <c r="E38">
        <v>715</v>
      </c>
      <c r="F38">
        <f t="shared" si="0"/>
        <v>2431</v>
      </c>
      <c r="G38">
        <f>SUMIF($D$2:$D38,$D38,$E$2:$E38)</f>
        <v>715</v>
      </c>
      <c r="H38">
        <f t="shared" si="1"/>
        <v>0</v>
      </c>
    </row>
    <row r="39" spans="1:8" x14ac:dyDescent="0.25">
      <c r="A39" s="1">
        <v>44568</v>
      </c>
      <c r="B39" t="s">
        <v>6</v>
      </c>
      <c r="C39" t="s">
        <v>17</v>
      </c>
      <c r="D39" t="s">
        <v>55</v>
      </c>
      <c r="E39">
        <v>446</v>
      </c>
      <c r="F39">
        <f t="shared" si="0"/>
        <v>1516.3999999999999</v>
      </c>
      <c r="G39">
        <f>SUMIF($D$2:$D39,$D39,$E$2:$E39)</f>
        <v>446</v>
      </c>
      <c r="H39">
        <f t="shared" si="1"/>
        <v>0</v>
      </c>
    </row>
    <row r="40" spans="1:8" x14ac:dyDescent="0.25">
      <c r="A40" s="1">
        <v>44568</v>
      </c>
      <c r="B40" t="s">
        <v>7</v>
      </c>
      <c r="C40" t="s">
        <v>17</v>
      </c>
      <c r="D40" t="s">
        <v>51</v>
      </c>
      <c r="E40">
        <v>390</v>
      </c>
      <c r="F40">
        <f t="shared" si="0"/>
        <v>1326</v>
      </c>
      <c r="G40">
        <f>SUMIF($D$2:$D40,$D40,$E$2:$E40)</f>
        <v>390</v>
      </c>
      <c r="H40">
        <f t="shared" si="1"/>
        <v>0</v>
      </c>
    </row>
    <row r="41" spans="1:8" x14ac:dyDescent="0.25">
      <c r="A41" s="1">
        <v>44568</v>
      </c>
      <c r="B41" t="s">
        <v>0</v>
      </c>
      <c r="C41" t="s">
        <v>17</v>
      </c>
      <c r="D41" t="s">
        <v>35</v>
      </c>
      <c r="E41">
        <v>455</v>
      </c>
      <c r="F41">
        <f t="shared" si="0"/>
        <v>1319.5</v>
      </c>
      <c r="G41">
        <f>SUMIF($D$2:$D41,$D41,$E$2:$E41)</f>
        <v>842</v>
      </c>
      <c r="H41">
        <f t="shared" si="1"/>
        <v>0</v>
      </c>
    </row>
    <row r="42" spans="1:8" x14ac:dyDescent="0.25">
      <c r="A42" s="1">
        <v>44568</v>
      </c>
      <c r="B42" t="s">
        <v>4</v>
      </c>
      <c r="C42" t="s">
        <v>17</v>
      </c>
      <c r="D42" t="s">
        <v>27</v>
      </c>
      <c r="E42">
        <v>323</v>
      </c>
      <c r="F42">
        <f t="shared" si="0"/>
        <v>1098.2</v>
      </c>
      <c r="G42">
        <f>SUMIF($D$2:$D42,$D42,$E$2:$E42)</f>
        <v>980</v>
      </c>
      <c r="H42">
        <f t="shared" si="1"/>
        <v>0</v>
      </c>
    </row>
    <row r="43" spans="1:8" x14ac:dyDescent="0.25">
      <c r="A43" s="1">
        <v>44568</v>
      </c>
      <c r="B43" t="s">
        <v>5</v>
      </c>
      <c r="C43" t="s">
        <v>17</v>
      </c>
      <c r="D43" t="s">
        <v>58</v>
      </c>
      <c r="E43">
        <v>378</v>
      </c>
      <c r="F43">
        <f t="shared" si="0"/>
        <v>1285.2</v>
      </c>
      <c r="G43">
        <f>SUMIF($D$2:$D43,$D43,$E$2:$E43)</f>
        <v>695</v>
      </c>
      <c r="H43">
        <f t="shared" si="1"/>
        <v>0</v>
      </c>
    </row>
    <row r="44" spans="1:8" x14ac:dyDescent="0.25">
      <c r="A44" s="1">
        <v>44568</v>
      </c>
      <c r="B44" t="s">
        <v>5</v>
      </c>
      <c r="C44" t="s">
        <v>17</v>
      </c>
      <c r="D44" t="s">
        <v>51</v>
      </c>
      <c r="E44">
        <v>115</v>
      </c>
      <c r="F44">
        <f t="shared" si="0"/>
        <v>391</v>
      </c>
      <c r="G44">
        <f>SUMIF($D$2:$D44,$D44,$E$2:$E44)</f>
        <v>505</v>
      </c>
      <c r="H44">
        <f t="shared" si="1"/>
        <v>0</v>
      </c>
    </row>
    <row r="45" spans="1:8" x14ac:dyDescent="0.25">
      <c r="A45" s="1">
        <v>44569</v>
      </c>
      <c r="B45" t="s">
        <v>4</v>
      </c>
      <c r="C45" t="s">
        <v>17</v>
      </c>
      <c r="D45" t="s">
        <v>31</v>
      </c>
      <c r="E45">
        <v>629</v>
      </c>
      <c r="F45">
        <f t="shared" si="0"/>
        <v>2138.6</v>
      </c>
      <c r="G45">
        <f>SUMIF($D$2:$D45,$D45,$E$2:$E45)</f>
        <v>770</v>
      </c>
      <c r="H45">
        <f t="shared" si="1"/>
        <v>0</v>
      </c>
    </row>
    <row r="46" spans="1:8" x14ac:dyDescent="0.25">
      <c r="A46" s="1">
        <v>44569</v>
      </c>
      <c r="B46" t="s">
        <v>5</v>
      </c>
      <c r="C46" t="s">
        <v>17</v>
      </c>
      <c r="D46" t="s">
        <v>25</v>
      </c>
      <c r="E46">
        <v>11</v>
      </c>
      <c r="F46">
        <f t="shared" si="0"/>
        <v>37.4</v>
      </c>
      <c r="G46">
        <f>SUMIF($D$2:$D46,$D46,$E$2:$E46)</f>
        <v>280</v>
      </c>
      <c r="H46">
        <f t="shared" si="1"/>
        <v>0</v>
      </c>
    </row>
    <row r="47" spans="1:8" x14ac:dyDescent="0.25">
      <c r="A47" s="1">
        <v>44569</v>
      </c>
      <c r="B47" t="s">
        <v>0</v>
      </c>
      <c r="C47" t="s">
        <v>17</v>
      </c>
      <c r="D47" t="s">
        <v>27</v>
      </c>
      <c r="E47">
        <v>270</v>
      </c>
      <c r="F47">
        <f t="shared" si="0"/>
        <v>783</v>
      </c>
      <c r="G47">
        <f>SUMIF($D$2:$D47,$D47,$E$2:$E47)</f>
        <v>1250</v>
      </c>
      <c r="H47">
        <f t="shared" si="1"/>
        <v>0</v>
      </c>
    </row>
    <row r="48" spans="1:8" x14ac:dyDescent="0.25">
      <c r="A48" s="1">
        <v>44569</v>
      </c>
      <c r="B48" t="s">
        <v>6</v>
      </c>
      <c r="C48" t="s">
        <v>17</v>
      </c>
      <c r="D48" t="s">
        <v>42</v>
      </c>
      <c r="E48">
        <v>139</v>
      </c>
      <c r="F48">
        <f t="shared" si="0"/>
        <v>472.59999999999997</v>
      </c>
      <c r="G48">
        <f>SUMIF($D$2:$D48,$D48,$E$2:$E48)</f>
        <v>139</v>
      </c>
      <c r="H48">
        <f t="shared" si="1"/>
        <v>0</v>
      </c>
    </row>
    <row r="49" spans="1:8" x14ac:dyDescent="0.25">
      <c r="A49" s="1">
        <v>44569</v>
      </c>
      <c r="B49" t="s">
        <v>8</v>
      </c>
      <c r="C49" t="s">
        <v>17</v>
      </c>
      <c r="D49" t="s">
        <v>31</v>
      </c>
      <c r="E49">
        <v>377</v>
      </c>
      <c r="F49">
        <f t="shared" si="0"/>
        <v>1319.5</v>
      </c>
      <c r="G49">
        <f>SUMIF($D$2:$D49,$D49,$E$2:$E49)</f>
        <v>1147</v>
      </c>
      <c r="H49">
        <f t="shared" si="1"/>
        <v>0</v>
      </c>
    </row>
    <row r="50" spans="1:8" x14ac:dyDescent="0.25">
      <c r="A50" s="1">
        <v>44569</v>
      </c>
      <c r="B50" t="s">
        <v>10</v>
      </c>
      <c r="C50" t="s">
        <v>17</v>
      </c>
      <c r="D50" t="s">
        <v>41</v>
      </c>
      <c r="E50">
        <v>371</v>
      </c>
      <c r="F50">
        <f t="shared" si="0"/>
        <v>1261.3999999999999</v>
      </c>
      <c r="G50">
        <f>SUMIF($D$2:$D50,$D50,$E$2:$E50)</f>
        <v>371</v>
      </c>
      <c r="H50">
        <f t="shared" si="1"/>
        <v>0</v>
      </c>
    </row>
    <row r="51" spans="1:8" x14ac:dyDescent="0.25">
      <c r="A51" s="1">
        <v>44569</v>
      </c>
      <c r="B51" t="s">
        <v>2</v>
      </c>
      <c r="C51" t="s">
        <v>17</v>
      </c>
      <c r="D51" t="s">
        <v>34</v>
      </c>
      <c r="E51">
        <v>288</v>
      </c>
      <c r="F51">
        <f t="shared" si="0"/>
        <v>921.6</v>
      </c>
      <c r="G51">
        <f>SUMIF($D$2:$D51,$D51,$E$2:$E51)</f>
        <v>288</v>
      </c>
      <c r="H51">
        <f t="shared" si="1"/>
        <v>0</v>
      </c>
    </row>
    <row r="52" spans="1:8" x14ac:dyDescent="0.25">
      <c r="A52" s="1">
        <v>44569</v>
      </c>
      <c r="B52" t="s">
        <v>15</v>
      </c>
      <c r="C52" t="s">
        <v>17</v>
      </c>
      <c r="D52" t="s">
        <v>64</v>
      </c>
      <c r="E52">
        <v>306</v>
      </c>
      <c r="F52">
        <f t="shared" si="0"/>
        <v>734.4</v>
      </c>
      <c r="G52">
        <f>SUMIF($D$2:$D52,$D52,$E$2:$E52)</f>
        <v>590</v>
      </c>
      <c r="H52">
        <f t="shared" si="1"/>
        <v>0</v>
      </c>
    </row>
    <row r="53" spans="1:8" x14ac:dyDescent="0.25">
      <c r="A53" s="1">
        <v>44569</v>
      </c>
      <c r="B53" t="s">
        <v>6</v>
      </c>
      <c r="C53" t="s">
        <v>17</v>
      </c>
      <c r="D53" t="s">
        <v>62</v>
      </c>
      <c r="E53">
        <v>258</v>
      </c>
      <c r="F53">
        <f t="shared" si="0"/>
        <v>877.19999999999993</v>
      </c>
      <c r="G53">
        <f>SUMIF($D$2:$D53,$D53,$E$2:$E53)</f>
        <v>868</v>
      </c>
      <c r="H53">
        <f t="shared" si="1"/>
        <v>0</v>
      </c>
    </row>
    <row r="54" spans="1:8" x14ac:dyDescent="0.25">
      <c r="A54" s="1">
        <v>44571</v>
      </c>
      <c r="B54" t="s">
        <v>15</v>
      </c>
      <c r="C54" t="s">
        <v>17</v>
      </c>
      <c r="D54" t="s">
        <v>37</v>
      </c>
      <c r="E54">
        <v>260</v>
      </c>
      <c r="F54">
        <f t="shared" si="0"/>
        <v>624</v>
      </c>
      <c r="G54">
        <f>SUMIF($D$2:$D54,$D54,$E$2:$E54)</f>
        <v>260</v>
      </c>
      <c r="H54">
        <f t="shared" si="1"/>
        <v>0</v>
      </c>
    </row>
    <row r="55" spans="1:8" x14ac:dyDescent="0.25">
      <c r="A55" s="1">
        <v>44571</v>
      </c>
      <c r="B55" t="s">
        <v>6</v>
      </c>
      <c r="C55" t="s">
        <v>17</v>
      </c>
      <c r="D55" t="s">
        <v>27</v>
      </c>
      <c r="E55">
        <v>103</v>
      </c>
      <c r="F55">
        <f t="shared" si="0"/>
        <v>350.2</v>
      </c>
      <c r="G55">
        <f>SUMIF($D$2:$D55,$D55,$E$2:$E55)</f>
        <v>1353</v>
      </c>
      <c r="H55">
        <f t="shared" si="1"/>
        <v>0</v>
      </c>
    </row>
    <row r="56" spans="1:8" x14ac:dyDescent="0.25">
      <c r="A56" s="1">
        <v>44571</v>
      </c>
      <c r="B56" t="s">
        <v>10</v>
      </c>
      <c r="C56" t="s">
        <v>17</v>
      </c>
      <c r="D56" t="s">
        <v>59</v>
      </c>
      <c r="E56">
        <v>127</v>
      </c>
      <c r="F56">
        <f t="shared" si="0"/>
        <v>431.8</v>
      </c>
      <c r="G56">
        <f>SUMIF($D$2:$D56,$D56,$E$2:$E56)</f>
        <v>241</v>
      </c>
      <c r="H56">
        <f t="shared" si="1"/>
        <v>0</v>
      </c>
    </row>
    <row r="57" spans="1:8" x14ac:dyDescent="0.25">
      <c r="A57" s="1">
        <v>44571</v>
      </c>
      <c r="B57" t="s">
        <v>2</v>
      </c>
      <c r="C57" t="s">
        <v>17</v>
      </c>
      <c r="D57" t="s">
        <v>44</v>
      </c>
      <c r="E57">
        <v>32</v>
      </c>
      <c r="F57">
        <f t="shared" si="0"/>
        <v>102.4</v>
      </c>
      <c r="G57">
        <f>SUMIF($D$2:$D57,$D57,$E$2:$E57)</f>
        <v>32</v>
      </c>
      <c r="H57">
        <f t="shared" si="1"/>
        <v>0</v>
      </c>
    </row>
    <row r="58" spans="1:8" x14ac:dyDescent="0.25">
      <c r="A58" s="1">
        <v>44571</v>
      </c>
      <c r="B58" t="s">
        <v>10</v>
      </c>
      <c r="C58" t="s">
        <v>17</v>
      </c>
      <c r="D58" t="s">
        <v>57</v>
      </c>
      <c r="E58">
        <v>196</v>
      </c>
      <c r="F58">
        <f t="shared" si="0"/>
        <v>666.4</v>
      </c>
      <c r="G58">
        <f>SUMIF($D$2:$D58,$D58,$E$2:$E58)</f>
        <v>196</v>
      </c>
      <c r="H58">
        <f t="shared" si="1"/>
        <v>0</v>
      </c>
    </row>
    <row r="59" spans="1:8" x14ac:dyDescent="0.25">
      <c r="A59" s="1">
        <v>44571</v>
      </c>
      <c r="B59" t="s">
        <v>6</v>
      </c>
      <c r="C59" t="s">
        <v>17</v>
      </c>
      <c r="D59" t="s">
        <v>67</v>
      </c>
      <c r="E59">
        <v>120</v>
      </c>
      <c r="F59">
        <f t="shared" si="0"/>
        <v>408</v>
      </c>
      <c r="G59">
        <f>SUMIF($D$2:$D59,$D59,$E$2:$E59)</f>
        <v>1191</v>
      </c>
      <c r="H59">
        <f t="shared" si="1"/>
        <v>0</v>
      </c>
    </row>
    <row r="60" spans="1:8" x14ac:dyDescent="0.25">
      <c r="A60" s="1">
        <v>44571</v>
      </c>
      <c r="B60" t="s">
        <v>10</v>
      </c>
      <c r="C60" t="s">
        <v>17</v>
      </c>
      <c r="D60" t="s">
        <v>64</v>
      </c>
      <c r="E60">
        <v>372</v>
      </c>
      <c r="F60">
        <f t="shared" si="0"/>
        <v>1264.8</v>
      </c>
      <c r="G60">
        <f>SUMIF($D$2:$D60,$D60,$E$2:$E60)</f>
        <v>962</v>
      </c>
      <c r="H60">
        <f t="shared" si="1"/>
        <v>0</v>
      </c>
    </row>
    <row r="61" spans="1:8" x14ac:dyDescent="0.25">
      <c r="A61" s="1">
        <v>44571</v>
      </c>
      <c r="B61" t="s">
        <v>15</v>
      </c>
      <c r="C61" t="s">
        <v>17</v>
      </c>
      <c r="D61" t="s">
        <v>54</v>
      </c>
      <c r="E61">
        <v>577</v>
      </c>
      <c r="F61">
        <f t="shared" si="0"/>
        <v>1384.8</v>
      </c>
      <c r="G61">
        <f>SUMIF($D$2:$D61,$D61,$E$2:$E61)</f>
        <v>577</v>
      </c>
      <c r="H61">
        <f t="shared" si="1"/>
        <v>0</v>
      </c>
    </row>
    <row r="62" spans="1:8" x14ac:dyDescent="0.25">
      <c r="A62" s="1">
        <v>44571</v>
      </c>
      <c r="B62" t="s">
        <v>5</v>
      </c>
      <c r="C62" t="s">
        <v>17</v>
      </c>
      <c r="D62" t="s">
        <v>67</v>
      </c>
      <c r="E62">
        <v>88</v>
      </c>
      <c r="F62">
        <f t="shared" si="0"/>
        <v>299.2</v>
      </c>
      <c r="G62">
        <f>SUMIF($D$2:$D62,$D62,$E$2:$E62)</f>
        <v>1279</v>
      </c>
      <c r="H62">
        <f t="shared" si="1"/>
        <v>0</v>
      </c>
    </row>
    <row r="63" spans="1:8" x14ac:dyDescent="0.25">
      <c r="A63" s="1">
        <v>44571</v>
      </c>
      <c r="B63" t="s">
        <v>2</v>
      </c>
      <c r="C63" t="s">
        <v>17</v>
      </c>
      <c r="D63" t="s">
        <v>49</v>
      </c>
      <c r="E63">
        <v>266</v>
      </c>
      <c r="F63">
        <f t="shared" si="0"/>
        <v>851.2</v>
      </c>
      <c r="G63">
        <f>SUMIF($D$2:$D63,$D63,$E$2:$E63)</f>
        <v>266</v>
      </c>
      <c r="H63">
        <f t="shared" si="1"/>
        <v>0</v>
      </c>
    </row>
    <row r="64" spans="1:8" x14ac:dyDescent="0.25">
      <c r="A64" s="1">
        <v>44571</v>
      </c>
      <c r="B64" t="s">
        <v>0</v>
      </c>
      <c r="C64" t="s">
        <v>17</v>
      </c>
      <c r="D64" t="s">
        <v>55</v>
      </c>
      <c r="E64">
        <v>85</v>
      </c>
      <c r="F64">
        <f t="shared" si="0"/>
        <v>246.5</v>
      </c>
      <c r="G64">
        <f>SUMIF($D$2:$D64,$D64,$E$2:$E64)</f>
        <v>531</v>
      </c>
      <c r="H64">
        <f t="shared" si="1"/>
        <v>0</v>
      </c>
    </row>
    <row r="65" spans="1:8" x14ac:dyDescent="0.25">
      <c r="A65" s="1">
        <v>44571</v>
      </c>
      <c r="B65" t="s">
        <v>7</v>
      </c>
      <c r="C65" t="s">
        <v>17</v>
      </c>
      <c r="D65" t="s">
        <v>22</v>
      </c>
      <c r="E65">
        <v>695</v>
      </c>
      <c r="F65">
        <f t="shared" si="0"/>
        <v>2363</v>
      </c>
      <c r="G65">
        <f>SUMIF($D$2:$D65,$D65,$E$2:$E65)</f>
        <v>805</v>
      </c>
      <c r="H65">
        <f t="shared" si="1"/>
        <v>0</v>
      </c>
    </row>
    <row r="66" spans="1:8" x14ac:dyDescent="0.25">
      <c r="A66" s="1">
        <v>44571</v>
      </c>
      <c r="B66" t="s">
        <v>0</v>
      </c>
      <c r="C66" t="s">
        <v>17</v>
      </c>
      <c r="D66" t="s">
        <v>25</v>
      </c>
      <c r="E66">
        <v>323</v>
      </c>
      <c r="F66">
        <f t="shared" si="0"/>
        <v>936.69999999999993</v>
      </c>
      <c r="G66">
        <f>SUMIF($D$2:$D66,$D66,$E$2:$E66)</f>
        <v>603</v>
      </c>
      <c r="H66">
        <f t="shared" si="1"/>
        <v>0</v>
      </c>
    </row>
    <row r="67" spans="1:8" x14ac:dyDescent="0.25">
      <c r="A67" s="1">
        <v>44571</v>
      </c>
      <c r="B67" t="s">
        <v>15</v>
      </c>
      <c r="C67" t="s">
        <v>17</v>
      </c>
      <c r="D67" t="s">
        <v>22</v>
      </c>
      <c r="E67">
        <v>232</v>
      </c>
      <c r="F67">
        <f t="shared" ref="F67:F130" si="2">E67* _xlfn.XLOOKUP(B67,$I$2:$I$17,$J$2:$J$17,"0",0,1)</f>
        <v>556.79999999999995</v>
      </c>
      <c r="G67">
        <f>SUMIF($D$2:$D67,$D67,$E$2:$E67)</f>
        <v>1037</v>
      </c>
      <c r="H67">
        <f t="shared" ref="H67:H130" si="3">IF(AND($G67 &gt; 15000,$G67 &lt; 20000),5*$E67,IF($G67 &gt;= 20000,10*$E67,0))</f>
        <v>0</v>
      </c>
    </row>
    <row r="68" spans="1:8" x14ac:dyDescent="0.25">
      <c r="A68" s="1">
        <v>44571</v>
      </c>
      <c r="B68" t="s">
        <v>4</v>
      </c>
      <c r="C68" t="s">
        <v>17</v>
      </c>
      <c r="D68" t="s">
        <v>38</v>
      </c>
      <c r="E68">
        <v>734</v>
      </c>
      <c r="F68">
        <f t="shared" si="2"/>
        <v>2495.6</v>
      </c>
      <c r="G68">
        <f>SUMIF($D$2:$D68,$D68,$E$2:$E68)</f>
        <v>734</v>
      </c>
      <c r="H68">
        <f t="shared" si="3"/>
        <v>0</v>
      </c>
    </row>
    <row r="69" spans="1:8" x14ac:dyDescent="0.25">
      <c r="A69" s="1">
        <v>44571</v>
      </c>
      <c r="B69" t="s">
        <v>5</v>
      </c>
      <c r="C69" t="s">
        <v>17</v>
      </c>
      <c r="D69" t="s">
        <v>56</v>
      </c>
      <c r="E69">
        <v>424</v>
      </c>
      <c r="F69">
        <f t="shared" si="2"/>
        <v>1441.6</v>
      </c>
      <c r="G69">
        <f>SUMIF($D$2:$D69,$D69,$E$2:$E69)</f>
        <v>628</v>
      </c>
      <c r="H69">
        <f t="shared" si="3"/>
        <v>0</v>
      </c>
    </row>
    <row r="70" spans="1:8" x14ac:dyDescent="0.25">
      <c r="A70" s="1">
        <v>44572</v>
      </c>
      <c r="B70" t="s">
        <v>6</v>
      </c>
      <c r="C70" t="s">
        <v>17</v>
      </c>
      <c r="D70" t="s">
        <v>24</v>
      </c>
      <c r="E70">
        <v>254</v>
      </c>
      <c r="F70">
        <f t="shared" si="2"/>
        <v>863.6</v>
      </c>
      <c r="G70">
        <f>SUMIF($D$2:$D70,$D70,$E$2:$E70)</f>
        <v>254</v>
      </c>
      <c r="H70">
        <f t="shared" si="3"/>
        <v>0</v>
      </c>
    </row>
    <row r="71" spans="1:8" x14ac:dyDescent="0.25">
      <c r="A71" s="1">
        <v>44572</v>
      </c>
      <c r="B71" t="s">
        <v>2</v>
      </c>
      <c r="C71" t="s">
        <v>17</v>
      </c>
      <c r="D71" t="s">
        <v>57</v>
      </c>
      <c r="E71">
        <v>193</v>
      </c>
      <c r="F71">
        <f t="shared" si="2"/>
        <v>617.6</v>
      </c>
      <c r="G71">
        <f>SUMIF($D$2:$D71,$D71,$E$2:$E71)</f>
        <v>389</v>
      </c>
      <c r="H71">
        <f t="shared" si="3"/>
        <v>0</v>
      </c>
    </row>
    <row r="72" spans="1:8" x14ac:dyDescent="0.25">
      <c r="A72" s="1">
        <v>44572</v>
      </c>
      <c r="B72" t="s">
        <v>5</v>
      </c>
      <c r="C72" t="s">
        <v>17</v>
      </c>
      <c r="D72" t="s">
        <v>47</v>
      </c>
      <c r="E72">
        <v>13</v>
      </c>
      <c r="F72">
        <f t="shared" si="2"/>
        <v>44.199999999999996</v>
      </c>
      <c r="G72">
        <f>SUMIF($D$2:$D72,$D72,$E$2:$E72)</f>
        <v>13</v>
      </c>
      <c r="H72">
        <f t="shared" si="3"/>
        <v>0</v>
      </c>
    </row>
    <row r="73" spans="1:8" x14ac:dyDescent="0.25">
      <c r="A73" s="1">
        <v>44572</v>
      </c>
      <c r="B73" t="s">
        <v>6</v>
      </c>
      <c r="C73" t="s">
        <v>17</v>
      </c>
      <c r="D73" t="s">
        <v>45</v>
      </c>
      <c r="E73">
        <v>450</v>
      </c>
      <c r="F73">
        <f t="shared" si="2"/>
        <v>1530</v>
      </c>
      <c r="G73">
        <f>SUMIF($D$2:$D73,$D73,$E$2:$E73)</f>
        <v>450</v>
      </c>
      <c r="H73">
        <f t="shared" si="3"/>
        <v>0</v>
      </c>
    </row>
    <row r="74" spans="1:8" x14ac:dyDescent="0.25">
      <c r="A74" s="1">
        <v>44573</v>
      </c>
      <c r="B74" t="s">
        <v>8</v>
      </c>
      <c r="C74" t="s">
        <v>17</v>
      </c>
      <c r="D74" t="s">
        <v>66</v>
      </c>
      <c r="E74">
        <v>356</v>
      </c>
      <c r="F74">
        <f t="shared" si="2"/>
        <v>1246</v>
      </c>
      <c r="G74">
        <f>SUMIF($D$2:$D74,$D74,$E$2:$E74)</f>
        <v>356</v>
      </c>
      <c r="H74">
        <f t="shared" si="3"/>
        <v>0</v>
      </c>
    </row>
    <row r="75" spans="1:8" x14ac:dyDescent="0.25">
      <c r="A75" s="1">
        <v>44573</v>
      </c>
      <c r="B75" t="s">
        <v>7</v>
      </c>
      <c r="C75" t="s">
        <v>17</v>
      </c>
      <c r="D75" t="s">
        <v>19</v>
      </c>
      <c r="E75">
        <v>284</v>
      </c>
      <c r="F75">
        <f t="shared" si="2"/>
        <v>965.6</v>
      </c>
      <c r="G75">
        <f>SUMIF($D$2:$D75,$D75,$E$2:$E75)</f>
        <v>423</v>
      </c>
      <c r="H75">
        <f t="shared" si="3"/>
        <v>0</v>
      </c>
    </row>
    <row r="76" spans="1:8" x14ac:dyDescent="0.25">
      <c r="A76" s="1">
        <v>44573</v>
      </c>
      <c r="B76" t="s">
        <v>7</v>
      </c>
      <c r="C76" t="s">
        <v>17</v>
      </c>
      <c r="D76" t="s">
        <v>66</v>
      </c>
      <c r="E76">
        <v>281</v>
      </c>
      <c r="F76">
        <f t="shared" si="2"/>
        <v>955.4</v>
      </c>
      <c r="G76">
        <f>SUMIF($D$2:$D76,$D76,$E$2:$E76)</f>
        <v>637</v>
      </c>
      <c r="H76">
        <f t="shared" si="3"/>
        <v>0</v>
      </c>
    </row>
    <row r="77" spans="1:8" x14ac:dyDescent="0.25">
      <c r="A77" s="1">
        <v>44573</v>
      </c>
      <c r="B77" t="s">
        <v>8</v>
      </c>
      <c r="C77" t="s">
        <v>17</v>
      </c>
      <c r="D77" t="s">
        <v>31</v>
      </c>
      <c r="E77">
        <v>415</v>
      </c>
      <c r="F77">
        <f t="shared" si="2"/>
        <v>1452.5</v>
      </c>
      <c r="G77">
        <f>SUMIF($D$2:$D77,$D77,$E$2:$E77)</f>
        <v>1562</v>
      </c>
      <c r="H77">
        <f t="shared" si="3"/>
        <v>0</v>
      </c>
    </row>
    <row r="78" spans="1:8" x14ac:dyDescent="0.25">
      <c r="A78" s="1">
        <v>44573</v>
      </c>
      <c r="B78" t="s">
        <v>8</v>
      </c>
      <c r="C78" t="s">
        <v>17</v>
      </c>
      <c r="D78" t="s">
        <v>29</v>
      </c>
      <c r="E78">
        <v>627</v>
      </c>
      <c r="F78">
        <f t="shared" si="2"/>
        <v>2194.5</v>
      </c>
      <c r="G78">
        <f>SUMIF($D$2:$D78,$D78,$E$2:$E78)</f>
        <v>2120</v>
      </c>
      <c r="H78">
        <f t="shared" si="3"/>
        <v>0</v>
      </c>
    </row>
    <row r="79" spans="1:8" x14ac:dyDescent="0.25">
      <c r="A79" s="1">
        <v>44573</v>
      </c>
      <c r="B79" t="s">
        <v>10</v>
      </c>
      <c r="C79" t="s">
        <v>17</v>
      </c>
      <c r="D79" t="s">
        <v>35</v>
      </c>
      <c r="E79">
        <v>369</v>
      </c>
      <c r="F79">
        <f t="shared" si="2"/>
        <v>1254.5999999999999</v>
      </c>
      <c r="G79">
        <f>SUMIF($D$2:$D79,$D79,$E$2:$E79)</f>
        <v>1211</v>
      </c>
      <c r="H79">
        <f t="shared" si="3"/>
        <v>0</v>
      </c>
    </row>
    <row r="80" spans="1:8" x14ac:dyDescent="0.25">
      <c r="A80" s="1">
        <v>44573</v>
      </c>
      <c r="B80" t="s">
        <v>0</v>
      </c>
      <c r="C80" t="s">
        <v>17</v>
      </c>
      <c r="D80" t="s">
        <v>21</v>
      </c>
      <c r="E80">
        <v>89</v>
      </c>
      <c r="F80">
        <f t="shared" si="2"/>
        <v>258.09999999999997</v>
      </c>
      <c r="G80">
        <f>SUMIF($D$2:$D80,$D80,$E$2:$E80)</f>
        <v>622</v>
      </c>
      <c r="H80">
        <f t="shared" si="3"/>
        <v>0</v>
      </c>
    </row>
    <row r="81" spans="1:8" x14ac:dyDescent="0.25">
      <c r="A81" s="1">
        <v>44573</v>
      </c>
      <c r="B81" t="s">
        <v>15</v>
      </c>
      <c r="C81" t="s">
        <v>17</v>
      </c>
      <c r="D81" t="s">
        <v>33</v>
      </c>
      <c r="E81">
        <v>579</v>
      </c>
      <c r="F81">
        <f t="shared" si="2"/>
        <v>1389.6</v>
      </c>
      <c r="G81">
        <f>SUMIF($D$2:$D81,$D81,$E$2:$E81)</f>
        <v>1101</v>
      </c>
      <c r="H81">
        <f t="shared" si="3"/>
        <v>0</v>
      </c>
    </row>
    <row r="82" spans="1:8" x14ac:dyDescent="0.25">
      <c r="A82" s="1">
        <v>44573</v>
      </c>
      <c r="B82" t="s">
        <v>0</v>
      </c>
      <c r="C82" t="s">
        <v>17</v>
      </c>
      <c r="D82" t="s">
        <v>64</v>
      </c>
      <c r="E82">
        <v>412</v>
      </c>
      <c r="F82">
        <f t="shared" si="2"/>
        <v>1194.8</v>
      </c>
      <c r="G82">
        <f>SUMIF($D$2:$D82,$D82,$E$2:$E82)</f>
        <v>1374</v>
      </c>
      <c r="H82">
        <f t="shared" si="3"/>
        <v>0</v>
      </c>
    </row>
    <row r="83" spans="1:8" x14ac:dyDescent="0.25">
      <c r="A83" s="1">
        <v>44574</v>
      </c>
      <c r="B83" t="s">
        <v>8</v>
      </c>
      <c r="C83" t="s">
        <v>17</v>
      </c>
      <c r="D83" t="s">
        <v>38</v>
      </c>
      <c r="E83">
        <v>403</v>
      </c>
      <c r="F83">
        <f t="shared" si="2"/>
        <v>1410.5</v>
      </c>
      <c r="G83">
        <f>SUMIF($D$2:$D83,$D83,$E$2:$E83)</f>
        <v>1137</v>
      </c>
      <c r="H83">
        <f t="shared" si="3"/>
        <v>0</v>
      </c>
    </row>
    <row r="84" spans="1:8" x14ac:dyDescent="0.25">
      <c r="A84" s="1">
        <v>44574</v>
      </c>
      <c r="B84" t="s">
        <v>0</v>
      </c>
      <c r="C84" t="s">
        <v>17</v>
      </c>
      <c r="D84" t="s">
        <v>23</v>
      </c>
      <c r="E84">
        <v>92</v>
      </c>
      <c r="F84">
        <f t="shared" si="2"/>
        <v>266.8</v>
      </c>
      <c r="G84">
        <f>SUMIF($D$2:$D84,$D84,$E$2:$E84)</f>
        <v>662</v>
      </c>
      <c r="H84">
        <f t="shared" si="3"/>
        <v>0</v>
      </c>
    </row>
    <row r="85" spans="1:8" x14ac:dyDescent="0.25">
      <c r="A85" s="1">
        <v>44574</v>
      </c>
      <c r="B85" t="s">
        <v>7</v>
      </c>
      <c r="C85" t="s">
        <v>17</v>
      </c>
      <c r="D85" t="s">
        <v>21</v>
      </c>
      <c r="E85">
        <v>269</v>
      </c>
      <c r="F85">
        <f t="shared" si="2"/>
        <v>914.6</v>
      </c>
      <c r="G85">
        <f>SUMIF($D$2:$D85,$D85,$E$2:$E85)</f>
        <v>891</v>
      </c>
      <c r="H85">
        <f t="shared" si="3"/>
        <v>0</v>
      </c>
    </row>
    <row r="86" spans="1:8" x14ac:dyDescent="0.25">
      <c r="A86" s="1">
        <v>44574</v>
      </c>
      <c r="B86" t="s">
        <v>5</v>
      </c>
      <c r="C86" t="s">
        <v>17</v>
      </c>
      <c r="D86" t="s">
        <v>67</v>
      </c>
      <c r="E86">
        <v>159</v>
      </c>
      <c r="F86">
        <f t="shared" si="2"/>
        <v>540.6</v>
      </c>
      <c r="G86">
        <f>SUMIF($D$2:$D86,$D86,$E$2:$E86)</f>
        <v>1438</v>
      </c>
      <c r="H86">
        <f t="shared" si="3"/>
        <v>0</v>
      </c>
    </row>
    <row r="87" spans="1:8" x14ac:dyDescent="0.25">
      <c r="A87" s="1">
        <v>44575</v>
      </c>
      <c r="B87" t="s">
        <v>4</v>
      </c>
      <c r="C87" t="s">
        <v>17</v>
      </c>
      <c r="D87" t="s">
        <v>44</v>
      </c>
      <c r="E87">
        <v>752</v>
      </c>
      <c r="F87">
        <f t="shared" si="2"/>
        <v>2556.7999999999997</v>
      </c>
      <c r="G87">
        <f>SUMIF($D$2:$D87,$D87,$E$2:$E87)</f>
        <v>784</v>
      </c>
      <c r="H87">
        <f t="shared" si="3"/>
        <v>0</v>
      </c>
    </row>
    <row r="88" spans="1:8" x14ac:dyDescent="0.25">
      <c r="A88" s="1">
        <v>44575</v>
      </c>
      <c r="B88" t="s">
        <v>15</v>
      </c>
      <c r="C88" t="s">
        <v>17</v>
      </c>
      <c r="D88" t="s">
        <v>38</v>
      </c>
      <c r="E88">
        <v>408</v>
      </c>
      <c r="F88">
        <f t="shared" si="2"/>
        <v>979.19999999999993</v>
      </c>
      <c r="G88">
        <f>SUMIF($D$2:$D88,$D88,$E$2:$E88)</f>
        <v>1545</v>
      </c>
      <c r="H88">
        <f t="shared" si="3"/>
        <v>0</v>
      </c>
    </row>
    <row r="89" spans="1:8" x14ac:dyDescent="0.25">
      <c r="A89" s="1">
        <v>44575</v>
      </c>
      <c r="B89" t="s">
        <v>4</v>
      </c>
      <c r="C89" t="s">
        <v>17</v>
      </c>
      <c r="D89" t="s">
        <v>16</v>
      </c>
      <c r="E89">
        <v>536</v>
      </c>
      <c r="F89">
        <f t="shared" si="2"/>
        <v>1822.3999999999999</v>
      </c>
      <c r="G89">
        <f>SUMIF($D$2:$D89,$D89,$E$2:$E89)</f>
        <v>1666</v>
      </c>
      <c r="H89">
        <f t="shared" si="3"/>
        <v>0</v>
      </c>
    </row>
    <row r="90" spans="1:8" x14ac:dyDescent="0.25">
      <c r="A90" s="1">
        <v>44575</v>
      </c>
      <c r="B90" t="s">
        <v>5</v>
      </c>
      <c r="C90" t="s">
        <v>17</v>
      </c>
      <c r="D90" t="s">
        <v>34</v>
      </c>
      <c r="E90">
        <v>47</v>
      </c>
      <c r="F90">
        <f t="shared" si="2"/>
        <v>159.79999999999998</v>
      </c>
      <c r="G90">
        <f>SUMIF($D$2:$D90,$D90,$E$2:$E90)</f>
        <v>335</v>
      </c>
      <c r="H90">
        <f t="shared" si="3"/>
        <v>0</v>
      </c>
    </row>
    <row r="91" spans="1:8" x14ac:dyDescent="0.25">
      <c r="A91" s="1">
        <v>44575</v>
      </c>
      <c r="B91" t="s">
        <v>2</v>
      </c>
      <c r="C91" t="s">
        <v>17</v>
      </c>
      <c r="D91" t="s">
        <v>43</v>
      </c>
      <c r="E91">
        <v>249</v>
      </c>
      <c r="F91">
        <f t="shared" si="2"/>
        <v>796.80000000000007</v>
      </c>
      <c r="G91">
        <f>SUMIF($D$2:$D91,$D91,$E$2:$E91)</f>
        <v>249</v>
      </c>
      <c r="H91">
        <f t="shared" si="3"/>
        <v>0</v>
      </c>
    </row>
    <row r="92" spans="1:8" x14ac:dyDescent="0.25">
      <c r="A92" s="1">
        <v>44575</v>
      </c>
      <c r="B92" t="s">
        <v>4</v>
      </c>
      <c r="C92" t="s">
        <v>17</v>
      </c>
      <c r="D92" t="s">
        <v>55</v>
      </c>
      <c r="E92">
        <v>566</v>
      </c>
      <c r="F92">
        <f t="shared" si="2"/>
        <v>1924.3999999999999</v>
      </c>
      <c r="G92">
        <f>SUMIF($D$2:$D92,$D92,$E$2:$E92)</f>
        <v>1097</v>
      </c>
      <c r="H92">
        <f t="shared" si="3"/>
        <v>0</v>
      </c>
    </row>
    <row r="93" spans="1:8" x14ac:dyDescent="0.25">
      <c r="A93" s="1">
        <v>44575</v>
      </c>
      <c r="B93" t="s">
        <v>15</v>
      </c>
      <c r="C93" t="s">
        <v>17</v>
      </c>
      <c r="D93" t="s">
        <v>20</v>
      </c>
      <c r="E93">
        <v>364</v>
      </c>
      <c r="F93">
        <f t="shared" si="2"/>
        <v>873.6</v>
      </c>
      <c r="G93">
        <f>SUMIF($D$2:$D93,$D93,$E$2:$E93)</f>
        <v>364</v>
      </c>
      <c r="H93">
        <f t="shared" si="3"/>
        <v>0</v>
      </c>
    </row>
    <row r="94" spans="1:8" x14ac:dyDescent="0.25">
      <c r="A94" s="1">
        <v>44575</v>
      </c>
      <c r="B94" t="s">
        <v>10</v>
      </c>
      <c r="C94" t="s">
        <v>17</v>
      </c>
      <c r="D94" t="s">
        <v>44</v>
      </c>
      <c r="E94">
        <v>461</v>
      </c>
      <c r="F94">
        <f t="shared" si="2"/>
        <v>1567.3999999999999</v>
      </c>
      <c r="G94">
        <f>SUMIF($D$2:$D94,$D94,$E$2:$E94)</f>
        <v>1245</v>
      </c>
      <c r="H94">
        <f t="shared" si="3"/>
        <v>0</v>
      </c>
    </row>
    <row r="95" spans="1:8" x14ac:dyDescent="0.25">
      <c r="A95" s="1">
        <v>44575</v>
      </c>
      <c r="B95" t="s">
        <v>0</v>
      </c>
      <c r="C95" t="s">
        <v>17</v>
      </c>
      <c r="D95" t="s">
        <v>58</v>
      </c>
      <c r="E95">
        <v>256</v>
      </c>
      <c r="F95">
        <f t="shared" si="2"/>
        <v>742.4</v>
      </c>
      <c r="G95">
        <f>SUMIF($D$2:$D95,$D95,$E$2:$E95)</f>
        <v>951</v>
      </c>
      <c r="H95">
        <f t="shared" si="3"/>
        <v>0</v>
      </c>
    </row>
    <row r="96" spans="1:8" x14ac:dyDescent="0.25">
      <c r="A96" s="1">
        <v>44575</v>
      </c>
      <c r="B96" t="s">
        <v>2</v>
      </c>
      <c r="C96" t="s">
        <v>17</v>
      </c>
      <c r="D96" t="s">
        <v>29</v>
      </c>
      <c r="E96">
        <v>94</v>
      </c>
      <c r="F96">
        <f t="shared" si="2"/>
        <v>300.8</v>
      </c>
      <c r="G96">
        <f>SUMIF($D$2:$D96,$D96,$E$2:$E96)</f>
        <v>2214</v>
      </c>
      <c r="H96">
        <f t="shared" si="3"/>
        <v>0</v>
      </c>
    </row>
    <row r="97" spans="1:8" x14ac:dyDescent="0.25">
      <c r="A97" s="1">
        <v>44575</v>
      </c>
      <c r="B97" t="s">
        <v>15</v>
      </c>
      <c r="C97" t="s">
        <v>17</v>
      </c>
      <c r="D97" t="s">
        <v>46</v>
      </c>
      <c r="E97">
        <v>115</v>
      </c>
      <c r="F97">
        <f t="shared" si="2"/>
        <v>276</v>
      </c>
      <c r="G97">
        <f>SUMIF($D$2:$D97,$D97,$E$2:$E97)</f>
        <v>579</v>
      </c>
      <c r="H97">
        <f t="shared" si="3"/>
        <v>0</v>
      </c>
    </row>
    <row r="98" spans="1:8" x14ac:dyDescent="0.25">
      <c r="A98" s="1">
        <v>44575</v>
      </c>
      <c r="B98" t="s">
        <v>5</v>
      </c>
      <c r="C98" t="s">
        <v>17</v>
      </c>
      <c r="D98" t="s">
        <v>49</v>
      </c>
      <c r="E98">
        <v>183</v>
      </c>
      <c r="F98">
        <f t="shared" si="2"/>
        <v>622.19999999999993</v>
      </c>
      <c r="G98">
        <f>SUMIF($D$2:$D98,$D98,$E$2:$E98)</f>
        <v>449</v>
      </c>
      <c r="H98">
        <f t="shared" si="3"/>
        <v>0</v>
      </c>
    </row>
    <row r="99" spans="1:8" x14ac:dyDescent="0.25">
      <c r="A99" s="1">
        <v>44575</v>
      </c>
      <c r="B99" t="s">
        <v>0</v>
      </c>
      <c r="C99" t="s">
        <v>17</v>
      </c>
      <c r="D99" t="s">
        <v>60</v>
      </c>
      <c r="E99">
        <v>368</v>
      </c>
      <c r="F99">
        <f t="shared" si="2"/>
        <v>1067.2</v>
      </c>
      <c r="G99">
        <f>SUMIF($D$2:$D99,$D99,$E$2:$E99)</f>
        <v>368</v>
      </c>
      <c r="H99">
        <f t="shared" si="3"/>
        <v>0</v>
      </c>
    </row>
    <row r="100" spans="1:8" x14ac:dyDescent="0.25">
      <c r="A100" s="1">
        <v>44575</v>
      </c>
      <c r="B100" t="s">
        <v>8</v>
      </c>
      <c r="C100" t="s">
        <v>17</v>
      </c>
      <c r="D100" t="s">
        <v>18</v>
      </c>
      <c r="E100">
        <v>463</v>
      </c>
      <c r="F100">
        <f t="shared" si="2"/>
        <v>1620.5</v>
      </c>
      <c r="G100">
        <f>SUMIF($D$2:$D100,$D100,$E$2:$E100)</f>
        <v>463</v>
      </c>
      <c r="H100">
        <f t="shared" si="3"/>
        <v>0</v>
      </c>
    </row>
    <row r="101" spans="1:8" x14ac:dyDescent="0.25">
      <c r="A101" s="1">
        <v>44576</v>
      </c>
      <c r="B101" t="s">
        <v>5</v>
      </c>
      <c r="C101" t="s">
        <v>17</v>
      </c>
      <c r="D101" t="s">
        <v>44</v>
      </c>
      <c r="E101">
        <v>169</v>
      </c>
      <c r="F101">
        <f t="shared" si="2"/>
        <v>574.6</v>
      </c>
      <c r="G101">
        <f>SUMIF($D$2:$D101,$D101,$E$2:$E101)</f>
        <v>1414</v>
      </c>
      <c r="H101">
        <f t="shared" si="3"/>
        <v>0</v>
      </c>
    </row>
    <row r="102" spans="1:8" x14ac:dyDescent="0.25">
      <c r="A102" s="1">
        <v>44576</v>
      </c>
      <c r="B102" t="s">
        <v>15</v>
      </c>
      <c r="C102" t="s">
        <v>17</v>
      </c>
      <c r="D102" t="s">
        <v>43</v>
      </c>
      <c r="E102">
        <v>556</v>
      </c>
      <c r="F102">
        <f t="shared" si="2"/>
        <v>1334.3999999999999</v>
      </c>
      <c r="G102">
        <f>SUMIF($D$2:$D102,$D102,$E$2:$E102)</f>
        <v>805</v>
      </c>
      <c r="H102">
        <f t="shared" si="3"/>
        <v>0</v>
      </c>
    </row>
    <row r="103" spans="1:8" x14ac:dyDescent="0.25">
      <c r="A103" s="1">
        <v>44578</v>
      </c>
      <c r="B103" t="s">
        <v>4</v>
      </c>
      <c r="C103" t="s">
        <v>17</v>
      </c>
      <c r="D103" t="s">
        <v>34</v>
      </c>
      <c r="E103">
        <v>583</v>
      </c>
      <c r="F103">
        <f t="shared" si="2"/>
        <v>1982.2</v>
      </c>
      <c r="G103">
        <f>SUMIF($D$2:$D103,$D103,$E$2:$E103)</f>
        <v>918</v>
      </c>
      <c r="H103">
        <f t="shared" si="3"/>
        <v>0</v>
      </c>
    </row>
    <row r="104" spans="1:8" x14ac:dyDescent="0.25">
      <c r="A104" s="1">
        <v>44578</v>
      </c>
      <c r="B104" t="s">
        <v>8</v>
      </c>
      <c r="C104" t="s">
        <v>17</v>
      </c>
      <c r="D104" t="s">
        <v>33</v>
      </c>
      <c r="E104">
        <v>378</v>
      </c>
      <c r="F104">
        <f t="shared" si="2"/>
        <v>1323</v>
      </c>
      <c r="G104">
        <f>SUMIF($D$2:$D104,$D104,$E$2:$E104)</f>
        <v>1479</v>
      </c>
      <c r="H104">
        <f t="shared" si="3"/>
        <v>0</v>
      </c>
    </row>
    <row r="105" spans="1:8" x14ac:dyDescent="0.25">
      <c r="A105" s="1">
        <v>44578</v>
      </c>
      <c r="B105" t="s">
        <v>15</v>
      </c>
      <c r="C105" t="s">
        <v>17</v>
      </c>
      <c r="D105" t="s">
        <v>36</v>
      </c>
      <c r="E105">
        <v>374</v>
      </c>
      <c r="F105">
        <f t="shared" si="2"/>
        <v>897.6</v>
      </c>
      <c r="G105">
        <f>SUMIF($D$2:$D105,$D105,$E$2:$E105)</f>
        <v>628</v>
      </c>
      <c r="H105">
        <f t="shared" si="3"/>
        <v>0</v>
      </c>
    </row>
    <row r="106" spans="1:8" x14ac:dyDescent="0.25">
      <c r="A106" s="1">
        <v>44578</v>
      </c>
      <c r="B106" t="s">
        <v>2</v>
      </c>
      <c r="C106" t="s">
        <v>17</v>
      </c>
      <c r="D106" t="s">
        <v>63</v>
      </c>
      <c r="E106">
        <v>308</v>
      </c>
      <c r="F106">
        <f t="shared" si="2"/>
        <v>985.6</v>
      </c>
      <c r="G106">
        <f>SUMIF($D$2:$D106,$D106,$E$2:$E106)</f>
        <v>372</v>
      </c>
      <c r="H106">
        <f t="shared" si="3"/>
        <v>0</v>
      </c>
    </row>
    <row r="107" spans="1:8" x14ac:dyDescent="0.25">
      <c r="A107" s="1">
        <v>44578</v>
      </c>
      <c r="B107" t="s">
        <v>15</v>
      </c>
      <c r="C107" t="s">
        <v>17</v>
      </c>
      <c r="D107" t="s">
        <v>40</v>
      </c>
      <c r="E107">
        <v>240</v>
      </c>
      <c r="F107">
        <f t="shared" si="2"/>
        <v>576</v>
      </c>
      <c r="G107">
        <f>SUMIF($D$2:$D107,$D107,$E$2:$E107)</f>
        <v>240</v>
      </c>
      <c r="H107">
        <f t="shared" si="3"/>
        <v>0</v>
      </c>
    </row>
    <row r="108" spans="1:8" x14ac:dyDescent="0.25">
      <c r="A108" s="1">
        <v>44578</v>
      </c>
      <c r="B108" t="s">
        <v>10</v>
      </c>
      <c r="C108" t="s">
        <v>17</v>
      </c>
      <c r="D108" t="s">
        <v>32</v>
      </c>
      <c r="E108">
        <v>298</v>
      </c>
      <c r="F108">
        <f t="shared" si="2"/>
        <v>1013.1999999999999</v>
      </c>
      <c r="G108">
        <f>SUMIF($D$2:$D108,$D108,$E$2:$E108)</f>
        <v>298</v>
      </c>
      <c r="H108">
        <f t="shared" si="3"/>
        <v>0</v>
      </c>
    </row>
    <row r="109" spans="1:8" x14ac:dyDescent="0.25">
      <c r="A109" s="1">
        <v>44578</v>
      </c>
      <c r="B109" t="s">
        <v>10</v>
      </c>
      <c r="C109" t="s">
        <v>17</v>
      </c>
      <c r="D109" t="s">
        <v>43</v>
      </c>
      <c r="E109">
        <v>272</v>
      </c>
      <c r="F109">
        <f t="shared" si="2"/>
        <v>924.8</v>
      </c>
      <c r="G109">
        <f>SUMIF($D$2:$D109,$D109,$E$2:$E109)</f>
        <v>1077</v>
      </c>
      <c r="H109">
        <f t="shared" si="3"/>
        <v>0</v>
      </c>
    </row>
    <row r="110" spans="1:8" x14ac:dyDescent="0.25">
      <c r="A110" s="1">
        <v>44578</v>
      </c>
      <c r="B110" t="s">
        <v>7</v>
      </c>
      <c r="C110" t="s">
        <v>17</v>
      </c>
      <c r="D110" t="s">
        <v>61</v>
      </c>
      <c r="E110">
        <v>430</v>
      </c>
      <c r="F110">
        <f t="shared" si="2"/>
        <v>1462</v>
      </c>
      <c r="G110">
        <f>SUMIF($D$2:$D110,$D110,$E$2:$E110)</f>
        <v>900</v>
      </c>
      <c r="H110">
        <f t="shared" si="3"/>
        <v>0</v>
      </c>
    </row>
    <row r="111" spans="1:8" x14ac:dyDescent="0.25">
      <c r="A111" s="1">
        <v>44578</v>
      </c>
      <c r="B111" t="s">
        <v>8</v>
      </c>
      <c r="C111" t="s">
        <v>17</v>
      </c>
      <c r="D111" t="s">
        <v>51</v>
      </c>
      <c r="E111">
        <v>532</v>
      </c>
      <c r="F111">
        <f t="shared" si="2"/>
        <v>1862</v>
      </c>
      <c r="G111">
        <f>SUMIF($D$2:$D111,$D111,$E$2:$E111)</f>
        <v>1037</v>
      </c>
      <c r="H111">
        <f t="shared" si="3"/>
        <v>0</v>
      </c>
    </row>
    <row r="112" spans="1:8" x14ac:dyDescent="0.25">
      <c r="A112" s="1">
        <v>44578</v>
      </c>
      <c r="B112" t="s">
        <v>7</v>
      </c>
      <c r="C112" t="s">
        <v>17</v>
      </c>
      <c r="D112" t="s">
        <v>67</v>
      </c>
      <c r="E112">
        <v>396</v>
      </c>
      <c r="F112">
        <f t="shared" si="2"/>
        <v>1346.3999999999999</v>
      </c>
      <c r="G112">
        <f>SUMIF($D$2:$D112,$D112,$E$2:$E112)</f>
        <v>1834</v>
      </c>
      <c r="H112">
        <f t="shared" si="3"/>
        <v>0</v>
      </c>
    </row>
    <row r="113" spans="1:8" x14ac:dyDescent="0.25">
      <c r="A113" s="1">
        <v>44578</v>
      </c>
      <c r="B113" t="s">
        <v>6</v>
      </c>
      <c r="C113" t="s">
        <v>17</v>
      </c>
      <c r="D113" t="s">
        <v>37</v>
      </c>
      <c r="E113">
        <v>88</v>
      </c>
      <c r="F113">
        <f t="shared" si="2"/>
        <v>299.2</v>
      </c>
      <c r="G113">
        <f>SUMIF($D$2:$D113,$D113,$E$2:$E113)</f>
        <v>348</v>
      </c>
      <c r="H113">
        <f t="shared" si="3"/>
        <v>0</v>
      </c>
    </row>
    <row r="114" spans="1:8" x14ac:dyDescent="0.25">
      <c r="A114" s="1">
        <v>44578</v>
      </c>
      <c r="B114" t="s">
        <v>7</v>
      </c>
      <c r="C114" t="s">
        <v>17</v>
      </c>
      <c r="D114" t="s">
        <v>34</v>
      </c>
      <c r="E114">
        <v>520</v>
      </c>
      <c r="F114">
        <f t="shared" si="2"/>
        <v>1768</v>
      </c>
      <c r="G114">
        <f>SUMIF($D$2:$D114,$D114,$E$2:$E114)</f>
        <v>1438</v>
      </c>
      <c r="H114">
        <f t="shared" si="3"/>
        <v>0</v>
      </c>
    </row>
    <row r="115" spans="1:8" x14ac:dyDescent="0.25">
      <c r="A115" s="1">
        <v>44578</v>
      </c>
      <c r="B115" t="s">
        <v>6</v>
      </c>
      <c r="C115" t="s">
        <v>17</v>
      </c>
      <c r="D115" t="s">
        <v>19</v>
      </c>
      <c r="E115">
        <v>296</v>
      </c>
      <c r="F115">
        <f t="shared" si="2"/>
        <v>1006.4</v>
      </c>
      <c r="G115">
        <f>SUMIF($D$2:$D115,$D115,$E$2:$E115)</f>
        <v>719</v>
      </c>
      <c r="H115">
        <f t="shared" si="3"/>
        <v>0</v>
      </c>
    </row>
    <row r="116" spans="1:8" x14ac:dyDescent="0.25">
      <c r="A116" s="1">
        <v>44578</v>
      </c>
      <c r="B116" t="s">
        <v>10</v>
      </c>
      <c r="C116" t="s">
        <v>17</v>
      </c>
      <c r="D116" t="s">
        <v>30</v>
      </c>
      <c r="E116">
        <v>400</v>
      </c>
      <c r="F116">
        <f t="shared" si="2"/>
        <v>1360</v>
      </c>
      <c r="G116">
        <f>SUMIF($D$2:$D116,$D116,$E$2:$E116)</f>
        <v>622</v>
      </c>
      <c r="H116">
        <f t="shared" si="3"/>
        <v>0</v>
      </c>
    </row>
    <row r="117" spans="1:8" x14ac:dyDescent="0.25">
      <c r="A117" s="1">
        <v>44578</v>
      </c>
      <c r="B117" t="s">
        <v>15</v>
      </c>
      <c r="C117" t="s">
        <v>17</v>
      </c>
      <c r="D117" t="s">
        <v>32</v>
      </c>
      <c r="E117">
        <v>221</v>
      </c>
      <c r="F117">
        <f t="shared" si="2"/>
        <v>530.4</v>
      </c>
      <c r="G117">
        <f>SUMIF($D$2:$D117,$D117,$E$2:$E117)</f>
        <v>519</v>
      </c>
      <c r="H117">
        <f t="shared" si="3"/>
        <v>0</v>
      </c>
    </row>
    <row r="118" spans="1:8" x14ac:dyDescent="0.25">
      <c r="A118" s="1">
        <v>44578</v>
      </c>
      <c r="B118" t="s">
        <v>7</v>
      </c>
      <c r="C118" t="s">
        <v>17</v>
      </c>
      <c r="D118" t="s">
        <v>44</v>
      </c>
      <c r="E118">
        <v>256</v>
      </c>
      <c r="F118">
        <f t="shared" si="2"/>
        <v>870.4</v>
      </c>
      <c r="G118">
        <f>SUMIF($D$2:$D118,$D118,$E$2:$E118)</f>
        <v>1670</v>
      </c>
      <c r="H118">
        <f t="shared" si="3"/>
        <v>0</v>
      </c>
    </row>
    <row r="119" spans="1:8" x14ac:dyDescent="0.25">
      <c r="A119" s="1">
        <v>44578</v>
      </c>
      <c r="B119" t="s">
        <v>2</v>
      </c>
      <c r="C119" t="s">
        <v>17</v>
      </c>
      <c r="D119" t="s">
        <v>27</v>
      </c>
      <c r="E119">
        <v>19</v>
      </c>
      <c r="F119">
        <f t="shared" si="2"/>
        <v>60.800000000000004</v>
      </c>
      <c r="G119">
        <f>SUMIF($D$2:$D119,$D119,$E$2:$E119)</f>
        <v>1372</v>
      </c>
      <c r="H119">
        <f t="shared" si="3"/>
        <v>0</v>
      </c>
    </row>
    <row r="120" spans="1:8" x14ac:dyDescent="0.25">
      <c r="A120" s="1">
        <v>44578</v>
      </c>
      <c r="B120" t="s">
        <v>0</v>
      </c>
      <c r="C120" t="s">
        <v>17</v>
      </c>
      <c r="D120" t="s">
        <v>66</v>
      </c>
      <c r="E120">
        <v>378</v>
      </c>
      <c r="F120">
        <f t="shared" si="2"/>
        <v>1096.2</v>
      </c>
      <c r="G120">
        <f>SUMIF($D$2:$D120,$D120,$E$2:$E120)</f>
        <v>1015</v>
      </c>
      <c r="H120">
        <f t="shared" si="3"/>
        <v>0</v>
      </c>
    </row>
    <row r="121" spans="1:8" x14ac:dyDescent="0.25">
      <c r="A121" s="1">
        <v>44579</v>
      </c>
      <c r="B121" t="s">
        <v>2</v>
      </c>
      <c r="C121" t="s">
        <v>17</v>
      </c>
      <c r="D121" t="s">
        <v>55</v>
      </c>
      <c r="E121">
        <v>346</v>
      </c>
      <c r="F121">
        <f t="shared" si="2"/>
        <v>1107.2</v>
      </c>
      <c r="G121">
        <f>SUMIF($D$2:$D121,$D121,$E$2:$E121)</f>
        <v>1443</v>
      </c>
      <c r="H121">
        <f t="shared" si="3"/>
        <v>0</v>
      </c>
    </row>
    <row r="122" spans="1:8" x14ac:dyDescent="0.25">
      <c r="A122" s="1">
        <v>44579</v>
      </c>
      <c r="B122" t="s">
        <v>10</v>
      </c>
      <c r="C122" t="s">
        <v>17</v>
      </c>
      <c r="D122" t="s">
        <v>25</v>
      </c>
      <c r="E122">
        <v>419</v>
      </c>
      <c r="F122">
        <f t="shared" si="2"/>
        <v>1424.6</v>
      </c>
      <c r="G122">
        <f>SUMIF($D$2:$D122,$D122,$E$2:$E122)</f>
        <v>1022</v>
      </c>
      <c r="H122">
        <f t="shared" si="3"/>
        <v>0</v>
      </c>
    </row>
    <row r="123" spans="1:8" x14ac:dyDescent="0.25">
      <c r="A123" s="1">
        <v>44579</v>
      </c>
      <c r="B123" t="s">
        <v>7</v>
      </c>
      <c r="C123" t="s">
        <v>17</v>
      </c>
      <c r="D123" t="s">
        <v>42</v>
      </c>
      <c r="E123">
        <v>211</v>
      </c>
      <c r="F123">
        <f t="shared" si="2"/>
        <v>717.4</v>
      </c>
      <c r="G123">
        <f>SUMIF($D$2:$D123,$D123,$E$2:$E123)</f>
        <v>350</v>
      </c>
      <c r="H123">
        <f t="shared" si="3"/>
        <v>0</v>
      </c>
    </row>
    <row r="124" spans="1:8" x14ac:dyDescent="0.25">
      <c r="A124" s="1">
        <v>44579</v>
      </c>
      <c r="B124" t="s">
        <v>4</v>
      </c>
      <c r="C124" t="s">
        <v>17</v>
      </c>
      <c r="D124" t="s">
        <v>16</v>
      </c>
      <c r="E124">
        <v>577</v>
      </c>
      <c r="F124">
        <f t="shared" si="2"/>
        <v>1961.8</v>
      </c>
      <c r="G124">
        <f>SUMIF($D$2:$D124,$D124,$E$2:$E124)</f>
        <v>2243</v>
      </c>
      <c r="H124">
        <f t="shared" si="3"/>
        <v>0</v>
      </c>
    </row>
    <row r="125" spans="1:8" x14ac:dyDescent="0.25">
      <c r="A125" s="1">
        <v>44579</v>
      </c>
      <c r="B125" t="s">
        <v>0</v>
      </c>
      <c r="C125" t="s">
        <v>17</v>
      </c>
      <c r="D125" t="s">
        <v>30</v>
      </c>
      <c r="E125">
        <v>390</v>
      </c>
      <c r="F125">
        <f t="shared" si="2"/>
        <v>1131</v>
      </c>
      <c r="G125">
        <f>SUMIF($D$2:$D125,$D125,$E$2:$E125)</f>
        <v>1012</v>
      </c>
      <c r="H125">
        <f t="shared" si="3"/>
        <v>0</v>
      </c>
    </row>
    <row r="126" spans="1:8" x14ac:dyDescent="0.25">
      <c r="A126" s="1">
        <v>44579</v>
      </c>
      <c r="B126" t="s">
        <v>6</v>
      </c>
      <c r="C126" t="s">
        <v>17</v>
      </c>
      <c r="D126" t="s">
        <v>30</v>
      </c>
      <c r="E126">
        <v>15</v>
      </c>
      <c r="F126">
        <f t="shared" si="2"/>
        <v>51</v>
      </c>
      <c r="G126">
        <f>SUMIF($D$2:$D126,$D126,$E$2:$E126)</f>
        <v>1027</v>
      </c>
      <c r="H126">
        <f t="shared" si="3"/>
        <v>0</v>
      </c>
    </row>
    <row r="127" spans="1:8" x14ac:dyDescent="0.25">
      <c r="A127" s="1">
        <v>44579</v>
      </c>
      <c r="B127" t="s">
        <v>15</v>
      </c>
      <c r="C127" t="s">
        <v>17</v>
      </c>
      <c r="D127" t="s">
        <v>28</v>
      </c>
      <c r="E127">
        <v>212</v>
      </c>
      <c r="F127">
        <f t="shared" si="2"/>
        <v>508.79999999999995</v>
      </c>
      <c r="G127">
        <f>SUMIF($D$2:$D127,$D127,$E$2:$E127)</f>
        <v>1124</v>
      </c>
      <c r="H127">
        <f t="shared" si="3"/>
        <v>0</v>
      </c>
    </row>
    <row r="128" spans="1:8" x14ac:dyDescent="0.25">
      <c r="A128" s="1">
        <v>44579</v>
      </c>
      <c r="B128" t="s">
        <v>15</v>
      </c>
      <c r="C128" t="s">
        <v>17</v>
      </c>
      <c r="D128" t="s">
        <v>26</v>
      </c>
      <c r="E128">
        <v>419</v>
      </c>
      <c r="F128">
        <f t="shared" si="2"/>
        <v>1005.5999999999999</v>
      </c>
      <c r="G128">
        <f>SUMIF($D$2:$D128,$D128,$E$2:$E128)</f>
        <v>1614</v>
      </c>
      <c r="H128">
        <f t="shared" si="3"/>
        <v>0</v>
      </c>
    </row>
    <row r="129" spans="1:8" x14ac:dyDescent="0.25">
      <c r="A129" s="1">
        <v>44580</v>
      </c>
      <c r="B129" t="s">
        <v>4</v>
      </c>
      <c r="C129" t="s">
        <v>17</v>
      </c>
      <c r="D129" t="s">
        <v>26</v>
      </c>
      <c r="E129">
        <v>511</v>
      </c>
      <c r="F129">
        <f t="shared" si="2"/>
        <v>1737.3999999999999</v>
      </c>
      <c r="G129">
        <f>SUMIF($D$2:$D129,$D129,$E$2:$E129)</f>
        <v>2125</v>
      </c>
      <c r="H129">
        <f t="shared" si="3"/>
        <v>0</v>
      </c>
    </row>
    <row r="130" spans="1:8" x14ac:dyDescent="0.25">
      <c r="A130" s="1">
        <v>44580</v>
      </c>
      <c r="B130" t="s">
        <v>5</v>
      </c>
      <c r="C130" t="s">
        <v>17</v>
      </c>
      <c r="D130" t="s">
        <v>63</v>
      </c>
      <c r="E130">
        <v>447</v>
      </c>
      <c r="F130">
        <f t="shared" si="2"/>
        <v>1519.8</v>
      </c>
      <c r="G130">
        <f>SUMIF($D$2:$D130,$D130,$E$2:$E130)</f>
        <v>819</v>
      </c>
      <c r="H130">
        <f t="shared" si="3"/>
        <v>0</v>
      </c>
    </row>
    <row r="131" spans="1:8" x14ac:dyDescent="0.25">
      <c r="A131" s="1">
        <v>44580</v>
      </c>
      <c r="B131" t="s">
        <v>10</v>
      </c>
      <c r="C131" t="s">
        <v>17</v>
      </c>
      <c r="D131" t="s">
        <v>49</v>
      </c>
      <c r="E131">
        <v>327</v>
      </c>
      <c r="F131">
        <f t="shared" ref="F131:F194" si="4">E131* _xlfn.XLOOKUP(B131,$I$2:$I$17,$J$2:$J$17,"0",0,1)</f>
        <v>1111.8</v>
      </c>
      <c r="G131">
        <f>SUMIF($D$2:$D131,$D131,$E$2:$E131)</f>
        <v>776</v>
      </c>
      <c r="H131">
        <f t="shared" ref="H131:H194" si="5">IF(AND($G131 &gt; 15000,$G131 &lt; 20000),5*$E131,IF($G131 &gt;= 20000,10*$E131,0))</f>
        <v>0</v>
      </c>
    </row>
    <row r="132" spans="1:8" x14ac:dyDescent="0.25">
      <c r="A132" s="1">
        <v>44580</v>
      </c>
      <c r="B132" t="s">
        <v>7</v>
      </c>
      <c r="C132" t="s">
        <v>17</v>
      </c>
      <c r="D132" t="s">
        <v>47</v>
      </c>
      <c r="E132">
        <v>241</v>
      </c>
      <c r="F132">
        <f t="shared" si="4"/>
        <v>819.4</v>
      </c>
      <c r="G132">
        <f>SUMIF($D$2:$D132,$D132,$E$2:$E132)</f>
        <v>254</v>
      </c>
      <c r="H132">
        <f t="shared" si="5"/>
        <v>0</v>
      </c>
    </row>
    <row r="133" spans="1:8" x14ac:dyDescent="0.25">
      <c r="A133" s="1">
        <v>44580</v>
      </c>
      <c r="B133" t="s">
        <v>0</v>
      </c>
      <c r="C133" t="s">
        <v>17</v>
      </c>
      <c r="D133" t="s">
        <v>33</v>
      </c>
      <c r="E133">
        <v>497</v>
      </c>
      <c r="F133">
        <f t="shared" si="4"/>
        <v>1441.3</v>
      </c>
      <c r="G133">
        <f>SUMIF($D$2:$D133,$D133,$E$2:$E133)</f>
        <v>1976</v>
      </c>
      <c r="H133">
        <f t="shared" si="5"/>
        <v>0</v>
      </c>
    </row>
    <row r="134" spans="1:8" x14ac:dyDescent="0.25">
      <c r="A134" s="1">
        <v>44580</v>
      </c>
      <c r="B134" t="s">
        <v>2</v>
      </c>
      <c r="C134" t="s">
        <v>17</v>
      </c>
      <c r="D134" t="s">
        <v>25</v>
      </c>
      <c r="E134">
        <v>111</v>
      </c>
      <c r="F134">
        <f t="shared" si="4"/>
        <v>355.20000000000005</v>
      </c>
      <c r="G134">
        <f>SUMIF($D$2:$D134,$D134,$E$2:$E134)</f>
        <v>1133</v>
      </c>
      <c r="H134">
        <f t="shared" si="5"/>
        <v>0</v>
      </c>
    </row>
    <row r="135" spans="1:8" x14ac:dyDescent="0.25">
      <c r="A135" s="1">
        <v>44580</v>
      </c>
      <c r="B135" t="s">
        <v>0</v>
      </c>
      <c r="C135" t="s">
        <v>17</v>
      </c>
      <c r="D135" t="s">
        <v>37</v>
      </c>
      <c r="E135">
        <v>482</v>
      </c>
      <c r="F135">
        <f t="shared" si="4"/>
        <v>1397.8</v>
      </c>
      <c r="G135">
        <f>SUMIF($D$2:$D135,$D135,$E$2:$E135)</f>
        <v>830</v>
      </c>
      <c r="H135">
        <f t="shared" si="5"/>
        <v>0</v>
      </c>
    </row>
    <row r="136" spans="1:8" x14ac:dyDescent="0.25">
      <c r="A136" s="1">
        <v>44580</v>
      </c>
      <c r="B136" t="s">
        <v>5</v>
      </c>
      <c r="C136" t="s">
        <v>17</v>
      </c>
      <c r="D136" t="s">
        <v>33</v>
      </c>
      <c r="E136">
        <v>46</v>
      </c>
      <c r="F136">
        <f t="shared" si="4"/>
        <v>156.4</v>
      </c>
      <c r="G136">
        <f>SUMIF($D$2:$D136,$D136,$E$2:$E136)</f>
        <v>2022</v>
      </c>
      <c r="H136">
        <f t="shared" si="5"/>
        <v>0</v>
      </c>
    </row>
    <row r="137" spans="1:8" x14ac:dyDescent="0.25">
      <c r="A137" s="1">
        <v>44580</v>
      </c>
      <c r="B137" t="s">
        <v>10</v>
      </c>
      <c r="C137" t="s">
        <v>17</v>
      </c>
      <c r="D137" t="s">
        <v>32</v>
      </c>
      <c r="E137">
        <v>385</v>
      </c>
      <c r="F137">
        <f t="shared" si="4"/>
        <v>1309</v>
      </c>
      <c r="G137">
        <f>SUMIF($D$2:$D137,$D137,$E$2:$E137)</f>
        <v>904</v>
      </c>
      <c r="H137">
        <f t="shared" si="5"/>
        <v>0</v>
      </c>
    </row>
    <row r="138" spans="1:8" x14ac:dyDescent="0.25">
      <c r="A138" s="1">
        <v>44580</v>
      </c>
      <c r="B138" t="s">
        <v>4</v>
      </c>
      <c r="C138" t="s">
        <v>17</v>
      </c>
      <c r="D138" t="s">
        <v>20</v>
      </c>
      <c r="E138">
        <v>717</v>
      </c>
      <c r="F138">
        <f t="shared" si="4"/>
        <v>2437.7999999999997</v>
      </c>
      <c r="G138">
        <f>SUMIF($D$2:$D138,$D138,$E$2:$E138)</f>
        <v>1081</v>
      </c>
      <c r="H138">
        <f t="shared" si="5"/>
        <v>0</v>
      </c>
    </row>
    <row r="139" spans="1:8" x14ac:dyDescent="0.25">
      <c r="A139" s="1">
        <v>44580</v>
      </c>
      <c r="B139" t="s">
        <v>5</v>
      </c>
      <c r="C139" t="s">
        <v>17</v>
      </c>
      <c r="D139" t="s">
        <v>22</v>
      </c>
      <c r="E139">
        <v>11</v>
      </c>
      <c r="F139">
        <f t="shared" si="4"/>
        <v>37.4</v>
      </c>
      <c r="G139">
        <f>SUMIF($D$2:$D139,$D139,$E$2:$E139)</f>
        <v>1048</v>
      </c>
      <c r="H139">
        <f t="shared" si="5"/>
        <v>0</v>
      </c>
    </row>
    <row r="140" spans="1:8" x14ac:dyDescent="0.25">
      <c r="A140" s="1">
        <v>44581</v>
      </c>
      <c r="B140" t="s">
        <v>6</v>
      </c>
      <c r="C140" t="s">
        <v>17</v>
      </c>
      <c r="D140" t="s">
        <v>66</v>
      </c>
      <c r="E140">
        <v>135</v>
      </c>
      <c r="F140">
        <f t="shared" si="4"/>
        <v>459</v>
      </c>
      <c r="G140">
        <f>SUMIF($D$2:$D140,$D140,$E$2:$E140)</f>
        <v>1150</v>
      </c>
      <c r="H140">
        <f t="shared" si="5"/>
        <v>0</v>
      </c>
    </row>
    <row r="141" spans="1:8" x14ac:dyDescent="0.25">
      <c r="A141" s="1">
        <v>44581</v>
      </c>
      <c r="B141" t="s">
        <v>5</v>
      </c>
      <c r="C141" t="s">
        <v>17</v>
      </c>
      <c r="D141" t="s">
        <v>40</v>
      </c>
      <c r="E141">
        <v>234</v>
      </c>
      <c r="F141">
        <f t="shared" si="4"/>
        <v>795.6</v>
      </c>
      <c r="G141">
        <f>SUMIF($D$2:$D141,$D141,$E$2:$E141)</f>
        <v>474</v>
      </c>
      <c r="H141">
        <f t="shared" si="5"/>
        <v>0</v>
      </c>
    </row>
    <row r="142" spans="1:8" x14ac:dyDescent="0.25">
      <c r="A142" s="1">
        <v>44581</v>
      </c>
      <c r="B142" t="s">
        <v>15</v>
      </c>
      <c r="C142" t="s">
        <v>17</v>
      </c>
      <c r="D142" t="s">
        <v>36</v>
      </c>
      <c r="E142">
        <v>402</v>
      </c>
      <c r="F142">
        <f t="shared" si="4"/>
        <v>964.8</v>
      </c>
      <c r="G142">
        <f>SUMIF($D$2:$D142,$D142,$E$2:$E142)</f>
        <v>1030</v>
      </c>
      <c r="H142">
        <f t="shared" si="5"/>
        <v>0</v>
      </c>
    </row>
    <row r="143" spans="1:8" x14ac:dyDescent="0.25">
      <c r="A143" s="1">
        <v>44581</v>
      </c>
      <c r="B143" t="s">
        <v>0</v>
      </c>
      <c r="C143" t="s">
        <v>17</v>
      </c>
      <c r="D143" t="s">
        <v>27</v>
      </c>
      <c r="E143">
        <v>497</v>
      </c>
      <c r="F143">
        <f t="shared" si="4"/>
        <v>1441.3</v>
      </c>
      <c r="G143">
        <f>SUMIF($D$2:$D143,$D143,$E$2:$E143)</f>
        <v>1869</v>
      </c>
      <c r="H143">
        <f t="shared" si="5"/>
        <v>0</v>
      </c>
    </row>
    <row r="144" spans="1:8" x14ac:dyDescent="0.25">
      <c r="A144" s="1">
        <v>44581</v>
      </c>
      <c r="B144" t="s">
        <v>15</v>
      </c>
      <c r="C144" t="s">
        <v>17</v>
      </c>
      <c r="D144" t="s">
        <v>18</v>
      </c>
      <c r="E144">
        <v>478</v>
      </c>
      <c r="F144">
        <f t="shared" si="4"/>
        <v>1147.2</v>
      </c>
      <c r="G144">
        <f>SUMIF($D$2:$D144,$D144,$E$2:$E144)</f>
        <v>941</v>
      </c>
      <c r="H144">
        <f t="shared" si="5"/>
        <v>0</v>
      </c>
    </row>
    <row r="145" spans="1:8" x14ac:dyDescent="0.25">
      <c r="A145" s="1">
        <v>44582</v>
      </c>
      <c r="B145" t="s">
        <v>7</v>
      </c>
      <c r="C145" t="s">
        <v>17</v>
      </c>
      <c r="D145" t="s">
        <v>18</v>
      </c>
      <c r="E145">
        <v>361</v>
      </c>
      <c r="F145">
        <f t="shared" si="4"/>
        <v>1227.3999999999999</v>
      </c>
      <c r="G145">
        <f>SUMIF($D$2:$D145,$D145,$E$2:$E145)</f>
        <v>1302</v>
      </c>
      <c r="H145">
        <f t="shared" si="5"/>
        <v>0</v>
      </c>
    </row>
    <row r="146" spans="1:8" x14ac:dyDescent="0.25">
      <c r="A146" s="1">
        <v>44582</v>
      </c>
      <c r="B146" t="s">
        <v>2</v>
      </c>
      <c r="C146" t="s">
        <v>17</v>
      </c>
      <c r="D146" t="s">
        <v>39</v>
      </c>
      <c r="E146">
        <v>410</v>
      </c>
      <c r="F146">
        <f t="shared" si="4"/>
        <v>1312</v>
      </c>
      <c r="G146">
        <f>SUMIF($D$2:$D146,$D146,$E$2:$E146)</f>
        <v>848</v>
      </c>
      <c r="H146">
        <f t="shared" si="5"/>
        <v>0</v>
      </c>
    </row>
    <row r="147" spans="1:8" x14ac:dyDescent="0.25">
      <c r="A147" s="1">
        <v>44582</v>
      </c>
      <c r="B147" t="s">
        <v>15</v>
      </c>
      <c r="C147" t="s">
        <v>17</v>
      </c>
      <c r="D147" t="s">
        <v>24</v>
      </c>
      <c r="E147">
        <v>482</v>
      </c>
      <c r="F147">
        <f t="shared" si="4"/>
        <v>1156.8</v>
      </c>
      <c r="G147">
        <f>SUMIF($D$2:$D147,$D147,$E$2:$E147)</f>
        <v>736</v>
      </c>
      <c r="H147">
        <f t="shared" si="5"/>
        <v>0</v>
      </c>
    </row>
    <row r="148" spans="1:8" x14ac:dyDescent="0.25">
      <c r="A148" s="1">
        <v>44582</v>
      </c>
      <c r="B148" t="s">
        <v>10</v>
      </c>
      <c r="C148" t="s">
        <v>17</v>
      </c>
      <c r="D148" t="s">
        <v>42</v>
      </c>
      <c r="E148">
        <v>247</v>
      </c>
      <c r="F148">
        <f t="shared" si="4"/>
        <v>839.8</v>
      </c>
      <c r="G148">
        <f>SUMIF($D$2:$D148,$D148,$E$2:$E148)</f>
        <v>597</v>
      </c>
      <c r="H148">
        <f t="shared" si="5"/>
        <v>0</v>
      </c>
    </row>
    <row r="149" spans="1:8" x14ac:dyDescent="0.25">
      <c r="A149" s="1">
        <v>44582</v>
      </c>
      <c r="B149" t="s">
        <v>7</v>
      </c>
      <c r="C149" t="s">
        <v>17</v>
      </c>
      <c r="D149" t="s">
        <v>37</v>
      </c>
      <c r="E149">
        <v>212</v>
      </c>
      <c r="F149">
        <f t="shared" si="4"/>
        <v>720.8</v>
      </c>
      <c r="G149">
        <f>SUMIF($D$2:$D149,$D149,$E$2:$E149)</f>
        <v>1042</v>
      </c>
      <c r="H149">
        <f t="shared" si="5"/>
        <v>0</v>
      </c>
    </row>
    <row r="150" spans="1:8" x14ac:dyDescent="0.25">
      <c r="A150" s="1">
        <v>44583</v>
      </c>
      <c r="B150" t="s">
        <v>8</v>
      </c>
      <c r="C150" t="s">
        <v>17</v>
      </c>
      <c r="D150" t="s">
        <v>22</v>
      </c>
      <c r="E150">
        <v>590</v>
      </c>
      <c r="F150">
        <f t="shared" si="4"/>
        <v>2065</v>
      </c>
      <c r="G150">
        <f>SUMIF($D$2:$D150,$D150,$E$2:$E150)</f>
        <v>1638</v>
      </c>
      <c r="H150">
        <f t="shared" si="5"/>
        <v>0</v>
      </c>
    </row>
    <row r="151" spans="1:8" x14ac:dyDescent="0.25">
      <c r="A151" s="1">
        <v>44583</v>
      </c>
      <c r="B151" t="s">
        <v>5</v>
      </c>
      <c r="C151" t="s">
        <v>17</v>
      </c>
      <c r="D151" t="s">
        <v>16</v>
      </c>
      <c r="E151">
        <v>59</v>
      </c>
      <c r="F151">
        <f t="shared" si="4"/>
        <v>200.6</v>
      </c>
      <c r="G151">
        <f>SUMIF($D$2:$D151,$D151,$E$2:$E151)</f>
        <v>2302</v>
      </c>
      <c r="H151">
        <f t="shared" si="5"/>
        <v>0</v>
      </c>
    </row>
    <row r="152" spans="1:8" x14ac:dyDescent="0.25">
      <c r="A152" s="1">
        <v>44585</v>
      </c>
      <c r="B152" t="s">
        <v>7</v>
      </c>
      <c r="C152" t="s">
        <v>17</v>
      </c>
      <c r="D152" t="s">
        <v>34</v>
      </c>
      <c r="E152">
        <v>461</v>
      </c>
      <c r="F152">
        <f t="shared" si="4"/>
        <v>1567.3999999999999</v>
      </c>
      <c r="G152">
        <f>SUMIF($D$2:$D152,$D152,$E$2:$E152)</f>
        <v>1899</v>
      </c>
      <c r="H152">
        <f t="shared" si="5"/>
        <v>0</v>
      </c>
    </row>
    <row r="153" spans="1:8" x14ac:dyDescent="0.25">
      <c r="A153" s="1">
        <v>44585</v>
      </c>
      <c r="B153" t="s">
        <v>7</v>
      </c>
      <c r="C153" t="s">
        <v>17</v>
      </c>
      <c r="D153" t="s">
        <v>44</v>
      </c>
      <c r="E153">
        <v>341</v>
      </c>
      <c r="F153">
        <f t="shared" si="4"/>
        <v>1159.3999999999999</v>
      </c>
      <c r="G153">
        <f>SUMIF($D$2:$D153,$D153,$E$2:$E153)</f>
        <v>2011</v>
      </c>
      <c r="H153">
        <f t="shared" si="5"/>
        <v>0</v>
      </c>
    </row>
    <row r="154" spans="1:8" x14ac:dyDescent="0.25">
      <c r="A154" s="1">
        <v>44585</v>
      </c>
      <c r="B154" t="s">
        <v>4</v>
      </c>
      <c r="C154" t="s">
        <v>17</v>
      </c>
      <c r="D154" t="s">
        <v>62</v>
      </c>
      <c r="E154">
        <v>781</v>
      </c>
      <c r="F154">
        <f t="shared" si="4"/>
        <v>2655.4</v>
      </c>
      <c r="G154">
        <f>SUMIF($D$2:$D154,$D154,$E$2:$E154)</f>
        <v>1649</v>
      </c>
      <c r="H154">
        <f t="shared" si="5"/>
        <v>0</v>
      </c>
    </row>
    <row r="155" spans="1:8" x14ac:dyDescent="0.25">
      <c r="A155" s="1">
        <v>44585</v>
      </c>
      <c r="B155" t="s">
        <v>5</v>
      </c>
      <c r="C155" t="s">
        <v>17</v>
      </c>
      <c r="D155" t="s">
        <v>25</v>
      </c>
      <c r="E155">
        <v>132</v>
      </c>
      <c r="F155">
        <f t="shared" si="4"/>
        <v>448.8</v>
      </c>
      <c r="G155">
        <f>SUMIF($D$2:$D155,$D155,$E$2:$E155)</f>
        <v>1265</v>
      </c>
      <c r="H155">
        <f t="shared" si="5"/>
        <v>0</v>
      </c>
    </row>
    <row r="156" spans="1:8" x14ac:dyDescent="0.25">
      <c r="A156" s="1">
        <v>44585</v>
      </c>
      <c r="B156" t="s">
        <v>10</v>
      </c>
      <c r="C156" t="s">
        <v>17</v>
      </c>
      <c r="D156" t="s">
        <v>24</v>
      </c>
      <c r="E156">
        <v>23</v>
      </c>
      <c r="F156">
        <f t="shared" si="4"/>
        <v>78.2</v>
      </c>
      <c r="G156">
        <f>SUMIF($D$2:$D156,$D156,$E$2:$E156)</f>
        <v>759</v>
      </c>
      <c r="H156">
        <f t="shared" si="5"/>
        <v>0</v>
      </c>
    </row>
    <row r="157" spans="1:8" x14ac:dyDescent="0.25">
      <c r="A157" s="1">
        <v>44585</v>
      </c>
      <c r="B157" t="s">
        <v>8</v>
      </c>
      <c r="C157" t="s">
        <v>17</v>
      </c>
      <c r="D157" t="s">
        <v>18</v>
      </c>
      <c r="E157">
        <v>424</v>
      </c>
      <c r="F157">
        <f t="shared" si="4"/>
        <v>1484</v>
      </c>
      <c r="G157">
        <f>SUMIF($D$2:$D157,$D157,$E$2:$E157)</f>
        <v>1726</v>
      </c>
      <c r="H157">
        <f t="shared" si="5"/>
        <v>0</v>
      </c>
    </row>
    <row r="158" spans="1:8" x14ac:dyDescent="0.25">
      <c r="A158" s="1">
        <v>44585</v>
      </c>
      <c r="B158" t="s">
        <v>5</v>
      </c>
      <c r="C158" t="s">
        <v>17</v>
      </c>
      <c r="D158" t="s">
        <v>32</v>
      </c>
      <c r="E158">
        <v>186</v>
      </c>
      <c r="F158">
        <f t="shared" si="4"/>
        <v>632.4</v>
      </c>
      <c r="G158">
        <f>SUMIF($D$2:$D158,$D158,$E$2:$E158)</f>
        <v>1090</v>
      </c>
      <c r="H158">
        <f t="shared" si="5"/>
        <v>0</v>
      </c>
    </row>
    <row r="159" spans="1:8" x14ac:dyDescent="0.25">
      <c r="A159" s="1">
        <v>44585</v>
      </c>
      <c r="B159" t="s">
        <v>5</v>
      </c>
      <c r="C159" t="s">
        <v>17</v>
      </c>
      <c r="D159" t="s">
        <v>55</v>
      </c>
      <c r="E159">
        <v>255</v>
      </c>
      <c r="F159">
        <f t="shared" si="4"/>
        <v>867</v>
      </c>
      <c r="G159">
        <f>SUMIF($D$2:$D159,$D159,$E$2:$E159)</f>
        <v>1698</v>
      </c>
      <c r="H159">
        <f t="shared" si="5"/>
        <v>0</v>
      </c>
    </row>
    <row r="160" spans="1:8" x14ac:dyDescent="0.25">
      <c r="A160" s="1">
        <v>44585</v>
      </c>
      <c r="B160" t="s">
        <v>6</v>
      </c>
      <c r="C160" t="s">
        <v>17</v>
      </c>
      <c r="D160" t="s">
        <v>47</v>
      </c>
      <c r="E160">
        <v>113</v>
      </c>
      <c r="F160">
        <f t="shared" si="4"/>
        <v>384.2</v>
      </c>
      <c r="G160">
        <f>SUMIF($D$2:$D160,$D160,$E$2:$E160)</f>
        <v>367</v>
      </c>
      <c r="H160">
        <f t="shared" si="5"/>
        <v>0</v>
      </c>
    </row>
    <row r="161" spans="1:8" x14ac:dyDescent="0.25">
      <c r="A161" s="1">
        <v>44585</v>
      </c>
      <c r="B161" t="s">
        <v>4</v>
      </c>
      <c r="C161" t="s">
        <v>17</v>
      </c>
      <c r="D161" t="s">
        <v>37</v>
      </c>
      <c r="E161">
        <v>407</v>
      </c>
      <c r="F161">
        <f t="shared" si="4"/>
        <v>1383.8</v>
      </c>
      <c r="G161">
        <f>SUMIF($D$2:$D161,$D161,$E$2:$E161)</f>
        <v>1449</v>
      </c>
      <c r="H161">
        <f t="shared" si="5"/>
        <v>0</v>
      </c>
    </row>
    <row r="162" spans="1:8" x14ac:dyDescent="0.25">
      <c r="A162" s="1">
        <v>44585</v>
      </c>
      <c r="B162" t="s">
        <v>6</v>
      </c>
      <c r="C162" t="s">
        <v>17</v>
      </c>
      <c r="D162" t="s">
        <v>25</v>
      </c>
      <c r="E162">
        <v>339</v>
      </c>
      <c r="F162">
        <f t="shared" si="4"/>
        <v>1152.5999999999999</v>
      </c>
      <c r="G162">
        <f>SUMIF($D$2:$D162,$D162,$E$2:$E162)</f>
        <v>1604</v>
      </c>
      <c r="H162">
        <f t="shared" si="5"/>
        <v>0</v>
      </c>
    </row>
    <row r="163" spans="1:8" x14ac:dyDescent="0.25">
      <c r="A163" s="1">
        <v>44585</v>
      </c>
      <c r="B163" t="s">
        <v>8</v>
      </c>
      <c r="C163" t="s">
        <v>17</v>
      </c>
      <c r="D163" t="s">
        <v>22</v>
      </c>
      <c r="E163">
        <v>374</v>
      </c>
      <c r="F163">
        <f t="shared" si="4"/>
        <v>1309</v>
      </c>
      <c r="G163">
        <f>SUMIF($D$2:$D163,$D163,$E$2:$E163)</f>
        <v>2012</v>
      </c>
      <c r="H163">
        <f t="shared" si="5"/>
        <v>0</v>
      </c>
    </row>
    <row r="164" spans="1:8" x14ac:dyDescent="0.25">
      <c r="A164" s="1">
        <v>44585</v>
      </c>
      <c r="B164" t="s">
        <v>8</v>
      </c>
      <c r="C164" t="s">
        <v>17</v>
      </c>
      <c r="D164" t="s">
        <v>50</v>
      </c>
      <c r="E164">
        <v>305</v>
      </c>
      <c r="F164">
        <f t="shared" si="4"/>
        <v>1067.5</v>
      </c>
      <c r="G164">
        <f>SUMIF($D$2:$D164,$D164,$E$2:$E164)</f>
        <v>305</v>
      </c>
      <c r="H164">
        <f t="shared" si="5"/>
        <v>0</v>
      </c>
    </row>
    <row r="165" spans="1:8" x14ac:dyDescent="0.25">
      <c r="A165" s="1">
        <v>44585</v>
      </c>
      <c r="B165" t="s">
        <v>7</v>
      </c>
      <c r="C165" t="s">
        <v>17</v>
      </c>
      <c r="D165" t="s">
        <v>18</v>
      </c>
      <c r="E165">
        <v>621</v>
      </c>
      <c r="F165">
        <f t="shared" si="4"/>
        <v>2111.4</v>
      </c>
      <c r="G165">
        <f>SUMIF($D$2:$D165,$D165,$E$2:$E165)</f>
        <v>2347</v>
      </c>
      <c r="H165">
        <f t="shared" si="5"/>
        <v>0</v>
      </c>
    </row>
    <row r="166" spans="1:8" x14ac:dyDescent="0.25">
      <c r="A166" s="1">
        <v>44585</v>
      </c>
      <c r="B166" t="s">
        <v>4</v>
      </c>
      <c r="C166" t="s">
        <v>17</v>
      </c>
      <c r="D166" t="s">
        <v>23</v>
      </c>
      <c r="E166">
        <v>591</v>
      </c>
      <c r="F166">
        <f t="shared" si="4"/>
        <v>2009.3999999999999</v>
      </c>
      <c r="G166">
        <f>SUMIF($D$2:$D166,$D166,$E$2:$E166)</f>
        <v>1253</v>
      </c>
      <c r="H166">
        <f t="shared" si="5"/>
        <v>0</v>
      </c>
    </row>
    <row r="167" spans="1:8" x14ac:dyDescent="0.25">
      <c r="A167" s="1">
        <v>44585</v>
      </c>
      <c r="B167" t="s">
        <v>6</v>
      </c>
      <c r="C167" t="s">
        <v>17</v>
      </c>
      <c r="D167" t="s">
        <v>36</v>
      </c>
      <c r="E167">
        <v>136</v>
      </c>
      <c r="F167">
        <f t="shared" si="4"/>
        <v>462.4</v>
      </c>
      <c r="G167">
        <f>SUMIF($D$2:$D167,$D167,$E$2:$E167)</f>
        <v>1166</v>
      </c>
      <c r="H167">
        <f t="shared" si="5"/>
        <v>0</v>
      </c>
    </row>
    <row r="168" spans="1:8" x14ac:dyDescent="0.25">
      <c r="A168" s="1">
        <v>44585</v>
      </c>
      <c r="B168" t="s">
        <v>0</v>
      </c>
      <c r="C168" t="s">
        <v>17</v>
      </c>
      <c r="D168" t="s">
        <v>39</v>
      </c>
      <c r="E168">
        <v>305</v>
      </c>
      <c r="F168">
        <f t="shared" si="4"/>
        <v>884.5</v>
      </c>
      <c r="G168">
        <f>SUMIF($D$2:$D168,$D168,$E$2:$E168)</f>
        <v>1153</v>
      </c>
      <c r="H168">
        <f t="shared" si="5"/>
        <v>0</v>
      </c>
    </row>
    <row r="169" spans="1:8" x14ac:dyDescent="0.25">
      <c r="A169" s="1">
        <v>44586</v>
      </c>
      <c r="B169" t="s">
        <v>7</v>
      </c>
      <c r="C169" t="s">
        <v>17</v>
      </c>
      <c r="D169" t="s">
        <v>46</v>
      </c>
      <c r="E169">
        <v>447</v>
      </c>
      <c r="F169">
        <f t="shared" si="4"/>
        <v>1519.8</v>
      </c>
      <c r="G169">
        <f>SUMIF($D$2:$D169,$D169,$E$2:$E169)</f>
        <v>1026</v>
      </c>
      <c r="H169">
        <f t="shared" si="5"/>
        <v>0</v>
      </c>
    </row>
    <row r="170" spans="1:8" x14ac:dyDescent="0.25">
      <c r="A170" s="1">
        <v>44586</v>
      </c>
      <c r="B170" t="s">
        <v>10</v>
      </c>
      <c r="C170" t="s">
        <v>17</v>
      </c>
      <c r="D170" t="s">
        <v>49</v>
      </c>
      <c r="E170">
        <v>417</v>
      </c>
      <c r="F170">
        <f t="shared" si="4"/>
        <v>1417.8</v>
      </c>
      <c r="G170">
        <f>SUMIF($D$2:$D170,$D170,$E$2:$E170)</f>
        <v>1193</v>
      </c>
      <c r="H170">
        <f t="shared" si="5"/>
        <v>0</v>
      </c>
    </row>
    <row r="171" spans="1:8" x14ac:dyDescent="0.25">
      <c r="A171" s="1">
        <v>44586</v>
      </c>
      <c r="B171" t="s">
        <v>4</v>
      </c>
      <c r="C171" t="s">
        <v>17</v>
      </c>
      <c r="D171" t="s">
        <v>22</v>
      </c>
      <c r="E171">
        <v>311</v>
      </c>
      <c r="F171">
        <f t="shared" si="4"/>
        <v>1057.3999999999999</v>
      </c>
      <c r="G171">
        <f>SUMIF($D$2:$D171,$D171,$E$2:$E171)</f>
        <v>2323</v>
      </c>
      <c r="H171">
        <f t="shared" si="5"/>
        <v>0</v>
      </c>
    </row>
    <row r="172" spans="1:8" x14ac:dyDescent="0.25">
      <c r="A172" s="1">
        <v>44587</v>
      </c>
      <c r="B172" t="s">
        <v>6</v>
      </c>
      <c r="C172" t="s">
        <v>17</v>
      </c>
      <c r="D172" t="s">
        <v>39</v>
      </c>
      <c r="E172">
        <v>409</v>
      </c>
      <c r="F172">
        <f t="shared" si="4"/>
        <v>1390.6</v>
      </c>
      <c r="G172">
        <f>SUMIF($D$2:$D172,$D172,$E$2:$E172)</f>
        <v>1562</v>
      </c>
      <c r="H172">
        <f t="shared" si="5"/>
        <v>0</v>
      </c>
    </row>
    <row r="173" spans="1:8" x14ac:dyDescent="0.25">
      <c r="A173" s="1">
        <v>44587</v>
      </c>
      <c r="B173" t="s">
        <v>4</v>
      </c>
      <c r="C173" t="s">
        <v>17</v>
      </c>
      <c r="D173" t="s">
        <v>35</v>
      </c>
      <c r="E173">
        <v>646</v>
      </c>
      <c r="F173">
        <f t="shared" si="4"/>
        <v>2196.4</v>
      </c>
      <c r="G173">
        <f>SUMIF($D$2:$D173,$D173,$E$2:$E173)</f>
        <v>1857</v>
      </c>
      <c r="H173">
        <f t="shared" si="5"/>
        <v>0</v>
      </c>
    </row>
    <row r="174" spans="1:8" x14ac:dyDescent="0.25">
      <c r="A174" s="1">
        <v>44587</v>
      </c>
      <c r="B174" t="s">
        <v>7</v>
      </c>
      <c r="C174" t="s">
        <v>17</v>
      </c>
      <c r="D174" t="s">
        <v>16</v>
      </c>
      <c r="E174">
        <v>460</v>
      </c>
      <c r="F174">
        <f t="shared" si="4"/>
        <v>1564</v>
      </c>
      <c r="G174">
        <f>SUMIF($D$2:$D174,$D174,$E$2:$E174)</f>
        <v>2762</v>
      </c>
      <c r="H174">
        <f t="shared" si="5"/>
        <v>0</v>
      </c>
    </row>
    <row r="175" spans="1:8" x14ac:dyDescent="0.25">
      <c r="A175" s="1">
        <v>44587</v>
      </c>
      <c r="B175" t="s">
        <v>8</v>
      </c>
      <c r="C175" t="s">
        <v>17</v>
      </c>
      <c r="D175" t="s">
        <v>39</v>
      </c>
      <c r="E175">
        <v>568</v>
      </c>
      <c r="F175">
        <f t="shared" si="4"/>
        <v>1988</v>
      </c>
      <c r="G175">
        <f>SUMIF($D$2:$D175,$D175,$E$2:$E175)</f>
        <v>2130</v>
      </c>
      <c r="H175">
        <f t="shared" si="5"/>
        <v>0</v>
      </c>
    </row>
    <row r="176" spans="1:8" x14ac:dyDescent="0.25">
      <c r="A176" s="1">
        <v>44587</v>
      </c>
      <c r="B176" t="s">
        <v>6</v>
      </c>
      <c r="C176" t="s">
        <v>17</v>
      </c>
      <c r="D176" t="s">
        <v>46</v>
      </c>
      <c r="E176">
        <v>350</v>
      </c>
      <c r="F176">
        <f t="shared" si="4"/>
        <v>1190</v>
      </c>
      <c r="G176">
        <f>SUMIF($D$2:$D176,$D176,$E$2:$E176)</f>
        <v>1376</v>
      </c>
      <c r="H176">
        <f t="shared" si="5"/>
        <v>0</v>
      </c>
    </row>
    <row r="177" spans="1:8" x14ac:dyDescent="0.25">
      <c r="A177" s="1">
        <v>44587</v>
      </c>
      <c r="B177" t="s">
        <v>6</v>
      </c>
      <c r="C177" t="s">
        <v>17</v>
      </c>
      <c r="D177" t="s">
        <v>56</v>
      </c>
      <c r="E177">
        <v>367</v>
      </c>
      <c r="F177">
        <f t="shared" si="4"/>
        <v>1247.8</v>
      </c>
      <c r="G177">
        <f>SUMIF($D$2:$D177,$D177,$E$2:$E177)</f>
        <v>995</v>
      </c>
      <c r="H177">
        <f t="shared" si="5"/>
        <v>0</v>
      </c>
    </row>
    <row r="178" spans="1:8" x14ac:dyDescent="0.25">
      <c r="A178" s="1">
        <v>44587</v>
      </c>
      <c r="B178" t="s">
        <v>2</v>
      </c>
      <c r="C178" t="s">
        <v>17</v>
      </c>
      <c r="D178" t="s">
        <v>56</v>
      </c>
      <c r="E178">
        <v>431</v>
      </c>
      <c r="F178">
        <f t="shared" si="4"/>
        <v>1379.2</v>
      </c>
      <c r="G178">
        <f>SUMIF($D$2:$D178,$D178,$E$2:$E178)</f>
        <v>1426</v>
      </c>
      <c r="H178">
        <f t="shared" si="5"/>
        <v>0</v>
      </c>
    </row>
    <row r="179" spans="1:8" x14ac:dyDescent="0.25">
      <c r="A179" s="1">
        <v>44588</v>
      </c>
      <c r="B179" t="s">
        <v>0</v>
      </c>
      <c r="C179" t="s">
        <v>17</v>
      </c>
      <c r="D179" t="s">
        <v>28</v>
      </c>
      <c r="E179">
        <v>389</v>
      </c>
      <c r="F179">
        <f t="shared" si="4"/>
        <v>1128.0999999999999</v>
      </c>
      <c r="G179">
        <f>SUMIF($D$2:$D179,$D179,$E$2:$E179)</f>
        <v>1513</v>
      </c>
      <c r="H179">
        <f t="shared" si="5"/>
        <v>0</v>
      </c>
    </row>
    <row r="180" spans="1:8" x14ac:dyDescent="0.25">
      <c r="A180" s="1">
        <v>44588</v>
      </c>
      <c r="B180" t="s">
        <v>0</v>
      </c>
      <c r="C180" t="s">
        <v>17</v>
      </c>
      <c r="D180" t="s">
        <v>22</v>
      </c>
      <c r="E180">
        <v>415</v>
      </c>
      <c r="F180">
        <f t="shared" si="4"/>
        <v>1203.5</v>
      </c>
      <c r="G180">
        <f>SUMIF($D$2:$D180,$D180,$E$2:$E180)</f>
        <v>2738</v>
      </c>
      <c r="H180">
        <f t="shared" si="5"/>
        <v>0</v>
      </c>
    </row>
    <row r="181" spans="1:8" x14ac:dyDescent="0.25">
      <c r="A181" s="1">
        <v>44588</v>
      </c>
      <c r="B181" t="s">
        <v>6</v>
      </c>
      <c r="C181" t="s">
        <v>17</v>
      </c>
      <c r="D181" t="s">
        <v>45</v>
      </c>
      <c r="E181">
        <v>79</v>
      </c>
      <c r="F181">
        <f t="shared" si="4"/>
        <v>268.59999999999997</v>
      </c>
      <c r="G181">
        <f>SUMIF($D$2:$D181,$D181,$E$2:$E181)</f>
        <v>529</v>
      </c>
      <c r="H181">
        <f t="shared" si="5"/>
        <v>0</v>
      </c>
    </row>
    <row r="182" spans="1:8" x14ac:dyDescent="0.25">
      <c r="A182" s="1">
        <v>44588</v>
      </c>
      <c r="B182" t="s">
        <v>6</v>
      </c>
      <c r="C182" t="s">
        <v>17</v>
      </c>
      <c r="D182" t="s">
        <v>51</v>
      </c>
      <c r="E182">
        <v>257</v>
      </c>
      <c r="F182">
        <f t="shared" si="4"/>
        <v>873.8</v>
      </c>
      <c r="G182">
        <f>SUMIF($D$2:$D182,$D182,$E$2:$E182)</f>
        <v>1294</v>
      </c>
      <c r="H182">
        <f t="shared" si="5"/>
        <v>0</v>
      </c>
    </row>
    <row r="183" spans="1:8" x14ac:dyDescent="0.25">
      <c r="A183" s="1">
        <v>44588</v>
      </c>
      <c r="B183" t="s">
        <v>8</v>
      </c>
      <c r="C183" t="s">
        <v>17</v>
      </c>
      <c r="D183" t="s">
        <v>46</v>
      </c>
      <c r="E183">
        <v>625</v>
      </c>
      <c r="F183">
        <f t="shared" si="4"/>
        <v>2187.5</v>
      </c>
      <c r="G183">
        <f>SUMIF($D$2:$D183,$D183,$E$2:$E183)</f>
        <v>2001</v>
      </c>
      <c r="H183">
        <f t="shared" si="5"/>
        <v>0</v>
      </c>
    </row>
    <row r="184" spans="1:8" x14ac:dyDescent="0.25">
      <c r="A184" s="1">
        <v>44589</v>
      </c>
      <c r="B184" t="s">
        <v>10</v>
      </c>
      <c r="C184" t="s">
        <v>17</v>
      </c>
      <c r="D184" t="s">
        <v>22</v>
      </c>
      <c r="E184">
        <v>81</v>
      </c>
      <c r="F184">
        <f t="shared" si="4"/>
        <v>275.39999999999998</v>
      </c>
      <c r="G184">
        <f>SUMIF($D$2:$D184,$D184,$E$2:$E184)</f>
        <v>2819</v>
      </c>
      <c r="H184">
        <f t="shared" si="5"/>
        <v>0</v>
      </c>
    </row>
    <row r="185" spans="1:8" x14ac:dyDescent="0.25">
      <c r="A185" s="1">
        <v>44589</v>
      </c>
      <c r="B185" t="s">
        <v>7</v>
      </c>
      <c r="C185" t="s">
        <v>17</v>
      </c>
      <c r="D185" t="s">
        <v>67</v>
      </c>
      <c r="E185">
        <v>337</v>
      </c>
      <c r="F185">
        <f t="shared" si="4"/>
        <v>1145.8</v>
      </c>
      <c r="G185">
        <f>SUMIF($D$2:$D185,$D185,$E$2:$E185)</f>
        <v>2171</v>
      </c>
      <c r="H185">
        <f t="shared" si="5"/>
        <v>0</v>
      </c>
    </row>
    <row r="186" spans="1:8" x14ac:dyDescent="0.25">
      <c r="A186" s="1">
        <v>44589</v>
      </c>
      <c r="B186" t="s">
        <v>0</v>
      </c>
      <c r="C186" t="s">
        <v>17</v>
      </c>
      <c r="D186" t="s">
        <v>53</v>
      </c>
      <c r="E186">
        <v>12</v>
      </c>
      <c r="F186">
        <f t="shared" si="4"/>
        <v>34.799999999999997</v>
      </c>
      <c r="G186">
        <f>SUMIF($D$2:$D186,$D186,$E$2:$E186)</f>
        <v>727</v>
      </c>
      <c r="H186">
        <f t="shared" si="5"/>
        <v>0</v>
      </c>
    </row>
    <row r="187" spans="1:8" x14ac:dyDescent="0.25">
      <c r="A187" s="1">
        <v>44590</v>
      </c>
      <c r="B187" t="s">
        <v>5</v>
      </c>
      <c r="C187" t="s">
        <v>17</v>
      </c>
      <c r="D187" t="s">
        <v>24</v>
      </c>
      <c r="E187">
        <v>129</v>
      </c>
      <c r="F187">
        <f t="shared" si="4"/>
        <v>438.59999999999997</v>
      </c>
      <c r="G187">
        <f>SUMIF($D$2:$D187,$D187,$E$2:$E187)</f>
        <v>888</v>
      </c>
      <c r="H187">
        <f t="shared" si="5"/>
        <v>0</v>
      </c>
    </row>
    <row r="188" spans="1:8" x14ac:dyDescent="0.25">
      <c r="A188" s="1">
        <v>44590</v>
      </c>
      <c r="B188" t="s">
        <v>0</v>
      </c>
      <c r="C188" t="s">
        <v>17</v>
      </c>
      <c r="D188" t="s">
        <v>40</v>
      </c>
      <c r="E188">
        <v>301</v>
      </c>
      <c r="F188">
        <f t="shared" si="4"/>
        <v>872.9</v>
      </c>
      <c r="G188">
        <f>SUMIF($D$2:$D188,$D188,$E$2:$E188)</f>
        <v>775</v>
      </c>
      <c r="H188">
        <f t="shared" si="5"/>
        <v>0</v>
      </c>
    </row>
    <row r="189" spans="1:8" x14ac:dyDescent="0.25">
      <c r="A189" s="1">
        <v>44590</v>
      </c>
      <c r="B189" t="s">
        <v>0</v>
      </c>
      <c r="C189" t="s">
        <v>17</v>
      </c>
      <c r="D189" t="s">
        <v>29</v>
      </c>
      <c r="E189">
        <v>354</v>
      </c>
      <c r="F189">
        <f t="shared" si="4"/>
        <v>1026.5999999999999</v>
      </c>
      <c r="G189">
        <f>SUMIF($D$2:$D189,$D189,$E$2:$E189)</f>
        <v>2568</v>
      </c>
      <c r="H189">
        <f t="shared" si="5"/>
        <v>0</v>
      </c>
    </row>
    <row r="190" spans="1:8" x14ac:dyDescent="0.25">
      <c r="A190" s="1">
        <v>44590</v>
      </c>
      <c r="B190" t="s">
        <v>2</v>
      </c>
      <c r="C190" t="s">
        <v>17</v>
      </c>
      <c r="D190" t="s">
        <v>31</v>
      </c>
      <c r="E190">
        <v>112</v>
      </c>
      <c r="F190">
        <f t="shared" si="4"/>
        <v>358.40000000000003</v>
      </c>
      <c r="G190">
        <f>SUMIF($D$2:$D190,$D190,$E$2:$E190)</f>
        <v>1674</v>
      </c>
      <c r="H190">
        <f t="shared" si="5"/>
        <v>0</v>
      </c>
    </row>
    <row r="191" spans="1:8" x14ac:dyDescent="0.25">
      <c r="A191" s="1">
        <v>44590</v>
      </c>
      <c r="B191" t="s">
        <v>4</v>
      </c>
      <c r="C191" t="s">
        <v>17</v>
      </c>
      <c r="D191" t="s">
        <v>32</v>
      </c>
      <c r="E191">
        <v>783</v>
      </c>
      <c r="F191">
        <f t="shared" si="4"/>
        <v>2662.2</v>
      </c>
      <c r="G191">
        <f>SUMIF($D$2:$D191,$D191,$E$2:$E191)</f>
        <v>1873</v>
      </c>
      <c r="H191">
        <f t="shared" si="5"/>
        <v>0</v>
      </c>
    </row>
    <row r="192" spans="1:8" x14ac:dyDescent="0.25">
      <c r="A192" s="1">
        <v>44590</v>
      </c>
      <c r="B192" t="s">
        <v>0</v>
      </c>
      <c r="C192" t="s">
        <v>17</v>
      </c>
      <c r="D192" t="s">
        <v>60</v>
      </c>
      <c r="E192">
        <v>299</v>
      </c>
      <c r="F192">
        <f t="shared" si="4"/>
        <v>867.1</v>
      </c>
      <c r="G192">
        <f>SUMIF($D$2:$D192,$D192,$E$2:$E192)</f>
        <v>667</v>
      </c>
      <c r="H192">
        <f t="shared" si="5"/>
        <v>0</v>
      </c>
    </row>
    <row r="193" spans="1:8" x14ac:dyDescent="0.25">
      <c r="A193" s="1">
        <v>44590</v>
      </c>
      <c r="B193" t="s">
        <v>6</v>
      </c>
      <c r="C193" t="s">
        <v>17</v>
      </c>
      <c r="D193" t="s">
        <v>27</v>
      </c>
      <c r="E193">
        <v>145</v>
      </c>
      <c r="F193">
        <f t="shared" si="4"/>
        <v>493</v>
      </c>
      <c r="G193">
        <f>SUMIF($D$2:$D193,$D193,$E$2:$E193)</f>
        <v>2014</v>
      </c>
      <c r="H193">
        <f t="shared" si="5"/>
        <v>0</v>
      </c>
    </row>
    <row r="194" spans="1:8" x14ac:dyDescent="0.25">
      <c r="A194" s="1">
        <v>44592</v>
      </c>
      <c r="B194" t="s">
        <v>10</v>
      </c>
      <c r="C194" t="s">
        <v>17</v>
      </c>
      <c r="D194" t="s">
        <v>29</v>
      </c>
      <c r="E194">
        <v>255</v>
      </c>
      <c r="F194">
        <f t="shared" si="4"/>
        <v>867</v>
      </c>
      <c r="G194">
        <f>SUMIF($D$2:$D194,$D194,$E$2:$E194)</f>
        <v>2823</v>
      </c>
      <c r="H194">
        <f t="shared" si="5"/>
        <v>0</v>
      </c>
    </row>
    <row r="195" spans="1:8" x14ac:dyDescent="0.25">
      <c r="A195" s="1">
        <v>44592</v>
      </c>
      <c r="B195" t="s">
        <v>4</v>
      </c>
      <c r="C195" t="s">
        <v>17</v>
      </c>
      <c r="D195" t="s">
        <v>44</v>
      </c>
      <c r="E195">
        <v>581</v>
      </c>
      <c r="F195">
        <f t="shared" ref="F195:F258" si="6">E195* _xlfn.XLOOKUP(B195,$I$2:$I$17,$J$2:$J$17,"0",0,1)</f>
        <v>1975.3999999999999</v>
      </c>
      <c r="G195">
        <f>SUMIF($D$2:$D195,$D195,$E$2:$E195)</f>
        <v>2592</v>
      </c>
      <c r="H195">
        <f t="shared" ref="H195:H258" si="7">IF(AND($G195 &gt; 15000,$G195 &lt; 20000),5*$E195,IF($G195 &gt;= 20000,10*$E195,0))</f>
        <v>0</v>
      </c>
    </row>
    <row r="196" spans="1:8" x14ac:dyDescent="0.25">
      <c r="A196" s="1">
        <v>44592</v>
      </c>
      <c r="B196" t="s">
        <v>15</v>
      </c>
      <c r="C196" t="s">
        <v>17</v>
      </c>
      <c r="D196" t="s">
        <v>60</v>
      </c>
      <c r="E196">
        <v>197</v>
      </c>
      <c r="F196">
        <f t="shared" si="6"/>
        <v>472.79999999999995</v>
      </c>
      <c r="G196">
        <f>SUMIF($D$2:$D196,$D196,$E$2:$E196)</f>
        <v>864</v>
      </c>
      <c r="H196">
        <f t="shared" si="7"/>
        <v>0</v>
      </c>
    </row>
    <row r="197" spans="1:8" x14ac:dyDescent="0.25">
      <c r="A197" s="1">
        <v>44592</v>
      </c>
      <c r="B197" t="s">
        <v>4</v>
      </c>
      <c r="C197" t="s">
        <v>17</v>
      </c>
      <c r="D197" t="s">
        <v>36</v>
      </c>
      <c r="E197">
        <v>493</v>
      </c>
      <c r="F197">
        <f t="shared" si="6"/>
        <v>1676.2</v>
      </c>
      <c r="G197">
        <f>SUMIF($D$2:$D197,$D197,$E$2:$E197)</f>
        <v>1659</v>
      </c>
      <c r="H197">
        <f t="shared" si="7"/>
        <v>0</v>
      </c>
    </row>
    <row r="198" spans="1:8" x14ac:dyDescent="0.25">
      <c r="A198" s="1">
        <v>44592</v>
      </c>
      <c r="B198" t="s">
        <v>15</v>
      </c>
      <c r="C198" t="s">
        <v>17</v>
      </c>
      <c r="D198" t="s">
        <v>61</v>
      </c>
      <c r="E198">
        <v>321</v>
      </c>
      <c r="F198">
        <f t="shared" si="6"/>
        <v>770.4</v>
      </c>
      <c r="G198">
        <f>SUMIF($D$2:$D198,$D198,$E$2:$E198)</f>
        <v>1221</v>
      </c>
      <c r="H198">
        <f t="shared" si="7"/>
        <v>0</v>
      </c>
    </row>
    <row r="199" spans="1:8" x14ac:dyDescent="0.25">
      <c r="A199" s="1">
        <v>44592</v>
      </c>
      <c r="B199" t="s">
        <v>0</v>
      </c>
      <c r="C199" t="s">
        <v>17</v>
      </c>
      <c r="D199" t="s">
        <v>49</v>
      </c>
      <c r="E199">
        <v>18</v>
      </c>
      <c r="F199">
        <f t="shared" si="6"/>
        <v>52.199999999999996</v>
      </c>
      <c r="G199">
        <f>SUMIF($D$2:$D199,$D199,$E$2:$E199)</f>
        <v>1211</v>
      </c>
      <c r="H199">
        <f t="shared" si="7"/>
        <v>0</v>
      </c>
    </row>
    <row r="200" spans="1:8" x14ac:dyDescent="0.25">
      <c r="A200" s="1">
        <v>44592</v>
      </c>
      <c r="B200" t="s">
        <v>0</v>
      </c>
      <c r="C200" t="s">
        <v>17</v>
      </c>
      <c r="D200" t="s">
        <v>38</v>
      </c>
      <c r="E200">
        <v>45</v>
      </c>
      <c r="F200">
        <f t="shared" si="6"/>
        <v>130.5</v>
      </c>
      <c r="G200">
        <f>SUMIF($D$2:$D200,$D200,$E$2:$E200)</f>
        <v>1590</v>
      </c>
      <c r="H200">
        <f t="shared" si="7"/>
        <v>0</v>
      </c>
    </row>
    <row r="201" spans="1:8" x14ac:dyDescent="0.25">
      <c r="A201" s="1">
        <v>44592</v>
      </c>
      <c r="B201" t="s">
        <v>4</v>
      </c>
      <c r="C201" t="s">
        <v>17</v>
      </c>
      <c r="D201" t="s">
        <v>44</v>
      </c>
      <c r="E201">
        <v>712</v>
      </c>
      <c r="F201">
        <f t="shared" si="6"/>
        <v>2420.7999999999997</v>
      </c>
      <c r="G201">
        <f>SUMIF($D$2:$D201,$D201,$E$2:$E201)</f>
        <v>3304</v>
      </c>
      <c r="H201">
        <f t="shared" si="7"/>
        <v>0</v>
      </c>
    </row>
    <row r="202" spans="1:8" x14ac:dyDescent="0.25">
      <c r="A202" s="1">
        <v>44592</v>
      </c>
      <c r="B202" t="s">
        <v>7</v>
      </c>
      <c r="C202" t="s">
        <v>17</v>
      </c>
      <c r="D202" t="s">
        <v>47</v>
      </c>
      <c r="E202">
        <v>317</v>
      </c>
      <c r="F202">
        <f t="shared" si="6"/>
        <v>1077.8</v>
      </c>
      <c r="G202">
        <f>SUMIF($D$2:$D202,$D202,$E$2:$E202)</f>
        <v>684</v>
      </c>
      <c r="H202">
        <f t="shared" si="7"/>
        <v>0</v>
      </c>
    </row>
    <row r="203" spans="1:8" x14ac:dyDescent="0.25">
      <c r="A203" s="1">
        <v>44592</v>
      </c>
      <c r="B203" t="s">
        <v>15</v>
      </c>
      <c r="C203" t="s">
        <v>17</v>
      </c>
      <c r="D203" t="s">
        <v>18</v>
      </c>
      <c r="E203">
        <v>272</v>
      </c>
      <c r="F203">
        <f t="shared" si="6"/>
        <v>652.79999999999995</v>
      </c>
      <c r="G203">
        <f>SUMIF($D$2:$D203,$D203,$E$2:$E203)</f>
        <v>2619</v>
      </c>
      <c r="H203">
        <f t="shared" si="7"/>
        <v>0</v>
      </c>
    </row>
    <row r="204" spans="1:8" x14ac:dyDescent="0.25">
      <c r="A204" s="1">
        <v>44592</v>
      </c>
      <c r="B204" t="s">
        <v>0</v>
      </c>
      <c r="C204" t="s">
        <v>17</v>
      </c>
      <c r="D204" t="s">
        <v>31</v>
      </c>
      <c r="E204">
        <v>301</v>
      </c>
      <c r="F204">
        <f t="shared" si="6"/>
        <v>872.9</v>
      </c>
      <c r="G204">
        <f>SUMIF($D$2:$D204,$D204,$E$2:$E204)</f>
        <v>1975</v>
      </c>
      <c r="H204">
        <f t="shared" si="7"/>
        <v>0</v>
      </c>
    </row>
    <row r="205" spans="1:8" x14ac:dyDescent="0.25">
      <c r="A205" s="1">
        <v>44592</v>
      </c>
      <c r="B205" t="s">
        <v>8</v>
      </c>
      <c r="C205" t="s">
        <v>17</v>
      </c>
      <c r="D205" t="s">
        <v>57</v>
      </c>
      <c r="E205">
        <v>605</v>
      </c>
      <c r="F205">
        <f t="shared" si="6"/>
        <v>2117.5</v>
      </c>
      <c r="G205">
        <f>SUMIF($D$2:$D205,$D205,$E$2:$E205)</f>
        <v>994</v>
      </c>
      <c r="H205">
        <f t="shared" si="7"/>
        <v>0</v>
      </c>
    </row>
    <row r="206" spans="1:8" x14ac:dyDescent="0.25">
      <c r="A206" s="1">
        <v>44592</v>
      </c>
      <c r="B206" t="s">
        <v>2</v>
      </c>
      <c r="C206" t="s">
        <v>17</v>
      </c>
      <c r="D206" t="s">
        <v>18</v>
      </c>
      <c r="E206">
        <v>283</v>
      </c>
      <c r="F206">
        <f t="shared" si="6"/>
        <v>905.6</v>
      </c>
      <c r="G206">
        <f>SUMIF($D$2:$D206,$D206,$E$2:$E206)</f>
        <v>2902</v>
      </c>
      <c r="H206">
        <f t="shared" si="7"/>
        <v>0</v>
      </c>
    </row>
    <row r="207" spans="1:8" x14ac:dyDescent="0.25">
      <c r="A207" s="1">
        <v>44592</v>
      </c>
      <c r="B207" t="s">
        <v>6</v>
      </c>
      <c r="C207" t="s">
        <v>17</v>
      </c>
      <c r="D207" t="s">
        <v>31</v>
      </c>
      <c r="E207">
        <v>361</v>
      </c>
      <c r="F207">
        <f t="shared" si="6"/>
        <v>1227.3999999999999</v>
      </c>
      <c r="G207">
        <f>SUMIF($D$2:$D207,$D207,$E$2:$E207)</f>
        <v>2336</v>
      </c>
      <c r="H207">
        <f t="shared" si="7"/>
        <v>0</v>
      </c>
    </row>
    <row r="208" spans="1:8" x14ac:dyDescent="0.25">
      <c r="A208" s="1">
        <v>44592</v>
      </c>
      <c r="B208" t="s">
        <v>0</v>
      </c>
      <c r="C208" t="s">
        <v>17</v>
      </c>
      <c r="D208" t="s">
        <v>35</v>
      </c>
      <c r="E208">
        <v>148</v>
      </c>
      <c r="F208">
        <f t="shared" si="6"/>
        <v>429.2</v>
      </c>
      <c r="G208">
        <f>SUMIF($D$2:$D208,$D208,$E$2:$E208)</f>
        <v>2005</v>
      </c>
      <c r="H208">
        <f t="shared" si="7"/>
        <v>0</v>
      </c>
    </row>
    <row r="209" spans="1:8" x14ac:dyDescent="0.25">
      <c r="A209" s="1">
        <v>44593</v>
      </c>
      <c r="B209" t="s">
        <v>5</v>
      </c>
      <c r="C209" t="s">
        <v>17</v>
      </c>
      <c r="D209" t="s">
        <v>36</v>
      </c>
      <c r="E209">
        <v>144</v>
      </c>
      <c r="F209">
        <f t="shared" si="6"/>
        <v>489.59999999999997</v>
      </c>
      <c r="G209">
        <f>SUMIF($D$2:$D209,$D209,$E$2:$E209)</f>
        <v>1803</v>
      </c>
      <c r="H209">
        <f t="shared" si="7"/>
        <v>0</v>
      </c>
    </row>
    <row r="210" spans="1:8" x14ac:dyDescent="0.25">
      <c r="A210" s="1">
        <v>44593</v>
      </c>
      <c r="B210" t="s">
        <v>15</v>
      </c>
      <c r="C210" t="s">
        <v>17</v>
      </c>
      <c r="D210" t="s">
        <v>41</v>
      </c>
      <c r="E210">
        <v>206</v>
      </c>
      <c r="F210">
        <f t="shared" si="6"/>
        <v>494.4</v>
      </c>
      <c r="G210">
        <f>SUMIF($D$2:$D210,$D210,$E$2:$E210)</f>
        <v>577</v>
      </c>
      <c r="H210">
        <f t="shared" si="7"/>
        <v>0</v>
      </c>
    </row>
    <row r="211" spans="1:8" x14ac:dyDescent="0.25">
      <c r="A211" s="1">
        <v>44593</v>
      </c>
      <c r="B211" t="s">
        <v>2</v>
      </c>
      <c r="C211" t="s">
        <v>17</v>
      </c>
      <c r="D211" t="s">
        <v>57</v>
      </c>
      <c r="E211">
        <v>412</v>
      </c>
      <c r="F211">
        <f t="shared" si="6"/>
        <v>1318.4</v>
      </c>
      <c r="G211">
        <f>SUMIF($D$2:$D211,$D211,$E$2:$E211)</f>
        <v>1406</v>
      </c>
      <c r="H211">
        <f t="shared" si="7"/>
        <v>0</v>
      </c>
    </row>
    <row r="212" spans="1:8" x14ac:dyDescent="0.25">
      <c r="A212" s="1">
        <v>44593</v>
      </c>
      <c r="B212" t="s">
        <v>10</v>
      </c>
      <c r="C212" t="s">
        <v>17</v>
      </c>
      <c r="D212" t="s">
        <v>55</v>
      </c>
      <c r="E212">
        <v>129</v>
      </c>
      <c r="F212">
        <f t="shared" si="6"/>
        <v>438.59999999999997</v>
      </c>
      <c r="G212">
        <f>SUMIF($D$2:$D212,$D212,$E$2:$E212)</f>
        <v>1827</v>
      </c>
      <c r="H212">
        <f t="shared" si="7"/>
        <v>0</v>
      </c>
    </row>
    <row r="213" spans="1:8" x14ac:dyDescent="0.25">
      <c r="A213" s="1">
        <v>44593</v>
      </c>
      <c r="B213" t="s">
        <v>5</v>
      </c>
      <c r="C213" t="s">
        <v>17</v>
      </c>
      <c r="D213" t="s">
        <v>51</v>
      </c>
      <c r="E213">
        <v>289</v>
      </c>
      <c r="F213">
        <f t="shared" si="6"/>
        <v>982.6</v>
      </c>
      <c r="G213">
        <f>SUMIF($D$2:$D213,$D213,$E$2:$E213)</f>
        <v>1583</v>
      </c>
      <c r="H213">
        <f t="shared" si="7"/>
        <v>0</v>
      </c>
    </row>
    <row r="214" spans="1:8" x14ac:dyDescent="0.25">
      <c r="A214" s="1">
        <v>44593</v>
      </c>
      <c r="B214" t="s">
        <v>2</v>
      </c>
      <c r="C214" t="s">
        <v>17</v>
      </c>
      <c r="D214" t="s">
        <v>39</v>
      </c>
      <c r="E214">
        <v>67</v>
      </c>
      <c r="F214">
        <f t="shared" si="6"/>
        <v>214.4</v>
      </c>
      <c r="G214">
        <f>SUMIF($D$2:$D214,$D214,$E$2:$E214)</f>
        <v>2197</v>
      </c>
      <c r="H214">
        <f t="shared" si="7"/>
        <v>0</v>
      </c>
    </row>
    <row r="215" spans="1:8" x14ac:dyDescent="0.25">
      <c r="A215" s="1">
        <v>44593</v>
      </c>
      <c r="B215" t="s">
        <v>10</v>
      </c>
      <c r="C215" t="s">
        <v>17</v>
      </c>
      <c r="D215" t="s">
        <v>61</v>
      </c>
      <c r="E215">
        <v>310</v>
      </c>
      <c r="F215">
        <f t="shared" si="6"/>
        <v>1054</v>
      </c>
      <c r="G215">
        <f>SUMIF($D$2:$D215,$D215,$E$2:$E215)</f>
        <v>1531</v>
      </c>
      <c r="H215">
        <f t="shared" si="7"/>
        <v>0</v>
      </c>
    </row>
    <row r="216" spans="1:8" x14ac:dyDescent="0.25">
      <c r="A216" s="1">
        <v>44593</v>
      </c>
      <c r="B216" t="s">
        <v>4</v>
      </c>
      <c r="C216" t="s">
        <v>17</v>
      </c>
      <c r="D216" t="s">
        <v>41</v>
      </c>
      <c r="E216">
        <v>440</v>
      </c>
      <c r="F216">
        <f t="shared" si="6"/>
        <v>1496</v>
      </c>
      <c r="G216">
        <f>SUMIF($D$2:$D216,$D216,$E$2:$E216)</f>
        <v>1017</v>
      </c>
      <c r="H216">
        <f t="shared" si="7"/>
        <v>0</v>
      </c>
    </row>
    <row r="217" spans="1:8" x14ac:dyDescent="0.25">
      <c r="A217" s="1">
        <v>44593</v>
      </c>
      <c r="B217" t="s">
        <v>6</v>
      </c>
      <c r="C217" t="s">
        <v>17</v>
      </c>
      <c r="D217" t="s">
        <v>27</v>
      </c>
      <c r="E217">
        <v>341</v>
      </c>
      <c r="F217">
        <f t="shared" si="6"/>
        <v>1159.3999999999999</v>
      </c>
      <c r="G217">
        <f>SUMIF($D$2:$D217,$D217,$E$2:$E217)</f>
        <v>2355</v>
      </c>
      <c r="H217">
        <f t="shared" si="7"/>
        <v>0</v>
      </c>
    </row>
    <row r="218" spans="1:8" x14ac:dyDescent="0.25">
      <c r="A218" s="1">
        <v>44593</v>
      </c>
      <c r="B218" t="s">
        <v>5</v>
      </c>
      <c r="C218" t="s">
        <v>17</v>
      </c>
      <c r="D218" t="s">
        <v>27</v>
      </c>
      <c r="E218">
        <v>25</v>
      </c>
      <c r="F218">
        <f t="shared" si="6"/>
        <v>85</v>
      </c>
      <c r="G218">
        <f>SUMIF($D$2:$D218,$D218,$E$2:$E218)</f>
        <v>2380</v>
      </c>
      <c r="H218">
        <f t="shared" si="7"/>
        <v>0</v>
      </c>
    </row>
    <row r="219" spans="1:8" x14ac:dyDescent="0.25">
      <c r="A219" s="1">
        <v>44593</v>
      </c>
      <c r="B219" t="s">
        <v>4</v>
      </c>
      <c r="C219" t="s">
        <v>17</v>
      </c>
      <c r="D219" t="s">
        <v>20</v>
      </c>
      <c r="E219">
        <v>508</v>
      </c>
      <c r="F219">
        <f t="shared" si="6"/>
        <v>1727.2</v>
      </c>
      <c r="G219">
        <f>SUMIF($D$2:$D219,$D219,$E$2:$E219)</f>
        <v>1589</v>
      </c>
      <c r="H219">
        <f t="shared" si="7"/>
        <v>0</v>
      </c>
    </row>
    <row r="220" spans="1:8" x14ac:dyDescent="0.25">
      <c r="A220" s="1">
        <v>44594</v>
      </c>
      <c r="B220" t="s">
        <v>2</v>
      </c>
      <c r="C220" t="s">
        <v>17</v>
      </c>
      <c r="D220" t="s">
        <v>44</v>
      </c>
      <c r="E220">
        <v>429</v>
      </c>
      <c r="F220">
        <f t="shared" si="6"/>
        <v>1372.8000000000002</v>
      </c>
      <c r="G220">
        <f>SUMIF($D$2:$D220,$D220,$E$2:$E220)</f>
        <v>3733</v>
      </c>
      <c r="H220">
        <f t="shared" si="7"/>
        <v>0</v>
      </c>
    </row>
    <row r="221" spans="1:8" x14ac:dyDescent="0.25">
      <c r="A221" s="1">
        <v>44594</v>
      </c>
      <c r="B221" t="s">
        <v>10</v>
      </c>
      <c r="C221" t="s">
        <v>17</v>
      </c>
      <c r="D221" t="s">
        <v>36</v>
      </c>
      <c r="E221">
        <v>100</v>
      </c>
      <c r="F221">
        <f t="shared" si="6"/>
        <v>340</v>
      </c>
      <c r="G221">
        <f>SUMIF($D$2:$D221,$D221,$E$2:$E221)</f>
        <v>1903</v>
      </c>
      <c r="H221">
        <f t="shared" si="7"/>
        <v>0</v>
      </c>
    </row>
    <row r="222" spans="1:8" x14ac:dyDescent="0.25">
      <c r="A222" s="1">
        <v>44594</v>
      </c>
      <c r="B222" t="s">
        <v>15</v>
      </c>
      <c r="C222" t="s">
        <v>17</v>
      </c>
      <c r="D222" t="s">
        <v>61</v>
      </c>
      <c r="E222">
        <v>559</v>
      </c>
      <c r="F222">
        <f t="shared" si="6"/>
        <v>1341.6</v>
      </c>
      <c r="G222">
        <f>SUMIF($D$2:$D222,$D222,$E$2:$E222)</f>
        <v>2090</v>
      </c>
      <c r="H222">
        <f t="shared" si="7"/>
        <v>0</v>
      </c>
    </row>
    <row r="223" spans="1:8" x14ac:dyDescent="0.25">
      <c r="A223" s="1">
        <v>44594</v>
      </c>
      <c r="B223" t="s">
        <v>5</v>
      </c>
      <c r="C223" t="s">
        <v>17</v>
      </c>
      <c r="D223" t="s">
        <v>58</v>
      </c>
      <c r="E223">
        <v>483</v>
      </c>
      <c r="F223">
        <f t="shared" si="6"/>
        <v>1642.2</v>
      </c>
      <c r="G223">
        <f>SUMIF($D$2:$D223,$D223,$E$2:$E223)</f>
        <v>1434</v>
      </c>
      <c r="H223">
        <f t="shared" si="7"/>
        <v>0</v>
      </c>
    </row>
    <row r="224" spans="1:8" x14ac:dyDescent="0.25">
      <c r="A224" s="1">
        <v>44594</v>
      </c>
      <c r="B224" t="s">
        <v>4</v>
      </c>
      <c r="C224" t="s">
        <v>17</v>
      </c>
      <c r="D224" t="s">
        <v>52</v>
      </c>
      <c r="E224">
        <v>481</v>
      </c>
      <c r="F224">
        <f t="shared" si="6"/>
        <v>1635.3999999999999</v>
      </c>
      <c r="G224">
        <f>SUMIF($D$2:$D224,$D224,$E$2:$E224)</f>
        <v>481</v>
      </c>
      <c r="H224">
        <f t="shared" si="7"/>
        <v>0</v>
      </c>
    </row>
    <row r="225" spans="1:8" x14ac:dyDescent="0.25">
      <c r="A225" s="1">
        <v>44594</v>
      </c>
      <c r="B225" t="s">
        <v>5</v>
      </c>
      <c r="C225" t="s">
        <v>17</v>
      </c>
      <c r="D225" t="s">
        <v>47</v>
      </c>
      <c r="E225">
        <v>19</v>
      </c>
      <c r="F225">
        <f t="shared" si="6"/>
        <v>64.599999999999994</v>
      </c>
      <c r="G225">
        <f>SUMIF($D$2:$D225,$D225,$E$2:$E225)</f>
        <v>703</v>
      </c>
      <c r="H225">
        <f t="shared" si="7"/>
        <v>0</v>
      </c>
    </row>
    <row r="226" spans="1:8" x14ac:dyDescent="0.25">
      <c r="A226" s="1">
        <v>44594</v>
      </c>
      <c r="B226" t="s">
        <v>8</v>
      </c>
      <c r="C226" t="s">
        <v>17</v>
      </c>
      <c r="D226" t="s">
        <v>67</v>
      </c>
      <c r="E226">
        <v>344</v>
      </c>
      <c r="F226">
        <f t="shared" si="6"/>
        <v>1204</v>
      </c>
      <c r="G226">
        <f>SUMIF($D$2:$D226,$D226,$E$2:$E226)</f>
        <v>2515</v>
      </c>
      <c r="H226">
        <f t="shared" si="7"/>
        <v>0</v>
      </c>
    </row>
    <row r="227" spans="1:8" x14ac:dyDescent="0.25">
      <c r="A227" s="1">
        <v>44594</v>
      </c>
      <c r="B227" t="s">
        <v>7</v>
      </c>
      <c r="C227" t="s">
        <v>17</v>
      </c>
      <c r="D227" t="s">
        <v>59</v>
      </c>
      <c r="E227">
        <v>650</v>
      </c>
      <c r="F227">
        <f t="shared" si="6"/>
        <v>2210</v>
      </c>
      <c r="G227">
        <f>SUMIF($D$2:$D227,$D227,$E$2:$E227)</f>
        <v>891</v>
      </c>
      <c r="H227">
        <f t="shared" si="7"/>
        <v>0</v>
      </c>
    </row>
    <row r="228" spans="1:8" x14ac:dyDescent="0.25">
      <c r="A228" s="1">
        <v>44595</v>
      </c>
      <c r="B228" t="s">
        <v>10</v>
      </c>
      <c r="C228" t="s">
        <v>17</v>
      </c>
      <c r="D228" t="s">
        <v>31</v>
      </c>
      <c r="E228">
        <v>187</v>
      </c>
      <c r="F228">
        <f t="shared" si="6"/>
        <v>635.79999999999995</v>
      </c>
      <c r="G228">
        <f>SUMIF($D$2:$D228,$D228,$E$2:$E228)</f>
        <v>2523</v>
      </c>
      <c r="H228">
        <f t="shared" si="7"/>
        <v>0</v>
      </c>
    </row>
    <row r="229" spans="1:8" x14ac:dyDescent="0.25">
      <c r="A229" s="1">
        <v>44595</v>
      </c>
      <c r="B229" t="s">
        <v>0</v>
      </c>
      <c r="C229" t="s">
        <v>17</v>
      </c>
      <c r="D229" t="s">
        <v>56</v>
      </c>
      <c r="E229">
        <v>433</v>
      </c>
      <c r="F229">
        <f t="shared" si="6"/>
        <v>1255.7</v>
      </c>
      <c r="G229">
        <f>SUMIF($D$2:$D229,$D229,$E$2:$E229)</f>
        <v>1859</v>
      </c>
      <c r="H229">
        <f t="shared" si="7"/>
        <v>0</v>
      </c>
    </row>
    <row r="230" spans="1:8" x14ac:dyDescent="0.25">
      <c r="A230" s="1">
        <v>44595</v>
      </c>
      <c r="B230" t="s">
        <v>6</v>
      </c>
      <c r="C230" t="s">
        <v>17</v>
      </c>
      <c r="D230" t="s">
        <v>26</v>
      </c>
      <c r="E230">
        <v>180</v>
      </c>
      <c r="F230">
        <f t="shared" si="6"/>
        <v>612</v>
      </c>
      <c r="G230">
        <f>SUMIF($D$2:$D230,$D230,$E$2:$E230)</f>
        <v>2305</v>
      </c>
      <c r="H230">
        <f t="shared" si="7"/>
        <v>0</v>
      </c>
    </row>
    <row r="231" spans="1:8" x14ac:dyDescent="0.25">
      <c r="A231" s="1">
        <v>44595</v>
      </c>
      <c r="B231" t="s">
        <v>8</v>
      </c>
      <c r="C231" t="s">
        <v>17</v>
      </c>
      <c r="D231" t="s">
        <v>29</v>
      </c>
      <c r="E231">
        <v>367</v>
      </c>
      <c r="F231">
        <f t="shared" si="6"/>
        <v>1284.5</v>
      </c>
      <c r="G231">
        <f>SUMIF($D$2:$D231,$D231,$E$2:$E231)</f>
        <v>3190</v>
      </c>
      <c r="H231">
        <f t="shared" si="7"/>
        <v>0</v>
      </c>
    </row>
    <row r="232" spans="1:8" x14ac:dyDescent="0.25">
      <c r="A232" s="1">
        <v>44595</v>
      </c>
      <c r="B232" t="s">
        <v>8</v>
      </c>
      <c r="C232" t="s">
        <v>17</v>
      </c>
      <c r="D232" t="s">
        <v>37</v>
      </c>
      <c r="E232">
        <v>231</v>
      </c>
      <c r="F232">
        <f t="shared" si="6"/>
        <v>808.5</v>
      </c>
      <c r="G232">
        <f>SUMIF($D$2:$D232,$D232,$E$2:$E232)</f>
        <v>1680</v>
      </c>
      <c r="H232">
        <f t="shared" si="7"/>
        <v>0</v>
      </c>
    </row>
    <row r="233" spans="1:8" x14ac:dyDescent="0.25">
      <c r="A233" s="1">
        <v>44595</v>
      </c>
      <c r="B233" t="s">
        <v>10</v>
      </c>
      <c r="C233" t="s">
        <v>17</v>
      </c>
      <c r="D233" t="s">
        <v>37</v>
      </c>
      <c r="E233">
        <v>255</v>
      </c>
      <c r="F233">
        <f t="shared" si="6"/>
        <v>867</v>
      </c>
      <c r="G233">
        <f>SUMIF($D$2:$D233,$D233,$E$2:$E233)</f>
        <v>1935</v>
      </c>
      <c r="H233">
        <f t="shared" si="7"/>
        <v>0</v>
      </c>
    </row>
    <row r="234" spans="1:8" x14ac:dyDescent="0.25">
      <c r="A234" s="1">
        <v>44595</v>
      </c>
      <c r="B234" t="s">
        <v>8</v>
      </c>
      <c r="C234" t="s">
        <v>17</v>
      </c>
      <c r="D234" t="s">
        <v>23</v>
      </c>
      <c r="E234">
        <v>551</v>
      </c>
      <c r="F234">
        <f t="shared" si="6"/>
        <v>1928.5</v>
      </c>
      <c r="G234">
        <f>SUMIF($D$2:$D234,$D234,$E$2:$E234)</f>
        <v>1804</v>
      </c>
      <c r="H234">
        <f t="shared" si="7"/>
        <v>0</v>
      </c>
    </row>
    <row r="235" spans="1:8" x14ac:dyDescent="0.25">
      <c r="A235" s="1">
        <v>44596</v>
      </c>
      <c r="B235" t="s">
        <v>15</v>
      </c>
      <c r="C235" t="s">
        <v>17</v>
      </c>
      <c r="D235" t="s">
        <v>30</v>
      </c>
      <c r="E235">
        <v>149</v>
      </c>
      <c r="F235">
        <f t="shared" si="6"/>
        <v>357.59999999999997</v>
      </c>
      <c r="G235">
        <f>SUMIF($D$2:$D235,$D235,$E$2:$E235)</f>
        <v>1176</v>
      </c>
      <c r="H235">
        <f t="shared" si="7"/>
        <v>0</v>
      </c>
    </row>
    <row r="236" spans="1:8" x14ac:dyDescent="0.25">
      <c r="A236" s="1">
        <v>44596</v>
      </c>
      <c r="B236" t="s">
        <v>4</v>
      </c>
      <c r="C236" t="s">
        <v>17</v>
      </c>
      <c r="D236" t="s">
        <v>67</v>
      </c>
      <c r="E236">
        <v>697</v>
      </c>
      <c r="F236">
        <f t="shared" si="6"/>
        <v>2369.7999999999997</v>
      </c>
      <c r="G236">
        <f>SUMIF($D$2:$D236,$D236,$E$2:$E236)</f>
        <v>3212</v>
      </c>
      <c r="H236">
        <f t="shared" si="7"/>
        <v>0</v>
      </c>
    </row>
    <row r="237" spans="1:8" x14ac:dyDescent="0.25">
      <c r="A237" s="1">
        <v>44596</v>
      </c>
      <c r="B237" t="s">
        <v>8</v>
      </c>
      <c r="C237" t="s">
        <v>17</v>
      </c>
      <c r="D237" t="s">
        <v>16</v>
      </c>
      <c r="E237">
        <v>433</v>
      </c>
      <c r="F237">
        <f t="shared" si="6"/>
        <v>1515.5</v>
      </c>
      <c r="G237">
        <f>SUMIF($D$2:$D237,$D237,$E$2:$E237)</f>
        <v>3195</v>
      </c>
      <c r="H237">
        <f t="shared" si="7"/>
        <v>0</v>
      </c>
    </row>
    <row r="238" spans="1:8" x14ac:dyDescent="0.25">
      <c r="A238" s="1">
        <v>44596</v>
      </c>
      <c r="B238" t="s">
        <v>4</v>
      </c>
      <c r="C238" t="s">
        <v>17</v>
      </c>
      <c r="D238" t="s">
        <v>28</v>
      </c>
      <c r="E238">
        <v>737</v>
      </c>
      <c r="F238">
        <f t="shared" si="6"/>
        <v>2505.7999999999997</v>
      </c>
      <c r="G238">
        <f>SUMIF($D$2:$D238,$D238,$E$2:$E238)</f>
        <v>2250</v>
      </c>
      <c r="H238">
        <f t="shared" si="7"/>
        <v>0</v>
      </c>
    </row>
    <row r="239" spans="1:8" x14ac:dyDescent="0.25">
      <c r="A239" s="1">
        <v>44596</v>
      </c>
      <c r="B239" t="s">
        <v>10</v>
      </c>
      <c r="C239" t="s">
        <v>17</v>
      </c>
      <c r="D239" t="s">
        <v>34</v>
      </c>
      <c r="E239">
        <v>366</v>
      </c>
      <c r="F239">
        <f t="shared" si="6"/>
        <v>1244.3999999999999</v>
      </c>
      <c r="G239">
        <f>SUMIF($D$2:$D239,$D239,$E$2:$E239)</f>
        <v>2265</v>
      </c>
      <c r="H239">
        <f t="shared" si="7"/>
        <v>0</v>
      </c>
    </row>
    <row r="240" spans="1:8" x14ac:dyDescent="0.25">
      <c r="A240" s="1">
        <v>44597</v>
      </c>
      <c r="B240" t="s">
        <v>0</v>
      </c>
      <c r="C240" t="s">
        <v>17</v>
      </c>
      <c r="D240" t="s">
        <v>66</v>
      </c>
      <c r="E240">
        <v>90</v>
      </c>
      <c r="F240">
        <f t="shared" si="6"/>
        <v>261</v>
      </c>
      <c r="G240">
        <f>SUMIF($D$2:$D240,$D240,$E$2:$E240)</f>
        <v>1240</v>
      </c>
      <c r="H240">
        <f t="shared" si="7"/>
        <v>0</v>
      </c>
    </row>
    <row r="241" spans="1:8" x14ac:dyDescent="0.25">
      <c r="A241" s="1">
        <v>44597</v>
      </c>
      <c r="B241" t="s">
        <v>0</v>
      </c>
      <c r="C241" t="s">
        <v>17</v>
      </c>
      <c r="D241" t="s">
        <v>34</v>
      </c>
      <c r="E241">
        <v>96</v>
      </c>
      <c r="F241">
        <f t="shared" si="6"/>
        <v>278.39999999999998</v>
      </c>
      <c r="G241">
        <f>SUMIF($D$2:$D241,$D241,$E$2:$E241)</f>
        <v>2361</v>
      </c>
      <c r="H241">
        <f t="shared" si="7"/>
        <v>0</v>
      </c>
    </row>
    <row r="242" spans="1:8" x14ac:dyDescent="0.25">
      <c r="A242" s="1">
        <v>44597</v>
      </c>
      <c r="B242" t="s">
        <v>8</v>
      </c>
      <c r="C242" t="s">
        <v>17</v>
      </c>
      <c r="D242" t="s">
        <v>48</v>
      </c>
      <c r="E242">
        <v>524</v>
      </c>
      <c r="F242">
        <f t="shared" si="6"/>
        <v>1834</v>
      </c>
      <c r="G242">
        <f>SUMIF($D$2:$D242,$D242,$E$2:$E242)</f>
        <v>524</v>
      </c>
      <c r="H242">
        <f t="shared" si="7"/>
        <v>0</v>
      </c>
    </row>
    <row r="243" spans="1:8" x14ac:dyDescent="0.25">
      <c r="A243" s="1">
        <v>44597</v>
      </c>
      <c r="B243" t="s">
        <v>2</v>
      </c>
      <c r="C243" t="s">
        <v>17</v>
      </c>
      <c r="D243" t="s">
        <v>51</v>
      </c>
      <c r="E243">
        <v>100</v>
      </c>
      <c r="F243">
        <f t="shared" si="6"/>
        <v>320</v>
      </c>
      <c r="G243">
        <f>SUMIF($D$2:$D243,$D243,$E$2:$E243)</f>
        <v>1683</v>
      </c>
      <c r="H243">
        <f t="shared" si="7"/>
        <v>0</v>
      </c>
    </row>
    <row r="244" spans="1:8" x14ac:dyDescent="0.25">
      <c r="A244" s="1">
        <v>44597</v>
      </c>
      <c r="B244" t="s">
        <v>5</v>
      </c>
      <c r="C244" t="s">
        <v>17</v>
      </c>
      <c r="D244" t="s">
        <v>58</v>
      </c>
      <c r="E244">
        <v>84</v>
      </c>
      <c r="F244">
        <f t="shared" si="6"/>
        <v>285.59999999999997</v>
      </c>
      <c r="G244">
        <f>SUMIF($D$2:$D244,$D244,$E$2:$E244)</f>
        <v>1518</v>
      </c>
      <c r="H244">
        <f t="shared" si="7"/>
        <v>0</v>
      </c>
    </row>
    <row r="245" spans="1:8" x14ac:dyDescent="0.25">
      <c r="A245" s="1">
        <v>44597</v>
      </c>
      <c r="B245" t="s">
        <v>10</v>
      </c>
      <c r="C245" t="s">
        <v>17</v>
      </c>
      <c r="D245" t="s">
        <v>61</v>
      </c>
      <c r="E245">
        <v>388</v>
      </c>
      <c r="F245">
        <f t="shared" si="6"/>
        <v>1319.2</v>
      </c>
      <c r="G245">
        <f>SUMIF($D$2:$D245,$D245,$E$2:$E245)</f>
        <v>2478</v>
      </c>
      <c r="H245">
        <f t="shared" si="7"/>
        <v>0</v>
      </c>
    </row>
    <row r="246" spans="1:8" x14ac:dyDescent="0.25">
      <c r="A246" s="1">
        <v>44597</v>
      </c>
      <c r="B246" t="s">
        <v>6</v>
      </c>
      <c r="C246" t="s">
        <v>17</v>
      </c>
      <c r="D246" t="s">
        <v>57</v>
      </c>
      <c r="E246">
        <v>353</v>
      </c>
      <c r="F246">
        <f t="shared" si="6"/>
        <v>1200.2</v>
      </c>
      <c r="G246">
        <f>SUMIF($D$2:$D246,$D246,$E$2:$E246)</f>
        <v>1759</v>
      </c>
      <c r="H246">
        <f t="shared" si="7"/>
        <v>0</v>
      </c>
    </row>
    <row r="247" spans="1:8" x14ac:dyDescent="0.25">
      <c r="A247" s="1">
        <v>44599</v>
      </c>
      <c r="B247" t="s">
        <v>10</v>
      </c>
      <c r="C247" t="s">
        <v>17</v>
      </c>
      <c r="D247" t="s">
        <v>44</v>
      </c>
      <c r="E247">
        <v>185</v>
      </c>
      <c r="F247">
        <f t="shared" si="6"/>
        <v>629</v>
      </c>
      <c r="G247">
        <f>SUMIF($D$2:$D247,$D247,$E$2:$E247)</f>
        <v>3918</v>
      </c>
      <c r="H247">
        <f t="shared" si="7"/>
        <v>0</v>
      </c>
    </row>
    <row r="248" spans="1:8" x14ac:dyDescent="0.25">
      <c r="A248" s="1">
        <v>44599</v>
      </c>
      <c r="B248" t="s">
        <v>7</v>
      </c>
      <c r="C248" t="s">
        <v>17</v>
      </c>
      <c r="D248" t="s">
        <v>29</v>
      </c>
      <c r="E248">
        <v>388</v>
      </c>
      <c r="F248">
        <f t="shared" si="6"/>
        <v>1319.2</v>
      </c>
      <c r="G248">
        <f>SUMIF($D$2:$D248,$D248,$E$2:$E248)</f>
        <v>3578</v>
      </c>
      <c r="H248">
        <f t="shared" si="7"/>
        <v>0</v>
      </c>
    </row>
    <row r="249" spans="1:8" x14ac:dyDescent="0.25">
      <c r="A249" s="1">
        <v>44599</v>
      </c>
      <c r="B249" t="s">
        <v>6</v>
      </c>
      <c r="C249" t="s">
        <v>17</v>
      </c>
      <c r="D249" t="s">
        <v>16</v>
      </c>
      <c r="E249">
        <v>476</v>
      </c>
      <c r="F249">
        <f t="shared" si="6"/>
        <v>1618.3999999999999</v>
      </c>
      <c r="G249">
        <f>SUMIF($D$2:$D249,$D249,$E$2:$E249)</f>
        <v>3671</v>
      </c>
      <c r="H249">
        <f t="shared" si="7"/>
        <v>0</v>
      </c>
    </row>
    <row r="250" spans="1:8" x14ac:dyDescent="0.25">
      <c r="A250" s="1">
        <v>44599</v>
      </c>
      <c r="B250" t="s">
        <v>4</v>
      </c>
      <c r="C250" t="s">
        <v>17</v>
      </c>
      <c r="D250" t="s">
        <v>31</v>
      </c>
      <c r="E250">
        <v>330</v>
      </c>
      <c r="F250">
        <f t="shared" si="6"/>
        <v>1122</v>
      </c>
      <c r="G250">
        <f>SUMIF($D$2:$D250,$D250,$E$2:$E250)</f>
        <v>2853</v>
      </c>
      <c r="H250">
        <f t="shared" si="7"/>
        <v>0</v>
      </c>
    </row>
    <row r="251" spans="1:8" x14ac:dyDescent="0.25">
      <c r="A251" s="1">
        <v>44599</v>
      </c>
      <c r="B251" t="s">
        <v>2</v>
      </c>
      <c r="C251" t="s">
        <v>17</v>
      </c>
      <c r="D251" t="s">
        <v>31</v>
      </c>
      <c r="E251">
        <v>34</v>
      </c>
      <c r="F251">
        <f t="shared" si="6"/>
        <v>108.80000000000001</v>
      </c>
      <c r="G251">
        <f>SUMIF($D$2:$D251,$D251,$E$2:$E251)</f>
        <v>2887</v>
      </c>
      <c r="H251">
        <f t="shared" si="7"/>
        <v>0</v>
      </c>
    </row>
    <row r="252" spans="1:8" x14ac:dyDescent="0.25">
      <c r="A252" s="1">
        <v>44599</v>
      </c>
      <c r="B252" t="s">
        <v>10</v>
      </c>
      <c r="C252" t="s">
        <v>17</v>
      </c>
      <c r="D252" t="s">
        <v>66</v>
      </c>
      <c r="E252">
        <v>44</v>
      </c>
      <c r="F252">
        <f t="shared" si="6"/>
        <v>149.6</v>
      </c>
      <c r="G252">
        <f>SUMIF($D$2:$D252,$D252,$E$2:$E252)</f>
        <v>1284</v>
      </c>
      <c r="H252">
        <f t="shared" si="7"/>
        <v>0</v>
      </c>
    </row>
    <row r="253" spans="1:8" x14ac:dyDescent="0.25">
      <c r="A253" s="1">
        <v>44599</v>
      </c>
      <c r="B253" t="s">
        <v>4</v>
      </c>
      <c r="C253" t="s">
        <v>17</v>
      </c>
      <c r="D253" t="s">
        <v>50</v>
      </c>
      <c r="E253">
        <v>602</v>
      </c>
      <c r="F253">
        <f t="shared" si="6"/>
        <v>2046.8</v>
      </c>
      <c r="G253">
        <f>SUMIF($D$2:$D253,$D253,$E$2:$E253)</f>
        <v>907</v>
      </c>
      <c r="H253">
        <f t="shared" si="7"/>
        <v>0</v>
      </c>
    </row>
    <row r="254" spans="1:8" x14ac:dyDescent="0.25">
      <c r="A254" s="1">
        <v>44599</v>
      </c>
      <c r="B254" t="s">
        <v>2</v>
      </c>
      <c r="C254" t="s">
        <v>17</v>
      </c>
      <c r="D254" t="s">
        <v>67</v>
      </c>
      <c r="E254">
        <v>107</v>
      </c>
      <c r="F254">
        <f t="shared" si="6"/>
        <v>342.40000000000003</v>
      </c>
      <c r="G254">
        <f>SUMIF($D$2:$D254,$D254,$E$2:$E254)</f>
        <v>3319</v>
      </c>
      <c r="H254">
        <f t="shared" si="7"/>
        <v>0</v>
      </c>
    </row>
    <row r="255" spans="1:8" x14ac:dyDescent="0.25">
      <c r="A255" s="1">
        <v>44599</v>
      </c>
      <c r="B255" t="s">
        <v>8</v>
      </c>
      <c r="C255" t="s">
        <v>17</v>
      </c>
      <c r="D255" t="s">
        <v>56</v>
      </c>
      <c r="E255">
        <v>335</v>
      </c>
      <c r="F255">
        <f t="shared" si="6"/>
        <v>1172.5</v>
      </c>
      <c r="G255">
        <f>SUMIF($D$2:$D255,$D255,$E$2:$E255)</f>
        <v>2194</v>
      </c>
      <c r="H255">
        <f t="shared" si="7"/>
        <v>0</v>
      </c>
    </row>
    <row r="256" spans="1:8" x14ac:dyDescent="0.25">
      <c r="A256" s="1">
        <v>44599</v>
      </c>
      <c r="B256" t="s">
        <v>4</v>
      </c>
      <c r="C256" t="s">
        <v>17</v>
      </c>
      <c r="D256" t="s">
        <v>20</v>
      </c>
      <c r="E256">
        <v>317</v>
      </c>
      <c r="F256">
        <f t="shared" si="6"/>
        <v>1077.8</v>
      </c>
      <c r="G256">
        <f>SUMIF($D$2:$D256,$D256,$E$2:$E256)</f>
        <v>1906</v>
      </c>
      <c r="H256">
        <f t="shared" si="7"/>
        <v>0</v>
      </c>
    </row>
    <row r="257" spans="1:8" x14ac:dyDescent="0.25">
      <c r="A257" s="1">
        <v>44599</v>
      </c>
      <c r="B257" t="s">
        <v>0</v>
      </c>
      <c r="C257" t="s">
        <v>17</v>
      </c>
      <c r="D257" t="s">
        <v>37</v>
      </c>
      <c r="E257">
        <v>49</v>
      </c>
      <c r="F257">
        <f t="shared" si="6"/>
        <v>142.1</v>
      </c>
      <c r="G257">
        <f>SUMIF($D$2:$D257,$D257,$E$2:$E257)</f>
        <v>1984</v>
      </c>
      <c r="H257">
        <f t="shared" si="7"/>
        <v>0</v>
      </c>
    </row>
    <row r="258" spans="1:8" x14ac:dyDescent="0.25">
      <c r="A258" s="1">
        <v>44599</v>
      </c>
      <c r="B258" t="s">
        <v>7</v>
      </c>
      <c r="C258" t="s">
        <v>17</v>
      </c>
      <c r="D258" t="s">
        <v>47</v>
      </c>
      <c r="E258">
        <v>578</v>
      </c>
      <c r="F258">
        <f t="shared" si="6"/>
        <v>1965.2</v>
      </c>
      <c r="G258">
        <f>SUMIF($D$2:$D258,$D258,$E$2:$E258)</f>
        <v>1281</v>
      </c>
      <c r="H258">
        <f t="shared" si="7"/>
        <v>0</v>
      </c>
    </row>
    <row r="259" spans="1:8" x14ac:dyDescent="0.25">
      <c r="A259" s="1">
        <v>44599</v>
      </c>
      <c r="B259" t="s">
        <v>6</v>
      </c>
      <c r="C259" t="s">
        <v>17</v>
      </c>
      <c r="D259" t="s">
        <v>43</v>
      </c>
      <c r="E259">
        <v>238</v>
      </c>
      <c r="F259">
        <f t="shared" ref="F259:F322" si="8">E259* _xlfn.XLOOKUP(B259,$I$2:$I$17,$J$2:$J$17,"0",0,1)</f>
        <v>809.19999999999993</v>
      </c>
      <c r="G259">
        <f>SUMIF($D$2:$D259,$D259,$E$2:$E259)</f>
        <v>1315</v>
      </c>
      <c r="H259">
        <f t="shared" ref="H259:H322" si="9">IF(AND($G259 &gt; 15000,$G259 &lt; 20000),5*$E259,IF($G259 &gt;= 20000,10*$E259,0))</f>
        <v>0</v>
      </c>
    </row>
    <row r="260" spans="1:8" x14ac:dyDescent="0.25">
      <c r="A260" s="1">
        <v>44599</v>
      </c>
      <c r="B260" t="s">
        <v>4</v>
      </c>
      <c r="C260" t="s">
        <v>17</v>
      </c>
      <c r="D260" t="s">
        <v>22</v>
      </c>
      <c r="E260">
        <v>675</v>
      </c>
      <c r="F260">
        <f t="shared" si="8"/>
        <v>2295</v>
      </c>
      <c r="G260">
        <f>SUMIF($D$2:$D260,$D260,$E$2:$E260)</f>
        <v>3494</v>
      </c>
      <c r="H260">
        <f t="shared" si="9"/>
        <v>0</v>
      </c>
    </row>
    <row r="261" spans="1:8" x14ac:dyDescent="0.25">
      <c r="A261" s="1">
        <v>44599</v>
      </c>
      <c r="B261" t="s">
        <v>4</v>
      </c>
      <c r="C261" t="s">
        <v>17</v>
      </c>
      <c r="D261" t="s">
        <v>66</v>
      </c>
      <c r="E261">
        <v>477</v>
      </c>
      <c r="F261">
        <f t="shared" si="8"/>
        <v>1621.8</v>
      </c>
      <c r="G261">
        <f>SUMIF($D$2:$D261,$D261,$E$2:$E261)</f>
        <v>1761</v>
      </c>
      <c r="H261">
        <f t="shared" si="9"/>
        <v>0</v>
      </c>
    </row>
    <row r="262" spans="1:8" x14ac:dyDescent="0.25">
      <c r="A262" s="1">
        <v>44599</v>
      </c>
      <c r="B262" t="s">
        <v>8</v>
      </c>
      <c r="C262" t="s">
        <v>17</v>
      </c>
      <c r="D262" t="s">
        <v>27</v>
      </c>
      <c r="E262">
        <v>413</v>
      </c>
      <c r="F262">
        <f t="shared" si="8"/>
        <v>1445.5</v>
      </c>
      <c r="G262">
        <f>SUMIF($D$2:$D262,$D262,$E$2:$E262)</f>
        <v>2793</v>
      </c>
      <c r="H262">
        <f t="shared" si="9"/>
        <v>0</v>
      </c>
    </row>
    <row r="263" spans="1:8" x14ac:dyDescent="0.25">
      <c r="A263" s="1">
        <v>44599</v>
      </c>
      <c r="B263" t="s">
        <v>7</v>
      </c>
      <c r="C263" t="s">
        <v>17</v>
      </c>
      <c r="D263" t="s">
        <v>26</v>
      </c>
      <c r="E263">
        <v>421</v>
      </c>
      <c r="F263">
        <f t="shared" si="8"/>
        <v>1431.3999999999999</v>
      </c>
      <c r="G263">
        <f>SUMIF($D$2:$D263,$D263,$E$2:$E263)</f>
        <v>2726</v>
      </c>
      <c r="H263">
        <f t="shared" si="9"/>
        <v>0</v>
      </c>
    </row>
    <row r="264" spans="1:8" x14ac:dyDescent="0.25">
      <c r="A264" s="1">
        <v>44600</v>
      </c>
      <c r="B264" t="s">
        <v>4</v>
      </c>
      <c r="C264" t="s">
        <v>17</v>
      </c>
      <c r="D264" t="s">
        <v>51</v>
      </c>
      <c r="E264">
        <v>356</v>
      </c>
      <c r="F264">
        <f t="shared" si="8"/>
        <v>1210.3999999999999</v>
      </c>
      <c r="G264">
        <f>SUMIF($D$2:$D264,$D264,$E$2:$E264)</f>
        <v>2039</v>
      </c>
      <c r="H264">
        <f t="shared" si="9"/>
        <v>0</v>
      </c>
    </row>
    <row r="265" spans="1:8" x14ac:dyDescent="0.25">
      <c r="A265" s="1">
        <v>44600</v>
      </c>
      <c r="B265" t="s">
        <v>5</v>
      </c>
      <c r="C265" t="s">
        <v>17</v>
      </c>
      <c r="D265" t="s">
        <v>39</v>
      </c>
      <c r="E265">
        <v>341</v>
      </c>
      <c r="F265">
        <f t="shared" si="8"/>
        <v>1159.3999999999999</v>
      </c>
      <c r="G265">
        <f>SUMIF($D$2:$D265,$D265,$E$2:$E265)</f>
        <v>2538</v>
      </c>
      <c r="H265">
        <f t="shared" si="9"/>
        <v>0</v>
      </c>
    </row>
    <row r="266" spans="1:8" x14ac:dyDescent="0.25">
      <c r="A266" s="1">
        <v>44600</v>
      </c>
      <c r="B266" t="s">
        <v>7</v>
      </c>
      <c r="C266" t="s">
        <v>17</v>
      </c>
      <c r="D266" t="s">
        <v>20</v>
      </c>
      <c r="E266">
        <v>409</v>
      </c>
      <c r="F266">
        <f t="shared" si="8"/>
        <v>1390.6</v>
      </c>
      <c r="G266">
        <f>SUMIF($D$2:$D266,$D266,$E$2:$E266)</f>
        <v>2315</v>
      </c>
      <c r="H266">
        <f t="shared" si="9"/>
        <v>0</v>
      </c>
    </row>
    <row r="267" spans="1:8" x14ac:dyDescent="0.25">
      <c r="A267" s="1">
        <v>44600</v>
      </c>
      <c r="B267" t="s">
        <v>4</v>
      </c>
      <c r="C267" t="s">
        <v>17</v>
      </c>
      <c r="D267" t="s">
        <v>43</v>
      </c>
      <c r="E267">
        <v>353</v>
      </c>
      <c r="F267">
        <f t="shared" si="8"/>
        <v>1200.2</v>
      </c>
      <c r="G267">
        <f>SUMIF($D$2:$D267,$D267,$E$2:$E267)</f>
        <v>1668</v>
      </c>
      <c r="H267">
        <f t="shared" si="9"/>
        <v>0</v>
      </c>
    </row>
    <row r="268" spans="1:8" x14ac:dyDescent="0.25">
      <c r="A268" s="1">
        <v>44600</v>
      </c>
      <c r="B268" t="s">
        <v>5</v>
      </c>
      <c r="C268" t="s">
        <v>17</v>
      </c>
      <c r="D268" t="s">
        <v>38</v>
      </c>
      <c r="E268">
        <v>340</v>
      </c>
      <c r="F268">
        <f t="shared" si="8"/>
        <v>1156</v>
      </c>
      <c r="G268">
        <f>SUMIF($D$2:$D268,$D268,$E$2:$E268)</f>
        <v>1930</v>
      </c>
      <c r="H268">
        <f t="shared" si="9"/>
        <v>0</v>
      </c>
    </row>
    <row r="269" spans="1:8" x14ac:dyDescent="0.25">
      <c r="A269" s="1">
        <v>44600</v>
      </c>
      <c r="B269" t="s">
        <v>15</v>
      </c>
      <c r="C269" t="s">
        <v>17</v>
      </c>
      <c r="D269" t="s">
        <v>56</v>
      </c>
      <c r="E269">
        <v>191</v>
      </c>
      <c r="F269">
        <f t="shared" si="8"/>
        <v>458.4</v>
      </c>
      <c r="G269">
        <f>SUMIF($D$2:$D269,$D269,$E$2:$E269)</f>
        <v>2385</v>
      </c>
      <c r="H269">
        <f t="shared" si="9"/>
        <v>0</v>
      </c>
    </row>
    <row r="270" spans="1:8" x14ac:dyDescent="0.25">
      <c r="A270" s="1">
        <v>44601</v>
      </c>
      <c r="B270" t="s">
        <v>5</v>
      </c>
      <c r="C270" t="s">
        <v>17</v>
      </c>
      <c r="D270" t="s">
        <v>41</v>
      </c>
      <c r="E270">
        <v>170</v>
      </c>
      <c r="F270">
        <f t="shared" si="8"/>
        <v>578</v>
      </c>
      <c r="G270">
        <f>SUMIF($D$2:$D270,$D270,$E$2:$E270)</f>
        <v>1187</v>
      </c>
      <c r="H270">
        <f t="shared" si="9"/>
        <v>0</v>
      </c>
    </row>
    <row r="271" spans="1:8" x14ac:dyDescent="0.25">
      <c r="A271" s="1">
        <v>44601</v>
      </c>
      <c r="B271" t="s">
        <v>15</v>
      </c>
      <c r="C271" t="s">
        <v>17</v>
      </c>
      <c r="D271" t="s">
        <v>51</v>
      </c>
      <c r="E271">
        <v>396</v>
      </c>
      <c r="F271">
        <f t="shared" si="8"/>
        <v>950.4</v>
      </c>
      <c r="G271">
        <f>SUMIF($D$2:$D271,$D271,$E$2:$E271)</f>
        <v>2435</v>
      </c>
      <c r="H271">
        <f t="shared" si="9"/>
        <v>0</v>
      </c>
    </row>
    <row r="272" spans="1:8" x14ac:dyDescent="0.25">
      <c r="A272" s="1">
        <v>44601</v>
      </c>
      <c r="B272" t="s">
        <v>8</v>
      </c>
      <c r="C272" t="s">
        <v>17</v>
      </c>
      <c r="D272" t="s">
        <v>51</v>
      </c>
      <c r="E272">
        <v>581</v>
      </c>
      <c r="F272">
        <f t="shared" si="8"/>
        <v>2033.5</v>
      </c>
      <c r="G272">
        <f>SUMIF($D$2:$D272,$D272,$E$2:$E272)</f>
        <v>3016</v>
      </c>
      <c r="H272">
        <f t="shared" si="9"/>
        <v>0</v>
      </c>
    </row>
    <row r="273" spans="1:8" x14ac:dyDescent="0.25">
      <c r="A273" s="1">
        <v>44601</v>
      </c>
      <c r="B273" t="s">
        <v>2</v>
      </c>
      <c r="C273" t="s">
        <v>17</v>
      </c>
      <c r="D273" t="s">
        <v>32</v>
      </c>
      <c r="E273">
        <v>42</v>
      </c>
      <c r="F273">
        <f t="shared" si="8"/>
        <v>134.4</v>
      </c>
      <c r="G273">
        <f>SUMIF($D$2:$D273,$D273,$E$2:$E273)</f>
        <v>1915</v>
      </c>
      <c r="H273">
        <f t="shared" si="9"/>
        <v>0</v>
      </c>
    </row>
    <row r="274" spans="1:8" x14ac:dyDescent="0.25">
      <c r="A274" s="1">
        <v>44601</v>
      </c>
      <c r="B274" t="s">
        <v>10</v>
      </c>
      <c r="C274" t="s">
        <v>17</v>
      </c>
      <c r="D274" t="s">
        <v>26</v>
      </c>
      <c r="E274">
        <v>393</v>
      </c>
      <c r="F274">
        <f t="shared" si="8"/>
        <v>1336.2</v>
      </c>
      <c r="G274">
        <f>SUMIF($D$2:$D274,$D274,$E$2:$E274)</f>
        <v>3119</v>
      </c>
      <c r="H274">
        <f t="shared" si="9"/>
        <v>0</v>
      </c>
    </row>
    <row r="275" spans="1:8" x14ac:dyDescent="0.25">
      <c r="A275" s="1">
        <v>44601</v>
      </c>
      <c r="B275" t="s">
        <v>2</v>
      </c>
      <c r="C275" t="s">
        <v>17</v>
      </c>
      <c r="D275" t="s">
        <v>25</v>
      </c>
      <c r="E275">
        <v>333</v>
      </c>
      <c r="F275">
        <f t="shared" si="8"/>
        <v>1065.6000000000001</v>
      </c>
      <c r="G275">
        <f>SUMIF($D$2:$D275,$D275,$E$2:$E275)</f>
        <v>1937</v>
      </c>
      <c r="H275">
        <f t="shared" si="9"/>
        <v>0</v>
      </c>
    </row>
    <row r="276" spans="1:8" x14ac:dyDescent="0.25">
      <c r="A276" s="1">
        <v>44601</v>
      </c>
      <c r="B276" t="s">
        <v>5</v>
      </c>
      <c r="C276" t="s">
        <v>17</v>
      </c>
      <c r="D276" t="s">
        <v>45</v>
      </c>
      <c r="E276">
        <v>259</v>
      </c>
      <c r="F276">
        <f t="shared" si="8"/>
        <v>880.6</v>
      </c>
      <c r="G276">
        <f>SUMIF($D$2:$D276,$D276,$E$2:$E276)</f>
        <v>788</v>
      </c>
      <c r="H276">
        <f t="shared" si="9"/>
        <v>0</v>
      </c>
    </row>
    <row r="277" spans="1:8" x14ac:dyDescent="0.25">
      <c r="A277" s="1">
        <v>44601</v>
      </c>
      <c r="B277" t="s">
        <v>0</v>
      </c>
      <c r="C277" t="s">
        <v>17</v>
      </c>
      <c r="D277" t="s">
        <v>40</v>
      </c>
      <c r="E277">
        <v>227</v>
      </c>
      <c r="F277">
        <f t="shared" si="8"/>
        <v>658.3</v>
      </c>
      <c r="G277">
        <f>SUMIF($D$2:$D277,$D277,$E$2:$E277)</f>
        <v>1002</v>
      </c>
      <c r="H277">
        <f t="shared" si="9"/>
        <v>0</v>
      </c>
    </row>
    <row r="278" spans="1:8" x14ac:dyDescent="0.25">
      <c r="A278" s="1">
        <v>44602</v>
      </c>
      <c r="B278" t="s">
        <v>4</v>
      </c>
      <c r="C278" t="s">
        <v>17</v>
      </c>
      <c r="D278" t="s">
        <v>38</v>
      </c>
      <c r="E278">
        <v>498</v>
      </c>
      <c r="F278">
        <f t="shared" si="8"/>
        <v>1693.2</v>
      </c>
      <c r="G278">
        <f>SUMIF($D$2:$D278,$D278,$E$2:$E278)</f>
        <v>2428</v>
      </c>
      <c r="H278">
        <f t="shared" si="9"/>
        <v>0</v>
      </c>
    </row>
    <row r="279" spans="1:8" x14ac:dyDescent="0.25">
      <c r="A279" s="1">
        <v>44602</v>
      </c>
      <c r="B279" t="s">
        <v>2</v>
      </c>
      <c r="C279" t="s">
        <v>17</v>
      </c>
      <c r="D279" t="s">
        <v>66</v>
      </c>
      <c r="E279">
        <v>308</v>
      </c>
      <c r="F279">
        <f t="shared" si="8"/>
        <v>985.6</v>
      </c>
      <c r="G279">
        <f>SUMIF($D$2:$D279,$D279,$E$2:$E279)</f>
        <v>2069</v>
      </c>
      <c r="H279">
        <f t="shared" si="9"/>
        <v>0</v>
      </c>
    </row>
    <row r="280" spans="1:8" x14ac:dyDescent="0.25">
      <c r="A280" s="1">
        <v>44602</v>
      </c>
      <c r="B280" t="s">
        <v>0</v>
      </c>
      <c r="C280" t="s">
        <v>17</v>
      </c>
      <c r="D280" t="s">
        <v>25</v>
      </c>
      <c r="E280">
        <v>46</v>
      </c>
      <c r="F280">
        <f t="shared" si="8"/>
        <v>133.4</v>
      </c>
      <c r="G280">
        <f>SUMIF($D$2:$D280,$D280,$E$2:$E280)</f>
        <v>1983</v>
      </c>
      <c r="H280">
        <f t="shared" si="9"/>
        <v>0</v>
      </c>
    </row>
    <row r="281" spans="1:8" x14ac:dyDescent="0.25">
      <c r="A281" s="1">
        <v>44602</v>
      </c>
      <c r="B281" t="s">
        <v>7</v>
      </c>
      <c r="C281" t="s">
        <v>17</v>
      </c>
      <c r="D281" t="s">
        <v>26</v>
      </c>
      <c r="E281">
        <v>331</v>
      </c>
      <c r="F281">
        <f t="shared" si="8"/>
        <v>1125.3999999999999</v>
      </c>
      <c r="G281">
        <f>SUMIF($D$2:$D281,$D281,$E$2:$E281)</f>
        <v>3450</v>
      </c>
      <c r="H281">
        <f t="shared" si="9"/>
        <v>0</v>
      </c>
    </row>
    <row r="282" spans="1:8" x14ac:dyDescent="0.25">
      <c r="A282" s="1">
        <v>44602</v>
      </c>
      <c r="B282" t="s">
        <v>5</v>
      </c>
      <c r="C282" t="s">
        <v>17</v>
      </c>
      <c r="D282" t="s">
        <v>64</v>
      </c>
      <c r="E282">
        <v>93</v>
      </c>
      <c r="F282">
        <f t="shared" si="8"/>
        <v>316.2</v>
      </c>
      <c r="G282">
        <f>SUMIF($D$2:$D282,$D282,$E$2:$E282)</f>
        <v>1467</v>
      </c>
      <c r="H282">
        <f t="shared" si="9"/>
        <v>0</v>
      </c>
    </row>
    <row r="283" spans="1:8" x14ac:dyDescent="0.25">
      <c r="A283" s="1">
        <v>44602</v>
      </c>
      <c r="B283" t="s">
        <v>8</v>
      </c>
      <c r="C283" t="s">
        <v>17</v>
      </c>
      <c r="D283" t="s">
        <v>42</v>
      </c>
      <c r="E283">
        <v>333</v>
      </c>
      <c r="F283">
        <f t="shared" si="8"/>
        <v>1165.5</v>
      </c>
      <c r="G283">
        <f>SUMIF($D$2:$D283,$D283,$E$2:$E283)</f>
        <v>930</v>
      </c>
      <c r="H283">
        <f t="shared" si="9"/>
        <v>0</v>
      </c>
    </row>
    <row r="284" spans="1:8" x14ac:dyDescent="0.25">
      <c r="A284" s="1">
        <v>44602</v>
      </c>
      <c r="B284" t="s">
        <v>6</v>
      </c>
      <c r="C284" t="s">
        <v>17</v>
      </c>
      <c r="D284" t="s">
        <v>46</v>
      </c>
      <c r="E284">
        <v>421</v>
      </c>
      <c r="F284">
        <f t="shared" si="8"/>
        <v>1431.3999999999999</v>
      </c>
      <c r="G284">
        <f>SUMIF($D$2:$D284,$D284,$E$2:$E284)</f>
        <v>2422</v>
      </c>
      <c r="H284">
        <f t="shared" si="9"/>
        <v>0</v>
      </c>
    </row>
    <row r="285" spans="1:8" x14ac:dyDescent="0.25">
      <c r="A285" s="1">
        <v>44602</v>
      </c>
      <c r="B285" t="s">
        <v>0</v>
      </c>
      <c r="C285" t="s">
        <v>17</v>
      </c>
      <c r="D285" t="s">
        <v>31</v>
      </c>
      <c r="E285">
        <v>305</v>
      </c>
      <c r="F285">
        <f t="shared" si="8"/>
        <v>884.5</v>
      </c>
      <c r="G285">
        <f>SUMIF($D$2:$D285,$D285,$E$2:$E285)</f>
        <v>3192</v>
      </c>
      <c r="H285">
        <f t="shared" si="9"/>
        <v>0</v>
      </c>
    </row>
    <row r="286" spans="1:8" x14ac:dyDescent="0.25">
      <c r="A286" s="1">
        <v>44602</v>
      </c>
      <c r="B286" t="s">
        <v>8</v>
      </c>
      <c r="C286" t="s">
        <v>17</v>
      </c>
      <c r="D286" t="s">
        <v>28</v>
      </c>
      <c r="E286">
        <v>538</v>
      </c>
      <c r="F286">
        <f t="shared" si="8"/>
        <v>1883</v>
      </c>
      <c r="G286">
        <f>SUMIF($D$2:$D286,$D286,$E$2:$E286)</f>
        <v>2788</v>
      </c>
      <c r="H286">
        <f t="shared" si="9"/>
        <v>0</v>
      </c>
    </row>
    <row r="287" spans="1:8" x14ac:dyDescent="0.25">
      <c r="A287" s="1">
        <v>44603</v>
      </c>
      <c r="B287" t="s">
        <v>5</v>
      </c>
      <c r="C287" t="s">
        <v>17</v>
      </c>
      <c r="D287" t="s">
        <v>63</v>
      </c>
      <c r="E287">
        <v>167</v>
      </c>
      <c r="F287">
        <f t="shared" si="8"/>
        <v>567.79999999999995</v>
      </c>
      <c r="G287">
        <f>SUMIF($D$2:$D287,$D287,$E$2:$E287)</f>
        <v>986</v>
      </c>
      <c r="H287">
        <f t="shared" si="9"/>
        <v>0</v>
      </c>
    </row>
    <row r="288" spans="1:8" x14ac:dyDescent="0.25">
      <c r="A288" s="1">
        <v>44603</v>
      </c>
      <c r="B288" t="s">
        <v>5</v>
      </c>
      <c r="C288" t="s">
        <v>17</v>
      </c>
      <c r="D288" t="s">
        <v>54</v>
      </c>
      <c r="E288">
        <v>71</v>
      </c>
      <c r="F288">
        <f t="shared" si="8"/>
        <v>241.4</v>
      </c>
      <c r="G288">
        <f>SUMIF($D$2:$D288,$D288,$E$2:$E288)</f>
        <v>648</v>
      </c>
      <c r="H288">
        <f t="shared" si="9"/>
        <v>0</v>
      </c>
    </row>
    <row r="289" spans="1:8" x14ac:dyDescent="0.25">
      <c r="A289" s="1">
        <v>44603</v>
      </c>
      <c r="B289" t="s">
        <v>7</v>
      </c>
      <c r="C289" t="s">
        <v>17</v>
      </c>
      <c r="D289" t="s">
        <v>53</v>
      </c>
      <c r="E289">
        <v>609</v>
      </c>
      <c r="F289">
        <f t="shared" si="8"/>
        <v>2070.6</v>
      </c>
      <c r="G289">
        <f>SUMIF($D$2:$D289,$D289,$E$2:$E289)</f>
        <v>1336</v>
      </c>
      <c r="H289">
        <f t="shared" si="9"/>
        <v>0</v>
      </c>
    </row>
    <row r="290" spans="1:8" x14ac:dyDescent="0.25">
      <c r="A290" s="1">
        <v>44603</v>
      </c>
      <c r="B290" t="s">
        <v>8</v>
      </c>
      <c r="C290" t="s">
        <v>17</v>
      </c>
      <c r="D290" t="s">
        <v>43</v>
      </c>
      <c r="E290">
        <v>573</v>
      </c>
      <c r="F290">
        <f t="shared" si="8"/>
        <v>2005.5</v>
      </c>
      <c r="G290">
        <f>SUMIF($D$2:$D290,$D290,$E$2:$E290)</f>
        <v>2241</v>
      </c>
      <c r="H290">
        <f t="shared" si="9"/>
        <v>0</v>
      </c>
    </row>
    <row r="291" spans="1:8" x14ac:dyDescent="0.25">
      <c r="A291" s="1">
        <v>44603</v>
      </c>
      <c r="B291" t="s">
        <v>6</v>
      </c>
      <c r="C291" t="s">
        <v>17</v>
      </c>
      <c r="D291" t="s">
        <v>57</v>
      </c>
      <c r="E291">
        <v>111</v>
      </c>
      <c r="F291">
        <f t="shared" si="8"/>
        <v>377.4</v>
      </c>
      <c r="G291">
        <f>SUMIF($D$2:$D291,$D291,$E$2:$E291)</f>
        <v>1870</v>
      </c>
      <c r="H291">
        <f t="shared" si="9"/>
        <v>0</v>
      </c>
    </row>
    <row r="292" spans="1:8" x14ac:dyDescent="0.25">
      <c r="A292" s="1">
        <v>44603</v>
      </c>
      <c r="B292" t="s">
        <v>4</v>
      </c>
      <c r="C292" t="s">
        <v>17</v>
      </c>
      <c r="D292" t="s">
        <v>42</v>
      </c>
      <c r="E292">
        <v>728</v>
      </c>
      <c r="F292">
        <f t="shared" si="8"/>
        <v>2475.1999999999998</v>
      </c>
      <c r="G292">
        <f>SUMIF($D$2:$D292,$D292,$E$2:$E292)</f>
        <v>1658</v>
      </c>
      <c r="H292">
        <f t="shared" si="9"/>
        <v>0</v>
      </c>
    </row>
    <row r="293" spans="1:8" x14ac:dyDescent="0.25">
      <c r="A293" s="1">
        <v>44603</v>
      </c>
      <c r="B293" t="s">
        <v>10</v>
      </c>
      <c r="C293" t="s">
        <v>17</v>
      </c>
      <c r="D293" t="s">
        <v>49</v>
      </c>
      <c r="E293">
        <v>99</v>
      </c>
      <c r="F293">
        <f t="shared" si="8"/>
        <v>336.59999999999997</v>
      </c>
      <c r="G293">
        <f>SUMIF($D$2:$D293,$D293,$E$2:$E293)</f>
        <v>1310</v>
      </c>
      <c r="H293">
        <f t="shared" si="9"/>
        <v>0</v>
      </c>
    </row>
    <row r="294" spans="1:8" x14ac:dyDescent="0.25">
      <c r="A294" s="1">
        <v>44603</v>
      </c>
      <c r="B294" t="s">
        <v>5</v>
      </c>
      <c r="C294" t="s">
        <v>17</v>
      </c>
      <c r="D294" t="s">
        <v>49</v>
      </c>
      <c r="E294">
        <v>487</v>
      </c>
      <c r="F294">
        <f t="shared" si="8"/>
        <v>1655.8</v>
      </c>
      <c r="G294">
        <f>SUMIF($D$2:$D294,$D294,$E$2:$E294)</f>
        <v>1797</v>
      </c>
      <c r="H294">
        <f t="shared" si="9"/>
        <v>0</v>
      </c>
    </row>
    <row r="295" spans="1:8" x14ac:dyDescent="0.25">
      <c r="A295" s="1">
        <v>44603</v>
      </c>
      <c r="B295" t="s">
        <v>7</v>
      </c>
      <c r="C295" t="s">
        <v>17</v>
      </c>
      <c r="D295" t="s">
        <v>34</v>
      </c>
      <c r="E295">
        <v>375</v>
      </c>
      <c r="F295">
        <f t="shared" si="8"/>
        <v>1275</v>
      </c>
      <c r="G295">
        <f>SUMIF($D$2:$D295,$D295,$E$2:$E295)</f>
        <v>2736</v>
      </c>
      <c r="H295">
        <f t="shared" si="9"/>
        <v>0</v>
      </c>
    </row>
    <row r="296" spans="1:8" x14ac:dyDescent="0.25">
      <c r="A296" s="1">
        <v>44604</v>
      </c>
      <c r="B296" t="s">
        <v>6</v>
      </c>
      <c r="C296" t="s">
        <v>17</v>
      </c>
      <c r="D296" t="s">
        <v>32</v>
      </c>
      <c r="E296">
        <v>421</v>
      </c>
      <c r="F296">
        <f t="shared" si="8"/>
        <v>1431.3999999999999</v>
      </c>
      <c r="G296">
        <f>SUMIF($D$2:$D296,$D296,$E$2:$E296)</f>
        <v>2336</v>
      </c>
      <c r="H296">
        <f t="shared" si="9"/>
        <v>0</v>
      </c>
    </row>
    <row r="297" spans="1:8" x14ac:dyDescent="0.25">
      <c r="A297" s="1">
        <v>44604</v>
      </c>
      <c r="B297" t="s">
        <v>2</v>
      </c>
      <c r="C297" t="s">
        <v>17</v>
      </c>
      <c r="D297" t="s">
        <v>37</v>
      </c>
      <c r="E297">
        <v>163</v>
      </c>
      <c r="F297">
        <f t="shared" si="8"/>
        <v>521.6</v>
      </c>
      <c r="G297">
        <f>SUMIF($D$2:$D297,$D297,$E$2:$E297)</f>
        <v>2147</v>
      </c>
      <c r="H297">
        <f t="shared" si="9"/>
        <v>0</v>
      </c>
    </row>
    <row r="298" spans="1:8" x14ac:dyDescent="0.25">
      <c r="A298" s="1">
        <v>44606</v>
      </c>
      <c r="B298" t="s">
        <v>10</v>
      </c>
      <c r="C298" t="s">
        <v>17</v>
      </c>
      <c r="D298" t="s">
        <v>24</v>
      </c>
      <c r="E298">
        <v>489</v>
      </c>
      <c r="F298">
        <f t="shared" si="8"/>
        <v>1662.6</v>
      </c>
      <c r="G298">
        <f>SUMIF($D$2:$D298,$D298,$E$2:$E298)</f>
        <v>1377</v>
      </c>
      <c r="H298">
        <f t="shared" si="9"/>
        <v>0</v>
      </c>
    </row>
    <row r="299" spans="1:8" x14ac:dyDescent="0.25">
      <c r="A299" s="1">
        <v>44606</v>
      </c>
      <c r="B299" t="s">
        <v>4</v>
      </c>
      <c r="C299" t="s">
        <v>17</v>
      </c>
      <c r="D299" t="s">
        <v>29</v>
      </c>
      <c r="E299">
        <v>413</v>
      </c>
      <c r="F299">
        <f t="shared" si="8"/>
        <v>1404.2</v>
      </c>
      <c r="G299">
        <f>SUMIF($D$2:$D299,$D299,$E$2:$E299)</f>
        <v>3991</v>
      </c>
      <c r="H299">
        <f t="shared" si="9"/>
        <v>0</v>
      </c>
    </row>
    <row r="300" spans="1:8" x14ac:dyDescent="0.25">
      <c r="A300" s="1">
        <v>44606</v>
      </c>
      <c r="B300" t="s">
        <v>0</v>
      </c>
      <c r="C300" t="s">
        <v>17</v>
      </c>
      <c r="D300" t="s">
        <v>20</v>
      </c>
      <c r="E300">
        <v>16</v>
      </c>
      <c r="F300">
        <f t="shared" si="8"/>
        <v>46.4</v>
      </c>
      <c r="G300">
        <f>SUMIF($D$2:$D300,$D300,$E$2:$E300)</f>
        <v>2331</v>
      </c>
      <c r="H300">
        <f t="shared" si="9"/>
        <v>0</v>
      </c>
    </row>
    <row r="301" spans="1:8" x14ac:dyDescent="0.25">
      <c r="A301" s="1">
        <v>44606</v>
      </c>
      <c r="B301" t="s">
        <v>8</v>
      </c>
      <c r="C301" t="s">
        <v>17</v>
      </c>
      <c r="D301" t="s">
        <v>34</v>
      </c>
      <c r="E301">
        <v>293</v>
      </c>
      <c r="F301">
        <f t="shared" si="8"/>
        <v>1025.5</v>
      </c>
      <c r="G301">
        <f>SUMIF($D$2:$D301,$D301,$E$2:$E301)</f>
        <v>3029</v>
      </c>
      <c r="H301">
        <f t="shared" si="9"/>
        <v>0</v>
      </c>
    </row>
    <row r="302" spans="1:8" x14ac:dyDescent="0.25">
      <c r="A302" s="1">
        <v>44606</v>
      </c>
      <c r="B302" t="s">
        <v>0</v>
      </c>
      <c r="C302" t="s">
        <v>17</v>
      </c>
      <c r="D302" t="s">
        <v>52</v>
      </c>
      <c r="E302">
        <v>128</v>
      </c>
      <c r="F302">
        <f t="shared" si="8"/>
        <v>371.2</v>
      </c>
      <c r="G302">
        <f>SUMIF($D$2:$D302,$D302,$E$2:$E302)</f>
        <v>609</v>
      </c>
      <c r="H302">
        <f t="shared" si="9"/>
        <v>0</v>
      </c>
    </row>
    <row r="303" spans="1:8" x14ac:dyDescent="0.25">
      <c r="A303" s="1">
        <v>44606</v>
      </c>
      <c r="B303" t="s">
        <v>8</v>
      </c>
      <c r="C303" t="s">
        <v>17</v>
      </c>
      <c r="D303" t="s">
        <v>36</v>
      </c>
      <c r="E303">
        <v>579</v>
      </c>
      <c r="F303">
        <f t="shared" si="8"/>
        <v>2026.5</v>
      </c>
      <c r="G303">
        <f>SUMIF($D$2:$D303,$D303,$E$2:$E303)</f>
        <v>2482</v>
      </c>
      <c r="H303">
        <f t="shared" si="9"/>
        <v>0</v>
      </c>
    </row>
    <row r="304" spans="1:8" x14ac:dyDescent="0.25">
      <c r="A304" s="1">
        <v>44606</v>
      </c>
      <c r="B304" t="s">
        <v>15</v>
      </c>
      <c r="C304" t="s">
        <v>17</v>
      </c>
      <c r="D304" t="s">
        <v>18</v>
      </c>
      <c r="E304">
        <v>150</v>
      </c>
      <c r="F304">
        <f t="shared" si="8"/>
        <v>360</v>
      </c>
      <c r="G304">
        <f>SUMIF($D$2:$D304,$D304,$E$2:$E304)</f>
        <v>3052</v>
      </c>
      <c r="H304">
        <f t="shared" si="9"/>
        <v>0</v>
      </c>
    </row>
    <row r="305" spans="1:8" x14ac:dyDescent="0.25">
      <c r="A305" s="1">
        <v>44606</v>
      </c>
      <c r="B305" t="s">
        <v>2</v>
      </c>
      <c r="C305" t="s">
        <v>17</v>
      </c>
      <c r="D305" t="s">
        <v>55</v>
      </c>
      <c r="E305">
        <v>465</v>
      </c>
      <c r="F305">
        <f t="shared" si="8"/>
        <v>1488</v>
      </c>
      <c r="G305">
        <f>SUMIF($D$2:$D305,$D305,$E$2:$E305)</f>
        <v>2292</v>
      </c>
      <c r="H305">
        <f t="shared" si="9"/>
        <v>0</v>
      </c>
    </row>
    <row r="306" spans="1:8" x14ac:dyDescent="0.25">
      <c r="A306" s="1">
        <v>44606</v>
      </c>
      <c r="B306" t="s">
        <v>6</v>
      </c>
      <c r="C306" t="s">
        <v>17</v>
      </c>
      <c r="D306" t="s">
        <v>30</v>
      </c>
      <c r="E306">
        <v>409</v>
      </c>
      <c r="F306">
        <f t="shared" si="8"/>
        <v>1390.6</v>
      </c>
      <c r="G306">
        <f>SUMIF($D$2:$D306,$D306,$E$2:$E306)</f>
        <v>1585</v>
      </c>
      <c r="H306">
        <f t="shared" si="9"/>
        <v>0</v>
      </c>
    </row>
    <row r="307" spans="1:8" x14ac:dyDescent="0.25">
      <c r="A307" s="1">
        <v>44606</v>
      </c>
      <c r="B307" t="s">
        <v>0</v>
      </c>
      <c r="C307" t="s">
        <v>17</v>
      </c>
      <c r="D307" t="s">
        <v>26</v>
      </c>
      <c r="E307">
        <v>402</v>
      </c>
      <c r="F307">
        <f t="shared" si="8"/>
        <v>1165.8</v>
      </c>
      <c r="G307">
        <f>SUMIF($D$2:$D307,$D307,$E$2:$E307)</f>
        <v>3852</v>
      </c>
      <c r="H307">
        <f t="shared" si="9"/>
        <v>0</v>
      </c>
    </row>
    <row r="308" spans="1:8" x14ac:dyDescent="0.25">
      <c r="A308" s="1">
        <v>44606</v>
      </c>
      <c r="B308" t="s">
        <v>15</v>
      </c>
      <c r="C308" t="s">
        <v>17</v>
      </c>
      <c r="D308" t="s">
        <v>46</v>
      </c>
      <c r="E308">
        <v>263</v>
      </c>
      <c r="F308">
        <f t="shared" si="8"/>
        <v>631.19999999999993</v>
      </c>
      <c r="G308">
        <f>SUMIF($D$2:$D308,$D308,$E$2:$E308)</f>
        <v>2685</v>
      </c>
      <c r="H308">
        <f t="shared" si="9"/>
        <v>0</v>
      </c>
    </row>
    <row r="309" spans="1:8" x14ac:dyDescent="0.25">
      <c r="A309" s="1">
        <v>44607</v>
      </c>
      <c r="B309" t="s">
        <v>5</v>
      </c>
      <c r="C309" t="s">
        <v>17</v>
      </c>
      <c r="D309" t="s">
        <v>37</v>
      </c>
      <c r="E309">
        <v>301</v>
      </c>
      <c r="F309">
        <f t="shared" si="8"/>
        <v>1023.4</v>
      </c>
      <c r="G309">
        <f>SUMIF($D$2:$D309,$D309,$E$2:$E309)</f>
        <v>2448</v>
      </c>
      <c r="H309">
        <f t="shared" si="9"/>
        <v>0</v>
      </c>
    </row>
    <row r="310" spans="1:8" x14ac:dyDescent="0.25">
      <c r="A310" s="1">
        <v>44607</v>
      </c>
      <c r="B310" t="s">
        <v>8</v>
      </c>
      <c r="C310" t="s">
        <v>17</v>
      </c>
      <c r="D310" t="s">
        <v>24</v>
      </c>
      <c r="E310">
        <v>603</v>
      </c>
      <c r="F310">
        <f t="shared" si="8"/>
        <v>2110.5</v>
      </c>
      <c r="G310">
        <f>SUMIF($D$2:$D310,$D310,$E$2:$E310)</f>
        <v>1980</v>
      </c>
      <c r="H310">
        <f t="shared" si="9"/>
        <v>0</v>
      </c>
    </row>
    <row r="311" spans="1:8" x14ac:dyDescent="0.25">
      <c r="A311" s="1">
        <v>44607</v>
      </c>
      <c r="B311" t="s">
        <v>5</v>
      </c>
      <c r="C311" t="s">
        <v>17</v>
      </c>
      <c r="D311" t="s">
        <v>21</v>
      </c>
      <c r="E311">
        <v>475</v>
      </c>
      <c r="F311">
        <f t="shared" si="8"/>
        <v>1615</v>
      </c>
      <c r="G311">
        <f>SUMIF($D$2:$D311,$D311,$E$2:$E311)</f>
        <v>1366</v>
      </c>
      <c r="H311">
        <f t="shared" si="9"/>
        <v>0</v>
      </c>
    </row>
    <row r="312" spans="1:8" x14ac:dyDescent="0.25">
      <c r="A312" s="1">
        <v>44607</v>
      </c>
      <c r="B312" t="s">
        <v>7</v>
      </c>
      <c r="C312" t="s">
        <v>17</v>
      </c>
      <c r="D312" t="s">
        <v>62</v>
      </c>
      <c r="E312">
        <v>387</v>
      </c>
      <c r="F312">
        <f t="shared" si="8"/>
        <v>1315.8</v>
      </c>
      <c r="G312">
        <f>SUMIF($D$2:$D312,$D312,$E$2:$E312)</f>
        <v>2036</v>
      </c>
      <c r="H312">
        <f t="shared" si="9"/>
        <v>0</v>
      </c>
    </row>
    <row r="313" spans="1:8" x14ac:dyDescent="0.25">
      <c r="A313" s="1">
        <v>44607</v>
      </c>
      <c r="B313" t="s">
        <v>15</v>
      </c>
      <c r="C313" t="s">
        <v>17</v>
      </c>
      <c r="D313" t="s">
        <v>58</v>
      </c>
      <c r="E313">
        <v>574</v>
      </c>
      <c r="F313">
        <f t="shared" si="8"/>
        <v>1377.6</v>
      </c>
      <c r="G313">
        <f>SUMIF($D$2:$D313,$D313,$E$2:$E313)</f>
        <v>2092</v>
      </c>
      <c r="H313">
        <f t="shared" si="9"/>
        <v>0</v>
      </c>
    </row>
    <row r="314" spans="1:8" x14ac:dyDescent="0.25">
      <c r="A314" s="1">
        <v>44607</v>
      </c>
      <c r="B314" t="s">
        <v>2</v>
      </c>
      <c r="C314" t="s">
        <v>17</v>
      </c>
      <c r="D314" t="s">
        <v>60</v>
      </c>
      <c r="E314">
        <v>294</v>
      </c>
      <c r="F314">
        <f t="shared" si="8"/>
        <v>940.80000000000007</v>
      </c>
      <c r="G314">
        <f>SUMIF($D$2:$D314,$D314,$E$2:$E314)</f>
        <v>1158</v>
      </c>
      <c r="H314">
        <f t="shared" si="9"/>
        <v>0</v>
      </c>
    </row>
    <row r="315" spans="1:8" x14ac:dyDescent="0.25">
      <c r="A315" s="1">
        <v>44607</v>
      </c>
      <c r="B315" t="s">
        <v>4</v>
      </c>
      <c r="C315" t="s">
        <v>17</v>
      </c>
      <c r="D315" t="s">
        <v>26</v>
      </c>
      <c r="E315">
        <v>753</v>
      </c>
      <c r="F315">
        <f t="shared" si="8"/>
        <v>2560.1999999999998</v>
      </c>
      <c r="G315">
        <f>SUMIF($D$2:$D315,$D315,$E$2:$E315)</f>
        <v>4605</v>
      </c>
      <c r="H315">
        <f t="shared" si="9"/>
        <v>0</v>
      </c>
    </row>
    <row r="316" spans="1:8" x14ac:dyDescent="0.25">
      <c r="A316" s="1">
        <v>44607</v>
      </c>
      <c r="B316" t="s">
        <v>6</v>
      </c>
      <c r="C316" t="s">
        <v>17</v>
      </c>
      <c r="D316" t="s">
        <v>44</v>
      </c>
      <c r="E316">
        <v>154</v>
      </c>
      <c r="F316">
        <f t="shared" si="8"/>
        <v>523.6</v>
      </c>
      <c r="G316">
        <f>SUMIF($D$2:$D316,$D316,$E$2:$E316)</f>
        <v>4072</v>
      </c>
      <c r="H316">
        <f t="shared" si="9"/>
        <v>0</v>
      </c>
    </row>
    <row r="317" spans="1:8" x14ac:dyDescent="0.25">
      <c r="A317" s="1">
        <v>44607</v>
      </c>
      <c r="B317" t="s">
        <v>2</v>
      </c>
      <c r="C317" t="s">
        <v>17</v>
      </c>
      <c r="D317" t="s">
        <v>24</v>
      </c>
      <c r="E317">
        <v>281</v>
      </c>
      <c r="F317">
        <f t="shared" si="8"/>
        <v>899.2</v>
      </c>
      <c r="G317">
        <f>SUMIF($D$2:$D317,$D317,$E$2:$E317)</f>
        <v>2261</v>
      </c>
      <c r="H317">
        <f t="shared" si="9"/>
        <v>0</v>
      </c>
    </row>
    <row r="318" spans="1:8" x14ac:dyDescent="0.25">
      <c r="A318" s="1">
        <v>44608</v>
      </c>
      <c r="B318" t="s">
        <v>0</v>
      </c>
      <c r="C318" t="s">
        <v>17</v>
      </c>
      <c r="D318" t="s">
        <v>60</v>
      </c>
      <c r="E318">
        <v>25</v>
      </c>
      <c r="F318">
        <f t="shared" si="8"/>
        <v>72.5</v>
      </c>
      <c r="G318">
        <f>SUMIF($D$2:$D318,$D318,$E$2:$E318)</f>
        <v>1183</v>
      </c>
      <c r="H318">
        <f t="shared" si="9"/>
        <v>0</v>
      </c>
    </row>
    <row r="319" spans="1:8" x14ac:dyDescent="0.25">
      <c r="A319" s="1">
        <v>44608</v>
      </c>
      <c r="B319" t="s">
        <v>4</v>
      </c>
      <c r="C319" t="s">
        <v>17</v>
      </c>
      <c r="D319" t="s">
        <v>58</v>
      </c>
      <c r="E319">
        <v>463</v>
      </c>
      <c r="F319">
        <f t="shared" si="8"/>
        <v>1574.2</v>
      </c>
      <c r="G319">
        <f>SUMIF($D$2:$D319,$D319,$E$2:$E319)</f>
        <v>2555</v>
      </c>
      <c r="H319">
        <f t="shared" si="9"/>
        <v>0</v>
      </c>
    </row>
    <row r="320" spans="1:8" x14ac:dyDescent="0.25">
      <c r="A320" s="1">
        <v>44608</v>
      </c>
      <c r="B320" t="s">
        <v>2</v>
      </c>
      <c r="C320" t="s">
        <v>17</v>
      </c>
      <c r="D320" t="s">
        <v>53</v>
      </c>
      <c r="E320">
        <v>221</v>
      </c>
      <c r="F320">
        <f t="shared" si="8"/>
        <v>707.2</v>
      </c>
      <c r="G320">
        <f>SUMIF($D$2:$D320,$D320,$E$2:$E320)</f>
        <v>1557</v>
      </c>
      <c r="H320">
        <f t="shared" si="9"/>
        <v>0</v>
      </c>
    </row>
    <row r="321" spans="1:8" x14ac:dyDescent="0.25">
      <c r="A321" s="1">
        <v>44608</v>
      </c>
      <c r="B321" t="s">
        <v>4</v>
      </c>
      <c r="C321" t="s">
        <v>17</v>
      </c>
      <c r="D321" t="s">
        <v>43</v>
      </c>
      <c r="E321">
        <v>780</v>
      </c>
      <c r="F321">
        <f t="shared" si="8"/>
        <v>2652</v>
      </c>
      <c r="G321">
        <f>SUMIF($D$2:$D321,$D321,$E$2:$E321)</f>
        <v>3021</v>
      </c>
      <c r="H321">
        <f t="shared" si="9"/>
        <v>0</v>
      </c>
    </row>
    <row r="322" spans="1:8" x14ac:dyDescent="0.25">
      <c r="A322" s="1">
        <v>44608</v>
      </c>
      <c r="B322" t="s">
        <v>15</v>
      </c>
      <c r="C322" t="s">
        <v>17</v>
      </c>
      <c r="D322" t="s">
        <v>55</v>
      </c>
      <c r="E322">
        <v>542</v>
      </c>
      <c r="F322">
        <f t="shared" si="8"/>
        <v>1300.8</v>
      </c>
      <c r="G322">
        <f>SUMIF($D$2:$D322,$D322,$E$2:$E322)</f>
        <v>2834</v>
      </c>
      <c r="H322">
        <f t="shared" si="9"/>
        <v>0</v>
      </c>
    </row>
    <row r="323" spans="1:8" x14ac:dyDescent="0.25">
      <c r="A323" s="1">
        <v>44608</v>
      </c>
      <c r="B323" t="s">
        <v>15</v>
      </c>
      <c r="C323" t="s">
        <v>17</v>
      </c>
      <c r="D323" t="s">
        <v>67</v>
      </c>
      <c r="E323">
        <v>231</v>
      </c>
      <c r="F323">
        <f t="shared" ref="F323:F386" si="10">E323* _xlfn.XLOOKUP(B323,$I$2:$I$17,$J$2:$J$17,"0",0,1)</f>
        <v>554.4</v>
      </c>
      <c r="G323">
        <f>SUMIF($D$2:$D323,$D323,$E$2:$E323)</f>
        <v>3550</v>
      </c>
      <c r="H323">
        <f t="shared" ref="H323:H386" si="11">IF(AND($G323 &gt; 15000,$G323 &lt; 20000),5*$E323,IF($G323 &gt;= 20000,10*$E323,0))</f>
        <v>0</v>
      </c>
    </row>
    <row r="324" spans="1:8" x14ac:dyDescent="0.25">
      <c r="A324" s="1">
        <v>44608</v>
      </c>
      <c r="B324" t="s">
        <v>7</v>
      </c>
      <c r="C324" t="s">
        <v>17</v>
      </c>
      <c r="D324" t="s">
        <v>36</v>
      </c>
      <c r="E324">
        <v>510</v>
      </c>
      <c r="F324">
        <f t="shared" si="10"/>
        <v>1734</v>
      </c>
      <c r="G324">
        <f>SUMIF($D$2:$D324,$D324,$E$2:$E324)</f>
        <v>2992</v>
      </c>
      <c r="H324">
        <f t="shared" si="11"/>
        <v>0</v>
      </c>
    </row>
    <row r="325" spans="1:8" x14ac:dyDescent="0.25">
      <c r="A325" s="1">
        <v>44608</v>
      </c>
      <c r="B325" t="s">
        <v>7</v>
      </c>
      <c r="C325" t="s">
        <v>17</v>
      </c>
      <c r="D325" t="s">
        <v>62</v>
      </c>
      <c r="E325">
        <v>384</v>
      </c>
      <c r="F325">
        <f t="shared" si="10"/>
        <v>1305.5999999999999</v>
      </c>
      <c r="G325">
        <f>SUMIF($D$2:$D325,$D325,$E$2:$E325)</f>
        <v>2420</v>
      </c>
      <c r="H325">
        <f t="shared" si="11"/>
        <v>0</v>
      </c>
    </row>
    <row r="326" spans="1:8" x14ac:dyDescent="0.25">
      <c r="A326" s="1">
        <v>44608</v>
      </c>
      <c r="B326" t="s">
        <v>2</v>
      </c>
      <c r="C326" t="s">
        <v>17</v>
      </c>
      <c r="D326" t="s">
        <v>37</v>
      </c>
      <c r="E326">
        <v>39</v>
      </c>
      <c r="F326">
        <f t="shared" si="10"/>
        <v>124.80000000000001</v>
      </c>
      <c r="G326">
        <f>SUMIF($D$2:$D326,$D326,$E$2:$E326)</f>
        <v>2487</v>
      </c>
      <c r="H326">
        <f t="shared" si="11"/>
        <v>0</v>
      </c>
    </row>
    <row r="327" spans="1:8" x14ac:dyDescent="0.25">
      <c r="A327" s="1">
        <v>44608</v>
      </c>
      <c r="B327" t="s">
        <v>2</v>
      </c>
      <c r="C327" t="s">
        <v>17</v>
      </c>
      <c r="D327" t="s">
        <v>67</v>
      </c>
      <c r="E327">
        <v>241</v>
      </c>
      <c r="F327">
        <f t="shared" si="10"/>
        <v>771.2</v>
      </c>
      <c r="G327">
        <f>SUMIF($D$2:$D327,$D327,$E$2:$E327)</f>
        <v>3791</v>
      </c>
      <c r="H327">
        <f t="shared" si="11"/>
        <v>0</v>
      </c>
    </row>
    <row r="328" spans="1:8" x14ac:dyDescent="0.25">
      <c r="A328" s="1">
        <v>44609</v>
      </c>
      <c r="B328" t="s">
        <v>2</v>
      </c>
      <c r="C328" t="s">
        <v>17</v>
      </c>
      <c r="D328" t="s">
        <v>20</v>
      </c>
      <c r="E328">
        <v>477</v>
      </c>
      <c r="F328">
        <f t="shared" si="10"/>
        <v>1526.4</v>
      </c>
      <c r="G328">
        <f>SUMIF($D$2:$D328,$D328,$E$2:$E328)</f>
        <v>2808</v>
      </c>
      <c r="H328">
        <f t="shared" si="11"/>
        <v>0</v>
      </c>
    </row>
    <row r="329" spans="1:8" x14ac:dyDescent="0.25">
      <c r="A329" s="1">
        <v>44609</v>
      </c>
      <c r="B329" t="s">
        <v>7</v>
      </c>
      <c r="C329" t="s">
        <v>17</v>
      </c>
      <c r="D329" t="s">
        <v>54</v>
      </c>
      <c r="E329">
        <v>543</v>
      </c>
      <c r="F329">
        <f t="shared" si="10"/>
        <v>1846.2</v>
      </c>
      <c r="G329">
        <f>SUMIF($D$2:$D329,$D329,$E$2:$E329)</f>
        <v>1191</v>
      </c>
      <c r="H329">
        <f t="shared" si="11"/>
        <v>0</v>
      </c>
    </row>
    <row r="330" spans="1:8" x14ac:dyDescent="0.25">
      <c r="A330" s="1">
        <v>44609</v>
      </c>
      <c r="B330" t="s">
        <v>6</v>
      </c>
      <c r="C330" t="s">
        <v>17</v>
      </c>
      <c r="D330" t="s">
        <v>40</v>
      </c>
      <c r="E330">
        <v>424</v>
      </c>
      <c r="F330">
        <f t="shared" si="10"/>
        <v>1441.6</v>
      </c>
      <c r="G330">
        <f>SUMIF($D$2:$D330,$D330,$E$2:$E330)</f>
        <v>1426</v>
      </c>
      <c r="H330">
        <f t="shared" si="11"/>
        <v>0</v>
      </c>
    </row>
    <row r="331" spans="1:8" x14ac:dyDescent="0.25">
      <c r="A331" s="1">
        <v>44609</v>
      </c>
      <c r="B331" t="s">
        <v>4</v>
      </c>
      <c r="C331" t="s">
        <v>17</v>
      </c>
      <c r="D331" t="s">
        <v>53</v>
      </c>
      <c r="E331">
        <v>522</v>
      </c>
      <c r="F331">
        <f t="shared" si="10"/>
        <v>1774.8</v>
      </c>
      <c r="G331">
        <f>SUMIF($D$2:$D331,$D331,$E$2:$E331)</f>
        <v>2079</v>
      </c>
      <c r="H331">
        <f t="shared" si="11"/>
        <v>0</v>
      </c>
    </row>
    <row r="332" spans="1:8" x14ac:dyDescent="0.25">
      <c r="A332" s="1">
        <v>44609</v>
      </c>
      <c r="B332" t="s">
        <v>8</v>
      </c>
      <c r="C332" t="s">
        <v>17</v>
      </c>
      <c r="D332" t="s">
        <v>56</v>
      </c>
      <c r="E332">
        <v>227</v>
      </c>
      <c r="F332">
        <f t="shared" si="10"/>
        <v>794.5</v>
      </c>
      <c r="G332">
        <f>SUMIF($D$2:$D332,$D332,$E$2:$E332)</f>
        <v>2612</v>
      </c>
      <c r="H332">
        <f t="shared" si="11"/>
        <v>0</v>
      </c>
    </row>
    <row r="333" spans="1:8" x14ac:dyDescent="0.25">
      <c r="A333" s="1">
        <v>44609</v>
      </c>
      <c r="B333" t="s">
        <v>2</v>
      </c>
      <c r="C333" t="s">
        <v>17</v>
      </c>
      <c r="D333" t="s">
        <v>54</v>
      </c>
      <c r="E333">
        <v>293</v>
      </c>
      <c r="F333">
        <f t="shared" si="10"/>
        <v>937.6</v>
      </c>
      <c r="G333">
        <f>SUMIF($D$2:$D333,$D333,$E$2:$E333)</f>
        <v>1484</v>
      </c>
      <c r="H333">
        <f t="shared" si="11"/>
        <v>0</v>
      </c>
    </row>
    <row r="334" spans="1:8" x14ac:dyDescent="0.25">
      <c r="A334" s="1">
        <v>44610</v>
      </c>
      <c r="B334" t="s">
        <v>6</v>
      </c>
      <c r="C334" t="s">
        <v>17</v>
      </c>
      <c r="D334" t="s">
        <v>29</v>
      </c>
      <c r="E334">
        <v>408</v>
      </c>
      <c r="F334">
        <f t="shared" si="10"/>
        <v>1387.2</v>
      </c>
      <c r="G334">
        <f>SUMIF($D$2:$D334,$D334,$E$2:$E334)</f>
        <v>4399</v>
      </c>
      <c r="H334">
        <f t="shared" si="11"/>
        <v>0</v>
      </c>
    </row>
    <row r="335" spans="1:8" x14ac:dyDescent="0.25">
      <c r="A335" s="1">
        <v>44610</v>
      </c>
      <c r="B335" t="s">
        <v>4</v>
      </c>
      <c r="C335" t="s">
        <v>17</v>
      </c>
      <c r="D335" t="s">
        <v>42</v>
      </c>
      <c r="E335">
        <v>315</v>
      </c>
      <c r="F335">
        <f t="shared" si="10"/>
        <v>1071</v>
      </c>
      <c r="G335">
        <f>SUMIF($D$2:$D335,$D335,$E$2:$E335)</f>
        <v>1973</v>
      </c>
      <c r="H335">
        <f t="shared" si="11"/>
        <v>0</v>
      </c>
    </row>
    <row r="336" spans="1:8" x14ac:dyDescent="0.25">
      <c r="A336" s="1">
        <v>44610</v>
      </c>
      <c r="B336" t="s">
        <v>8</v>
      </c>
      <c r="C336" t="s">
        <v>17</v>
      </c>
      <c r="D336" t="s">
        <v>37</v>
      </c>
      <c r="E336">
        <v>610</v>
      </c>
      <c r="F336">
        <f t="shared" si="10"/>
        <v>2135</v>
      </c>
      <c r="G336">
        <f>SUMIF($D$2:$D336,$D336,$E$2:$E336)</f>
        <v>3097</v>
      </c>
      <c r="H336">
        <f t="shared" si="11"/>
        <v>0</v>
      </c>
    </row>
    <row r="337" spans="1:8" x14ac:dyDescent="0.25">
      <c r="A337" s="1">
        <v>44610</v>
      </c>
      <c r="B337" t="s">
        <v>6</v>
      </c>
      <c r="C337" t="s">
        <v>17</v>
      </c>
      <c r="D337" t="s">
        <v>23</v>
      </c>
      <c r="E337">
        <v>483</v>
      </c>
      <c r="F337">
        <f t="shared" si="10"/>
        <v>1642.2</v>
      </c>
      <c r="G337">
        <f>SUMIF($D$2:$D337,$D337,$E$2:$E337)</f>
        <v>2287</v>
      </c>
      <c r="H337">
        <f t="shared" si="11"/>
        <v>0</v>
      </c>
    </row>
    <row r="338" spans="1:8" x14ac:dyDescent="0.25">
      <c r="A338" s="1">
        <v>44610</v>
      </c>
      <c r="B338" t="s">
        <v>10</v>
      </c>
      <c r="C338" t="s">
        <v>17</v>
      </c>
      <c r="D338" t="s">
        <v>47</v>
      </c>
      <c r="E338">
        <v>243</v>
      </c>
      <c r="F338">
        <f t="shared" si="10"/>
        <v>826.19999999999993</v>
      </c>
      <c r="G338">
        <f>SUMIF($D$2:$D338,$D338,$E$2:$E338)</f>
        <v>1524</v>
      </c>
      <c r="H338">
        <f t="shared" si="11"/>
        <v>0</v>
      </c>
    </row>
    <row r="339" spans="1:8" x14ac:dyDescent="0.25">
      <c r="A339" s="1">
        <v>44611</v>
      </c>
      <c r="B339" t="s">
        <v>15</v>
      </c>
      <c r="C339" t="s">
        <v>17</v>
      </c>
      <c r="D339" t="s">
        <v>49</v>
      </c>
      <c r="E339">
        <v>272</v>
      </c>
      <c r="F339">
        <f t="shared" si="10"/>
        <v>652.79999999999995</v>
      </c>
      <c r="G339">
        <f>SUMIF($D$2:$D339,$D339,$E$2:$E339)</f>
        <v>2069</v>
      </c>
      <c r="H339">
        <f t="shared" si="11"/>
        <v>0</v>
      </c>
    </row>
    <row r="340" spans="1:8" x14ac:dyDescent="0.25">
      <c r="A340" s="1">
        <v>44611</v>
      </c>
      <c r="B340" t="s">
        <v>2</v>
      </c>
      <c r="C340" t="s">
        <v>17</v>
      </c>
      <c r="D340" t="s">
        <v>60</v>
      </c>
      <c r="E340">
        <v>398</v>
      </c>
      <c r="F340">
        <f t="shared" si="10"/>
        <v>1273.6000000000001</v>
      </c>
      <c r="G340">
        <f>SUMIF($D$2:$D340,$D340,$E$2:$E340)</f>
        <v>1581</v>
      </c>
      <c r="H340">
        <f t="shared" si="11"/>
        <v>0</v>
      </c>
    </row>
    <row r="341" spans="1:8" x14ac:dyDescent="0.25">
      <c r="A341" s="1">
        <v>44611</v>
      </c>
      <c r="B341" t="s">
        <v>6</v>
      </c>
      <c r="C341" t="s">
        <v>17</v>
      </c>
      <c r="D341" t="s">
        <v>40</v>
      </c>
      <c r="E341">
        <v>90</v>
      </c>
      <c r="F341">
        <f t="shared" si="10"/>
        <v>306</v>
      </c>
      <c r="G341">
        <f>SUMIF($D$2:$D341,$D341,$E$2:$E341)</f>
        <v>1516</v>
      </c>
      <c r="H341">
        <f t="shared" si="11"/>
        <v>0</v>
      </c>
    </row>
    <row r="342" spans="1:8" x14ac:dyDescent="0.25">
      <c r="A342" s="1">
        <v>44611</v>
      </c>
      <c r="B342" t="s">
        <v>2</v>
      </c>
      <c r="C342" t="s">
        <v>17</v>
      </c>
      <c r="D342" t="s">
        <v>27</v>
      </c>
      <c r="E342">
        <v>176</v>
      </c>
      <c r="F342">
        <f t="shared" si="10"/>
        <v>563.20000000000005</v>
      </c>
      <c r="G342">
        <f>SUMIF($D$2:$D342,$D342,$E$2:$E342)</f>
        <v>2969</v>
      </c>
      <c r="H342">
        <f t="shared" si="11"/>
        <v>0</v>
      </c>
    </row>
    <row r="343" spans="1:8" x14ac:dyDescent="0.25">
      <c r="A343" s="1">
        <v>44611</v>
      </c>
      <c r="B343" t="s">
        <v>0</v>
      </c>
      <c r="C343" t="s">
        <v>17</v>
      </c>
      <c r="D343" t="s">
        <v>37</v>
      </c>
      <c r="E343">
        <v>342</v>
      </c>
      <c r="F343">
        <f t="shared" si="10"/>
        <v>991.8</v>
      </c>
      <c r="G343">
        <f>SUMIF($D$2:$D343,$D343,$E$2:$E343)</f>
        <v>3439</v>
      </c>
      <c r="H343">
        <f t="shared" si="11"/>
        <v>0</v>
      </c>
    </row>
    <row r="344" spans="1:8" x14ac:dyDescent="0.25">
      <c r="A344" s="1">
        <v>44611</v>
      </c>
      <c r="B344" t="s">
        <v>5</v>
      </c>
      <c r="C344" t="s">
        <v>17</v>
      </c>
      <c r="D344" t="s">
        <v>51</v>
      </c>
      <c r="E344">
        <v>456</v>
      </c>
      <c r="F344">
        <f t="shared" si="10"/>
        <v>1550.3999999999999</v>
      </c>
      <c r="G344">
        <f>SUMIF($D$2:$D344,$D344,$E$2:$E344)</f>
        <v>3472</v>
      </c>
      <c r="H344">
        <f t="shared" si="11"/>
        <v>0</v>
      </c>
    </row>
    <row r="345" spans="1:8" x14ac:dyDescent="0.25">
      <c r="A345" s="1">
        <v>44611</v>
      </c>
      <c r="B345" t="s">
        <v>4</v>
      </c>
      <c r="C345" t="s">
        <v>17</v>
      </c>
      <c r="D345" t="s">
        <v>56</v>
      </c>
      <c r="E345">
        <v>483</v>
      </c>
      <c r="F345">
        <f t="shared" si="10"/>
        <v>1642.2</v>
      </c>
      <c r="G345">
        <f>SUMIF($D$2:$D345,$D345,$E$2:$E345)</f>
        <v>3095</v>
      </c>
      <c r="H345">
        <f t="shared" si="11"/>
        <v>0</v>
      </c>
    </row>
    <row r="346" spans="1:8" x14ac:dyDescent="0.25">
      <c r="A346" s="1">
        <v>44611</v>
      </c>
      <c r="B346" t="s">
        <v>8</v>
      </c>
      <c r="C346" t="s">
        <v>17</v>
      </c>
      <c r="D346" t="s">
        <v>47</v>
      </c>
      <c r="E346">
        <v>682</v>
      </c>
      <c r="F346">
        <f t="shared" si="10"/>
        <v>2387</v>
      </c>
      <c r="G346">
        <f>SUMIF($D$2:$D346,$D346,$E$2:$E346)</f>
        <v>2206</v>
      </c>
      <c r="H346">
        <f t="shared" si="11"/>
        <v>0</v>
      </c>
    </row>
    <row r="347" spans="1:8" x14ac:dyDescent="0.25">
      <c r="A347" s="1">
        <v>44613</v>
      </c>
      <c r="B347" t="s">
        <v>2</v>
      </c>
      <c r="C347" t="s">
        <v>17</v>
      </c>
      <c r="D347" t="s">
        <v>18</v>
      </c>
      <c r="E347">
        <v>430</v>
      </c>
      <c r="F347">
        <f t="shared" si="10"/>
        <v>1376</v>
      </c>
      <c r="G347">
        <f>SUMIF($D$2:$D347,$D347,$E$2:$E347)</f>
        <v>3482</v>
      </c>
      <c r="H347">
        <f t="shared" si="11"/>
        <v>0</v>
      </c>
    </row>
    <row r="348" spans="1:8" x14ac:dyDescent="0.25">
      <c r="A348" s="1">
        <v>44613</v>
      </c>
      <c r="B348" t="s">
        <v>0</v>
      </c>
      <c r="C348" t="s">
        <v>17</v>
      </c>
      <c r="D348" t="s">
        <v>32</v>
      </c>
      <c r="E348">
        <v>85</v>
      </c>
      <c r="F348">
        <f t="shared" si="10"/>
        <v>246.5</v>
      </c>
      <c r="G348">
        <f>SUMIF($D$2:$D348,$D348,$E$2:$E348)</f>
        <v>2421</v>
      </c>
      <c r="H348">
        <f t="shared" si="11"/>
        <v>0</v>
      </c>
    </row>
    <row r="349" spans="1:8" x14ac:dyDescent="0.25">
      <c r="A349" s="1">
        <v>44613</v>
      </c>
      <c r="B349" t="s">
        <v>8</v>
      </c>
      <c r="C349" t="s">
        <v>17</v>
      </c>
      <c r="D349" t="s">
        <v>44</v>
      </c>
      <c r="E349">
        <v>292</v>
      </c>
      <c r="F349">
        <f t="shared" si="10"/>
        <v>1022</v>
      </c>
      <c r="G349">
        <f>SUMIF($D$2:$D349,$D349,$E$2:$E349)</f>
        <v>4364</v>
      </c>
      <c r="H349">
        <f t="shared" si="11"/>
        <v>0</v>
      </c>
    </row>
    <row r="350" spans="1:8" x14ac:dyDescent="0.25">
      <c r="A350" s="1">
        <v>44613</v>
      </c>
      <c r="B350" t="s">
        <v>15</v>
      </c>
      <c r="C350" t="s">
        <v>17</v>
      </c>
      <c r="D350" t="s">
        <v>53</v>
      </c>
      <c r="E350">
        <v>408</v>
      </c>
      <c r="F350">
        <f t="shared" si="10"/>
        <v>979.19999999999993</v>
      </c>
      <c r="G350">
        <f>SUMIF($D$2:$D350,$D350,$E$2:$E350)</f>
        <v>2487</v>
      </c>
      <c r="H350">
        <f t="shared" si="11"/>
        <v>0</v>
      </c>
    </row>
    <row r="351" spans="1:8" x14ac:dyDescent="0.25">
      <c r="A351" s="1">
        <v>44613</v>
      </c>
      <c r="B351" t="s">
        <v>7</v>
      </c>
      <c r="C351" t="s">
        <v>17</v>
      </c>
      <c r="D351" t="s">
        <v>63</v>
      </c>
      <c r="E351">
        <v>680</v>
      </c>
      <c r="F351">
        <f t="shared" si="10"/>
        <v>2312</v>
      </c>
      <c r="G351">
        <f>SUMIF($D$2:$D351,$D351,$E$2:$E351)</f>
        <v>1666</v>
      </c>
      <c r="H351">
        <f t="shared" si="11"/>
        <v>0</v>
      </c>
    </row>
    <row r="352" spans="1:8" x14ac:dyDescent="0.25">
      <c r="A352" s="1">
        <v>44613</v>
      </c>
      <c r="B352" t="s">
        <v>5</v>
      </c>
      <c r="C352" t="s">
        <v>17</v>
      </c>
      <c r="D352" t="s">
        <v>38</v>
      </c>
      <c r="E352">
        <v>372</v>
      </c>
      <c r="F352">
        <f t="shared" si="10"/>
        <v>1264.8</v>
      </c>
      <c r="G352">
        <f>SUMIF($D$2:$D352,$D352,$E$2:$E352)</f>
        <v>2800</v>
      </c>
      <c r="H352">
        <f t="shared" si="11"/>
        <v>0</v>
      </c>
    </row>
    <row r="353" spans="1:8" x14ac:dyDescent="0.25">
      <c r="A353" s="1">
        <v>44613</v>
      </c>
      <c r="B353" t="s">
        <v>4</v>
      </c>
      <c r="C353" t="s">
        <v>17</v>
      </c>
      <c r="D353" t="s">
        <v>32</v>
      </c>
      <c r="E353">
        <v>454</v>
      </c>
      <c r="F353">
        <f t="shared" si="10"/>
        <v>1543.6</v>
      </c>
      <c r="G353">
        <f>SUMIF($D$2:$D353,$D353,$E$2:$E353)</f>
        <v>2875</v>
      </c>
      <c r="H353">
        <f t="shared" si="11"/>
        <v>0</v>
      </c>
    </row>
    <row r="354" spans="1:8" x14ac:dyDescent="0.25">
      <c r="A354" s="1">
        <v>44613</v>
      </c>
      <c r="B354" t="s">
        <v>4</v>
      </c>
      <c r="C354" t="s">
        <v>17</v>
      </c>
      <c r="D354" t="s">
        <v>37</v>
      </c>
      <c r="E354">
        <v>354</v>
      </c>
      <c r="F354">
        <f t="shared" si="10"/>
        <v>1203.5999999999999</v>
      </c>
      <c r="G354">
        <f>SUMIF($D$2:$D354,$D354,$E$2:$E354)</f>
        <v>3793</v>
      </c>
      <c r="H354">
        <f t="shared" si="11"/>
        <v>0</v>
      </c>
    </row>
    <row r="355" spans="1:8" x14ac:dyDescent="0.25">
      <c r="A355" s="1">
        <v>44613</v>
      </c>
      <c r="B355" t="s">
        <v>15</v>
      </c>
      <c r="C355" t="s">
        <v>17</v>
      </c>
      <c r="D355" t="s">
        <v>21</v>
      </c>
      <c r="E355">
        <v>316</v>
      </c>
      <c r="F355">
        <f t="shared" si="10"/>
        <v>758.4</v>
      </c>
      <c r="G355">
        <f>SUMIF($D$2:$D355,$D355,$E$2:$E355)</f>
        <v>1682</v>
      </c>
      <c r="H355">
        <f t="shared" si="11"/>
        <v>0</v>
      </c>
    </row>
    <row r="356" spans="1:8" x14ac:dyDescent="0.25">
      <c r="A356" s="1">
        <v>44613</v>
      </c>
      <c r="B356" t="s">
        <v>15</v>
      </c>
      <c r="C356" t="s">
        <v>17</v>
      </c>
      <c r="D356" t="s">
        <v>21</v>
      </c>
      <c r="E356">
        <v>377</v>
      </c>
      <c r="F356">
        <f t="shared" si="10"/>
        <v>904.8</v>
      </c>
      <c r="G356">
        <f>SUMIF($D$2:$D356,$D356,$E$2:$E356)</f>
        <v>2059</v>
      </c>
      <c r="H356">
        <f t="shared" si="11"/>
        <v>0</v>
      </c>
    </row>
    <row r="357" spans="1:8" x14ac:dyDescent="0.25">
      <c r="A357" s="1">
        <v>44613</v>
      </c>
      <c r="B357" t="s">
        <v>7</v>
      </c>
      <c r="C357" t="s">
        <v>17</v>
      </c>
      <c r="D357" t="s">
        <v>38</v>
      </c>
      <c r="E357">
        <v>692</v>
      </c>
      <c r="F357">
        <f t="shared" si="10"/>
        <v>2352.7999999999997</v>
      </c>
      <c r="G357">
        <f>SUMIF($D$2:$D357,$D357,$E$2:$E357)</f>
        <v>3492</v>
      </c>
      <c r="H357">
        <f t="shared" si="11"/>
        <v>0</v>
      </c>
    </row>
    <row r="358" spans="1:8" x14ac:dyDescent="0.25">
      <c r="A358" s="1">
        <v>44613</v>
      </c>
      <c r="B358" t="s">
        <v>0</v>
      </c>
      <c r="C358" t="s">
        <v>17</v>
      </c>
      <c r="D358" t="s">
        <v>27</v>
      </c>
      <c r="E358">
        <v>435</v>
      </c>
      <c r="F358">
        <f t="shared" si="10"/>
        <v>1261.5</v>
      </c>
      <c r="G358">
        <f>SUMIF($D$2:$D358,$D358,$E$2:$E358)</f>
        <v>3404</v>
      </c>
      <c r="H358">
        <f t="shared" si="11"/>
        <v>0</v>
      </c>
    </row>
    <row r="359" spans="1:8" x14ac:dyDescent="0.25">
      <c r="A359" s="1">
        <v>44613</v>
      </c>
      <c r="B359" t="s">
        <v>10</v>
      </c>
      <c r="C359" t="s">
        <v>17</v>
      </c>
      <c r="D359" t="s">
        <v>22</v>
      </c>
      <c r="E359">
        <v>130</v>
      </c>
      <c r="F359">
        <f t="shared" si="10"/>
        <v>442</v>
      </c>
      <c r="G359">
        <f>SUMIF($D$2:$D359,$D359,$E$2:$E359)</f>
        <v>3624</v>
      </c>
      <c r="H359">
        <f t="shared" si="11"/>
        <v>0</v>
      </c>
    </row>
    <row r="360" spans="1:8" x14ac:dyDescent="0.25">
      <c r="A360" s="1">
        <v>44613</v>
      </c>
      <c r="B360" t="s">
        <v>10</v>
      </c>
      <c r="C360" t="s">
        <v>17</v>
      </c>
      <c r="D360" t="s">
        <v>43</v>
      </c>
      <c r="E360">
        <v>74</v>
      </c>
      <c r="F360">
        <f t="shared" si="10"/>
        <v>251.6</v>
      </c>
      <c r="G360">
        <f>SUMIF($D$2:$D360,$D360,$E$2:$E360)</f>
        <v>3095</v>
      </c>
      <c r="H360">
        <f t="shared" si="11"/>
        <v>0</v>
      </c>
    </row>
    <row r="361" spans="1:8" x14ac:dyDescent="0.25">
      <c r="A361" s="1">
        <v>44613</v>
      </c>
      <c r="B361" t="s">
        <v>10</v>
      </c>
      <c r="C361" t="s">
        <v>17</v>
      </c>
      <c r="D361" t="s">
        <v>26</v>
      </c>
      <c r="E361">
        <v>205</v>
      </c>
      <c r="F361">
        <f t="shared" si="10"/>
        <v>697</v>
      </c>
      <c r="G361">
        <f>SUMIF($D$2:$D361,$D361,$E$2:$E361)</f>
        <v>4810</v>
      </c>
      <c r="H361">
        <f t="shared" si="11"/>
        <v>0</v>
      </c>
    </row>
    <row r="362" spans="1:8" x14ac:dyDescent="0.25">
      <c r="A362" s="1">
        <v>44613</v>
      </c>
      <c r="B362" t="s">
        <v>0</v>
      </c>
      <c r="C362" t="s">
        <v>17</v>
      </c>
      <c r="D362" t="s">
        <v>36</v>
      </c>
      <c r="E362">
        <v>332</v>
      </c>
      <c r="F362">
        <f t="shared" si="10"/>
        <v>962.8</v>
      </c>
      <c r="G362">
        <f>SUMIF($D$2:$D362,$D362,$E$2:$E362)</f>
        <v>3324</v>
      </c>
      <c r="H362">
        <f t="shared" si="11"/>
        <v>0</v>
      </c>
    </row>
    <row r="363" spans="1:8" x14ac:dyDescent="0.25">
      <c r="A363" s="1">
        <v>44613</v>
      </c>
      <c r="B363" t="s">
        <v>0</v>
      </c>
      <c r="C363" t="s">
        <v>17</v>
      </c>
      <c r="D363" t="s">
        <v>41</v>
      </c>
      <c r="E363">
        <v>67</v>
      </c>
      <c r="F363">
        <f t="shared" si="10"/>
        <v>194.29999999999998</v>
      </c>
      <c r="G363">
        <f>SUMIF($D$2:$D363,$D363,$E$2:$E363)</f>
        <v>1254</v>
      </c>
      <c r="H363">
        <f t="shared" si="11"/>
        <v>0</v>
      </c>
    </row>
    <row r="364" spans="1:8" x14ac:dyDescent="0.25">
      <c r="A364" s="1">
        <v>44614</v>
      </c>
      <c r="B364" t="s">
        <v>6</v>
      </c>
      <c r="C364" t="s">
        <v>17</v>
      </c>
      <c r="D364" t="s">
        <v>41</v>
      </c>
      <c r="E364">
        <v>447</v>
      </c>
      <c r="F364">
        <f t="shared" si="10"/>
        <v>1519.8</v>
      </c>
      <c r="G364">
        <f>SUMIF($D$2:$D364,$D364,$E$2:$E364)</f>
        <v>1701</v>
      </c>
      <c r="H364">
        <f t="shared" si="11"/>
        <v>0</v>
      </c>
    </row>
    <row r="365" spans="1:8" x14ac:dyDescent="0.25">
      <c r="A365" s="1">
        <v>44614</v>
      </c>
      <c r="B365" t="s">
        <v>0</v>
      </c>
      <c r="C365" t="s">
        <v>17</v>
      </c>
      <c r="D365" t="s">
        <v>26</v>
      </c>
      <c r="E365">
        <v>112</v>
      </c>
      <c r="F365">
        <f t="shared" si="10"/>
        <v>324.8</v>
      </c>
      <c r="G365">
        <f>SUMIF($D$2:$D365,$D365,$E$2:$E365)</f>
        <v>4922</v>
      </c>
      <c r="H365">
        <f t="shared" si="11"/>
        <v>0</v>
      </c>
    </row>
    <row r="366" spans="1:8" x14ac:dyDescent="0.25">
      <c r="A366" s="1">
        <v>44614</v>
      </c>
      <c r="B366" t="s">
        <v>8</v>
      </c>
      <c r="C366" t="s">
        <v>17</v>
      </c>
      <c r="D366" t="s">
        <v>22</v>
      </c>
      <c r="E366">
        <v>599</v>
      </c>
      <c r="F366">
        <f t="shared" si="10"/>
        <v>2096.5</v>
      </c>
      <c r="G366">
        <f>SUMIF($D$2:$D366,$D366,$E$2:$E366)</f>
        <v>4223</v>
      </c>
      <c r="H366">
        <f t="shared" si="11"/>
        <v>0</v>
      </c>
    </row>
    <row r="367" spans="1:8" x14ac:dyDescent="0.25">
      <c r="A367" s="1">
        <v>44614</v>
      </c>
      <c r="B367" t="s">
        <v>8</v>
      </c>
      <c r="C367" t="s">
        <v>17</v>
      </c>
      <c r="D367" t="s">
        <v>39</v>
      </c>
      <c r="E367">
        <v>235</v>
      </c>
      <c r="F367">
        <f t="shared" si="10"/>
        <v>822.5</v>
      </c>
      <c r="G367">
        <f>SUMIF($D$2:$D367,$D367,$E$2:$E367)</f>
        <v>2773</v>
      </c>
      <c r="H367">
        <f t="shared" si="11"/>
        <v>0</v>
      </c>
    </row>
    <row r="368" spans="1:8" x14ac:dyDescent="0.25">
      <c r="A368" s="1">
        <v>44614</v>
      </c>
      <c r="B368" t="s">
        <v>15</v>
      </c>
      <c r="C368" t="s">
        <v>17</v>
      </c>
      <c r="D368" t="s">
        <v>54</v>
      </c>
      <c r="E368">
        <v>155</v>
      </c>
      <c r="F368">
        <f t="shared" si="10"/>
        <v>372</v>
      </c>
      <c r="G368">
        <f>SUMIF($D$2:$D368,$D368,$E$2:$E368)</f>
        <v>1639</v>
      </c>
      <c r="H368">
        <f t="shared" si="11"/>
        <v>0</v>
      </c>
    </row>
    <row r="369" spans="1:8" x14ac:dyDescent="0.25">
      <c r="A369" s="1">
        <v>44614</v>
      </c>
      <c r="B369" t="s">
        <v>5</v>
      </c>
      <c r="C369" t="s">
        <v>17</v>
      </c>
      <c r="D369" t="s">
        <v>56</v>
      </c>
      <c r="E369">
        <v>141</v>
      </c>
      <c r="F369">
        <f t="shared" si="10"/>
        <v>479.4</v>
      </c>
      <c r="G369">
        <f>SUMIF($D$2:$D369,$D369,$E$2:$E369)</f>
        <v>3236</v>
      </c>
      <c r="H369">
        <f t="shared" si="11"/>
        <v>0</v>
      </c>
    </row>
    <row r="370" spans="1:8" x14ac:dyDescent="0.25">
      <c r="A370" s="1">
        <v>44614</v>
      </c>
      <c r="B370" t="s">
        <v>10</v>
      </c>
      <c r="C370" t="s">
        <v>17</v>
      </c>
      <c r="D370" t="s">
        <v>25</v>
      </c>
      <c r="E370">
        <v>316</v>
      </c>
      <c r="F370">
        <f t="shared" si="10"/>
        <v>1074.3999999999999</v>
      </c>
      <c r="G370">
        <f>SUMIF($D$2:$D370,$D370,$E$2:$E370)</f>
        <v>2299</v>
      </c>
      <c r="H370">
        <f t="shared" si="11"/>
        <v>0</v>
      </c>
    </row>
    <row r="371" spans="1:8" x14ac:dyDescent="0.25">
      <c r="A371" s="1">
        <v>44615</v>
      </c>
      <c r="B371" t="s">
        <v>8</v>
      </c>
      <c r="C371" t="s">
        <v>17</v>
      </c>
      <c r="D371" t="s">
        <v>43</v>
      </c>
      <c r="E371">
        <v>510</v>
      </c>
      <c r="F371">
        <f t="shared" si="10"/>
        <v>1785</v>
      </c>
      <c r="G371">
        <f>SUMIF($D$2:$D371,$D371,$E$2:$E371)</f>
        <v>3605</v>
      </c>
      <c r="H371">
        <f t="shared" si="11"/>
        <v>0</v>
      </c>
    </row>
    <row r="372" spans="1:8" x14ac:dyDescent="0.25">
      <c r="A372" s="1">
        <v>44615</v>
      </c>
      <c r="B372" t="s">
        <v>7</v>
      </c>
      <c r="C372" t="s">
        <v>17</v>
      </c>
      <c r="D372" t="s">
        <v>38</v>
      </c>
      <c r="E372">
        <v>576</v>
      </c>
      <c r="F372">
        <f t="shared" si="10"/>
        <v>1958.3999999999999</v>
      </c>
      <c r="G372">
        <f>SUMIF($D$2:$D372,$D372,$E$2:$E372)</f>
        <v>4068</v>
      </c>
      <c r="H372">
        <f t="shared" si="11"/>
        <v>0</v>
      </c>
    </row>
    <row r="373" spans="1:8" x14ac:dyDescent="0.25">
      <c r="A373" s="1">
        <v>44615</v>
      </c>
      <c r="B373" t="s">
        <v>7</v>
      </c>
      <c r="C373" t="s">
        <v>17</v>
      </c>
      <c r="D373" t="s">
        <v>45</v>
      </c>
      <c r="E373">
        <v>390</v>
      </c>
      <c r="F373">
        <f t="shared" si="10"/>
        <v>1326</v>
      </c>
      <c r="G373">
        <f>SUMIF($D$2:$D373,$D373,$E$2:$E373)</f>
        <v>1178</v>
      </c>
      <c r="H373">
        <f t="shared" si="11"/>
        <v>0</v>
      </c>
    </row>
    <row r="374" spans="1:8" x14ac:dyDescent="0.25">
      <c r="A374" s="1">
        <v>44615</v>
      </c>
      <c r="B374" t="s">
        <v>15</v>
      </c>
      <c r="C374" t="s">
        <v>17</v>
      </c>
      <c r="D374" t="s">
        <v>24</v>
      </c>
      <c r="E374">
        <v>305</v>
      </c>
      <c r="F374">
        <f t="shared" si="10"/>
        <v>732</v>
      </c>
      <c r="G374">
        <f>SUMIF($D$2:$D374,$D374,$E$2:$E374)</f>
        <v>2566</v>
      </c>
      <c r="H374">
        <f t="shared" si="11"/>
        <v>0</v>
      </c>
    </row>
    <row r="375" spans="1:8" x14ac:dyDescent="0.25">
      <c r="A375" s="1">
        <v>44615</v>
      </c>
      <c r="B375" t="s">
        <v>0</v>
      </c>
      <c r="C375" t="s">
        <v>17</v>
      </c>
      <c r="D375" t="s">
        <v>51</v>
      </c>
      <c r="E375">
        <v>395</v>
      </c>
      <c r="F375">
        <f t="shared" si="10"/>
        <v>1145.5</v>
      </c>
      <c r="G375">
        <f>SUMIF($D$2:$D375,$D375,$E$2:$E375)</f>
        <v>3867</v>
      </c>
      <c r="H375">
        <f t="shared" si="11"/>
        <v>0</v>
      </c>
    </row>
    <row r="376" spans="1:8" x14ac:dyDescent="0.25">
      <c r="A376" s="1">
        <v>44615</v>
      </c>
      <c r="B376" t="s">
        <v>4</v>
      </c>
      <c r="C376" t="s">
        <v>17</v>
      </c>
      <c r="D376" t="s">
        <v>59</v>
      </c>
      <c r="E376">
        <v>448</v>
      </c>
      <c r="F376">
        <f t="shared" si="10"/>
        <v>1523.2</v>
      </c>
      <c r="G376">
        <f>SUMIF($D$2:$D376,$D376,$E$2:$E376)</f>
        <v>1339</v>
      </c>
      <c r="H376">
        <f t="shared" si="11"/>
        <v>0</v>
      </c>
    </row>
    <row r="377" spans="1:8" x14ac:dyDescent="0.25">
      <c r="A377" s="1">
        <v>44615</v>
      </c>
      <c r="B377" t="s">
        <v>7</v>
      </c>
      <c r="C377" t="s">
        <v>17</v>
      </c>
      <c r="D377" t="s">
        <v>57</v>
      </c>
      <c r="E377">
        <v>448</v>
      </c>
      <c r="F377">
        <f t="shared" si="10"/>
        <v>1523.2</v>
      </c>
      <c r="G377">
        <f>SUMIF($D$2:$D377,$D377,$E$2:$E377)</f>
        <v>2318</v>
      </c>
      <c r="H377">
        <f t="shared" si="11"/>
        <v>0</v>
      </c>
    </row>
    <row r="378" spans="1:8" x14ac:dyDescent="0.25">
      <c r="A378" s="1">
        <v>44616</v>
      </c>
      <c r="B378" t="s">
        <v>0</v>
      </c>
      <c r="C378" t="s">
        <v>17</v>
      </c>
      <c r="D378" t="s">
        <v>37</v>
      </c>
      <c r="E378">
        <v>418</v>
      </c>
      <c r="F378">
        <f t="shared" si="10"/>
        <v>1212.2</v>
      </c>
      <c r="G378">
        <f>SUMIF($D$2:$D378,$D378,$E$2:$E378)</f>
        <v>4211</v>
      </c>
      <c r="H378">
        <f t="shared" si="11"/>
        <v>0</v>
      </c>
    </row>
    <row r="379" spans="1:8" x14ac:dyDescent="0.25">
      <c r="A379" s="1">
        <v>44616</v>
      </c>
      <c r="B379" t="s">
        <v>15</v>
      </c>
      <c r="C379" t="s">
        <v>17</v>
      </c>
      <c r="D379" t="s">
        <v>21</v>
      </c>
      <c r="E379">
        <v>328</v>
      </c>
      <c r="F379">
        <f t="shared" si="10"/>
        <v>787.19999999999993</v>
      </c>
      <c r="G379">
        <f>SUMIF($D$2:$D379,$D379,$E$2:$E379)</f>
        <v>2387</v>
      </c>
      <c r="H379">
        <f t="shared" si="11"/>
        <v>0</v>
      </c>
    </row>
    <row r="380" spans="1:8" x14ac:dyDescent="0.25">
      <c r="A380" s="1">
        <v>44616</v>
      </c>
      <c r="B380" t="s">
        <v>8</v>
      </c>
      <c r="C380" t="s">
        <v>17</v>
      </c>
      <c r="D380" t="s">
        <v>34</v>
      </c>
      <c r="E380">
        <v>578</v>
      </c>
      <c r="F380">
        <f t="shared" si="10"/>
        <v>2023</v>
      </c>
      <c r="G380">
        <f>SUMIF($D$2:$D380,$D380,$E$2:$E380)</f>
        <v>3607</v>
      </c>
      <c r="H380">
        <f t="shared" si="11"/>
        <v>0</v>
      </c>
    </row>
    <row r="381" spans="1:8" x14ac:dyDescent="0.25">
      <c r="A381" s="1">
        <v>44616</v>
      </c>
      <c r="B381" t="s">
        <v>10</v>
      </c>
      <c r="C381" t="s">
        <v>17</v>
      </c>
      <c r="D381" t="s">
        <v>61</v>
      </c>
      <c r="E381">
        <v>418</v>
      </c>
      <c r="F381">
        <f t="shared" si="10"/>
        <v>1421.2</v>
      </c>
      <c r="G381">
        <f>SUMIF($D$2:$D381,$D381,$E$2:$E381)</f>
        <v>2896</v>
      </c>
      <c r="H381">
        <f t="shared" si="11"/>
        <v>0</v>
      </c>
    </row>
    <row r="382" spans="1:8" x14ac:dyDescent="0.25">
      <c r="A382" s="1">
        <v>44617</v>
      </c>
      <c r="B382" t="s">
        <v>4</v>
      </c>
      <c r="C382" t="s">
        <v>17</v>
      </c>
      <c r="D382" t="s">
        <v>29</v>
      </c>
      <c r="E382">
        <v>678</v>
      </c>
      <c r="F382">
        <f t="shared" si="10"/>
        <v>2305.1999999999998</v>
      </c>
      <c r="G382">
        <f>SUMIF($D$2:$D382,$D382,$E$2:$E382)</f>
        <v>5077</v>
      </c>
      <c r="H382">
        <f t="shared" si="11"/>
        <v>0</v>
      </c>
    </row>
    <row r="383" spans="1:8" x14ac:dyDescent="0.25">
      <c r="A383" s="1">
        <v>44617</v>
      </c>
      <c r="B383" t="s">
        <v>7</v>
      </c>
      <c r="C383" t="s">
        <v>17</v>
      </c>
      <c r="D383" t="s">
        <v>52</v>
      </c>
      <c r="E383">
        <v>685</v>
      </c>
      <c r="F383">
        <f t="shared" si="10"/>
        <v>2329</v>
      </c>
      <c r="G383">
        <f>SUMIF($D$2:$D383,$D383,$E$2:$E383)</f>
        <v>1294</v>
      </c>
      <c r="H383">
        <f t="shared" si="11"/>
        <v>0</v>
      </c>
    </row>
    <row r="384" spans="1:8" x14ac:dyDescent="0.25">
      <c r="A384" s="1">
        <v>44617</v>
      </c>
      <c r="B384" t="s">
        <v>10</v>
      </c>
      <c r="C384" t="s">
        <v>17</v>
      </c>
      <c r="D384" t="s">
        <v>40</v>
      </c>
      <c r="E384">
        <v>126</v>
      </c>
      <c r="F384">
        <f t="shared" si="10"/>
        <v>428.4</v>
      </c>
      <c r="G384">
        <f>SUMIF($D$2:$D384,$D384,$E$2:$E384)</f>
        <v>1642</v>
      </c>
      <c r="H384">
        <f t="shared" si="11"/>
        <v>0</v>
      </c>
    </row>
    <row r="385" spans="1:8" x14ac:dyDescent="0.25">
      <c r="A385" s="1">
        <v>44617</v>
      </c>
      <c r="B385" t="s">
        <v>0</v>
      </c>
      <c r="C385" t="s">
        <v>17</v>
      </c>
      <c r="D385" t="s">
        <v>61</v>
      </c>
      <c r="E385">
        <v>133</v>
      </c>
      <c r="F385">
        <f t="shared" si="10"/>
        <v>385.7</v>
      </c>
      <c r="G385">
        <f>SUMIF($D$2:$D385,$D385,$E$2:$E385)</f>
        <v>3029</v>
      </c>
      <c r="H385">
        <f t="shared" si="11"/>
        <v>0</v>
      </c>
    </row>
    <row r="386" spans="1:8" x14ac:dyDescent="0.25">
      <c r="A386" s="1">
        <v>44617</v>
      </c>
      <c r="B386" t="s">
        <v>4</v>
      </c>
      <c r="C386" t="s">
        <v>17</v>
      </c>
      <c r="D386" t="s">
        <v>53</v>
      </c>
      <c r="E386">
        <v>603</v>
      </c>
      <c r="F386">
        <f t="shared" si="10"/>
        <v>2050.1999999999998</v>
      </c>
      <c r="G386">
        <f>SUMIF($D$2:$D386,$D386,$E$2:$E386)</f>
        <v>3090</v>
      </c>
      <c r="H386">
        <f t="shared" si="11"/>
        <v>0</v>
      </c>
    </row>
    <row r="387" spans="1:8" x14ac:dyDescent="0.25">
      <c r="A387" s="1">
        <v>44618</v>
      </c>
      <c r="B387" t="s">
        <v>5</v>
      </c>
      <c r="C387" t="s">
        <v>17</v>
      </c>
      <c r="D387" t="s">
        <v>18</v>
      </c>
      <c r="E387">
        <v>491</v>
      </c>
      <c r="F387">
        <f t="shared" ref="F387:F450" si="12">E387* _xlfn.XLOOKUP(B387,$I$2:$I$17,$J$2:$J$17,"0",0,1)</f>
        <v>1669.3999999999999</v>
      </c>
      <c r="G387">
        <f>SUMIF($D$2:$D387,$D387,$E$2:$E387)</f>
        <v>3973</v>
      </c>
      <c r="H387">
        <f t="shared" ref="H387:H450" si="13">IF(AND($G387 &gt; 15000,$G387 &lt; 20000),5*$E387,IF($G387 &gt;= 20000,10*$E387,0))</f>
        <v>0</v>
      </c>
    </row>
    <row r="388" spans="1:8" x14ac:dyDescent="0.25">
      <c r="A388" s="1">
        <v>44618</v>
      </c>
      <c r="B388" t="s">
        <v>0</v>
      </c>
      <c r="C388" t="s">
        <v>17</v>
      </c>
      <c r="D388" t="s">
        <v>33</v>
      </c>
      <c r="E388">
        <v>133</v>
      </c>
      <c r="F388">
        <f t="shared" si="12"/>
        <v>385.7</v>
      </c>
      <c r="G388">
        <f>SUMIF($D$2:$D388,$D388,$E$2:$E388)</f>
        <v>2155</v>
      </c>
      <c r="H388">
        <f t="shared" si="13"/>
        <v>0</v>
      </c>
    </row>
    <row r="389" spans="1:8" x14ac:dyDescent="0.25">
      <c r="A389" s="1">
        <v>44618</v>
      </c>
      <c r="B389" t="s">
        <v>8</v>
      </c>
      <c r="C389" t="s">
        <v>17</v>
      </c>
      <c r="D389" t="s">
        <v>44</v>
      </c>
      <c r="E389">
        <v>628</v>
      </c>
      <c r="F389">
        <f t="shared" si="12"/>
        <v>2198</v>
      </c>
      <c r="G389">
        <f>SUMIF($D$2:$D389,$D389,$E$2:$E389)</f>
        <v>4992</v>
      </c>
      <c r="H389">
        <f t="shared" si="13"/>
        <v>0</v>
      </c>
    </row>
    <row r="390" spans="1:8" x14ac:dyDescent="0.25">
      <c r="A390" s="1">
        <v>44618</v>
      </c>
      <c r="B390" t="s">
        <v>2</v>
      </c>
      <c r="C390" t="s">
        <v>17</v>
      </c>
      <c r="D390" t="s">
        <v>45</v>
      </c>
      <c r="E390">
        <v>413</v>
      </c>
      <c r="F390">
        <f t="shared" si="12"/>
        <v>1321.6000000000001</v>
      </c>
      <c r="G390">
        <f>SUMIF($D$2:$D390,$D390,$E$2:$E390)</f>
        <v>1591</v>
      </c>
      <c r="H390">
        <f t="shared" si="13"/>
        <v>0</v>
      </c>
    </row>
    <row r="391" spans="1:8" x14ac:dyDescent="0.25">
      <c r="A391" s="1">
        <v>44618</v>
      </c>
      <c r="B391" t="s">
        <v>4</v>
      </c>
      <c r="C391" t="s">
        <v>17</v>
      </c>
      <c r="D391" t="s">
        <v>21</v>
      </c>
      <c r="E391">
        <v>556</v>
      </c>
      <c r="F391">
        <f t="shared" si="12"/>
        <v>1890.3999999999999</v>
      </c>
      <c r="G391">
        <f>SUMIF($D$2:$D391,$D391,$E$2:$E391)</f>
        <v>2943</v>
      </c>
      <c r="H391">
        <f t="shared" si="13"/>
        <v>0</v>
      </c>
    </row>
    <row r="392" spans="1:8" x14ac:dyDescent="0.25">
      <c r="A392" s="1">
        <v>44620</v>
      </c>
      <c r="B392" t="s">
        <v>4</v>
      </c>
      <c r="C392" t="s">
        <v>17</v>
      </c>
      <c r="D392" t="s">
        <v>39</v>
      </c>
      <c r="E392">
        <v>459</v>
      </c>
      <c r="F392">
        <f t="shared" si="12"/>
        <v>1560.6</v>
      </c>
      <c r="G392">
        <f>SUMIF($D$2:$D392,$D392,$E$2:$E392)</f>
        <v>3232</v>
      </c>
      <c r="H392">
        <f t="shared" si="13"/>
        <v>0</v>
      </c>
    </row>
    <row r="393" spans="1:8" x14ac:dyDescent="0.25">
      <c r="A393" s="1">
        <v>44620</v>
      </c>
      <c r="B393" t="s">
        <v>7</v>
      </c>
      <c r="C393" t="s">
        <v>17</v>
      </c>
      <c r="D393" t="s">
        <v>43</v>
      </c>
      <c r="E393">
        <v>332</v>
      </c>
      <c r="F393">
        <f t="shared" si="12"/>
        <v>1128.8</v>
      </c>
      <c r="G393">
        <f>SUMIF($D$2:$D393,$D393,$E$2:$E393)</f>
        <v>3937</v>
      </c>
      <c r="H393">
        <f t="shared" si="13"/>
        <v>0</v>
      </c>
    </row>
    <row r="394" spans="1:8" x14ac:dyDescent="0.25">
      <c r="A394" s="1">
        <v>44620</v>
      </c>
      <c r="B394" t="s">
        <v>4</v>
      </c>
      <c r="C394" t="s">
        <v>17</v>
      </c>
      <c r="D394" t="s">
        <v>57</v>
      </c>
      <c r="E394">
        <v>489</v>
      </c>
      <c r="F394">
        <f t="shared" si="12"/>
        <v>1662.6</v>
      </c>
      <c r="G394">
        <f>SUMIF($D$2:$D394,$D394,$E$2:$E394)</f>
        <v>2807</v>
      </c>
      <c r="H394">
        <f t="shared" si="13"/>
        <v>0</v>
      </c>
    </row>
    <row r="395" spans="1:8" x14ac:dyDescent="0.25">
      <c r="A395" s="1">
        <v>44620</v>
      </c>
      <c r="B395" t="s">
        <v>15</v>
      </c>
      <c r="C395" t="s">
        <v>17</v>
      </c>
      <c r="D395" t="s">
        <v>43</v>
      </c>
      <c r="E395">
        <v>172</v>
      </c>
      <c r="F395">
        <f t="shared" si="12"/>
        <v>412.8</v>
      </c>
      <c r="G395">
        <f>SUMIF($D$2:$D395,$D395,$E$2:$E395)</f>
        <v>4109</v>
      </c>
      <c r="H395">
        <f t="shared" si="13"/>
        <v>0</v>
      </c>
    </row>
    <row r="396" spans="1:8" x14ac:dyDescent="0.25">
      <c r="A396" s="1">
        <v>44620</v>
      </c>
      <c r="B396" t="s">
        <v>7</v>
      </c>
      <c r="C396" t="s">
        <v>17</v>
      </c>
      <c r="D396" t="s">
        <v>35</v>
      </c>
      <c r="E396">
        <v>674</v>
      </c>
      <c r="F396">
        <f t="shared" si="12"/>
        <v>2291.6</v>
      </c>
      <c r="G396">
        <f>SUMIF($D$2:$D396,$D396,$E$2:$E396)</f>
        <v>2679</v>
      </c>
      <c r="H396">
        <f t="shared" si="13"/>
        <v>0</v>
      </c>
    </row>
    <row r="397" spans="1:8" x14ac:dyDescent="0.25">
      <c r="A397" s="1">
        <v>44620</v>
      </c>
      <c r="B397" t="s">
        <v>6</v>
      </c>
      <c r="C397" t="s">
        <v>17</v>
      </c>
      <c r="D397" t="s">
        <v>27</v>
      </c>
      <c r="E397">
        <v>209</v>
      </c>
      <c r="F397">
        <f t="shared" si="12"/>
        <v>710.6</v>
      </c>
      <c r="G397">
        <f>SUMIF($D$2:$D397,$D397,$E$2:$E397)</f>
        <v>3613</v>
      </c>
      <c r="H397">
        <f t="shared" si="13"/>
        <v>0</v>
      </c>
    </row>
    <row r="398" spans="1:8" x14ac:dyDescent="0.25">
      <c r="A398" s="1">
        <v>44620</v>
      </c>
      <c r="B398" t="s">
        <v>10</v>
      </c>
      <c r="C398" t="s">
        <v>17</v>
      </c>
      <c r="D398" t="s">
        <v>45</v>
      </c>
      <c r="E398">
        <v>177</v>
      </c>
      <c r="F398">
        <f t="shared" si="12"/>
        <v>601.79999999999995</v>
      </c>
      <c r="G398">
        <f>SUMIF($D$2:$D398,$D398,$E$2:$E398)</f>
        <v>1768</v>
      </c>
      <c r="H398">
        <f t="shared" si="13"/>
        <v>0</v>
      </c>
    </row>
    <row r="399" spans="1:8" x14ac:dyDescent="0.25">
      <c r="A399" s="1">
        <v>44620</v>
      </c>
      <c r="B399" t="s">
        <v>0</v>
      </c>
      <c r="C399" t="s">
        <v>17</v>
      </c>
      <c r="D399" t="s">
        <v>26</v>
      </c>
      <c r="E399">
        <v>14</v>
      </c>
      <c r="F399">
        <f t="shared" si="12"/>
        <v>40.6</v>
      </c>
      <c r="G399">
        <f>SUMIF($D$2:$D399,$D399,$E$2:$E399)</f>
        <v>4936</v>
      </c>
      <c r="H399">
        <f t="shared" si="13"/>
        <v>0</v>
      </c>
    </row>
    <row r="400" spans="1:8" x14ac:dyDescent="0.25">
      <c r="A400" s="1">
        <v>44620</v>
      </c>
      <c r="B400" t="s">
        <v>5</v>
      </c>
      <c r="C400" t="s">
        <v>17</v>
      </c>
      <c r="D400" t="s">
        <v>38</v>
      </c>
      <c r="E400">
        <v>36</v>
      </c>
      <c r="F400">
        <f t="shared" si="12"/>
        <v>122.39999999999999</v>
      </c>
      <c r="G400">
        <f>SUMIF($D$2:$D400,$D400,$E$2:$E400)</f>
        <v>4104</v>
      </c>
      <c r="H400">
        <f t="shared" si="13"/>
        <v>0</v>
      </c>
    </row>
    <row r="401" spans="1:8" x14ac:dyDescent="0.25">
      <c r="A401" s="1">
        <v>44620</v>
      </c>
      <c r="B401" t="s">
        <v>15</v>
      </c>
      <c r="C401" t="s">
        <v>17</v>
      </c>
      <c r="D401" t="s">
        <v>53</v>
      </c>
      <c r="E401">
        <v>480</v>
      </c>
      <c r="F401">
        <f t="shared" si="12"/>
        <v>1152</v>
      </c>
      <c r="G401">
        <f>SUMIF($D$2:$D401,$D401,$E$2:$E401)</f>
        <v>3570</v>
      </c>
      <c r="H401">
        <f t="shared" si="13"/>
        <v>0</v>
      </c>
    </row>
    <row r="402" spans="1:8" x14ac:dyDescent="0.25">
      <c r="A402" s="1">
        <v>44620</v>
      </c>
      <c r="B402" t="s">
        <v>2</v>
      </c>
      <c r="C402" t="s">
        <v>17</v>
      </c>
      <c r="D402" t="s">
        <v>55</v>
      </c>
      <c r="E402">
        <v>65</v>
      </c>
      <c r="F402">
        <f t="shared" si="12"/>
        <v>208</v>
      </c>
      <c r="G402">
        <f>SUMIF($D$2:$D402,$D402,$E$2:$E402)</f>
        <v>2899</v>
      </c>
      <c r="H402">
        <f t="shared" si="13"/>
        <v>0</v>
      </c>
    </row>
    <row r="403" spans="1:8" x14ac:dyDescent="0.25">
      <c r="A403" s="1">
        <v>44620</v>
      </c>
      <c r="B403" t="s">
        <v>2</v>
      </c>
      <c r="C403" t="s">
        <v>17</v>
      </c>
      <c r="D403" t="s">
        <v>48</v>
      </c>
      <c r="E403">
        <v>322</v>
      </c>
      <c r="F403">
        <f t="shared" si="12"/>
        <v>1030.4000000000001</v>
      </c>
      <c r="G403">
        <f>SUMIF($D$2:$D403,$D403,$E$2:$E403)</f>
        <v>846</v>
      </c>
      <c r="H403">
        <f t="shared" si="13"/>
        <v>0</v>
      </c>
    </row>
    <row r="404" spans="1:8" x14ac:dyDescent="0.25">
      <c r="A404" s="1">
        <v>44621</v>
      </c>
      <c r="B404" t="s">
        <v>5</v>
      </c>
      <c r="C404" t="s">
        <v>17</v>
      </c>
      <c r="D404" t="s">
        <v>25</v>
      </c>
      <c r="E404">
        <v>466</v>
      </c>
      <c r="F404">
        <f t="shared" si="12"/>
        <v>1584.3999999999999</v>
      </c>
      <c r="G404">
        <f>SUMIF($D$2:$D404,$D404,$E$2:$E404)</f>
        <v>2765</v>
      </c>
      <c r="H404">
        <f t="shared" si="13"/>
        <v>0</v>
      </c>
    </row>
    <row r="405" spans="1:8" x14ac:dyDescent="0.25">
      <c r="A405" s="1">
        <v>44621</v>
      </c>
      <c r="B405" t="s">
        <v>6</v>
      </c>
      <c r="C405" t="s">
        <v>17</v>
      </c>
      <c r="D405" t="s">
        <v>61</v>
      </c>
      <c r="E405">
        <v>100</v>
      </c>
      <c r="F405">
        <f t="shared" si="12"/>
        <v>340</v>
      </c>
      <c r="G405">
        <f>SUMIF($D$2:$D405,$D405,$E$2:$E405)</f>
        <v>3129</v>
      </c>
      <c r="H405">
        <f t="shared" si="13"/>
        <v>0</v>
      </c>
    </row>
    <row r="406" spans="1:8" x14ac:dyDescent="0.25">
      <c r="A406" s="1">
        <v>44621</v>
      </c>
      <c r="B406" t="s">
        <v>7</v>
      </c>
      <c r="C406" t="s">
        <v>17</v>
      </c>
      <c r="D406" t="s">
        <v>21</v>
      </c>
      <c r="E406">
        <v>337</v>
      </c>
      <c r="F406">
        <f t="shared" si="12"/>
        <v>1145.8</v>
      </c>
      <c r="G406">
        <f>SUMIF($D$2:$D406,$D406,$E$2:$E406)</f>
        <v>3280</v>
      </c>
      <c r="H406">
        <f t="shared" si="13"/>
        <v>0</v>
      </c>
    </row>
    <row r="407" spans="1:8" x14ac:dyDescent="0.25">
      <c r="A407" s="1">
        <v>44621</v>
      </c>
      <c r="B407" t="s">
        <v>10</v>
      </c>
      <c r="C407" t="s">
        <v>17</v>
      </c>
      <c r="D407" t="s">
        <v>38</v>
      </c>
      <c r="E407">
        <v>302</v>
      </c>
      <c r="F407">
        <f t="shared" si="12"/>
        <v>1026.8</v>
      </c>
      <c r="G407">
        <f>SUMIF($D$2:$D407,$D407,$E$2:$E407)</f>
        <v>4406</v>
      </c>
      <c r="H407">
        <f t="shared" si="13"/>
        <v>0</v>
      </c>
    </row>
    <row r="408" spans="1:8" x14ac:dyDescent="0.25">
      <c r="A408" s="1">
        <v>44621</v>
      </c>
      <c r="B408" t="s">
        <v>7</v>
      </c>
      <c r="C408" t="s">
        <v>17</v>
      </c>
      <c r="D408" t="s">
        <v>33</v>
      </c>
      <c r="E408">
        <v>223</v>
      </c>
      <c r="F408">
        <f t="shared" si="12"/>
        <v>758.19999999999993</v>
      </c>
      <c r="G408">
        <f>SUMIF($D$2:$D408,$D408,$E$2:$E408)</f>
        <v>2378</v>
      </c>
      <c r="H408">
        <f t="shared" si="13"/>
        <v>0</v>
      </c>
    </row>
    <row r="409" spans="1:8" x14ac:dyDescent="0.25">
      <c r="A409" s="1">
        <v>44621</v>
      </c>
      <c r="B409" t="s">
        <v>7</v>
      </c>
      <c r="C409" t="s">
        <v>17</v>
      </c>
      <c r="D409" t="s">
        <v>22</v>
      </c>
      <c r="E409">
        <v>320</v>
      </c>
      <c r="F409">
        <f t="shared" si="12"/>
        <v>1088</v>
      </c>
      <c r="G409">
        <f>SUMIF($D$2:$D409,$D409,$E$2:$E409)</f>
        <v>4543</v>
      </c>
      <c r="H409">
        <f t="shared" si="13"/>
        <v>0</v>
      </c>
    </row>
    <row r="410" spans="1:8" x14ac:dyDescent="0.25">
      <c r="A410" s="1">
        <v>44621</v>
      </c>
      <c r="B410" t="s">
        <v>4</v>
      </c>
      <c r="C410" t="s">
        <v>17</v>
      </c>
      <c r="D410" t="s">
        <v>55</v>
      </c>
      <c r="E410">
        <v>329</v>
      </c>
      <c r="F410">
        <f t="shared" si="12"/>
        <v>1118.5999999999999</v>
      </c>
      <c r="G410">
        <f>SUMIF($D$2:$D410,$D410,$E$2:$E410)</f>
        <v>3228</v>
      </c>
      <c r="H410">
        <f t="shared" si="13"/>
        <v>0</v>
      </c>
    </row>
    <row r="411" spans="1:8" x14ac:dyDescent="0.25">
      <c r="A411" s="1">
        <v>44621</v>
      </c>
      <c r="B411" t="s">
        <v>15</v>
      </c>
      <c r="C411" t="s">
        <v>17</v>
      </c>
      <c r="D411" t="s">
        <v>60</v>
      </c>
      <c r="E411">
        <v>321</v>
      </c>
      <c r="F411">
        <f t="shared" si="12"/>
        <v>770.4</v>
      </c>
      <c r="G411">
        <f>SUMIF($D$2:$D411,$D411,$E$2:$E411)</f>
        <v>1902</v>
      </c>
      <c r="H411">
        <f t="shared" si="13"/>
        <v>0</v>
      </c>
    </row>
    <row r="412" spans="1:8" x14ac:dyDescent="0.25">
      <c r="A412" s="1">
        <v>44621</v>
      </c>
      <c r="B412" t="s">
        <v>2</v>
      </c>
      <c r="C412" t="s">
        <v>17</v>
      </c>
      <c r="D412" t="s">
        <v>43</v>
      </c>
      <c r="E412">
        <v>123</v>
      </c>
      <c r="F412">
        <f t="shared" si="12"/>
        <v>393.6</v>
      </c>
      <c r="G412">
        <f>SUMIF($D$2:$D412,$D412,$E$2:$E412)</f>
        <v>4232</v>
      </c>
      <c r="H412">
        <f t="shared" si="13"/>
        <v>0</v>
      </c>
    </row>
    <row r="413" spans="1:8" x14ac:dyDescent="0.25">
      <c r="A413" s="1">
        <v>44621</v>
      </c>
      <c r="B413" t="s">
        <v>8</v>
      </c>
      <c r="C413" t="s">
        <v>17</v>
      </c>
      <c r="D413" t="s">
        <v>48</v>
      </c>
      <c r="E413">
        <v>560</v>
      </c>
      <c r="F413">
        <f t="shared" si="12"/>
        <v>1960</v>
      </c>
      <c r="G413">
        <f>SUMIF($D$2:$D413,$D413,$E$2:$E413)</f>
        <v>1406</v>
      </c>
      <c r="H413">
        <f t="shared" si="13"/>
        <v>0</v>
      </c>
    </row>
    <row r="414" spans="1:8" x14ac:dyDescent="0.25">
      <c r="A414" s="1">
        <v>44622</v>
      </c>
      <c r="B414" t="s">
        <v>15</v>
      </c>
      <c r="C414" t="s">
        <v>17</v>
      </c>
      <c r="D414" t="s">
        <v>32</v>
      </c>
      <c r="E414">
        <v>536</v>
      </c>
      <c r="F414">
        <f t="shared" si="12"/>
        <v>1286.3999999999999</v>
      </c>
      <c r="G414">
        <f>SUMIF($D$2:$D414,$D414,$E$2:$E414)</f>
        <v>3411</v>
      </c>
      <c r="H414">
        <f t="shared" si="13"/>
        <v>0</v>
      </c>
    </row>
    <row r="415" spans="1:8" x14ac:dyDescent="0.25">
      <c r="A415" s="1">
        <v>44622</v>
      </c>
      <c r="B415" t="s">
        <v>8</v>
      </c>
      <c r="C415" t="s">
        <v>17</v>
      </c>
      <c r="D415" t="s">
        <v>28</v>
      </c>
      <c r="E415">
        <v>345</v>
      </c>
      <c r="F415">
        <f t="shared" si="12"/>
        <v>1207.5</v>
      </c>
      <c r="G415">
        <f>SUMIF($D$2:$D415,$D415,$E$2:$E415)</f>
        <v>3133</v>
      </c>
      <c r="H415">
        <f t="shared" si="13"/>
        <v>0</v>
      </c>
    </row>
    <row r="416" spans="1:8" x14ac:dyDescent="0.25">
      <c r="A416" s="1">
        <v>44622</v>
      </c>
      <c r="B416" t="s">
        <v>15</v>
      </c>
      <c r="C416" t="s">
        <v>17</v>
      </c>
      <c r="D416" t="s">
        <v>16</v>
      </c>
      <c r="E416">
        <v>238</v>
      </c>
      <c r="F416">
        <f t="shared" si="12"/>
        <v>571.19999999999993</v>
      </c>
      <c r="G416">
        <f>SUMIF($D$2:$D416,$D416,$E$2:$E416)</f>
        <v>3909</v>
      </c>
      <c r="H416">
        <f t="shared" si="13"/>
        <v>0</v>
      </c>
    </row>
    <row r="417" spans="1:8" x14ac:dyDescent="0.25">
      <c r="A417" s="1">
        <v>44622</v>
      </c>
      <c r="B417" t="s">
        <v>5</v>
      </c>
      <c r="C417" t="s">
        <v>17</v>
      </c>
      <c r="D417" t="s">
        <v>67</v>
      </c>
      <c r="E417">
        <v>12</v>
      </c>
      <c r="F417">
        <f t="shared" si="12"/>
        <v>40.799999999999997</v>
      </c>
      <c r="G417">
        <f>SUMIF($D$2:$D417,$D417,$E$2:$E417)</f>
        <v>3803</v>
      </c>
      <c r="H417">
        <f t="shared" si="13"/>
        <v>0</v>
      </c>
    </row>
    <row r="418" spans="1:8" x14ac:dyDescent="0.25">
      <c r="A418" s="1">
        <v>44622</v>
      </c>
      <c r="B418" t="s">
        <v>15</v>
      </c>
      <c r="C418" t="s">
        <v>17</v>
      </c>
      <c r="D418" t="s">
        <v>54</v>
      </c>
      <c r="E418">
        <v>488</v>
      </c>
      <c r="F418">
        <f t="shared" si="12"/>
        <v>1171.2</v>
      </c>
      <c r="G418">
        <f>SUMIF($D$2:$D418,$D418,$E$2:$E418)</f>
        <v>2127</v>
      </c>
      <c r="H418">
        <f t="shared" si="13"/>
        <v>0</v>
      </c>
    </row>
    <row r="419" spans="1:8" x14ac:dyDescent="0.25">
      <c r="A419" s="1">
        <v>44622</v>
      </c>
      <c r="B419" t="s">
        <v>8</v>
      </c>
      <c r="C419" t="s">
        <v>17</v>
      </c>
      <c r="D419" t="s">
        <v>33</v>
      </c>
      <c r="E419">
        <v>537</v>
      </c>
      <c r="F419">
        <f t="shared" si="12"/>
        <v>1879.5</v>
      </c>
      <c r="G419">
        <f>SUMIF($D$2:$D419,$D419,$E$2:$E419)</f>
        <v>2915</v>
      </c>
      <c r="H419">
        <f t="shared" si="13"/>
        <v>0</v>
      </c>
    </row>
    <row r="420" spans="1:8" x14ac:dyDescent="0.25">
      <c r="A420" s="1">
        <v>44622</v>
      </c>
      <c r="B420" t="s">
        <v>5</v>
      </c>
      <c r="C420" t="s">
        <v>17</v>
      </c>
      <c r="D420" t="s">
        <v>62</v>
      </c>
      <c r="E420">
        <v>86</v>
      </c>
      <c r="F420">
        <f t="shared" si="12"/>
        <v>292.39999999999998</v>
      </c>
      <c r="G420">
        <f>SUMIF($D$2:$D420,$D420,$E$2:$E420)</f>
        <v>2506</v>
      </c>
      <c r="H420">
        <f t="shared" si="13"/>
        <v>0</v>
      </c>
    </row>
    <row r="421" spans="1:8" x14ac:dyDescent="0.25">
      <c r="A421" s="1">
        <v>44622</v>
      </c>
      <c r="B421" t="s">
        <v>5</v>
      </c>
      <c r="C421" t="s">
        <v>17</v>
      </c>
      <c r="D421" t="s">
        <v>16</v>
      </c>
      <c r="E421">
        <v>478</v>
      </c>
      <c r="F421">
        <f t="shared" si="12"/>
        <v>1625.2</v>
      </c>
      <c r="G421">
        <f>SUMIF($D$2:$D421,$D421,$E$2:$E421)</f>
        <v>4387</v>
      </c>
      <c r="H421">
        <f t="shared" si="13"/>
        <v>0</v>
      </c>
    </row>
    <row r="422" spans="1:8" x14ac:dyDescent="0.25">
      <c r="A422" s="1">
        <v>44623</v>
      </c>
      <c r="B422" t="s">
        <v>15</v>
      </c>
      <c r="C422" t="s">
        <v>17</v>
      </c>
      <c r="D422" t="s">
        <v>54</v>
      </c>
      <c r="E422">
        <v>263</v>
      </c>
      <c r="F422">
        <f t="shared" si="12"/>
        <v>631.19999999999993</v>
      </c>
      <c r="G422">
        <f>SUMIF($D$2:$D422,$D422,$E$2:$E422)</f>
        <v>2390</v>
      </c>
      <c r="H422">
        <f t="shared" si="13"/>
        <v>0</v>
      </c>
    </row>
    <row r="423" spans="1:8" x14ac:dyDescent="0.25">
      <c r="A423" s="1">
        <v>44623</v>
      </c>
      <c r="B423" t="s">
        <v>15</v>
      </c>
      <c r="C423" t="s">
        <v>17</v>
      </c>
      <c r="D423" t="s">
        <v>46</v>
      </c>
      <c r="E423">
        <v>438</v>
      </c>
      <c r="F423">
        <f t="shared" si="12"/>
        <v>1051.2</v>
      </c>
      <c r="G423">
        <f>SUMIF($D$2:$D423,$D423,$E$2:$E423)</f>
        <v>3123</v>
      </c>
      <c r="H423">
        <f t="shared" si="13"/>
        <v>0</v>
      </c>
    </row>
    <row r="424" spans="1:8" x14ac:dyDescent="0.25">
      <c r="A424" s="1">
        <v>44623</v>
      </c>
      <c r="B424" t="s">
        <v>0</v>
      </c>
      <c r="C424" t="s">
        <v>17</v>
      </c>
      <c r="D424" t="s">
        <v>41</v>
      </c>
      <c r="E424">
        <v>39</v>
      </c>
      <c r="F424">
        <f t="shared" si="12"/>
        <v>113.1</v>
      </c>
      <c r="G424">
        <f>SUMIF($D$2:$D424,$D424,$E$2:$E424)</f>
        <v>1740</v>
      </c>
      <c r="H424">
        <f t="shared" si="13"/>
        <v>0</v>
      </c>
    </row>
    <row r="425" spans="1:8" x14ac:dyDescent="0.25">
      <c r="A425" s="1">
        <v>44623</v>
      </c>
      <c r="B425" t="s">
        <v>10</v>
      </c>
      <c r="C425" t="s">
        <v>17</v>
      </c>
      <c r="D425" t="s">
        <v>66</v>
      </c>
      <c r="E425">
        <v>426</v>
      </c>
      <c r="F425">
        <f t="shared" si="12"/>
        <v>1448.3999999999999</v>
      </c>
      <c r="G425">
        <f>SUMIF($D$2:$D425,$D425,$E$2:$E425)</f>
        <v>2495</v>
      </c>
      <c r="H425">
        <f t="shared" si="13"/>
        <v>0</v>
      </c>
    </row>
    <row r="426" spans="1:8" x14ac:dyDescent="0.25">
      <c r="A426" s="1">
        <v>44623</v>
      </c>
      <c r="B426" t="s">
        <v>0</v>
      </c>
      <c r="C426" t="s">
        <v>17</v>
      </c>
      <c r="D426" t="s">
        <v>47</v>
      </c>
      <c r="E426">
        <v>426</v>
      </c>
      <c r="F426">
        <f t="shared" si="12"/>
        <v>1235.3999999999999</v>
      </c>
      <c r="G426">
        <f>SUMIF($D$2:$D426,$D426,$E$2:$E426)</f>
        <v>2632</v>
      </c>
      <c r="H426">
        <f t="shared" si="13"/>
        <v>0</v>
      </c>
    </row>
    <row r="427" spans="1:8" x14ac:dyDescent="0.25">
      <c r="A427" s="1">
        <v>44623</v>
      </c>
      <c r="B427" t="s">
        <v>10</v>
      </c>
      <c r="C427" t="s">
        <v>17</v>
      </c>
      <c r="D427" t="s">
        <v>47</v>
      </c>
      <c r="E427">
        <v>80</v>
      </c>
      <c r="F427">
        <f t="shared" si="12"/>
        <v>272</v>
      </c>
      <c r="G427">
        <f>SUMIF($D$2:$D427,$D427,$E$2:$E427)</f>
        <v>2712</v>
      </c>
      <c r="H427">
        <f t="shared" si="13"/>
        <v>0</v>
      </c>
    </row>
    <row r="428" spans="1:8" x14ac:dyDescent="0.25">
      <c r="A428" s="1">
        <v>44623</v>
      </c>
      <c r="B428" t="s">
        <v>8</v>
      </c>
      <c r="C428" t="s">
        <v>17</v>
      </c>
      <c r="D428" t="s">
        <v>49</v>
      </c>
      <c r="E428">
        <v>394</v>
      </c>
      <c r="F428">
        <f t="shared" si="12"/>
        <v>1379</v>
      </c>
      <c r="G428">
        <f>SUMIF($D$2:$D428,$D428,$E$2:$E428)</f>
        <v>2463</v>
      </c>
      <c r="H428">
        <f t="shared" si="13"/>
        <v>0</v>
      </c>
    </row>
    <row r="429" spans="1:8" x14ac:dyDescent="0.25">
      <c r="A429" s="1">
        <v>44623</v>
      </c>
      <c r="B429" t="s">
        <v>2</v>
      </c>
      <c r="C429" t="s">
        <v>17</v>
      </c>
      <c r="D429" t="s">
        <v>38</v>
      </c>
      <c r="E429">
        <v>393</v>
      </c>
      <c r="F429">
        <f t="shared" si="12"/>
        <v>1257.6000000000001</v>
      </c>
      <c r="G429">
        <f>SUMIF($D$2:$D429,$D429,$E$2:$E429)</f>
        <v>4799</v>
      </c>
      <c r="H429">
        <f t="shared" si="13"/>
        <v>0</v>
      </c>
    </row>
    <row r="430" spans="1:8" x14ac:dyDescent="0.25">
      <c r="A430" s="1">
        <v>44623</v>
      </c>
      <c r="B430" t="s">
        <v>0</v>
      </c>
      <c r="C430" t="s">
        <v>17</v>
      </c>
      <c r="D430" t="s">
        <v>61</v>
      </c>
      <c r="E430">
        <v>488</v>
      </c>
      <c r="F430">
        <f t="shared" si="12"/>
        <v>1415.2</v>
      </c>
      <c r="G430">
        <f>SUMIF($D$2:$D430,$D430,$E$2:$E430)</f>
        <v>3617</v>
      </c>
      <c r="H430">
        <f t="shared" si="13"/>
        <v>0</v>
      </c>
    </row>
    <row r="431" spans="1:8" x14ac:dyDescent="0.25">
      <c r="A431" s="1">
        <v>44624</v>
      </c>
      <c r="B431" t="s">
        <v>15</v>
      </c>
      <c r="C431" t="s">
        <v>17</v>
      </c>
      <c r="D431" t="s">
        <v>60</v>
      </c>
      <c r="E431">
        <v>563</v>
      </c>
      <c r="F431">
        <f t="shared" si="12"/>
        <v>1351.2</v>
      </c>
      <c r="G431">
        <f>SUMIF($D$2:$D431,$D431,$E$2:$E431)</f>
        <v>2465</v>
      </c>
      <c r="H431">
        <f t="shared" si="13"/>
        <v>0</v>
      </c>
    </row>
    <row r="432" spans="1:8" x14ac:dyDescent="0.25">
      <c r="A432" s="1">
        <v>44624</v>
      </c>
      <c r="B432" t="s">
        <v>8</v>
      </c>
      <c r="C432" t="s">
        <v>17</v>
      </c>
      <c r="D432" t="s">
        <v>27</v>
      </c>
      <c r="E432">
        <v>436</v>
      </c>
      <c r="F432">
        <f t="shared" si="12"/>
        <v>1526</v>
      </c>
      <c r="G432">
        <f>SUMIF($D$2:$D432,$D432,$E$2:$E432)</f>
        <v>4049</v>
      </c>
      <c r="H432">
        <f t="shared" si="13"/>
        <v>0</v>
      </c>
    </row>
    <row r="433" spans="1:8" x14ac:dyDescent="0.25">
      <c r="A433" s="1">
        <v>44624</v>
      </c>
      <c r="B433" t="s">
        <v>8</v>
      </c>
      <c r="C433" t="s">
        <v>17</v>
      </c>
      <c r="D433" t="s">
        <v>49</v>
      </c>
      <c r="E433">
        <v>668</v>
      </c>
      <c r="F433">
        <f t="shared" si="12"/>
        <v>2338</v>
      </c>
      <c r="G433">
        <f>SUMIF($D$2:$D433,$D433,$E$2:$E433)</f>
        <v>3131</v>
      </c>
      <c r="H433">
        <f t="shared" si="13"/>
        <v>0</v>
      </c>
    </row>
    <row r="434" spans="1:8" x14ac:dyDescent="0.25">
      <c r="A434" s="1">
        <v>44624</v>
      </c>
      <c r="B434" t="s">
        <v>5</v>
      </c>
      <c r="C434" t="s">
        <v>17</v>
      </c>
      <c r="D434" t="s">
        <v>24</v>
      </c>
      <c r="E434">
        <v>274</v>
      </c>
      <c r="F434">
        <f t="shared" si="12"/>
        <v>931.6</v>
      </c>
      <c r="G434">
        <f>SUMIF($D$2:$D434,$D434,$E$2:$E434)</f>
        <v>2840</v>
      </c>
      <c r="H434">
        <f t="shared" si="13"/>
        <v>0</v>
      </c>
    </row>
    <row r="435" spans="1:8" x14ac:dyDescent="0.25">
      <c r="A435" s="1">
        <v>44624</v>
      </c>
      <c r="B435" t="s">
        <v>15</v>
      </c>
      <c r="C435" t="s">
        <v>17</v>
      </c>
      <c r="D435" t="s">
        <v>57</v>
      </c>
      <c r="E435">
        <v>583</v>
      </c>
      <c r="F435">
        <f t="shared" si="12"/>
        <v>1399.2</v>
      </c>
      <c r="G435">
        <f>SUMIF($D$2:$D435,$D435,$E$2:$E435)</f>
        <v>3390</v>
      </c>
      <c r="H435">
        <f t="shared" si="13"/>
        <v>0</v>
      </c>
    </row>
    <row r="436" spans="1:8" x14ac:dyDescent="0.25">
      <c r="A436" s="1">
        <v>44624</v>
      </c>
      <c r="B436" t="s">
        <v>10</v>
      </c>
      <c r="C436" t="s">
        <v>17</v>
      </c>
      <c r="D436" t="s">
        <v>23</v>
      </c>
      <c r="E436">
        <v>224</v>
      </c>
      <c r="F436">
        <f t="shared" si="12"/>
        <v>761.6</v>
      </c>
      <c r="G436">
        <f>SUMIF($D$2:$D436,$D436,$E$2:$E436)</f>
        <v>2511</v>
      </c>
      <c r="H436">
        <f t="shared" si="13"/>
        <v>0</v>
      </c>
    </row>
    <row r="437" spans="1:8" x14ac:dyDescent="0.25">
      <c r="A437" s="1">
        <v>44624</v>
      </c>
      <c r="B437" t="s">
        <v>5</v>
      </c>
      <c r="C437" t="s">
        <v>17</v>
      </c>
      <c r="D437" t="s">
        <v>33</v>
      </c>
      <c r="E437">
        <v>364</v>
      </c>
      <c r="F437">
        <f t="shared" si="12"/>
        <v>1237.5999999999999</v>
      </c>
      <c r="G437">
        <f>SUMIF($D$2:$D437,$D437,$E$2:$E437)</f>
        <v>3279</v>
      </c>
      <c r="H437">
        <f t="shared" si="13"/>
        <v>0</v>
      </c>
    </row>
    <row r="438" spans="1:8" x14ac:dyDescent="0.25">
      <c r="A438" s="1">
        <v>44625</v>
      </c>
      <c r="B438" t="s">
        <v>5</v>
      </c>
      <c r="C438" t="s">
        <v>17</v>
      </c>
      <c r="D438" t="s">
        <v>45</v>
      </c>
      <c r="E438">
        <v>459</v>
      </c>
      <c r="F438">
        <f t="shared" si="12"/>
        <v>1560.6</v>
      </c>
      <c r="G438">
        <f>SUMIF($D$2:$D438,$D438,$E$2:$E438)</f>
        <v>2227</v>
      </c>
      <c r="H438">
        <f t="shared" si="13"/>
        <v>0</v>
      </c>
    </row>
    <row r="439" spans="1:8" x14ac:dyDescent="0.25">
      <c r="A439" s="1">
        <v>44625</v>
      </c>
      <c r="B439" t="s">
        <v>8</v>
      </c>
      <c r="C439" t="s">
        <v>17</v>
      </c>
      <c r="D439" t="s">
        <v>26</v>
      </c>
      <c r="E439">
        <v>244</v>
      </c>
      <c r="F439">
        <f t="shared" si="12"/>
        <v>854</v>
      </c>
      <c r="G439">
        <f>SUMIF($D$2:$D439,$D439,$E$2:$E439)</f>
        <v>5180</v>
      </c>
      <c r="H439">
        <f t="shared" si="13"/>
        <v>0</v>
      </c>
    </row>
    <row r="440" spans="1:8" x14ac:dyDescent="0.25">
      <c r="A440" s="1">
        <v>44625</v>
      </c>
      <c r="B440" t="s">
        <v>0</v>
      </c>
      <c r="C440" t="s">
        <v>17</v>
      </c>
      <c r="D440" t="s">
        <v>26</v>
      </c>
      <c r="E440">
        <v>302</v>
      </c>
      <c r="F440">
        <f t="shared" si="12"/>
        <v>875.8</v>
      </c>
      <c r="G440">
        <f>SUMIF($D$2:$D440,$D440,$E$2:$E440)</f>
        <v>5482</v>
      </c>
      <c r="H440">
        <f t="shared" si="13"/>
        <v>0</v>
      </c>
    </row>
    <row r="441" spans="1:8" x14ac:dyDescent="0.25">
      <c r="A441" s="1">
        <v>44625</v>
      </c>
      <c r="B441" t="s">
        <v>8</v>
      </c>
      <c r="C441" t="s">
        <v>17</v>
      </c>
      <c r="D441" t="s">
        <v>30</v>
      </c>
      <c r="E441">
        <v>409</v>
      </c>
      <c r="F441">
        <f t="shared" si="12"/>
        <v>1431.5</v>
      </c>
      <c r="G441">
        <f>SUMIF($D$2:$D441,$D441,$E$2:$E441)</f>
        <v>1994</v>
      </c>
      <c r="H441">
        <f t="shared" si="13"/>
        <v>0</v>
      </c>
    </row>
    <row r="442" spans="1:8" x14ac:dyDescent="0.25">
      <c r="A442" s="1">
        <v>44625</v>
      </c>
      <c r="B442" t="s">
        <v>10</v>
      </c>
      <c r="C442" t="s">
        <v>17</v>
      </c>
      <c r="D442" t="s">
        <v>58</v>
      </c>
      <c r="E442">
        <v>269</v>
      </c>
      <c r="F442">
        <f t="shared" si="12"/>
        <v>914.6</v>
      </c>
      <c r="G442">
        <f>SUMIF($D$2:$D442,$D442,$E$2:$E442)</f>
        <v>2824</v>
      </c>
      <c r="H442">
        <f t="shared" si="13"/>
        <v>0</v>
      </c>
    </row>
    <row r="443" spans="1:8" x14ac:dyDescent="0.25">
      <c r="A443" s="1">
        <v>44625</v>
      </c>
      <c r="B443" t="s">
        <v>2</v>
      </c>
      <c r="C443" t="s">
        <v>17</v>
      </c>
      <c r="D443" t="s">
        <v>23</v>
      </c>
      <c r="E443">
        <v>418</v>
      </c>
      <c r="F443">
        <f t="shared" si="12"/>
        <v>1337.6000000000001</v>
      </c>
      <c r="G443">
        <f>SUMIF($D$2:$D443,$D443,$E$2:$E443)</f>
        <v>2929</v>
      </c>
      <c r="H443">
        <f t="shared" si="13"/>
        <v>0</v>
      </c>
    </row>
    <row r="444" spans="1:8" x14ac:dyDescent="0.25">
      <c r="A444" s="1">
        <v>44625</v>
      </c>
      <c r="B444" t="s">
        <v>8</v>
      </c>
      <c r="C444" t="s">
        <v>17</v>
      </c>
      <c r="D444" t="s">
        <v>21</v>
      </c>
      <c r="E444">
        <v>213</v>
      </c>
      <c r="F444">
        <f t="shared" si="12"/>
        <v>745.5</v>
      </c>
      <c r="G444">
        <f>SUMIF($D$2:$D444,$D444,$E$2:$E444)</f>
        <v>3493</v>
      </c>
      <c r="H444">
        <f t="shared" si="13"/>
        <v>0</v>
      </c>
    </row>
    <row r="445" spans="1:8" x14ac:dyDescent="0.25">
      <c r="A445" s="1">
        <v>44625</v>
      </c>
      <c r="B445" t="s">
        <v>8</v>
      </c>
      <c r="C445" t="s">
        <v>17</v>
      </c>
      <c r="D445" t="s">
        <v>56</v>
      </c>
      <c r="E445">
        <v>342</v>
      </c>
      <c r="F445">
        <f t="shared" si="12"/>
        <v>1197</v>
      </c>
      <c r="G445">
        <f>SUMIF($D$2:$D445,$D445,$E$2:$E445)</f>
        <v>3578</v>
      </c>
      <c r="H445">
        <f t="shared" si="13"/>
        <v>0</v>
      </c>
    </row>
    <row r="446" spans="1:8" x14ac:dyDescent="0.25">
      <c r="A446" s="1">
        <v>44625</v>
      </c>
      <c r="B446" t="s">
        <v>8</v>
      </c>
      <c r="C446" t="s">
        <v>17</v>
      </c>
      <c r="D446" t="s">
        <v>32</v>
      </c>
      <c r="E446">
        <v>495</v>
      </c>
      <c r="F446">
        <f t="shared" si="12"/>
        <v>1732.5</v>
      </c>
      <c r="G446">
        <f>SUMIF($D$2:$D446,$D446,$E$2:$E446)</f>
        <v>3906</v>
      </c>
      <c r="H446">
        <f t="shared" si="13"/>
        <v>0</v>
      </c>
    </row>
    <row r="447" spans="1:8" x14ac:dyDescent="0.25">
      <c r="A447" s="1">
        <v>44625</v>
      </c>
      <c r="B447" t="s">
        <v>10</v>
      </c>
      <c r="C447" t="s">
        <v>17</v>
      </c>
      <c r="D447" t="s">
        <v>48</v>
      </c>
      <c r="E447">
        <v>180</v>
      </c>
      <c r="F447">
        <f t="shared" si="12"/>
        <v>612</v>
      </c>
      <c r="G447">
        <f>SUMIF($D$2:$D447,$D447,$E$2:$E447)</f>
        <v>1586</v>
      </c>
      <c r="H447">
        <f t="shared" si="13"/>
        <v>0</v>
      </c>
    </row>
    <row r="448" spans="1:8" x14ac:dyDescent="0.25">
      <c r="A448" s="1">
        <v>44625</v>
      </c>
      <c r="B448" t="s">
        <v>4</v>
      </c>
      <c r="C448" t="s">
        <v>17</v>
      </c>
      <c r="D448" t="s">
        <v>63</v>
      </c>
      <c r="E448">
        <v>743</v>
      </c>
      <c r="F448">
        <f t="shared" si="12"/>
        <v>2526.1999999999998</v>
      </c>
      <c r="G448">
        <f>SUMIF($D$2:$D448,$D448,$E$2:$E448)</f>
        <v>2409</v>
      </c>
      <c r="H448">
        <f t="shared" si="13"/>
        <v>0</v>
      </c>
    </row>
    <row r="449" spans="1:8" x14ac:dyDescent="0.25">
      <c r="A449" s="1">
        <v>44627</v>
      </c>
      <c r="B449" t="s">
        <v>0</v>
      </c>
      <c r="C449" t="s">
        <v>17</v>
      </c>
      <c r="D449" t="s">
        <v>27</v>
      </c>
      <c r="E449">
        <v>405</v>
      </c>
      <c r="F449">
        <f t="shared" si="12"/>
        <v>1174.5</v>
      </c>
      <c r="G449">
        <f>SUMIF($D$2:$D449,$D449,$E$2:$E449)</f>
        <v>4454</v>
      </c>
      <c r="H449">
        <f t="shared" si="13"/>
        <v>0</v>
      </c>
    </row>
    <row r="450" spans="1:8" x14ac:dyDescent="0.25">
      <c r="A450" s="1">
        <v>44627</v>
      </c>
      <c r="B450" t="s">
        <v>10</v>
      </c>
      <c r="C450" t="s">
        <v>17</v>
      </c>
      <c r="D450" t="s">
        <v>66</v>
      </c>
      <c r="E450">
        <v>264</v>
      </c>
      <c r="F450">
        <f t="shared" si="12"/>
        <v>897.6</v>
      </c>
      <c r="G450">
        <f>SUMIF($D$2:$D450,$D450,$E$2:$E450)</f>
        <v>2759</v>
      </c>
      <c r="H450">
        <f t="shared" si="13"/>
        <v>0</v>
      </c>
    </row>
    <row r="451" spans="1:8" x14ac:dyDescent="0.25">
      <c r="A451" s="1">
        <v>44627</v>
      </c>
      <c r="B451" t="s">
        <v>7</v>
      </c>
      <c r="C451" t="s">
        <v>17</v>
      </c>
      <c r="D451" t="s">
        <v>37</v>
      </c>
      <c r="E451">
        <v>419</v>
      </c>
      <c r="F451">
        <f t="shared" ref="F451:F514" si="14">E451* _xlfn.XLOOKUP(B451,$I$2:$I$17,$J$2:$J$17,"0",0,1)</f>
        <v>1424.6</v>
      </c>
      <c r="G451">
        <f>SUMIF($D$2:$D451,$D451,$E$2:$E451)</f>
        <v>4630</v>
      </c>
      <c r="H451">
        <f t="shared" ref="H451:H514" si="15">IF(AND($G451 &gt; 15000,$G451 &lt; 20000),5*$E451,IF($G451 &gt;= 20000,10*$E451,0))</f>
        <v>0</v>
      </c>
    </row>
    <row r="452" spans="1:8" x14ac:dyDescent="0.25">
      <c r="A452" s="1">
        <v>44627</v>
      </c>
      <c r="B452" t="s">
        <v>2</v>
      </c>
      <c r="C452" t="s">
        <v>17</v>
      </c>
      <c r="D452" t="s">
        <v>61</v>
      </c>
      <c r="E452">
        <v>85</v>
      </c>
      <c r="F452">
        <f t="shared" si="14"/>
        <v>272</v>
      </c>
      <c r="G452">
        <f>SUMIF($D$2:$D452,$D452,$E$2:$E452)</f>
        <v>3702</v>
      </c>
      <c r="H452">
        <f t="shared" si="15"/>
        <v>0</v>
      </c>
    </row>
    <row r="453" spans="1:8" x14ac:dyDescent="0.25">
      <c r="A453" s="1">
        <v>44627</v>
      </c>
      <c r="B453" t="s">
        <v>5</v>
      </c>
      <c r="C453" t="s">
        <v>17</v>
      </c>
      <c r="D453" t="s">
        <v>64</v>
      </c>
      <c r="E453">
        <v>165</v>
      </c>
      <c r="F453">
        <f t="shared" si="14"/>
        <v>561</v>
      </c>
      <c r="G453">
        <f>SUMIF($D$2:$D453,$D453,$E$2:$E453)</f>
        <v>1632</v>
      </c>
      <c r="H453">
        <f t="shared" si="15"/>
        <v>0</v>
      </c>
    </row>
    <row r="454" spans="1:8" x14ac:dyDescent="0.25">
      <c r="A454" s="1">
        <v>44627</v>
      </c>
      <c r="B454" t="s">
        <v>0</v>
      </c>
      <c r="C454" t="s">
        <v>17</v>
      </c>
      <c r="D454" t="s">
        <v>42</v>
      </c>
      <c r="E454">
        <v>91</v>
      </c>
      <c r="F454">
        <f t="shared" si="14"/>
        <v>263.89999999999998</v>
      </c>
      <c r="G454">
        <f>SUMIF($D$2:$D454,$D454,$E$2:$E454)</f>
        <v>2064</v>
      </c>
      <c r="H454">
        <f t="shared" si="15"/>
        <v>0</v>
      </c>
    </row>
    <row r="455" spans="1:8" x14ac:dyDescent="0.25">
      <c r="A455" s="1">
        <v>44627</v>
      </c>
      <c r="B455" t="s">
        <v>15</v>
      </c>
      <c r="C455" t="s">
        <v>17</v>
      </c>
      <c r="D455" t="s">
        <v>41</v>
      </c>
      <c r="E455">
        <v>573</v>
      </c>
      <c r="F455">
        <f t="shared" si="14"/>
        <v>1375.2</v>
      </c>
      <c r="G455">
        <f>SUMIF($D$2:$D455,$D455,$E$2:$E455)</f>
        <v>2313</v>
      </c>
      <c r="H455">
        <f t="shared" si="15"/>
        <v>0</v>
      </c>
    </row>
    <row r="456" spans="1:8" x14ac:dyDescent="0.25">
      <c r="A456" s="1">
        <v>44628</v>
      </c>
      <c r="B456" t="s">
        <v>2</v>
      </c>
      <c r="C456" t="s">
        <v>17</v>
      </c>
      <c r="D456" t="s">
        <v>41</v>
      </c>
      <c r="E456">
        <v>114</v>
      </c>
      <c r="F456">
        <f t="shared" si="14"/>
        <v>364.8</v>
      </c>
      <c r="G456">
        <f>SUMIF($D$2:$D456,$D456,$E$2:$E456)</f>
        <v>2427</v>
      </c>
      <c r="H456">
        <f t="shared" si="15"/>
        <v>0</v>
      </c>
    </row>
    <row r="457" spans="1:8" x14ac:dyDescent="0.25">
      <c r="A457" s="1">
        <v>44628</v>
      </c>
      <c r="B457" t="s">
        <v>4</v>
      </c>
      <c r="C457" t="s">
        <v>17</v>
      </c>
      <c r="D457" t="s">
        <v>51</v>
      </c>
      <c r="E457">
        <v>529</v>
      </c>
      <c r="F457">
        <f t="shared" si="14"/>
        <v>1798.6</v>
      </c>
      <c r="G457">
        <f>SUMIF($D$2:$D457,$D457,$E$2:$E457)</f>
        <v>4396</v>
      </c>
      <c r="H457">
        <f t="shared" si="15"/>
        <v>0</v>
      </c>
    </row>
    <row r="458" spans="1:8" x14ac:dyDescent="0.25">
      <c r="A458" s="1">
        <v>44628</v>
      </c>
      <c r="B458" t="s">
        <v>4</v>
      </c>
      <c r="C458" t="s">
        <v>17</v>
      </c>
      <c r="D458" t="s">
        <v>36</v>
      </c>
      <c r="E458">
        <v>658</v>
      </c>
      <c r="F458">
        <f t="shared" si="14"/>
        <v>2237.1999999999998</v>
      </c>
      <c r="G458">
        <f>SUMIF($D$2:$D458,$D458,$E$2:$E458)</f>
        <v>3982</v>
      </c>
      <c r="H458">
        <f t="shared" si="15"/>
        <v>0</v>
      </c>
    </row>
    <row r="459" spans="1:8" x14ac:dyDescent="0.25">
      <c r="A459" s="1">
        <v>44628</v>
      </c>
      <c r="B459" t="s">
        <v>15</v>
      </c>
      <c r="C459" t="s">
        <v>17</v>
      </c>
      <c r="D459" t="s">
        <v>61</v>
      </c>
      <c r="E459">
        <v>129</v>
      </c>
      <c r="F459">
        <f t="shared" si="14"/>
        <v>309.59999999999997</v>
      </c>
      <c r="G459">
        <f>SUMIF($D$2:$D459,$D459,$E$2:$E459)</f>
        <v>3831</v>
      </c>
      <c r="H459">
        <f t="shared" si="15"/>
        <v>0</v>
      </c>
    </row>
    <row r="460" spans="1:8" x14ac:dyDescent="0.25">
      <c r="A460" s="1">
        <v>44629</v>
      </c>
      <c r="B460" t="s">
        <v>6</v>
      </c>
      <c r="C460" t="s">
        <v>17</v>
      </c>
      <c r="D460" t="s">
        <v>38</v>
      </c>
      <c r="E460">
        <v>249</v>
      </c>
      <c r="F460">
        <f t="shared" si="14"/>
        <v>846.6</v>
      </c>
      <c r="G460">
        <f>SUMIF($D$2:$D460,$D460,$E$2:$E460)</f>
        <v>5048</v>
      </c>
      <c r="H460">
        <f t="shared" si="15"/>
        <v>0</v>
      </c>
    </row>
    <row r="461" spans="1:8" x14ac:dyDescent="0.25">
      <c r="A461" s="1">
        <v>44629</v>
      </c>
      <c r="B461" t="s">
        <v>4</v>
      </c>
      <c r="C461" t="s">
        <v>17</v>
      </c>
      <c r="D461" t="s">
        <v>62</v>
      </c>
      <c r="E461">
        <v>768</v>
      </c>
      <c r="F461">
        <f t="shared" si="14"/>
        <v>2611.1999999999998</v>
      </c>
      <c r="G461">
        <f>SUMIF($D$2:$D461,$D461,$E$2:$E461)</f>
        <v>3274</v>
      </c>
      <c r="H461">
        <f t="shared" si="15"/>
        <v>0</v>
      </c>
    </row>
    <row r="462" spans="1:8" x14ac:dyDescent="0.25">
      <c r="A462" s="1">
        <v>44629</v>
      </c>
      <c r="B462" t="s">
        <v>10</v>
      </c>
      <c r="C462" t="s">
        <v>17</v>
      </c>
      <c r="D462" t="s">
        <v>29</v>
      </c>
      <c r="E462">
        <v>258</v>
      </c>
      <c r="F462">
        <f t="shared" si="14"/>
        <v>877.19999999999993</v>
      </c>
      <c r="G462">
        <f>SUMIF($D$2:$D462,$D462,$E$2:$E462)</f>
        <v>5335</v>
      </c>
      <c r="H462">
        <f t="shared" si="15"/>
        <v>0</v>
      </c>
    </row>
    <row r="463" spans="1:8" x14ac:dyDescent="0.25">
      <c r="A463" s="1">
        <v>44629</v>
      </c>
      <c r="B463" t="s">
        <v>2</v>
      </c>
      <c r="C463" t="s">
        <v>17</v>
      </c>
      <c r="D463" t="s">
        <v>44</v>
      </c>
      <c r="E463">
        <v>112</v>
      </c>
      <c r="F463">
        <f t="shared" si="14"/>
        <v>358.40000000000003</v>
      </c>
      <c r="G463">
        <f>SUMIF($D$2:$D463,$D463,$E$2:$E463)</f>
        <v>5104</v>
      </c>
      <c r="H463">
        <f t="shared" si="15"/>
        <v>0</v>
      </c>
    </row>
    <row r="464" spans="1:8" x14ac:dyDescent="0.25">
      <c r="A464" s="1">
        <v>44630</v>
      </c>
      <c r="B464" t="s">
        <v>2</v>
      </c>
      <c r="C464" t="s">
        <v>17</v>
      </c>
      <c r="D464" t="s">
        <v>64</v>
      </c>
      <c r="E464">
        <v>497</v>
      </c>
      <c r="F464">
        <f t="shared" si="14"/>
        <v>1590.4</v>
      </c>
      <c r="G464">
        <f>SUMIF($D$2:$D464,$D464,$E$2:$E464)</f>
        <v>2129</v>
      </c>
      <c r="H464">
        <f t="shared" si="15"/>
        <v>0</v>
      </c>
    </row>
    <row r="465" spans="1:8" x14ac:dyDescent="0.25">
      <c r="A465" s="1">
        <v>44630</v>
      </c>
      <c r="B465" t="s">
        <v>2</v>
      </c>
      <c r="C465" t="s">
        <v>17</v>
      </c>
      <c r="D465" t="s">
        <v>28</v>
      </c>
      <c r="E465">
        <v>277</v>
      </c>
      <c r="F465">
        <f t="shared" si="14"/>
        <v>886.40000000000009</v>
      </c>
      <c r="G465">
        <f>SUMIF($D$2:$D465,$D465,$E$2:$E465)</f>
        <v>3410</v>
      </c>
      <c r="H465">
        <f t="shared" si="15"/>
        <v>0</v>
      </c>
    </row>
    <row r="466" spans="1:8" x14ac:dyDescent="0.25">
      <c r="A466" s="1">
        <v>44630</v>
      </c>
      <c r="B466" t="s">
        <v>7</v>
      </c>
      <c r="C466" t="s">
        <v>17</v>
      </c>
      <c r="D466" t="s">
        <v>53</v>
      </c>
      <c r="E466">
        <v>420</v>
      </c>
      <c r="F466">
        <f t="shared" si="14"/>
        <v>1428</v>
      </c>
      <c r="G466">
        <f>SUMIF($D$2:$D466,$D466,$E$2:$E466)</f>
        <v>3990</v>
      </c>
      <c r="H466">
        <f t="shared" si="15"/>
        <v>0</v>
      </c>
    </row>
    <row r="467" spans="1:8" x14ac:dyDescent="0.25">
      <c r="A467" s="1">
        <v>44630</v>
      </c>
      <c r="B467" t="s">
        <v>7</v>
      </c>
      <c r="C467" t="s">
        <v>17</v>
      </c>
      <c r="D467" t="s">
        <v>64</v>
      </c>
      <c r="E467">
        <v>408</v>
      </c>
      <c r="F467">
        <f t="shared" si="14"/>
        <v>1387.2</v>
      </c>
      <c r="G467">
        <f>SUMIF($D$2:$D467,$D467,$E$2:$E467)</f>
        <v>2537</v>
      </c>
      <c r="H467">
        <f t="shared" si="15"/>
        <v>0</v>
      </c>
    </row>
    <row r="468" spans="1:8" x14ac:dyDescent="0.25">
      <c r="A468" s="1">
        <v>44630</v>
      </c>
      <c r="B468" t="s">
        <v>0</v>
      </c>
      <c r="C468" t="s">
        <v>17</v>
      </c>
      <c r="D468" t="s">
        <v>28</v>
      </c>
      <c r="E468">
        <v>133</v>
      </c>
      <c r="F468">
        <f t="shared" si="14"/>
        <v>385.7</v>
      </c>
      <c r="G468">
        <f>SUMIF($D$2:$D468,$D468,$E$2:$E468)</f>
        <v>3543</v>
      </c>
      <c r="H468">
        <f t="shared" si="15"/>
        <v>0</v>
      </c>
    </row>
    <row r="469" spans="1:8" x14ac:dyDescent="0.25">
      <c r="A469" s="1">
        <v>44630</v>
      </c>
      <c r="B469" t="s">
        <v>2</v>
      </c>
      <c r="C469" t="s">
        <v>17</v>
      </c>
      <c r="D469" t="s">
        <v>33</v>
      </c>
      <c r="E469">
        <v>372</v>
      </c>
      <c r="F469">
        <f t="shared" si="14"/>
        <v>1190.4000000000001</v>
      </c>
      <c r="G469">
        <f>SUMIF($D$2:$D469,$D469,$E$2:$E469)</f>
        <v>3651</v>
      </c>
      <c r="H469">
        <f t="shared" si="15"/>
        <v>0</v>
      </c>
    </row>
    <row r="470" spans="1:8" x14ac:dyDescent="0.25">
      <c r="A470" s="1">
        <v>44630</v>
      </c>
      <c r="B470" t="s">
        <v>5</v>
      </c>
      <c r="C470" t="s">
        <v>17</v>
      </c>
      <c r="D470" t="s">
        <v>21</v>
      </c>
      <c r="E470">
        <v>34</v>
      </c>
      <c r="F470">
        <f t="shared" si="14"/>
        <v>115.6</v>
      </c>
      <c r="G470">
        <f>SUMIF($D$2:$D470,$D470,$E$2:$E470)</f>
        <v>3527</v>
      </c>
      <c r="H470">
        <f t="shared" si="15"/>
        <v>0</v>
      </c>
    </row>
    <row r="471" spans="1:8" x14ac:dyDescent="0.25">
      <c r="A471" s="1">
        <v>44631</v>
      </c>
      <c r="B471" t="s">
        <v>0</v>
      </c>
      <c r="C471" t="s">
        <v>17</v>
      </c>
      <c r="D471" t="s">
        <v>63</v>
      </c>
      <c r="E471">
        <v>96</v>
      </c>
      <c r="F471">
        <f t="shared" si="14"/>
        <v>278.39999999999998</v>
      </c>
      <c r="G471">
        <f>SUMIF($D$2:$D471,$D471,$E$2:$E471)</f>
        <v>2505</v>
      </c>
      <c r="H471">
        <f t="shared" si="15"/>
        <v>0</v>
      </c>
    </row>
    <row r="472" spans="1:8" x14ac:dyDescent="0.25">
      <c r="A472" s="1">
        <v>44631</v>
      </c>
      <c r="B472" t="s">
        <v>5</v>
      </c>
      <c r="C472" t="s">
        <v>17</v>
      </c>
      <c r="D472" t="s">
        <v>46</v>
      </c>
      <c r="E472">
        <v>17</v>
      </c>
      <c r="F472">
        <f t="shared" si="14"/>
        <v>57.8</v>
      </c>
      <c r="G472">
        <f>SUMIF($D$2:$D472,$D472,$E$2:$E472)</f>
        <v>3140</v>
      </c>
      <c r="H472">
        <f t="shared" si="15"/>
        <v>0</v>
      </c>
    </row>
    <row r="473" spans="1:8" x14ac:dyDescent="0.25">
      <c r="A473" s="1">
        <v>44631</v>
      </c>
      <c r="B473" t="s">
        <v>2</v>
      </c>
      <c r="C473" t="s">
        <v>17</v>
      </c>
      <c r="D473" t="s">
        <v>39</v>
      </c>
      <c r="E473">
        <v>381</v>
      </c>
      <c r="F473">
        <f t="shared" si="14"/>
        <v>1219.2</v>
      </c>
      <c r="G473">
        <f>SUMIF($D$2:$D473,$D473,$E$2:$E473)</f>
        <v>3613</v>
      </c>
      <c r="H473">
        <f t="shared" si="15"/>
        <v>0</v>
      </c>
    </row>
    <row r="474" spans="1:8" x14ac:dyDescent="0.25">
      <c r="A474" s="1">
        <v>44631</v>
      </c>
      <c r="B474" t="s">
        <v>7</v>
      </c>
      <c r="C474" t="s">
        <v>17</v>
      </c>
      <c r="D474" t="s">
        <v>47</v>
      </c>
      <c r="E474">
        <v>482</v>
      </c>
      <c r="F474">
        <f t="shared" si="14"/>
        <v>1638.8</v>
      </c>
      <c r="G474">
        <f>SUMIF($D$2:$D474,$D474,$E$2:$E474)</f>
        <v>3194</v>
      </c>
      <c r="H474">
        <f t="shared" si="15"/>
        <v>0</v>
      </c>
    </row>
    <row r="475" spans="1:8" x14ac:dyDescent="0.25">
      <c r="A475" s="1">
        <v>44631</v>
      </c>
      <c r="B475" t="s">
        <v>8</v>
      </c>
      <c r="C475" t="s">
        <v>17</v>
      </c>
      <c r="D475" t="s">
        <v>35</v>
      </c>
      <c r="E475">
        <v>322</v>
      </c>
      <c r="F475">
        <f t="shared" si="14"/>
        <v>1127</v>
      </c>
      <c r="G475">
        <f>SUMIF($D$2:$D475,$D475,$E$2:$E475)</f>
        <v>3001</v>
      </c>
      <c r="H475">
        <f t="shared" si="15"/>
        <v>0</v>
      </c>
    </row>
    <row r="476" spans="1:8" x14ac:dyDescent="0.25">
      <c r="A476" s="1">
        <v>44631</v>
      </c>
      <c r="B476" t="s">
        <v>8</v>
      </c>
      <c r="C476" t="s">
        <v>17</v>
      </c>
      <c r="D476" t="s">
        <v>50</v>
      </c>
      <c r="E476">
        <v>614</v>
      </c>
      <c r="F476">
        <f t="shared" si="14"/>
        <v>2149</v>
      </c>
      <c r="G476">
        <f>SUMIF($D$2:$D476,$D476,$E$2:$E476)</f>
        <v>1521</v>
      </c>
      <c r="H476">
        <f t="shared" si="15"/>
        <v>0</v>
      </c>
    </row>
    <row r="477" spans="1:8" x14ac:dyDescent="0.25">
      <c r="A477" s="1">
        <v>44631</v>
      </c>
      <c r="B477" t="s">
        <v>4</v>
      </c>
      <c r="C477" t="s">
        <v>17</v>
      </c>
      <c r="D477" t="s">
        <v>33</v>
      </c>
      <c r="E477">
        <v>408</v>
      </c>
      <c r="F477">
        <f t="shared" si="14"/>
        <v>1387.2</v>
      </c>
      <c r="G477">
        <f>SUMIF($D$2:$D477,$D477,$E$2:$E477)</f>
        <v>4059</v>
      </c>
      <c r="H477">
        <f t="shared" si="15"/>
        <v>0</v>
      </c>
    </row>
    <row r="478" spans="1:8" x14ac:dyDescent="0.25">
      <c r="A478" s="1">
        <v>44631</v>
      </c>
      <c r="B478" t="s">
        <v>5</v>
      </c>
      <c r="C478" t="s">
        <v>17</v>
      </c>
      <c r="D478" t="s">
        <v>58</v>
      </c>
      <c r="E478">
        <v>81</v>
      </c>
      <c r="F478">
        <f t="shared" si="14"/>
        <v>275.39999999999998</v>
      </c>
      <c r="G478">
        <f>SUMIF($D$2:$D478,$D478,$E$2:$E478)</f>
        <v>2905</v>
      </c>
      <c r="H478">
        <f t="shared" si="15"/>
        <v>0</v>
      </c>
    </row>
    <row r="479" spans="1:8" x14ac:dyDescent="0.25">
      <c r="A479" s="1">
        <v>44631</v>
      </c>
      <c r="B479" t="s">
        <v>4</v>
      </c>
      <c r="C479" t="s">
        <v>17</v>
      </c>
      <c r="D479" t="s">
        <v>30</v>
      </c>
      <c r="E479">
        <v>750</v>
      </c>
      <c r="F479">
        <f t="shared" si="14"/>
        <v>2550</v>
      </c>
      <c r="G479">
        <f>SUMIF($D$2:$D479,$D479,$E$2:$E479)</f>
        <v>2744</v>
      </c>
      <c r="H479">
        <f t="shared" si="15"/>
        <v>0</v>
      </c>
    </row>
    <row r="480" spans="1:8" x14ac:dyDescent="0.25">
      <c r="A480" s="1">
        <v>44631</v>
      </c>
      <c r="B480" t="s">
        <v>6</v>
      </c>
      <c r="C480" t="s">
        <v>17</v>
      </c>
      <c r="D480" t="s">
        <v>55</v>
      </c>
      <c r="E480">
        <v>127</v>
      </c>
      <c r="F480">
        <f t="shared" si="14"/>
        <v>431.8</v>
      </c>
      <c r="G480">
        <f>SUMIF($D$2:$D480,$D480,$E$2:$E480)</f>
        <v>3355</v>
      </c>
      <c r="H480">
        <f t="shared" si="15"/>
        <v>0</v>
      </c>
    </row>
    <row r="481" spans="1:8" x14ac:dyDescent="0.25">
      <c r="A481" s="1">
        <v>44632</v>
      </c>
      <c r="B481" t="s">
        <v>8</v>
      </c>
      <c r="C481" t="s">
        <v>17</v>
      </c>
      <c r="D481" t="s">
        <v>60</v>
      </c>
      <c r="E481">
        <v>324</v>
      </c>
      <c r="F481">
        <f t="shared" si="14"/>
        <v>1134</v>
      </c>
      <c r="G481">
        <f>SUMIF($D$2:$D481,$D481,$E$2:$E481)</f>
        <v>2789</v>
      </c>
      <c r="H481">
        <f t="shared" si="15"/>
        <v>0</v>
      </c>
    </row>
    <row r="482" spans="1:8" x14ac:dyDescent="0.25">
      <c r="A482" s="1">
        <v>44632</v>
      </c>
      <c r="B482" t="s">
        <v>8</v>
      </c>
      <c r="C482" t="s">
        <v>17</v>
      </c>
      <c r="D482" t="s">
        <v>49</v>
      </c>
      <c r="E482">
        <v>386</v>
      </c>
      <c r="F482">
        <f t="shared" si="14"/>
        <v>1351</v>
      </c>
      <c r="G482">
        <f>SUMIF($D$2:$D482,$D482,$E$2:$E482)</f>
        <v>3517</v>
      </c>
      <c r="H482">
        <f t="shared" si="15"/>
        <v>0</v>
      </c>
    </row>
    <row r="483" spans="1:8" x14ac:dyDescent="0.25">
      <c r="A483" s="1">
        <v>44632</v>
      </c>
      <c r="B483" t="s">
        <v>8</v>
      </c>
      <c r="C483" t="s">
        <v>17</v>
      </c>
      <c r="D483" t="s">
        <v>43</v>
      </c>
      <c r="E483">
        <v>278</v>
      </c>
      <c r="F483">
        <f t="shared" si="14"/>
        <v>973</v>
      </c>
      <c r="G483">
        <f>SUMIF($D$2:$D483,$D483,$E$2:$E483)</f>
        <v>4510</v>
      </c>
      <c r="H483">
        <f t="shared" si="15"/>
        <v>0</v>
      </c>
    </row>
    <row r="484" spans="1:8" x14ac:dyDescent="0.25">
      <c r="A484" s="1">
        <v>44632</v>
      </c>
      <c r="B484" t="s">
        <v>10</v>
      </c>
      <c r="C484" t="s">
        <v>17</v>
      </c>
      <c r="D484" t="s">
        <v>64</v>
      </c>
      <c r="E484">
        <v>359</v>
      </c>
      <c r="F484">
        <f t="shared" si="14"/>
        <v>1220.5999999999999</v>
      </c>
      <c r="G484">
        <f>SUMIF($D$2:$D484,$D484,$E$2:$E484)</f>
        <v>2896</v>
      </c>
      <c r="H484">
        <f t="shared" si="15"/>
        <v>0</v>
      </c>
    </row>
    <row r="485" spans="1:8" x14ac:dyDescent="0.25">
      <c r="A485" s="1">
        <v>44632</v>
      </c>
      <c r="B485" t="s">
        <v>5</v>
      </c>
      <c r="C485" t="s">
        <v>17</v>
      </c>
      <c r="D485" t="s">
        <v>34</v>
      </c>
      <c r="E485">
        <v>397</v>
      </c>
      <c r="F485">
        <f t="shared" si="14"/>
        <v>1349.8</v>
      </c>
      <c r="G485">
        <f>SUMIF($D$2:$D485,$D485,$E$2:$E485)</f>
        <v>4004</v>
      </c>
      <c r="H485">
        <f t="shared" si="15"/>
        <v>0</v>
      </c>
    </row>
    <row r="486" spans="1:8" x14ac:dyDescent="0.25">
      <c r="A486" s="1">
        <v>44632</v>
      </c>
      <c r="B486" t="s">
        <v>15</v>
      </c>
      <c r="C486" t="s">
        <v>17</v>
      </c>
      <c r="D486" t="s">
        <v>52</v>
      </c>
      <c r="E486">
        <v>437</v>
      </c>
      <c r="F486">
        <f t="shared" si="14"/>
        <v>1048.8</v>
      </c>
      <c r="G486">
        <f>SUMIF($D$2:$D486,$D486,$E$2:$E486)</f>
        <v>1731</v>
      </c>
      <c r="H486">
        <f t="shared" si="15"/>
        <v>0</v>
      </c>
    </row>
    <row r="487" spans="1:8" x14ac:dyDescent="0.25">
      <c r="A487" s="1">
        <v>44632</v>
      </c>
      <c r="B487" t="s">
        <v>0</v>
      </c>
      <c r="C487" t="s">
        <v>17</v>
      </c>
      <c r="D487" t="s">
        <v>26</v>
      </c>
      <c r="E487">
        <v>53</v>
      </c>
      <c r="F487">
        <f t="shared" si="14"/>
        <v>153.69999999999999</v>
      </c>
      <c r="G487">
        <f>SUMIF($D$2:$D487,$D487,$E$2:$E487)</f>
        <v>5535</v>
      </c>
      <c r="H487">
        <f t="shared" si="15"/>
        <v>0</v>
      </c>
    </row>
    <row r="488" spans="1:8" x14ac:dyDescent="0.25">
      <c r="A488" s="1">
        <v>44634</v>
      </c>
      <c r="B488" t="s">
        <v>8</v>
      </c>
      <c r="C488" t="s">
        <v>17</v>
      </c>
      <c r="D488" t="s">
        <v>56</v>
      </c>
      <c r="E488">
        <v>461</v>
      </c>
      <c r="F488">
        <f t="shared" si="14"/>
        <v>1613.5</v>
      </c>
      <c r="G488">
        <f>SUMIF($D$2:$D488,$D488,$E$2:$E488)</f>
        <v>4039</v>
      </c>
      <c r="H488">
        <f t="shared" si="15"/>
        <v>0</v>
      </c>
    </row>
    <row r="489" spans="1:8" x14ac:dyDescent="0.25">
      <c r="A489" s="1">
        <v>44634</v>
      </c>
      <c r="B489" t="s">
        <v>4</v>
      </c>
      <c r="C489" t="s">
        <v>17</v>
      </c>
      <c r="D489" t="s">
        <v>47</v>
      </c>
      <c r="E489">
        <v>661</v>
      </c>
      <c r="F489">
        <f t="shared" si="14"/>
        <v>2247.4</v>
      </c>
      <c r="G489">
        <f>SUMIF($D$2:$D489,$D489,$E$2:$E489)</f>
        <v>3855</v>
      </c>
      <c r="H489">
        <f t="shared" si="15"/>
        <v>0</v>
      </c>
    </row>
    <row r="490" spans="1:8" x14ac:dyDescent="0.25">
      <c r="A490" s="1">
        <v>44634</v>
      </c>
      <c r="B490" t="s">
        <v>4</v>
      </c>
      <c r="C490" t="s">
        <v>17</v>
      </c>
      <c r="D490" t="s">
        <v>61</v>
      </c>
      <c r="E490">
        <v>506</v>
      </c>
      <c r="F490">
        <f t="shared" si="14"/>
        <v>1720.3999999999999</v>
      </c>
      <c r="G490">
        <f>SUMIF($D$2:$D490,$D490,$E$2:$E490)</f>
        <v>4337</v>
      </c>
      <c r="H490">
        <f t="shared" si="15"/>
        <v>0</v>
      </c>
    </row>
    <row r="491" spans="1:8" x14ac:dyDescent="0.25">
      <c r="A491" s="1">
        <v>44634</v>
      </c>
      <c r="B491" t="s">
        <v>0</v>
      </c>
      <c r="C491" t="s">
        <v>17</v>
      </c>
      <c r="D491" t="s">
        <v>31</v>
      </c>
      <c r="E491">
        <v>301</v>
      </c>
      <c r="F491">
        <f t="shared" si="14"/>
        <v>872.9</v>
      </c>
      <c r="G491">
        <f>SUMIF($D$2:$D491,$D491,$E$2:$E491)</f>
        <v>3493</v>
      </c>
      <c r="H491">
        <f t="shared" si="15"/>
        <v>0</v>
      </c>
    </row>
    <row r="492" spans="1:8" x14ac:dyDescent="0.25">
      <c r="A492" s="1">
        <v>44634</v>
      </c>
      <c r="B492" t="s">
        <v>2</v>
      </c>
      <c r="C492" t="s">
        <v>17</v>
      </c>
      <c r="D492" t="s">
        <v>52</v>
      </c>
      <c r="E492">
        <v>223</v>
      </c>
      <c r="F492">
        <f t="shared" si="14"/>
        <v>713.6</v>
      </c>
      <c r="G492">
        <f>SUMIF($D$2:$D492,$D492,$E$2:$E492)</f>
        <v>1954</v>
      </c>
      <c r="H492">
        <f t="shared" si="15"/>
        <v>0</v>
      </c>
    </row>
    <row r="493" spans="1:8" x14ac:dyDescent="0.25">
      <c r="A493" s="1">
        <v>44634</v>
      </c>
      <c r="B493" t="s">
        <v>5</v>
      </c>
      <c r="C493" t="s">
        <v>17</v>
      </c>
      <c r="D493" t="s">
        <v>57</v>
      </c>
      <c r="E493">
        <v>402</v>
      </c>
      <c r="F493">
        <f t="shared" si="14"/>
        <v>1366.8</v>
      </c>
      <c r="G493">
        <f>SUMIF($D$2:$D493,$D493,$E$2:$E493)</f>
        <v>3792</v>
      </c>
      <c r="H493">
        <f t="shared" si="15"/>
        <v>0</v>
      </c>
    </row>
    <row r="494" spans="1:8" x14ac:dyDescent="0.25">
      <c r="A494" s="1">
        <v>44634</v>
      </c>
      <c r="B494" t="s">
        <v>7</v>
      </c>
      <c r="C494" t="s">
        <v>17</v>
      </c>
      <c r="D494" t="s">
        <v>24</v>
      </c>
      <c r="E494">
        <v>454</v>
      </c>
      <c r="F494">
        <f t="shared" si="14"/>
        <v>1543.6</v>
      </c>
      <c r="G494">
        <f>SUMIF($D$2:$D494,$D494,$E$2:$E494)</f>
        <v>3294</v>
      </c>
      <c r="H494">
        <f t="shared" si="15"/>
        <v>0</v>
      </c>
    </row>
    <row r="495" spans="1:8" x14ac:dyDescent="0.25">
      <c r="A495" s="1">
        <v>44634</v>
      </c>
      <c r="B495" t="s">
        <v>7</v>
      </c>
      <c r="C495" t="s">
        <v>17</v>
      </c>
      <c r="D495" t="s">
        <v>49</v>
      </c>
      <c r="E495">
        <v>497</v>
      </c>
      <c r="F495">
        <f t="shared" si="14"/>
        <v>1689.8</v>
      </c>
      <c r="G495">
        <f>SUMIF($D$2:$D495,$D495,$E$2:$E495)</f>
        <v>4014</v>
      </c>
      <c r="H495">
        <f t="shared" si="15"/>
        <v>0</v>
      </c>
    </row>
    <row r="496" spans="1:8" x14ac:dyDescent="0.25">
      <c r="A496" s="1">
        <v>44634</v>
      </c>
      <c r="B496" t="s">
        <v>8</v>
      </c>
      <c r="C496" t="s">
        <v>17</v>
      </c>
      <c r="D496" t="s">
        <v>45</v>
      </c>
      <c r="E496">
        <v>667</v>
      </c>
      <c r="F496">
        <f t="shared" si="14"/>
        <v>2334.5</v>
      </c>
      <c r="G496">
        <f>SUMIF($D$2:$D496,$D496,$E$2:$E496)</f>
        <v>2894</v>
      </c>
      <c r="H496">
        <f t="shared" si="15"/>
        <v>0</v>
      </c>
    </row>
    <row r="497" spans="1:8" x14ac:dyDescent="0.25">
      <c r="A497" s="1">
        <v>44635</v>
      </c>
      <c r="B497" t="s">
        <v>8</v>
      </c>
      <c r="C497" t="s">
        <v>17</v>
      </c>
      <c r="D497" t="s">
        <v>45</v>
      </c>
      <c r="E497">
        <v>231</v>
      </c>
      <c r="F497">
        <f t="shared" si="14"/>
        <v>808.5</v>
      </c>
      <c r="G497">
        <f>SUMIF($D$2:$D497,$D497,$E$2:$E497)</f>
        <v>3125</v>
      </c>
      <c r="H497">
        <f t="shared" si="15"/>
        <v>0</v>
      </c>
    </row>
    <row r="498" spans="1:8" x14ac:dyDescent="0.25">
      <c r="A498" s="1">
        <v>44635</v>
      </c>
      <c r="B498" t="s">
        <v>7</v>
      </c>
      <c r="C498" t="s">
        <v>17</v>
      </c>
      <c r="D498" t="s">
        <v>55</v>
      </c>
      <c r="E498">
        <v>469</v>
      </c>
      <c r="F498">
        <f t="shared" si="14"/>
        <v>1594.6</v>
      </c>
      <c r="G498">
        <f>SUMIF($D$2:$D498,$D498,$E$2:$E498)</f>
        <v>3824</v>
      </c>
      <c r="H498">
        <f t="shared" si="15"/>
        <v>0</v>
      </c>
    </row>
    <row r="499" spans="1:8" x14ac:dyDescent="0.25">
      <c r="A499" s="1">
        <v>44635</v>
      </c>
      <c r="B499" t="s">
        <v>15</v>
      </c>
      <c r="C499" t="s">
        <v>17</v>
      </c>
      <c r="D499" t="s">
        <v>30</v>
      </c>
      <c r="E499">
        <v>546</v>
      </c>
      <c r="F499">
        <f t="shared" si="14"/>
        <v>1310.3999999999999</v>
      </c>
      <c r="G499">
        <f>SUMIF($D$2:$D499,$D499,$E$2:$E499)</f>
        <v>3290</v>
      </c>
      <c r="H499">
        <f t="shared" si="15"/>
        <v>0</v>
      </c>
    </row>
    <row r="500" spans="1:8" x14ac:dyDescent="0.25">
      <c r="A500" s="1">
        <v>44635</v>
      </c>
      <c r="B500" t="s">
        <v>7</v>
      </c>
      <c r="C500" t="s">
        <v>17</v>
      </c>
      <c r="D500" t="s">
        <v>60</v>
      </c>
      <c r="E500">
        <v>408</v>
      </c>
      <c r="F500">
        <f t="shared" si="14"/>
        <v>1387.2</v>
      </c>
      <c r="G500">
        <f>SUMIF($D$2:$D500,$D500,$E$2:$E500)</f>
        <v>3197</v>
      </c>
      <c r="H500">
        <f t="shared" si="15"/>
        <v>0</v>
      </c>
    </row>
    <row r="501" spans="1:8" x14ac:dyDescent="0.25">
      <c r="A501" s="1">
        <v>44635</v>
      </c>
      <c r="B501" t="s">
        <v>5</v>
      </c>
      <c r="C501" t="s">
        <v>17</v>
      </c>
      <c r="D501" t="s">
        <v>47</v>
      </c>
      <c r="E501">
        <v>393</v>
      </c>
      <c r="F501">
        <f t="shared" si="14"/>
        <v>1336.2</v>
      </c>
      <c r="G501">
        <f>SUMIF($D$2:$D501,$D501,$E$2:$E501)</f>
        <v>4248</v>
      </c>
      <c r="H501">
        <f t="shared" si="15"/>
        <v>0</v>
      </c>
    </row>
    <row r="502" spans="1:8" x14ac:dyDescent="0.25">
      <c r="A502" s="1">
        <v>44635</v>
      </c>
      <c r="B502" t="s">
        <v>7</v>
      </c>
      <c r="C502" t="s">
        <v>17</v>
      </c>
      <c r="D502" t="s">
        <v>37</v>
      </c>
      <c r="E502">
        <v>245</v>
      </c>
      <c r="F502">
        <f t="shared" si="14"/>
        <v>833</v>
      </c>
      <c r="G502">
        <f>SUMIF($D$2:$D502,$D502,$E$2:$E502)</f>
        <v>4875</v>
      </c>
      <c r="H502">
        <f t="shared" si="15"/>
        <v>0</v>
      </c>
    </row>
    <row r="503" spans="1:8" x14ac:dyDescent="0.25">
      <c r="A503" s="1">
        <v>44635</v>
      </c>
      <c r="B503" t="s">
        <v>5</v>
      </c>
      <c r="C503" t="s">
        <v>17</v>
      </c>
      <c r="D503" t="s">
        <v>30</v>
      </c>
      <c r="E503">
        <v>68</v>
      </c>
      <c r="F503">
        <f t="shared" si="14"/>
        <v>231.2</v>
      </c>
      <c r="G503">
        <f>SUMIF($D$2:$D503,$D503,$E$2:$E503)</f>
        <v>3358</v>
      </c>
      <c r="H503">
        <f t="shared" si="15"/>
        <v>0</v>
      </c>
    </row>
    <row r="504" spans="1:8" x14ac:dyDescent="0.25">
      <c r="A504" s="1">
        <v>44636</v>
      </c>
      <c r="B504" t="s">
        <v>10</v>
      </c>
      <c r="C504" t="s">
        <v>17</v>
      </c>
      <c r="D504" t="s">
        <v>40</v>
      </c>
      <c r="E504">
        <v>182</v>
      </c>
      <c r="F504">
        <f t="shared" si="14"/>
        <v>618.79999999999995</v>
      </c>
      <c r="G504">
        <f>SUMIF($D$2:$D504,$D504,$E$2:$E504)</f>
        <v>1824</v>
      </c>
      <c r="H504">
        <f t="shared" si="15"/>
        <v>0</v>
      </c>
    </row>
    <row r="505" spans="1:8" x14ac:dyDescent="0.25">
      <c r="A505" s="1">
        <v>44636</v>
      </c>
      <c r="B505" t="s">
        <v>2</v>
      </c>
      <c r="C505" t="s">
        <v>17</v>
      </c>
      <c r="D505" t="s">
        <v>67</v>
      </c>
      <c r="E505">
        <v>116</v>
      </c>
      <c r="F505">
        <f t="shared" si="14"/>
        <v>371.20000000000005</v>
      </c>
      <c r="G505">
        <f>SUMIF($D$2:$D505,$D505,$E$2:$E505)</f>
        <v>3919</v>
      </c>
      <c r="H505">
        <f t="shared" si="15"/>
        <v>0</v>
      </c>
    </row>
    <row r="506" spans="1:8" x14ac:dyDescent="0.25">
      <c r="A506" s="1">
        <v>44636</v>
      </c>
      <c r="B506" t="s">
        <v>7</v>
      </c>
      <c r="C506" t="s">
        <v>17</v>
      </c>
      <c r="D506" t="s">
        <v>20</v>
      </c>
      <c r="E506">
        <v>512</v>
      </c>
      <c r="F506">
        <f t="shared" si="14"/>
        <v>1740.8</v>
      </c>
      <c r="G506">
        <f>SUMIF($D$2:$D506,$D506,$E$2:$E506)</f>
        <v>3320</v>
      </c>
      <c r="H506">
        <f t="shared" si="15"/>
        <v>0</v>
      </c>
    </row>
    <row r="507" spans="1:8" x14ac:dyDescent="0.25">
      <c r="A507" s="1">
        <v>44636</v>
      </c>
      <c r="B507" t="s">
        <v>6</v>
      </c>
      <c r="C507" t="s">
        <v>17</v>
      </c>
      <c r="D507" t="s">
        <v>22</v>
      </c>
      <c r="E507">
        <v>344</v>
      </c>
      <c r="F507">
        <f t="shared" si="14"/>
        <v>1169.5999999999999</v>
      </c>
      <c r="G507">
        <f>SUMIF($D$2:$D507,$D507,$E$2:$E507)</f>
        <v>4887</v>
      </c>
      <c r="H507">
        <f t="shared" si="15"/>
        <v>0</v>
      </c>
    </row>
    <row r="508" spans="1:8" x14ac:dyDescent="0.25">
      <c r="A508" s="1">
        <v>44636</v>
      </c>
      <c r="B508" t="s">
        <v>8</v>
      </c>
      <c r="C508" t="s">
        <v>17</v>
      </c>
      <c r="D508" t="s">
        <v>39</v>
      </c>
      <c r="E508">
        <v>374</v>
      </c>
      <c r="F508">
        <f t="shared" si="14"/>
        <v>1309</v>
      </c>
      <c r="G508">
        <f>SUMIF($D$2:$D508,$D508,$E$2:$E508)</f>
        <v>3987</v>
      </c>
      <c r="H508">
        <f t="shared" si="15"/>
        <v>0</v>
      </c>
    </row>
    <row r="509" spans="1:8" x14ac:dyDescent="0.25">
      <c r="A509" s="1">
        <v>44636</v>
      </c>
      <c r="B509" t="s">
        <v>5</v>
      </c>
      <c r="C509" t="s">
        <v>17</v>
      </c>
      <c r="D509" t="s">
        <v>27</v>
      </c>
      <c r="E509">
        <v>40</v>
      </c>
      <c r="F509">
        <f t="shared" si="14"/>
        <v>136</v>
      </c>
      <c r="G509">
        <f>SUMIF($D$2:$D509,$D509,$E$2:$E509)</f>
        <v>4494</v>
      </c>
      <c r="H509">
        <f t="shared" si="15"/>
        <v>0</v>
      </c>
    </row>
    <row r="510" spans="1:8" x14ac:dyDescent="0.25">
      <c r="A510" s="1">
        <v>44636</v>
      </c>
      <c r="B510" t="s">
        <v>10</v>
      </c>
      <c r="C510" t="s">
        <v>17</v>
      </c>
      <c r="D510" t="s">
        <v>29</v>
      </c>
      <c r="E510">
        <v>243</v>
      </c>
      <c r="F510">
        <f t="shared" si="14"/>
        <v>826.19999999999993</v>
      </c>
      <c r="G510">
        <f>SUMIF($D$2:$D510,$D510,$E$2:$E510)</f>
        <v>5578</v>
      </c>
      <c r="H510">
        <f t="shared" si="15"/>
        <v>0</v>
      </c>
    </row>
    <row r="511" spans="1:8" x14ac:dyDescent="0.25">
      <c r="A511" s="1">
        <v>44636</v>
      </c>
      <c r="B511" t="s">
        <v>4</v>
      </c>
      <c r="C511" t="s">
        <v>17</v>
      </c>
      <c r="D511" t="s">
        <v>35</v>
      </c>
      <c r="E511">
        <v>405</v>
      </c>
      <c r="F511">
        <f t="shared" si="14"/>
        <v>1377</v>
      </c>
      <c r="G511">
        <f>SUMIF($D$2:$D511,$D511,$E$2:$E511)</f>
        <v>3406</v>
      </c>
      <c r="H511">
        <f t="shared" si="15"/>
        <v>0</v>
      </c>
    </row>
    <row r="512" spans="1:8" x14ac:dyDescent="0.25">
      <c r="A512" s="1">
        <v>44637</v>
      </c>
      <c r="B512" t="s">
        <v>8</v>
      </c>
      <c r="C512" t="s">
        <v>17</v>
      </c>
      <c r="D512" t="s">
        <v>22</v>
      </c>
      <c r="E512">
        <v>556</v>
      </c>
      <c r="F512">
        <f t="shared" si="14"/>
        <v>1946</v>
      </c>
      <c r="G512">
        <f>SUMIF($D$2:$D512,$D512,$E$2:$E512)</f>
        <v>5443</v>
      </c>
      <c r="H512">
        <f t="shared" si="15"/>
        <v>0</v>
      </c>
    </row>
    <row r="513" spans="1:8" x14ac:dyDescent="0.25">
      <c r="A513" s="1">
        <v>44637</v>
      </c>
      <c r="B513" t="s">
        <v>0</v>
      </c>
      <c r="C513" t="s">
        <v>17</v>
      </c>
      <c r="D513" t="s">
        <v>16</v>
      </c>
      <c r="E513">
        <v>138</v>
      </c>
      <c r="F513">
        <f t="shared" si="14"/>
        <v>400.2</v>
      </c>
      <c r="G513">
        <f>SUMIF($D$2:$D513,$D513,$E$2:$E513)</f>
        <v>4525</v>
      </c>
      <c r="H513">
        <f t="shared" si="15"/>
        <v>0</v>
      </c>
    </row>
    <row r="514" spans="1:8" x14ac:dyDescent="0.25">
      <c r="A514" s="1">
        <v>44637</v>
      </c>
      <c r="B514" t="s">
        <v>4</v>
      </c>
      <c r="C514" t="s">
        <v>17</v>
      </c>
      <c r="D514" t="s">
        <v>60</v>
      </c>
      <c r="E514">
        <v>709</v>
      </c>
      <c r="F514">
        <f t="shared" si="14"/>
        <v>2410.6</v>
      </c>
      <c r="G514">
        <f>SUMIF($D$2:$D514,$D514,$E$2:$E514)</f>
        <v>3906</v>
      </c>
      <c r="H514">
        <f t="shared" si="15"/>
        <v>0</v>
      </c>
    </row>
    <row r="515" spans="1:8" x14ac:dyDescent="0.25">
      <c r="A515" s="1">
        <v>44637</v>
      </c>
      <c r="B515" t="s">
        <v>7</v>
      </c>
      <c r="C515" t="s">
        <v>17</v>
      </c>
      <c r="D515" t="s">
        <v>46</v>
      </c>
      <c r="E515">
        <v>599</v>
      </c>
      <c r="F515">
        <f t="shared" ref="F515:F578" si="16">E515* _xlfn.XLOOKUP(B515,$I$2:$I$17,$J$2:$J$17,"0",0,1)</f>
        <v>2036.6</v>
      </c>
      <c r="G515">
        <f>SUMIF($D$2:$D515,$D515,$E$2:$E515)</f>
        <v>3739</v>
      </c>
      <c r="H515">
        <f t="shared" ref="H515:H578" si="17">IF(AND($G515 &gt; 15000,$G515 &lt; 20000),5*$E515,IF($G515 &gt;= 20000,10*$E515,0))</f>
        <v>0</v>
      </c>
    </row>
    <row r="516" spans="1:8" x14ac:dyDescent="0.25">
      <c r="A516" s="1">
        <v>44637</v>
      </c>
      <c r="B516" t="s">
        <v>15</v>
      </c>
      <c r="C516" t="s">
        <v>17</v>
      </c>
      <c r="D516" t="s">
        <v>23</v>
      </c>
      <c r="E516">
        <v>362</v>
      </c>
      <c r="F516">
        <f t="shared" si="16"/>
        <v>868.8</v>
      </c>
      <c r="G516">
        <f>SUMIF($D$2:$D516,$D516,$E$2:$E516)</f>
        <v>3291</v>
      </c>
      <c r="H516">
        <f t="shared" si="17"/>
        <v>0</v>
      </c>
    </row>
    <row r="517" spans="1:8" x14ac:dyDescent="0.25">
      <c r="A517" s="1">
        <v>44637</v>
      </c>
      <c r="B517" t="s">
        <v>4</v>
      </c>
      <c r="C517" t="s">
        <v>17</v>
      </c>
      <c r="D517" t="s">
        <v>61</v>
      </c>
      <c r="E517">
        <v>327</v>
      </c>
      <c r="F517">
        <f t="shared" si="16"/>
        <v>1111.8</v>
      </c>
      <c r="G517">
        <f>SUMIF($D$2:$D517,$D517,$E$2:$E517)</f>
        <v>4664</v>
      </c>
      <c r="H517">
        <f t="shared" si="17"/>
        <v>0</v>
      </c>
    </row>
    <row r="518" spans="1:8" x14ac:dyDescent="0.25">
      <c r="A518" s="1">
        <v>44637</v>
      </c>
      <c r="B518" t="s">
        <v>7</v>
      </c>
      <c r="C518" t="s">
        <v>17</v>
      </c>
      <c r="D518" t="s">
        <v>57</v>
      </c>
      <c r="E518">
        <v>264</v>
      </c>
      <c r="F518">
        <f t="shared" si="16"/>
        <v>897.6</v>
      </c>
      <c r="G518">
        <f>SUMIF($D$2:$D518,$D518,$E$2:$E518)</f>
        <v>4056</v>
      </c>
      <c r="H518">
        <f t="shared" si="17"/>
        <v>0</v>
      </c>
    </row>
    <row r="519" spans="1:8" x14ac:dyDescent="0.25">
      <c r="A519" s="1">
        <v>44637</v>
      </c>
      <c r="B519" t="s">
        <v>6</v>
      </c>
      <c r="C519" t="s">
        <v>17</v>
      </c>
      <c r="D519" t="s">
        <v>54</v>
      </c>
      <c r="E519">
        <v>495</v>
      </c>
      <c r="F519">
        <f t="shared" si="16"/>
        <v>1683</v>
      </c>
      <c r="G519">
        <f>SUMIF($D$2:$D519,$D519,$E$2:$E519)</f>
        <v>2885</v>
      </c>
      <c r="H519">
        <f t="shared" si="17"/>
        <v>0</v>
      </c>
    </row>
    <row r="520" spans="1:8" x14ac:dyDescent="0.25">
      <c r="A520" s="1">
        <v>44638</v>
      </c>
      <c r="B520" t="s">
        <v>10</v>
      </c>
      <c r="C520" t="s">
        <v>17</v>
      </c>
      <c r="D520" t="s">
        <v>32</v>
      </c>
      <c r="E520">
        <v>156</v>
      </c>
      <c r="F520">
        <f t="shared" si="16"/>
        <v>530.4</v>
      </c>
      <c r="G520">
        <f>SUMIF($D$2:$D520,$D520,$E$2:$E520)</f>
        <v>4062</v>
      </c>
      <c r="H520">
        <f t="shared" si="17"/>
        <v>0</v>
      </c>
    </row>
    <row r="521" spans="1:8" x14ac:dyDescent="0.25">
      <c r="A521" s="1">
        <v>44638</v>
      </c>
      <c r="B521" t="s">
        <v>0</v>
      </c>
      <c r="C521" t="s">
        <v>17</v>
      </c>
      <c r="D521" t="s">
        <v>41</v>
      </c>
      <c r="E521">
        <v>434</v>
      </c>
      <c r="F521">
        <f t="shared" si="16"/>
        <v>1258.5999999999999</v>
      </c>
      <c r="G521">
        <f>SUMIF($D$2:$D521,$D521,$E$2:$E521)</f>
        <v>2861</v>
      </c>
      <c r="H521">
        <f t="shared" si="17"/>
        <v>0</v>
      </c>
    </row>
    <row r="522" spans="1:8" x14ac:dyDescent="0.25">
      <c r="A522" s="1">
        <v>44638</v>
      </c>
      <c r="B522" t="s">
        <v>2</v>
      </c>
      <c r="C522" t="s">
        <v>17</v>
      </c>
      <c r="D522" t="s">
        <v>42</v>
      </c>
      <c r="E522">
        <v>422</v>
      </c>
      <c r="F522">
        <f t="shared" si="16"/>
        <v>1350.4</v>
      </c>
      <c r="G522">
        <f>SUMIF($D$2:$D522,$D522,$E$2:$E522)</f>
        <v>2486</v>
      </c>
      <c r="H522">
        <f t="shared" si="17"/>
        <v>0</v>
      </c>
    </row>
    <row r="523" spans="1:8" x14ac:dyDescent="0.25">
      <c r="A523" s="1">
        <v>44638</v>
      </c>
      <c r="B523" t="s">
        <v>2</v>
      </c>
      <c r="C523" t="s">
        <v>17</v>
      </c>
      <c r="D523" t="s">
        <v>24</v>
      </c>
      <c r="E523">
        <v>222</v>
      </c>
      <c r="F523">
        <f t="shared" si="16"/>
        <v>710.40000000000009</v>
      </c>
      <c r="G523">
        <f>SUMIF($D$2:$D523,$D523,$E$2:$E523)</f>
        <v>3516</v>
      </c>
      <c r="H523">
        <f t="shared" si="17"/>
        <v>0</v>
      </c>
    </row>
    <row r="524" spans="1:8" x14ac:dyDescent="0.25">
      <c r="A524" s="1">
        <v>44638</v>
      </c>
      <c r="B524" t="s">
        <v>6</v>
      </c>
      <c r="C524" t="s">
        <v>17</v>
      </c>
      <c r="D524" t="s">
        <v>44</v>
      </c>
      <c r="E524">
        <v>364</v>
      </c>
      <c r="F524">
        <f t="shared" si="16"/>
        <v>1237.5999999999999</v>
      </c>
      <c r="G524">
        <f>SUMIF($D$2:$D524,$D524,$E$2:$E524)</f>
        <v>5468</v>
      </c>
      <c r="H524">
        <f t="shared" si="17"/>
        <v>0</v>
      </c>
    </row>
    <row r="525" spans="1:8" x14ac:dyDescent="0.25">
      <c r="A525" s="1">
        <v>44639</v>
      </c>
      <c r="B525" t="s">
        <v>8</v>
      </c>
      <c r="C525" t="s">
        <v>17</v>
      </c>
      <c r="D525" t="s">
        <v>43</v>
      </c>
      <c r="E525">
        <v>332</v>
      </c>
      <c r="F525">
        <f t="shared" si="16"/>
        <v>1162</v>
      </c>
      <c r="G525">
        <f>SUMIF($D$2:$D525,$D525,$E$2:$E525)</f>
        <v>4842</v>
      </c>
      <c r="H525">
        <f t="shared" si="17"/>
        <v>0</v>
      </c>
    </row>
    <row r="526" spans="1:8" x14ac:dyDescent="0.25">
      <c r="A526" s="1">
        <v>44639</v>
      </c>
      <c r="B526" t="s">
        <v>5</v>
      </c>
      <c r="C526" t="s">
        <v>17</v>
      </c>
      <c r="D526" t="s">
        <v>49</v>
      </c>
      <c r="E526">
        <v>161</v>
      </c>
      <c r="F526">
        <f t="shared" si="16"/>
        <v>547.4</v>
      </c>
      <c r="G526">
        <f>SUMIF($D$2:$D526,$D526,$E$2:$E526)</f>
        <v>4175</v>
      </c>
      <c r="H526">
        <f t="shared" si="17"/>
        <v>0</v>
      </c>
    </row>
    <row r="527" spans="1:8" x14ac:dyDescent="0.25">
      <c r="A527" s="1">
        <v>44641</v>
      </c>
      <c r="B527" t="s">
        <v>4</v>
      </c>
      <c r="C527" t="s">
        <v>17</v>
      </c>
      <c r="D527" t="s">
        <v>32</v>
      </c>
      <c r="E527">
        <v>634</v>
      </c>
      <c r="F527">
        <f t="shared" si="16"/>
        <v>2155.6</v>
      </c>
      <c r="G527">
        <f>SUMIF($D$2:$D527,$D527,$E$2:$E527)</f>
        <v>4696</v>
      </c>
      <c r="H527">
        <f t="shared" si="17"/>
        <v>0</v>
      </c>
    </row>
    <row r="528" spans="1:8" x14ac:dyDescent="0.25">
      <c r="A528" s="1">
        <v>44641</v>
      </c>
      <c r="B528" t="s">
        <v>6</v>
      </c>
      <c r="C528" t="s">
        <v>17</v>
      </c>
      <c r="D528" t="s">
        <v>62</v>
      </c>
      <c r="E528">
        <v>193</v>
      </c>
      <c r="F528">
        <f t="shared" si="16"/>
        <v>656.19999999999993</v>
      </c>
      <c r="G528">
        <f>SUMIF($D$2:$D528,$D528,$E$2:$E528)</f>
        <v>3467</v>
      </c>
      <c r="H528">
        <f t="shared" si="17"/>
        <v>0</v>
      </c>
    </row>
    <row r="529" spans="1:8" x14ac:dyDescent="0.25">
      <c r="A529" s="1">
        <v>44641</v>
      </c>
      <c r="B529" t="s">
        <v>7</v>
      </c>
      <c r="C529" t="s">
        <v>17</v>
      </c>
      <c r="D529" t="s">
        <v>45</v>
      </c>
      <c r="E529">
        <v>249</v>
      </c>
      <c r="F529">
        <f t="shared" si="16"/>
        <v>846.6</v>
      </c>
      <c r="G529">
        <f>SUMIF($D$2:$D529,$D529,$E$2:$E529)</f>
        <v>3374</v>
      </c>
      <c r="H529">
        <f t="shared" si="17"/>
        <v>0</v>
      </c>
    </row>
    <row r="530" spans="1:8" x14ac:dyDescent="0.25">
      <c r="A530" s="1">
        <v>44641</v>
      </c>
      <c r="B530" t="s">
        <v>10</v>
      </c>
      <c r="C530" t="s">
        <v>17</v>
      </c>
      <c r="D530" t="s">
        <v>27</v>
      </c>
      <c r="E530">
        <v>276</v>
      </c>
      <c r="F530">
        <f t="shared" si="16"/>
        <v>938.4</v>
      </c>
      <c r="G530">
        <f>SUMIF($D$2:$D530,$D530,$E$2:$E530)</f>
        <v>4770</v>
      </c>
      <c r="H530">
        <f t="shared" si="17"/>
        <v>0</v>
      </c>
    </row>
    <row r="531" spans="1:8" x14ac:dyDescent="0.25">
      <c r="A531" s="1">
        <v>44641</v>
      </c>
      <c r="B531" t="s">
        <v>4</v>
      </c>
      <c r="C531" t="s">
        <v>17</v>
      </c>
      <c r="D531" t="s">
        <v>26</v>
      </c>
      <c r="E531">
        <v>603</v>
      </c>
      <c r="F531">
        <f t="shared" si="16"/>
        <v>2050.1999999999998</v>
      </c>
      <c r="G531">
        <f>SUMIF($D$2:$D531,$D531,$E$2:$E531)</f>
        <v>6138</v>
      </c>
      <c r="H531">
        <f t="shared" si="17"/>
        <v>0</v>
      </c>
    </row>
    <row r="532" spans="1:8" x14ac:dyDescent="0.25">
      <c r="A532" s="1">
        <v>44641</v>
      </c>
      <c r="B532" t="s">
        <v>8</v>
      </c>
      <c r="C532" t="s">
        <v>17</v>
      </c>
      <c r="D532" t="s">
        <v>28</v>
      </c>
      <c r="E532">
        <v>487</v>
      </c>
      <c r="F532">
        <f t="shared" si="16"/>
        <v>1704.5</v>
      </c>
      <c r="G532">
        <f>SUMIF($D$2:$D532,$D532,$E$2:$E532)</f>
        <v>4030</v>
      </c>
      <c r="H532">
        <f t="shared" si="17"/>
        <v>0</v>
      </c>
    </row>
    <row r="533" spans="1:8" x14ac:dyDescent="0.25">
      <c r="A533" s="1">
        <v>44641</v>
      </c>
      <c r="B533" t="s">
        <v>2</v>
      </c>
      <c r="C533" t="s">
        <v>17</v>
      </c>
      <c r="D533" t="s">
        <v>62</v>
      </c>
      <c r="E533">
        <v>276</v>
      </c>
      <c r="F533">
        <f t="shared" si="16"/>
        <v>883.2</v>
      </c>
      <c r="G533">
        <f>SUMIF($D$2:$D533,$D533,$E$2:$E533)</f>
        <v>3743</v>
      </c>
      <c r="H533">
        <f t="shared" si="17"/>
        <v>0</v>
      </c>
    </row>
    <row r="534" spans="1:8" x14ac:dyDescent="0.25">
      <c r="A534" s="1">
        <v>44641</v>
      </c>
      <c r="B534" t="s">
        <v>10</v>
      </c>
      <c r="C534" t="s">
        <v>17</v>
      </c>
      <c r="D534" t="s">
        <v>33</v>
      </c>
      <c r="E534">
        <v>73</v>
      </c>
      <c r="F534">
        <f t="shared" si="16"/>
        <v>248.2</v>
      </c>
      <c r="G534">
        <f>SUMIF($D$2:$D534,$D534,$E$2:$E534)</f>
        <v>4132</v>
      </c>
      <c r="H534">
        <f t="shared" si="17"/>
        <v>0</v>
      </c>
    </row>
    <row r="535" spans="1:8" x14ac:dyDescent="0.25">
      <c r="A535" s="1">
        <v>44641</v>
      </c>
      <c r="B535" t="s">
        <v>2</v>
      </c>
      <c r="C535" t="s">
        <v>17</v>
      </c>
      <c r="D535" t="s">
        <v>66</v>
      </c>
      <c r="E535">
        <v>182</v>
      </c>
      <c r="F535">
        <f t="shared" si="16"/>
        <v>582.4</v>
      </c>
      <c r="G535">
        <f>SUMIF($D$2:$D535,$D535,$E$2:$E535)</f>
        <v>2941</v>
      </c>
      <c r="H535">
        <f t="shared" si="17"/>
        <v>0</v>
      </c>
    </row>
    <row r="536" spans="1:8" x14ac:dyDescent="0.25">
      <c r="A536" s="1">
        <v>44641</v>
      </c>
      <c r="B536" t="s">
        <v>2</v>
      </c>
      <c r="C536" t="s">
        <v>17</v>
      </c>
      <c r="D536" t="s">
        <v>23</v>
      </c>
      <c r="E536">
        <v>51</v>
      </c>
      <c r="F536">
        <f t="shared" si="16"/>
        <v>163.20000000000002</v>
      </c>
      <c r="G536">
        <f>SUMIF($D$2:$D536,$D536,$E$2:$E536)</f>
        <v>3342</v>
      </c>
      <c r="H536">
        <f t="shared" si="17"/>
        <v>0</v>
      </c>
    </row>
    <row r="537" spans="1:8" x14ac:dyDescent="0.25">
      <c r="A537" s="1">
        <v>44641</v>
      </c>
      <c r="B537" t="s">
        <v>0</v>
      </c>
      <c r="C537" t="s">
        <v>17</v>
      </c>
      <c r="D537" t="s">
        <v>20</v>
      </c>
      <c r="E537">
        <v>299</v>
      </c>
      <c r="F537">
        <f t="shared" si="16"/>
        <v>867.1</v>
      </c>
      <c r="G537">
        <f>SUMIF($D$2:$D537,$D537,$E$2:$E537)</f>
        <v>3619</v>
      </c>
      <c r="H537">
        <f t="shared" si="17"/>
        <v>0</v>
      </c>
    </row>
    <row r="538" spans="1:8" x14ac:dyDescent="0.25">
      <c r="A538" s="1">
        <v>44641</v>
      </c>
      <c r="B538" t="s">
        <v>8</v>
      </c>
      <c r="C538" t="s">
        <v>17</v>
      </c>
      <c r="D538" t="s">
        <v>63</v>
      </c>
      <c r="E538">
        <v>684</v>
      </c>
      <c r="F538">
        <f t="shared" si="16"/>
        <v>2394</v>
      </c>
      <c r="G538">
        <f>SUMIF($D$2:$D538,$D538,$E$2:$E538)</f>
        <v>3189</v>
      </c>
      <c r="H538">
        <f t="shared" si="17"/>
        <v>0</v>
      </c>
    </row>
    <row r="539" spans="1:8" x14ac:dyDescent="0.25">
      <c r="A539" s="1">
        <v>44641</v>
      </c>
      <c r="B539" t="s">
        <v>7</v>
      </c>
      <c r="C539" t="s">
        <v>17</v>
      </c>
      <c r="D539" t="s">
        <v>54</v>
      </c>
      <c r="E539">
        <v>627</v>
      </c>
      <c r="F539">
        <f t="shared" si="16"/>
        <v>2131.7999999999997</v>
      </c>
      <c r="G539">
        <f>SUMIF($D$2:$D539,$D539,$E$2:$E539)</f>
        <v>3512</v>
      </c>
      <c r="H539">
        <f t="shared" si="17"/>
        <v>0</v>
      </c>
    </row>
    <row r="540" spans="1:8" x14ac:dyDescent="0.25">
      <c r="A540" s="1">
        <v>44642</v>
      </c>
      <c r="B540" t="s">
        <v>10</v>
      </c>
      <c r="C540" t="s">
        <v>17</v>
      </c>
      <c r="D540" t="s">
        <v>41</v>
      </c>
      <c r="E540">
        <v>350</v>
      </c>
      <c r="F540">
        <f t="shared" si="16"/>
        <v>1190</v>
      </c>
      <c r="G540">
        <f>SUMIF($D$2:$D540,$D540,$E$2:$E540)</f>
        <v>3211</v>
      </c>
      <c r="H540">
        <f t="shared" si="17"/>
        <v>0</v>
      </c>
    </row>
    <row r="541" spans="1:8" x14ac:dyDescent="0.25">
      <c r="A541" s="1">
        <v>44642</v>
      </c>
      <c r="B541" t="s">
        <v>0</v>
      </c>
      <c r="C541" t="s">
        <v>17</v>
      </c>
      <c r="D541" t="s">
        <v>55</v>
      </c>
      <c r="E541">
        <v>194</v>
      </c>
      <c r="F541">
        <f t="shared" si="16"/>
        <v>562.6</v>
      </c>
      <c r="G541">
        <f>SUMIF($D$2:$D541,$D541,$E$2:$E541)</f>
        <v>4018</v>
      </c>
      <c r="H541">
        <f t="shared" si="17"/>
        <v>0</v>
      </c>
    </row>
    <row r="542" spans="1:8" x14ac:dyDescent="0.25">
      <c r="A542" s="1">
        <v>44642</v>
      </c>
      <c r="B542" t="s">
        <v>10</v>
      </c>
      <c r="C542" t="s">
        <v>17</v>
      </c>
      <c r="D542" t="s">
        <v>36</v>
      </c>
      <c r="E542">
        <v>13</v>
      </c>
      <c r="F542">
        <f t="shared" si="16"/>
        <v>44.199999999999996</v>
      </c>
      <c r="G542">
        <f>SUMIF($D$2:$D542,$D542,$E$2:$E542)</f>
        <v>3995</v>
      </c>
      <c r="H542">
        <f t="shared" si="17"/>
        <v>0</v>
      </c>
    </row>
    <row r="543" spans="1:8" x14ac:dyDescent="0.25">
      <c r="A543" s="1">
        <v>44642</v>
      </c>
      <c r="B543" t="s">
        <v>5</v>
      </c>
      <c r="C543" t="s">
        <v>17</v>
      </c>
      <c r="D543" t="s">
        <v>54</v>
      </c>
      <c r="E543">
        <v>336</v>
      </c>
      <c r="F543">
        <f t="shared" si="16"/>
        <v>1142.3999999999999</v>
      </c>
      <c r="G543">
        <f>SUMIF($D$2:$D543,$D543,$E$2:$E543)</f>
        <v>3848</v>
      </c>
      <c r="H543">
        <f t="shared" si="17"/>
        <v>0</v>
      </c>
    </row>
    <row r="544" spans="1:8" x14ac:dyDescent="0.25">
      <c r="A544" s="1">
        <v>44642</v>
      </c>
      <c r="B544" t="s">
        <v>4</v>
      </c>
      <c r="C544" t="s">
        <v>17</v>
      </c>
      <c r="D544" t="s">
        <v>57</v>
      </c>
      <c r="E544">
        <v>363</v>
      </c>
      <c r="F544">
        <f t="shared" si="16"/>
        <v>1234.2</v>
      </c>
      <c r="G544">
        <f>SUMIF($D$2:$D544,$D544,$E$2:$E544)</f>
        <v>4419</v>
      </c>
      <c r="H544">
        <f t="shared" si="17"/>
        <v>0</v>
      </c>
    </row>
    <row r="545" spans="1:8" x14ac:dyDescent="0.25">
      <c r="A545" s="1">
        <v>44642</v>
      </c>
      <c r="B545" t="s">
        <v>0</v>
      </c>
      <c r="C545" t="s">
        <v>17</v>
      </c>
      <c r="D545" t="s">
        <v>21</v>
      </c>
      <c r="E545">
        <v>108</v>
      </c>
      <c r="F545">
        <f t="shared" si="16"/>
        <v>313.2</v>
      </c>
      <c r="G545">
        <f>SUMIF($D$2:$D545,$D545,$E$2:$E545)</f>
        <v>3635</v>
      </c>
      <c r="H545">
        <f t="shared" si="17"/>
        <v>0</v>
      </c>
    </row>
    <row r="546" spans="1:8" x14ac:dyDescent="0.25">
      <c r="A546" s="1">
        <v>44642</v>
      </c>
      <c r="B546" t="s">
        <v>8</v>
      </c>
      <c r="C546" t="s">
        <v>17</v>
      </c>
      <c r="D546" t="s">
        <v>52</v>
      </c>
      <c r="E546">
        <v>465</v>
      </c>
      <c r="F546">
        <f t="shared" si="16"/>
        <v>1627.5</v>
      </c>
      <c r="G546">
        <f>SUMIF($D$2:$D546,$D546,$E$2:$E546)</f>
        <v>2419</v>
      </c>
      <c r="H546">
        <f t="shared" si="17"/>
        <v>0</v>
      </c>
    </row>
    <row r="547" spans="1:8" x14ac:dyDescent="0.25">
      <c r="A547" s="1">
        <v>44643</v>
      </c>
      <c r="B547" t="s">
        <v>15</v>
      </c>
      <c r="C547" t="s">
        <v>17</v>
      </c>
      <c r="D547" t="s">
        <v>33</v>
      </c>
      <c r="E547">
        <v>490</v>
      </c>
      <c r="F547">
        <f t="shared" si="16"/>
        <v>1176</v>
      </c>
      <c r="G547">
        <f>SUMIF($D$2:$D547,$D547,$E$2:$E547)</f>
        <v>4622</v>
      </c>
      <c r="H547">
        <f t="shared" si="17"/>
        <v>0</v>
      </c>
    </row>
    <row r="548" spans="1:8" x14ac:dyDescent="0.25">
      <c r="A548" s="1">
        <v>44643</v>
      </c>
      <c r="B548" t="s">
        <v>6</v>
      </c>
      <c r="C548" t="s">
        <v>17</v>
      </c>
      <c r="D548" t="s">
        <v>53</v>
      </c>
      <c r="E548">
        <v>17</v>
      </c>
      <c r="F548">
        <f t="shared" si="16"/>
        <v>57.8</v>
      </c>
      <c r="G548">
        <f>SUMIF($D$2:$D548,$D548,$E$2:$E548)</f>
        <v>4007</v>
      </c>
      <c r="H548">
        <f t="shared" si="17"/>
        <v>0</v>
      </c>
    </row>
    <row r="549" spans="1:8" x14ac:dyDescent="0.25">
      <c r="A549" s="1">
        <v>44643</v>
      </c>
      <c r="B549" t="s">
        <v>0</v>
      </c>
      <c r="C549" t="s">
        <v>17</v>
      </c>
      <c r="D549" t="s">
        <v>36</v>
      </c>
      <c r="E549">
        <v>282</v>
      </c>
      <c r="F549">
        <f t="shared" si="16"/>
        <v>817.8</v>
      </c>
      <c r="G549">
        <f>SUMIF($D$2:$D549,$D549,$E$2:$E549)</f>
        <v>4277</v>
      </c>
      <c r="H549">
        <f t="shared" si="17"/>
        <v>0</v>
      </c>
    </row>
    <row r="550" spans="1:8" x14ac:dyDescent="0.25">
      <c r="A550" s="1">
        <v>44644</v>
      </c>
      <c r="B550" t="s">
        <v>15</v>
      </c>
      <c r="C550" t="s">
        <v>17</v>
      </c>
      <c r="D550" t="s">
        <v>19</v>
      </c>
      <c r="E550">
        <v>141</v>
      </c>
      <c r="F550">
        <f t="shared" si="16"/>
        <v>338.4</v>
      </c>
      <c r="G550">
        <f>SUMIF($D$2:$D550,$D550,$E$2:$E550)</f>
        <v>860</v>
      </c>
      <c r="H550">
        <f t="shared" si="17"/>
        <v>0</v>
      </c>
    </row>
    <row r="551" spans="1:8" x14ac:dyDescent="0.25">
      <c r="A551" s="1">
        <v>44644</v>
      </c>
      <c r="B551" t="s">
        <v>0</v>
      </c>
      <c r="C551" t="s">
        <v>17</v>
      </c>
      <c r="D551" t="s">
        <v>28</v>
      </c>
      <c r="E551">
        <v>75</v>
      </c>
      <c r="F551">
        <f t="shared" si="16"/>
        <v>217.5</v>
      </c>
      <c r="G551">
        <f>SUMIF($D$2:$D551,$D551,$E$2:$E551)</f>
        <v>4105</v>
      </c>
      <c r="H551">
        <f t="shared" si="17"/>
        <v>0</v>
      </c>
    </row>
    <row r="552" spans="1:8" x14ac:dyDescent="0.25">
      <c r="A552" s="1">
        <v>44644</v>
      </c>
      <c r="B552" t="s">
        <v>5</v>
      </c>
      <c r="C552" t="s">
        <v>17</v>
      </c>
      <c r="D552" t="s">
        <v>55</v>
      </c>
      <c r="E552">
        <v>113</v>
      </c>
      <c r="F552">
        <f t="shared" si="16"/>
        <v>384.2</v>
      </c>
      <c r="G552">
        <f>SUMIF($D$2:$D552,$D552,$E$2:$E552)</f>
        <v>4131</v>
      </c>
      <c r="H552">
        <f t="shared" si="17"/>
        <v>0</v>
      </c>
    </row>
    <row r="553" spans="1:8" x14ac:dyDescent="0.25">
      <c r="A553" s="1">
        <v>44644</v>
      </c>
      <c r="B553" t="s">
        <v>8</v>
      </c>
      <c r="C553" t="s">
        <v>17</v>
      </c>
      <c r="D553" t="s">
        <v>43</v>
      </c>
      <c r="E553">
        <v>579</v>
      </c>
      <c r="F553">
        <f t="shared" si="16"/>
        <v>2026.5</v>
      </c>
      <c r="G553">
        <f>SUMIF($D$2:$D553,$D553,$E$2:$E553)</f>
        <v>5421</v>
      </c>
      <c r="H553">
        <f t="shared" si="17"/>
        <v>0</v>
      </c>
    </row>
    <row r="554" spans="1:8" x14ac:dyDescent="0.25">
      <c r="A554" s="1">
        <v>44644</v>
      </c>
      <c r="B554" t="s">
        <v>15</v>
      </c>
      <c r="C554" t="s">
        <v>17</v>
      </c>
      <c r="D554" t="s">
        <v>44</v>
      </c>
      <c r="E554">
        <v>123</v>
      </c>
      <c r="F554">
        <f t="shared" si="16"/>
        <v>295.2</v>
      </c>
      <c r="G554">
        <f>SUMIF($D$2:$D554,$D554,$E$2:$E554)</f>
        <v>5591</v>
      </c>
      <c r="H554">
        <f t="shared" si="17"/>
        <v>0</v>
      </c>
    </row>
    <row r="555" spans="1:8" x14ac:dyDescent="0.25">
      <c r="A555" s="1">
        <v>44644</v>
      </c>
      <c r="B555" t="s">
        <v>8</v>
      </c>
      <c r="C555" t="s">
        <v>17</v>
      </c>
      <c r="D555" t="s">
        <v>27</v>
      </c>
      <c r="E555">
        <v>281</v>
      </c>
      <c r="F555">
        <f t="shared" si="16"/>
        <v>983.5</v>
      </c>
      <c r="G555">
        <f>SUMIF($D$2:$D555,$D555,$E$2:$E555)</f>
        <v>5051</v>
      </c>
      <c r="H555">
        <f t="shared" si="17"/>
        <v>0</v>
      </c>
    </row>
    <row r="556" spans="1:8" x14ac:dyDescent="0.25">
      <c r="A556" s="1">
        <v>44645</v>
      </c>
      <c r="B556" t="s">
        <v>2</v>
      </c>
      <c r="C556" t="s">
        <v>17</v>
      </c>
      <c r="D556" t="s">
        <v>21</v>
      </c>
      <c r="E556">
        <v>117</v>
      </c>
      <c r="F556">
        <f t="shared" si="16"/>
        <v>374.40000000000003</v>
      </c>
      <c r="G556">
        <f>SUMIF($D$2:$D556,$D556,$E$2:$E556)</f>
        <v>3752</v>
      </c>
      <c r="H556">
        <f t="shared" si="17"/>
        <v>0</v>
      </c>
    </row>
    <row r="557" spans="1:8" x14ac:dyDescent="0.25">
      <c r="A557" s="1">
        <v>44645</v>
      </c>
      <c r="B557" t="s">
        <v>15</v>
      </c>
      <c r="C557" t="s">
        <v>17</v>
      </c>
      <c r="D557" t="s">
        <v>29</v>
      </c>
      <c r="E557">
        <v>551</v>
      </c>
      <c r="F557">
        <f t="shared" si="16"/>
        <v>1322.3999999999999</v>
      </c>
      <c r="G557">
        <f>SUMIF($D$2:$D557,$D557,$E$2:$E557)</f>
        <v>6129</v>
      </c>
      <c r="H557">
        <f t="shared" si="17"/>
        <v>0</v>
      </c>
    </row>
    <row r="558" spans="1:8" x14ac:dyDescent="0.25">
      <c r="A558" s="1">
        <v>44645</v>
      </c>
      <c r="B558" t="s">
        <v>2</v>
      </c>
      <c r="C558" t="s">
        <v>17</v>
      </c>
      <c r="D558" t="s">
        <v>52</v>
      </c>
      <c r="E558">
        <v>314</v>
      </c>
      <c r="F558">
        <f t="shared" si="16"/>
        <v>1004.8000000000001</v>
      </c>
      <c r="G558">
        <f>SUMIF($D$2:$D558,$D558,$E$2:$E558)</f>
        <v>2733</v>
      </c>
      <c r="H558">
        <f t="shared" si="17"/>
        <v>0</v>
      </c>
    </row>
    <row r="559" spans="1:8" x14ac:dyDescent="0.25">
      <c r="A559" s="1">
        <v>44645</v>
      </c>
      <c r="B559" t="s">
        <v>6</v>
      </c>
      <c r="C559" t="s">
        <v>17</v>
      </c>
      <c r="D559" t="s">
        <v>25</v>
      </c>
      <c r="E559">
        <v>32</v>
      </c>
      <c r="F559">
        <f t="shared" si="16"/>
        <v>108.8</v>
      </c>
      <c r="G559">
        <f>SUMIF($D$2:$D559,$D559,$E$2:$E559)</f>
        <v>2797</v>
      </c>
      <c r="H559">
        <f t="shared" si="17"/>
        <v>0</v>
      </c>
    </row>
    <row r="560" spans="1:8" x14ac:dyDescent="0.25">
      <c r="A560" s="1">
        <v>44645</v>
      </c>
      <c r="B560" t="s">
        <v>15</v>
      </c>
      <c r="C560" t="s">
        <v>17</v>
      </c>
      <c r="D560" t="s">
        <v>33</v>
      </c>
      <c r="E560">
        <v>424</v>
      </c>
      <c r="F560">
        <f t="shared" si="16"/>
        <v>1017.5999999999999</v>
      </c>
      <c r="G560">
        <f>SUMIF($D$2:$D560,$D560,$E$2:$E560)</f>
        <v>5046</v>
      </c>
      <c r="H560">
        <f t="shared" si="17"/>
        <v>0</v>
      </c>
    </row>
    <row r="561" spans="1:8" x14ac:dyDescent="0.25">
      <c r="A561" s="1">
        <v>44645</v>
      </c>
      <c r="B561" t="s">
        <v>15</v>
      </c>
      <c r="C561" t="s">
        <v>17</v>
      </c>
      <c r="D561" t="s">
        <v>45</v>
      </c>
      <c r="E561">
        <v>361</v>
      </c>
      <c r="F561">
        <f t="shared" si="16"/>
        <v>866.4</v>
      </c>
      <c r="G561">
        <f>SUMIF($D$2:$D561,$D561,$E$2:$E561)</f>
        <v>3735</v>
      </c>
      <c r="H561">
        <f t="shared" si="17"/>
        <v>0</v>
      </c>
    </row>
    <row r="562" spans="1:8" x14ac:dyDescent="0.25">
      <c r="A562" s="1">
        <v>44646</v>
      </c>
      <c r="B562" t="s">
        <v>15</v>
      </c>
      <c r="C562" t="s">
        <v>17</v>
      </c>
      <c r="D562" t="s">
        <v>30</v>
      </c>
      <c r="E562">
        <v>520</v>
      </c>
      <c r="F562">
        <f t="shared" si="16"/>
        <v>1248</v>
      </c>
      <c r="G562">
        <f>SUMIF($D$2:$D562,$D562,$E$2:$E562)</f>
        <v>3878</v>
      </c>
      <c r="H562">
        <f t="shared" si="17"/>
        <v>0</v>
      </c>
    </row>
    <row r="563" spans="1:8" x14ac:dyDescent="0.25">
      <c r="A563" s="1">
        <v>44646</v>
      </c>
      <c r="B563" t="s">
        <v>10</v>
      </c>
      <c r="C563" t="s">
        <v>17</v>
      </c>
      <c r="D563" t="s">
        <v>55</v>
      </c>
      <c r="E563">
        <v>49</v>
      </c>
      <c r="F563">
        <f t="shared" si="16"/>
        <v>166.6</v>
      </c>
      <c r="G563">
        <f>SUMIF($D$2:$D563,$D563,$E$2:$E563)</f>
        <v>4180</v>
      </c>
      <c r="H563">
        <f t="shared" si="17"/>
        <v>0</v>
      </c>
    </row>
    <row r="564" spans="1:8" x14ac:dyDescent="0.25">
      <c r="A564" s="1">
        <v>44646</v>
      </c>
      <c r="B564" t="s">
        <v>5</v>
      </c>
      <c r="C564" t="s">
        <v>17</v>
      </c>
      <c r="D564" t="s">
        <v>60</v>
      </c>
      <c r="E564">
        <v>106</v>
      </c>
      <c r="F564">
        <f t="shared" si="16"/>
        <v>360.4</v>
      </c>
      <c r="G564">
        <f>SUMIF($D$2:$D564,$D564,$E$2:$E564)</f>
        <v>4012</v>
      </c>
      <c r="H564">
        <f t="shared" si="17"/>
        <v>0</v>
      </c>
    </row>
    <row r="565" spans="1:8" x14ac:dyDescent="0.25">
      <c r="A565" s="1">
        <v>44646</v>
      </c>
      <c r="B565" t="s">
        <v>10</v>
      </c>
      <c r="C565" t="s">
        <v>17</v>
      </c>
      <c r="D565" t="s">
        <v>37</v>
      </c>
      <c r="E565">
        <v>93</v>
      </c>
      <c r="F565">
        <f t="shared" si="16"/>
        <v>316.2</v>
      </c>
      <c r="G565">
        <f>SUMIF($D$2:$D565,$D565,$E$2:$E565)</f>
        <v>4968</v>
      </c>
      <c r="H565">
        <f t="shared" si="17"/>
        <v>0</v>
      </c>
    </row>
    <row r="566" spans="1:8" x14ac:dyDescent="0.25">
      <c r="A566" s="1">
        <v>44646</v>
      </c>
      <c r="B566" t="s">
        <v>4</v>
      </c>
      <c r="C566" t="s">
        <v>17</v>
      </c>
      <c r="D566" t="s">
        <v>66</v>
      </c>
      <c r="E566">
        <v>681</v>
      </c>
      <c r="F566">
        <f t="shared" si="16"/>
        <v>2315.4</v>
      </c>
      <c r="G566">
        <f>SUMIF($D$2:$D566,$D566,$E$2:$E566)</f>
        <v>3622</v>
      </c>
      <c r="H566">
        <f t="shared" si="17"/>
        <v>0</v>
      </c>
    </row>
    <row r="567" spans="1:8" x14ac:dyDescent="0.25">
      <c r="A567" s="1">
        <v>44646</v>
      </c>
      <c r="B567" t="s">
        <v>2</v>
      </c>
      <c r="C567" t="s">
        <v>17</v>
      </c>
      <c r="D567" t="s">
        <v>53</v>
      </c>
      <c r="E567">
        <v>188</v>
      </c>
      <c r="F567">
        <f t="shared" si="16"/>
        <v>601.6</v>
      </c>
      <c r="G567">
        <f>SUMIF($D$2:$D567,$D567,$E$2:$E567)</f>
        <v>4195</v>
      </c>
      <c r="H567">
        <f t="shared" si="17"/>
        <v>0</v>
      </c>
    </row>
    <row r="568" spans="1:8" x14ac:dyDescent="0.25">
      <c r="A568" s="1">
        <v>44646</v>
      </c>
      <c r="B568" t="s">
        <v>2</v>
      </c>
      <c r="C568" t="s">
        <v>17</v>
      </c>
      <c r="D568" t="s">
        <v>21</v>
      </c>
      <c r="E568">
        <v>256</v>
      </c>
      <c r="F568">
        <f t="shared" si="16"/>
        <v>819.2</v>
      </c>
      <c r="G568">
        <f>SUMIF($D$2:$D568,$D568,$E$2:$E568)</f>
        <v>4008</v>
      </c>
      <c r="H568">
        <f t="shared" si="17"/>
        <v>0</v>
      </c>
    </row>
    <row r="569" spans="1:8" x14ac:dyDescent="0.25">
      <c r="A569" s="1">
        <v>44646</v>
      </c>
      <c r="B569" t="s">
        <v>0</v>
      </c>
      <c r="C569" t="s">
        <v>17</v>
      </c>
      <c r="D569" t="s">
        <v>53</v>
      </c>
      <c r="E569">
        <v>474</v>
      </c>
      <c r="F569">
        <f t="shared" si="16"/>
        <v>1374.6</v>
      </c>
      <c r="G569">
        <f>SUMIF($D$2:$D569,$D569,$E$2:$E569)</f>
        <v>4669</v>
      </c>
      <c r="H569">
        <f t="shared" si="17"/>
        <v>0</v>
      </c>
    </row>
    <row r="570" spans="1:8" x14ac:dyDescent="0.25">
      <c r="A570" s="1">
        <v>44646</v>
      </c>
      <c r="B570" t="s">
        <v>2</v>
      </c>
      <c r="C570" t="s">
        <v>17</v>
      </c>
      <c r="D570" t="s">
        <v>30</v>
      </c>
      <c r="E570">
        <v>216</v>
      </c>
      <c r="F570">
        <f t="shared" si="16"/>
        <v>691.2</v>
      </c>
      <c r="G570">
        <f>SUMIF($D$2:$D570,$D570,$E$2:$E570)</f>
        <v>4094</v>
      </c>
      <c r="H570">
        <f t="shared" si="17"/>
        <v>0</v>
      </c>
    </row>
    <row r="571" spans="1:8" x14ac:dyDescent="0.25">
      <c r="A571" s="1">
        <v>44648</v>
      </c>
      <c r="B571" t="s">
        <v>2</v>
      </c>
      <c r="C571" t="s">
        <v>17</v>
      </c>
      <c r="D571" t="s">
        <v>57</v>
      </c>
      <c r="E571">
        <v>351</v>
      </c>
      <c r="F571">
        <f t="shared" si="16"/>
        <v>1123.2</v>
      </c>
      <c r="G571">
        <f>SUMIF($D$2:$D571,$D571,$E$2:$E571)</f>
        <v>4770</v>
      </c>
      <c r="H571">
        <f t="shared" si="17"/>
        <v>0</v>
      </c>
    </row>
    <row r="572" spans="1:8" x14ac:dyDescent="0.25">
      <c r="A572" s="1">
        <v>44648</v>
      </c>
      <c r="B572" t="s">
        <v>7</v>
      </c>
      <c r="C572" t="s">
        <v>17</v>
      </c>
      <c r="D572" t="s">
        <v>66</v>
      </c>
      <c r="E572">
        <v>498</v>
      </c>
      <c r="F572">
        <f t="shared" si="16"/>
        <v>1693.2</v>
      </c>
      <c r="G572">
        <f>SUMIF($D$2:$D572,$D572,$E$2:$E572)</f>
        <v>4120</v>
      </c>
      <c r="H572">
        <f t="shared" si="17"/>
        <v>0</v>
      </c>
    </row>
    <row r="573" spans="1:8" x14ac:dyDescent="0.25">
      <c r="A573" s="1">
        <v>44648</v>
      </c>
      <c r="B573" t="s">
        <v>4</v>
      </c>
      <c r="C573" t="s">
        <v>17</v>
      </c>
      <c r="D573" t="s">
        <v>54</v>
      </c>
      <c r="E573">
        <v>682</v>
      </c>
      <c r="F573">
        <f t="shared" si="16"/>
        <v>2318.7999999999997</v>
      </c>
      <c r="G573">
        <f>SUMIF($D$2:$D573,$D573,$E$2:$E573)</f>
        <v>4530</v>
      </c>
      <c r="H573">
        <f t="shared" si="17"/>
        <v>0</v>
      </c>
    </row>
    <row r="574" spans="1:8" x14ac:dyDescent="0.25">
      <c r="A574" s="1">
        <v>44648</v>
      </c>
      <c r="B574" t="s">
        <v>10</v>
      </c>
      <c r="C574" t="s">
        <v>17</v>
      </c>
      <c r="D574" t="s">
        <v>26</v>
      </c>
      <c r="E574">
        <v>329</v>
      </c>
      <c r="F574">
        <f t="shared" si="16"/>
        <v>1118.5999999999999</v>
      </c>
      <c r="G574">
        <f>SUMIF($D$2:$D574,$D574,$E$2:$E574)</f>
        <v>6467</v>
      </c>
      <c r="H574">
        <f t="shared" si="17"/>
        <v>0</v>
      </c>
    </row>
    <row r="575" spans="1:8" x14ac:dyDescent="0.25">
      <c r="A575" s="1">
        <v>44648</v>
      </c>
      <c r="B575" t="s">
        <v>5</v>
      </c>
      <c r="C575" t="s">
        <v>17</v>
      </c>
      <c r="D575" t="s">
        <v>59</v>
      </c>
      <c r="E575">
        <v>234</v>
      </c>
      <c r="F575">
        <f t="shared" si="16"/>
        <v>795.6</v>
      </c>
      <c r="G575">
        <f>SUMIF($D$2:$D575,$D575,$E$2:$E575)</f>
        <v>1573</v>
      </c>
      <c r="H575">
        <f t="shared" si="17"/>
        <v>0</v>
      </c>
    </row>
    <row r="576" spans="1:8" x14ac:dyDescent="0.25">
      <c r="A576" s="1">
        <v>44648</v>
      </c>
      <c r="B576" t="s">
        <v>6</v>
      </c>
      <c r="C576" t="s">
        <v>17</v>
      </c>
      <c r="D576" t="s">
        <v>42</v>
      </c>
      <c r="E576">
        <v>335</v>
      </c>
      <c r="F576">
        <f t="shared" si="16"/>
        <v>1139</v>
      </c>
      <c r="G576">
        <f>SUMIF($D$2:$D576,$D576,$E$2:$E576)</f>
        <v>2821</v>
      </c>
      <c r="H576">
        <f t="shared" si="17"/>
        <v>0</v>
      </c>
    </row>
    <row r="577" spans="1:8" x14ac:dyDescent="0.25">
      <c r="A577" s="1">
        <v>44648</v>
      </c>
      <c r="B577" t="s">
        <v>7</v>
      </c>
      <c r="C577" t="s">
        <v>17</v>
      </c>
      <c r="D577" t="s">
        <v>63</v>
      </c>
      <c r="E577">
        <v>540</v>
      </c>
      <c r="F577">
        <f t="shared" si="16"/>
        <v>1836</v>
      </c>
      <c r="G577">
        <f>SUMIF($D$2:$D577,$D577,$E$2:$E577)</f>
        <v>3729</v>
      </c>
      <c r="H577">
        <f t="shared" si="17"/>
        <v>0</v>
      </c>
    </row>
    <row r="578" spans="1:8" x14ac:dyDescent="0.25">
      <c r="A578" s="1">
        <v>44648</v>
      </c>
      <c r="B578" t="s">
        <v>15</v>
      </c>
      <c r="C578" t="s">
        <v>17</v>
      </c>
      <c r="D578" t="s">
        <v>51</v>
      </c>
      <c r="E578">
        <v>580</v>
      </c>
      <c r="F578">
        <f t="shared" si="16"/>
        <v>1392</v>
      </c>
      <c r="G578">
        <f>SUMIF($D$2:$D578,$D578,$E$2:$E578)</f>
        <v>4976</v>
      </c>
      <c r="H578">
        <f t="shared" si="17"/>
        <v>0</v>
      </c>
    </row>
    <row r="579" spans="1:8" x14ac:dyDescent="0.25">
      <c r="A579" s="1">
        <v>44648</v>
      </c>
      <c r="B579" t="s">
        <v>6</v>
      </c>
      <c r="C579" t="s">
        <v>17</v>
      </c>
      <c r="D579" t="s">
        <v>43</v>
      </c>
      <c r="E579">
        <v>269</v>
      </c>
      <c r="F579">
        <f t="shared" ref="F579:F642" si="18">E579* _xlfn.XLOOKUP(B579,$I$2:$I$17,$J$2:$J$17,"0",0,1)</f>
        <v>914.6</v>
      </c>
      <c r="G579">
        <f>SUMIF($D$2:$D579,$D579,$E$2:$E579)</f>
        <v>5690</v>
      </c>
      <c r="H579">
        <f t="shared" ref="H579:H642" si="19">IF(AND($G579 &gt; 15000,$G579 &lt; 20000),5*$E579,IF($G579 &gt;= 20000,10*$E579,0))</f>
        <v>0</v>
      </c>
    </row>
    <row r="580" spans="1:8" x14ac:dyDescent="0.25">
      <c r="A580" s="1">
        <v>44648</v>
      </c>
      <c r="B580" t="s">
        <v>4</v>
      </c>
      <c r="C580" t="s">
        <v>17</v>
      </c>
      <c r="D580" t="s">
        <v>62</v>
      </c>
      <c r="E580">
        <v>475</v>
      </c>
      <c r="F580">
        <f t="shared" si="18"/>
        <v>1615</v>
      </c>
      <c r="G580">
        <f>SUMIF($D$2:$D580,$D580,$E$2:$E580)</f>
        <v>4218</v>
      </c>
      <c r="H580">
        <f t="shared" si="19"/>
        <v>0</v>
      </c>
    </row>
    <row r="581" spans="1:8" x14ac:dyDescent="0.25">
      <c r="A581" s="1">
        <v>44648</v>
      </c>
      <c r="B581" t="s">
        <v>8</v>
      </c>
      <c r="C581" t="s">
        <v>17</v>
      </c>
      <c r="D581" t="s">
        <v>23</v>
      </c>
      <c r="E581">
        <v>466</v>
      </c>
      <c r="F581">
        <f t="shared" si="18"/>
        <v>1631</v>
      </c>
      <c r="G581">
        <f>SUMIF($D$2:$D581,$D581,$E$2:$E581)</f>
        <v>3808</v>
      </c>
      <c r="H581">
        <f t="shared" si="19"/>
        <v>0</v>
      </c>
    </row>
    <row r="582" spans="1:8" x14ac:dyDescent="0.25">
      <c r="A582" s="1">
        <v>44648</v>
      </c>
      <c r="B582" t="s">
        <v>5</v>
      </c>
      <c r="C582" t="s">
        <v>17</v>
      </c>
      <c r="D582" t="s">
        <v>59</v>
      </c>
      <c r="E582">
        <v>22</v>
      </c>
      <c r="F582">
        <f t="shared" si="18"/>
        <v>74.8</v>
      </c>
      <c r="G582">
        <f>SUMIF($D$2:$D582,$D582,$E$2:$E582)</f>
        <v>1595</v>
      </c>
      <c r="H582">
        <f t="shared" si="19"/>
        <v>0</v>
      </c>
    </row>
    <row r="583" spans="1:8" x14ac:dyDescent="0.25">
      <c r="A583" s="1">
        <v>44648</v>
      </c>
      <c r="B583" t="s">
        <v>5</v>
      </c>
      <c r="C583" t="s">
        <v>17</v>
      </c>
      <c r="D583" t="s">
        <v>35</v>
      </c>
      <c r="E583">
        <v>407</v>
      </c>
      <c r="F583">
        <f t="shared" si="18"/>
        <v>1383.8</v>
      </c>
      <c r="G583">
        <f>SUMIF($D$2:$D583,$D583,$E$2:$E583)</f>
        <v>3813</v>
      </c>
      <c r="H583">
        <f t="shared" si="19"/>
        <v>0</v>
      </c>
    </row>
    <row r="584" spans="1:8" x14ac:dyDescent="0.25">
      <c r="A584" s="1">
        <v>44648</v>
      </c>
      <c r="B584" t="s">
        <v>5</v>
      </c>
      <c r="C584" t="s">
        <v>17</v>
      </c>
      <c r="D584" t="s">
        <v>22</v>
      </c>
      <c r="E584">
        <v>417</v>
      </c>
      <c r="F584">
        <f t="shared" si="18"/>
        <v>1417.8</v>
      </c>
      <c r="G584">
        <f>SUMIF($D$2:$D584,$D584,$E$2:$E584)</f>
        <v>5860</v>
      </c>
      <c r="H584">
        <f t="shared" si="19"/>
        <v>0</v>
      </c>
    </row>
    <row r="585" spans="1:8" x14ac:dyDescent="0.25">
      <c r="A585" s="1">
        <v>44649</v>
      </c>
      <c r="B585" t="s">
        <v>15</v>
      </c>
      <c r="C585" t="s">
        <v>17</v>
      </c>
      <c r="D585" t="s">
        <v>36</v>
      </c>
      <c r="E585">
        <v>483</v>
      </c>
      <c r="F585">
        <f t="shared" si="18"/>
        <v>1159.2</v>
      </c>
      <c r="G585">
        <f>SUMIF($D$2:$D585,$D585,$E$2:$E585)</f>
        <v>4760</v>
      </c>
      <c r="H585">
        <f t="shared" si="19"/>
        <v>0</v>
      </c>
    </row>
    <row r="586" spans="1:8" x14ac:dyDescent="0.25">
      <c r="A586" s="1">
        <v>44649</v>
      </c>
      <c r="B586" t="s">
        <v>8</v>
      </c>
      <c r="C586" t="s">
        <v>17</v>
      </c>
      <c r="D586" t="s">
        <v>49</v>
      </c>
      <c r="E586">
        <v>291</v>
      </c>
      <c r="F586">
        <f t="shared" si="18"/>
        <v>1018.5</v>
      </c>
      <c r="G586">
        <f>SUMIF($D$2:$D586,$D586,$E$2:$E586)</f>
        <v>4466</v>
      </c>
      <c r="H586">
        <f t="shared" si="19"/>
        <v>0</v>
      </c>
    </row>
    <row r="587" spans="1:8" x14ac:dyDescent="0.25">
      <c r="A587" s="1">
        <v>44649</v>
      </c>
      <c r="B587" t="s">
        <v>5</v>
      </c>
      <c r="C587" t="s">
        <v>17</v>
      </c>
      <c r="D587" t="s">
        <v>31</v>
      </c>
      <c r="E587">
        <v>289</v>
      </c>
      <c r="F587">
        <f t="shared" si="18"/>
        <v>982.6</v>
      </c>
      <c r="G587">
        <f>SUMIF($D$2:$D587,$D587,$E$2:$E587)</f>
        <v>3782</v>
      </c>
      <c r="H587">
        <f t="shared" si="19"/>
        <v>0</v>
      </c>
    </row>
    <row r="588" spans="1:8" x14ac:dyDescent="0.25">
      <c r="A588" s="1">
        <v>44649</v>
      </c>
      <c r="B588" t="s">
        <v>0</v>
      </c>
      <c r="C588" t="s">
        <v>17</v>
      </c>
      <c r="D588" t="s">
        <v>25</v>
      </c>
      <c r="E588">
        <v>18</v>
      </c>
      <c r="F588">
        <f t="shared" si="18"/>
        <v>52.199999999999996</v>
      </c>
      <c r="G588">
        <f>SUMIF($D$2:$D588,$D588,$E$2:$E588)</f>
        <v>2815</v>
      </c>
      <c r="H588">
        <f t="shared" si="19"/>
        <v>0</v>
      </c>
    </row>
    <row r="589" spans="1:8" x14ac:dyDescent="0.25">
      <c r="A589" s="1">
        <v>44649</v>
      </c>
      <c r="B589" t="s">
        <v>2</v>
      </c>
      <c r="C589" t="s">
        <v>17</v>
      </c>
      <c r="D589" t="s">
        <v>33</v>
      </c>
      <c r="E589">
        <v>466</v>
      </c>
      <c r="F589">
        <f t="shared" si="18"/>
        <v>1491.2</v>
      </c>
      <c r="G589">
        <f>SUMIF($D$2:$D589,$D589,$E$2:$E589)</f>
        <v>5512</v>
      </c>
      <c r="H589">
        <f t="shared" si="19"/>
        <v>0</v>
      </c>
    </row>
    <row r="590" spans="1:8" x14ac:dyDescent="0.25">
      <c r="A590" s="1">
        <v>44649</v>
      </c>
      <c r="B590" t="s">
        <v>4</v>
      </c>
      <c r="C590" t="s">
        <v>17</v>
      </c>
      <c r="D590" t="s">
        <v>60</v>
      </c>
      <c r="E590">
        <v>722</v>
      </c>
      <c r="F590">
        <f t="shared" si="18"/>
        <v>2454.7999999999997</v>
      </c>
      <c r="G590">
        <f>SUMIF($D$2:$D590,$D590,$E$2:$E590)</f>
        <v>4734</v>
      </c>
      <c r="H590">
        <f t="shared" si="19"/>
        <v>0</v>
      </c>
    </row>
    <row r="591" spans="1:8" x14ac:dyDescent="0.25">
      <c r="A591" s="1">
        <v>44649</v>
      </c>
      <c r="B591" t="s">
        <v>8</v>
      </c>
      <c r="C591" t="s">
        <v>17</v>
      </c>
      <c r="D591" t="s">
        <v>24</v>
      </c>
      <c r="E591">
        <v>695</v>
      </c>
      <c r="F591">
        <f t="shared" si="18"/>
        <v>2432.5</v>
      </c>
      <c r="G591">
        <f>SUMIF($D$2:$D591,$D591,$E$2:$E591)</f>
        <v>4211</v>
      </c>
      <c r="H591">
        <f t="shared" si="19"/>
        <v>0</v>
      </c>
    </row>
    <row r="592" spans="1:8" x14ac:dyDescent="0.25">
      <c r="A592" s="1">
        <v>44649</v>
      </c>
      <c r="B592" t="s">
        <v>2</v>
      </c>
      <c r="C592" t="s">
        <v>17</v>
      </c>
      <c r="D592" t="s">
        <v>55</v>
      </c>
      <c r="E592">
        <v>273</v>
      </c>
      <c r="F592">
        <f t="shared" si="18"/>
        <v>873.6</v>
      </c>
      <c r="G592">
        <f>SUMIF($D$2:$D592,$D592,$E$2:$E592)</f>
        <v>4453</v>
      </c>
      <c r="H592">
        <f t="shared" si="19"/>
        <v>0</v>
      </c>
    </row>
    <row r="593" spans="1:8" x14ac:dyDescent="0.25">
      <c r="A593" s="1">
        <v>44649</v>
      </c>
      <c r="B593" t="s">
        <v>8</v>
      </c>
      <c r="C593" t="s">
        <v>17</v>
      </c>
      <c r="D593" t="s">
        <v>57</v>
      </c>
      <c r="E593">
        <v>593</v>
      </c>
      <c r="F593">
        <f t="shared" si="18"/>
        <v>2075.5</v>
      </c>
      <c r="G593">
        <f>SUMIF($D$2:$D593,$D593,$E$2:$E593)</f>
        <v>5363</v>
      </c>
      <c r="H593">
        <f t="shared" si="19"/>
        <v>0</v>
      </c>
    </row>
    <row r="594" spans="1:8" x14ac:dyDescent="0.25">
      <c r="A594" s="1">
        <v>44649</v>
      </c>
      <c r="B594" t="s">
        <v>8</v>
      </c>
      <c r="C594" t="s">
        <v>17</v>
      </c>
      <c r="D594" t="s">
        <v>18</v>
      </c>
      <c r="E594">
        <v>505</v>
      </c>
      <c r="F594">
        <f t="shared" si="18"/>
        <v>1767.5</v>
      </c>
      <c r="G594">
        <f>SUMIF($D$2:$D594,$D594,$E$2:$E594)</f>
        <v>4478</v>
      </c>
      <c r="H594">
        <f t="shared" si="19"/>
        <v>0</v>
      </c>
    </row>
    <row r="595" spans="1:8" x14ac:dyDescent="0.25">
      <c r="A595" s="1">
        <v>44649</v>
      </c>
      <c r="B595" t="s">
        <v>4</v>
      </c>
      <c r="C595" t="s">
        <v>17</v>
      </c>
      <c r="D595" t="s">
        <v>47</v>
      </c>
      <c r="E595">
        <v>535</v>
      </c>
      <c r="F595">
        <f t="shared" si="18"/>
        <v>1819</v>
      </c>
      <c r="G595">
        <f>SUMIF($D$2:$D595,$D595,$E$2:$E595)</f>
        <v>4783</v>
      </c>
      <c r="H595">
        <f t="shared" si="19"/>
        <v>0</v>
      </c>
    </row>
    <row r="596" spans="1:8" x14ac:dyDescent="0.25">
      <c r="A596" s="1">
        <v>44649</v>
      </c>
      <c r="B596" t="s">
        <v>8</v>
      </c>
      <c r="C596" t="s">
        <v>17</v>
      </c>
      <c r="D596" t="s">
        <v>52</v>
      </c>
      <c r="E596">
        <v>229</v>
      </c>
      <c r="F596">
        <f t="shared" si="18"/>
        <v>801.5</v>
      </c>
      <c r="G596">
        <f>SUMIF($D$2:$D596,$D596,$E$2:$E596)</f>
        <v>2962</v>
      </c>
      <c r="H596">
        <f t="shared" si="19"/>
        <v>0</v>
      </c>
    </row>
    <row r="597" spans="1:8" x14ac:dyDescent="0.25">
      <c r="A597" s="1">
        <v>44649</v>
      </c>
      <c r="B597" t="s">
        <v>7</v>
      </c>
      <c r="C597" t="s">
        <v>17</v>
      </c>
      <c r="D597" t="s">
        <v>37</v>
      </c>
      <c r="E597">
        <v>677</v>
      </c>
      <c r="F597">
        <f t="shared" si="18"/>
        <v>2301.7999999999997</v>
      </c>
      <c r="G597">
        <f>SUMIF($D$2:$D597,$D597,$E$2:$E597)</f>
        <v>5645</v>
      </c>
      <c r="H597">
        <f t="shared" si="19"/>
        <v>0</v>
      </c>
    </row>
    <row r="598" spans="1:8" x14ac:dyDescent="0.25">
      <c r="A598" s="1">
        <v>44650</v>
      </c>
      <c r="B598" t="s">
        <v>4</v>
      </c>
      <c r="C598" t="s">
        <v>17</v>
      </c>
      <c r="D598" t="s">
        <v>29</v>
      </c>
      <c r="E598">
        <v>384</v>
      </c>
      <c r="F598">
        <f t="shared" si="18"/>
        <v>1305.5999999999999</v>
      </c>
      <c r="G598">
        <f>SUMIF($D$2:$D598,$D598,$E$2:$E598)</f>
        <v>6513</v>
      </c>
      <c r="H598">
        <f t="shared" si="19"/>
        <v>0</v>
      </c>
    </row>
    <row r="599" spans="1:8" x14ac:dyDescent="0.25">
      <c r="A599" s="1">
        <v>44650</v>
      </c>
      <c r="B599" t="s">
        <v>10</v>
      </c>
      <c r="C599" t="s">
        <v>17</v>
      </c>
      <c r="D599" t="s">
        <v>44</v>
      </c>
      <c r="E599">
        <v>323</v>
      </c>
      <c r="F599">
        <f t="shared" si="18"/>
        <v>1098.2</v>
      </c>
      <c r="G599">
        <f>SUMIF($D$2:$D599,$D599,$E$2:$E599)</f>
        <v>5914</v>
      </c>
      <c r="H599">
        <f t="shared" si="19"/>
        <v>0</v>
      </c>
    </row>
    <row r="600" spans="1:8" x14ac:dyDescent="0.25">
      <c r="A600" s="1">
        <v>44650</v>
      </c>
      <c r="B600" t="s">
        <v>2</v>
      </c>
      <c r="C600" t="s">
        <v>17</v>
      </c>
      <c r="D600" t="s">
        <v>30</v>
      </c>
      <c r="E600">
        <v>218</v>
      </c>
      <c r="F600">
        <f t="shared" si="18"/>
        <v>697.6</v>
      </c>
      <c r="G600">
        <f>SUMIF($D$2:$D600,$D600,$E$2:$E600)</f>
        <v>4312</v>
      </c>
      <c r="H600">
        <f t="shared" si="19"/>
        <v>0</v>
      </c>
    </row>
    <row r="601" spans="1:8" x14ac:dyDescent="0.25">
      <c r="A601" s="1">
        <v>44650</v>
      </c>
      <c r="B601" t="s">
        <v>5</v>
      </c>
      <c r="C601" t="s">
        <v>17</v>
      </c>
      <c r="D601" t="s">
        <v>39</v>
      </c>
      <c r="E601">
        <v>218</v>
      </c>
      <c r="F601">
        <f t="shared" si="18"/>
        <v>741.19999999999993</v>
      </c>
      <c r="G601">
        <f>SUMIF($D$2:$D601,$D601,$E$2:$E601)</f>
        <v>4205</v>
      </c>
      <c r="H601">
        <f t="shared" si="19"/>
        <v>0</v>
      </c>
    </row>
    <row r="602" spans="1:8" x14ac:dyDescent="0.25">
      <c r="A602" s="1">
        <v>44651</v>
      </c>
      <c r="B602" t="s">
        <v>10</v>
      </c>
      <c r="C602" t="s">
        <v>17</v>
      </c>
      <c r="D602" t="s">
        <v>57</v>
      </c>
      <c r="E602">
        <v>163</v>
      </c>
      <c r="F602">
        <f t="shared" si="18"/>
        <v>554.19999999999993</v>
      </c>
      <c r="G602">
        <f>SUMIF($D$2:$D602,$D602,$E$2:$E602)</f>
        <v>5526</v>
      </c>
      <c r="H602">
        <f t="shared" si="19"/>
        <v>0</v>
      </c>
    </row>
    <row r="603" spans="1:8" x14ac:dyDescent="0.25">
      <c r="A603" s="1">
        <v>44651</v>
      </c>
      <c r="B603" t="s">
        <v>0</v>
      </c>
      <c r="C603" t="s">
        <v>17</v>
      </c>
      <c r="D603" t="s">
        <v>23</v>
      </c>
      <c r="E603">
        <v>83</v>
      </c>
      <c r="F603">
        <f t="shared" si="18"/>
        <v>240.7</v>
      </c>
      <c r="G603">
        <f>SUMIF($D$2:$D603,$D603,$E$2:$E603)</f>
        <v>3891</v>
      </c>
      <c r="H603">
        <f t="shared" si="19"/>
        <v>0</v>
      </c>
    </row>
    <row r="604" spans="1:8" x14ac:dyDescent="0.25">
      <c r="A604" s="1">
        <v>44651</v>
      </c>
      <c r="B604" t="s">
        <v>4</v>
      </c>
      <c r="C604" t="s">
        <v>17</v>
      </c>
      <c r="D604" t="s">
        <v>32</v>
      </c>
      <c r="E604">
        <v>361</v>
      </c>
      <c r="F604">
        <f t="shared" si="18"/>
        <v>1227.3999999999999</v>
      </c>
      <c r="G604">
        <f>SUMIF($D$2:$D604,$D604,$E$2:$E604)</f>
        <v>5057</v>
      </c>
      <c r="H604">
        <f t="shared" si="19"/>
        <v>0</v>
      </c>
    </row>
    <row r="605" spans="1:8" x14ac:dyDescent="0.25">
      <c r="A605" s="1">
        <v>44651</v>
      </c>
      <c r="B605" t="s">
        <v>0</v>
      </c>
      <c r="C605" t="s">
        <v>17</v>
      </c>
      <c r="D605" t="s">
        <v>66</v>
      </c>
      <c r="E605">
        <v>191</v>
      </c>
      <c r="F605">
        <f t="shared" si="18"/>
        <v>553.9</v>
      </c>
      <c r="G605">
        <f>SUMIF($D$2:$D605,$D605,$E$2:$E605)</f>
        <v>4311</v>
      </c>
      <c r="H605">
        <f t="shared" si="19"/>
        <v>0</v>
      </c>
    </row>
    <row r="606" spans="1:8" x14ac:dyDescent="0.25">
      <c r="A606" s="1">
        <v>44651</v>
      </c>
      <c r="B606" t="s">
        <v>2</v>
      </c>
      <c r="C606" t="s">
        <v>17</v>
      </c>
      <c r="D606" t="s">
        <v>44</v>
      </c>
      <c r="E606">
        <v>338</v>
      </c>
      <c r="F606">
        <f t="shared" si="18"/>
        <v>1081.6000000000001</v>
      </c>
      <c r="G606">
        <f>SUMIF($D$2:$D606,$D606,$E$2:$E606)</f>
        <v>6252</v>
      </c>
      <c r="H606">
        <f t="shared" si="19"/>
        <v>0</v>
      </c>
    </row>
    <row r="607" spans="1:8" x14ac:dyDescent="0.25">
      <c r="A607" s="1">
        <v>44651</v>
      </c>
      <c r="B607" t="s">
        <v>5</v>
      </c>
      <c r="C607" t="s">
        <v>17</v>
      </c>
      <c r="D607" t="s">
        <v>52</v>
      </c>
      <c r="E607">
        <v>399</v>
      </c>
      <c r="F607">
        <f t="shared" si="18"/>
        <v>1356.6</v>
      </c>
      <c r="G607">
        <f>SUMIF($D$2:$D607,$D607,$E$2:$E607)</f>
        <v>3361</v>
      </c>
      <c r="H607">
        <f t="shared" si="19"/>
        <v>0</v>
      </c>
    </row>
    <row r="608" spans="1:8" x14ac:dyDescent="0.25">
      <c r="A608" s="1">
        <v>44651</v>
      </c>
      <c r="B608" t="s">
        <v>6</v>
      </c>
      <c r="C608" t="s">
        <v>17</v>
      </c>
      <c r="D608" t="s">
        <v>64</v>
      </c>
      <c r="E608">
        <v>294</v>
      </c>
      <c r="F608">
        <f t="shared" si="18"/>
        <v>999.6</v>
      </c>
      <c r="G608">
        <f>SUMIF($D$2:$D608,$D608,$E$2:$E608)</f>
        <v>3190</v>
      </c>
      <c r="H608">
        <f t="shared" si="19"/>
        <v>0</v>
      </c>
    </row>
    <row r="609" spans="1:8" x14ac:dyDescent="0.25">
      <c r="A609" s="1">
        <v>44651</v>
      </c>
      <c r="B609" t="s">
        <v>7</v>
      </c>
      <c r="C609" t="s">
        <v>17</v>
      </c>
      <c r="D609" t="s">
        <v>28</v>
      </c>
      <c r="E609">
        <v>634</v>
      </c>
      <c r="F609">
        <f t="shared" si="18"/>
        <v>2155.6</v>
      </c>
      <c r="G609">
        <f>SUMIF($D$2:$D609,$D609,$E$2:$E609)</f>
        <v>4739</v>
      </c>
      <c r="H609">
        <f t="shared" si="19"/>
        <v>0</v>
      </c>
    </row>
    <row r="610" spans="1:8" x14ac:dyDescent="0.25">
      <c r="A610" s="1">
        <v>44651</v>
      </c>
      <c r="B610" t="s">
        <v>8</v>
      </c>
      <c r="C610" t="s">
        <v>17</v>
      </c>
      <c r="D610" t="s">
        <v>31</v>
      </c>
      <c r="E610">
        <v>616</v>
      </c>
      <c r="F610">
        <f t="shared" si="18"/>
        <v>2156</v>
      </c>
      <c r="G610">
        <f>SUMIF($D$2:$D610,$D610,$E$2:$E610)</f>
        <v>4398</v>
      </c>
      <c r="H610">
        <f t="shared" si="19"/>
        <v>0</v>
      </c>
    </row>
    <row r="611" spans="1:8" x14ac:dyDescent="0.25">
      <c r="A611" s="1">
        <v>44652</v>
      </c>
      <c r="B611" t="s">
        <v>4</v>
      </c>
      <c r="C611" t="s">
        <v>17</v>
      </c>
      <c r="D611" t="s">
        <v>30</v>
      </c>
      <c r="E611">
        <v>420</v>
      </c>
      <c r="F611">
        <f t="shared" si="18"/>
        <v>1428</v>
      </c>
      <c r="G611">
        <f>SUMIF($D$2:$D611,$D611,$E$2:$E611)</f>
        <v>4732</v>
      </c>
      <c r="H611">
        <f t="shared" si="19"/>
        <v>0</v>
      </c>
    </row>
    <row r="612" spans="1:8" x14ac:dyDescent="0.25">
      <c r="A612" s="1">
        <v>44652</v>
      </c>
      <c r="B612" t="s">
        <v>7</v>
      </c>
      <c r="C612" t="s">
        <v>17</v>
      </c>
      <c r="D612" t="s">
        <v>16</v>
      </c>
      <c r="E612">
        <v>284</v>
      </c>
      <c r="F612">
        <f t="shared" si="18"/>
        <v>965.6</v>
      </c>
      <c r="G612">
        <f>SUMIF($D$2:$D612,$D612,$E$2:$E612)</f>
        <v>4809</v>
      </c>
      <c r="H612">
        <f t="shared" si="19"/>
        <v>0</v>
      </c>
    </row>
    <row r="613" spans="1:8" x14ac:dyDescent="0.25">
      <c r="A613" s="1">
        <v>44652</v>
      </c>
      <c r="B613" t="s">
        <v>5</v>
      </c>
      <c r="C613" t="s">
        <v>17</v>
      </c>
      <c r="D613" t="s">
        <v>60</v>
      </c>
      <c r="E613">
        <v>129</v>
      </c>
      <c r="F613">
        <f t="shared" si="18"/>
        <v>438.59999999999997</v>
      </c>
      <c r="G613">
        <f>SUMIF($D$2:$D613,$D613,$E$2:$E613)</f>
        <v>4863</v>
      </c>
      <c r="H613">
        <f t="shared" si="19"/>
        <v>0</v>
      </c>
    </row>
    <row r="614" spans="1:8" x14ac:dyDescent="0.25">
      <c r="A614" s="1">
        <v>44652</v>
      </c>
      <c r="B614" t="s">
        <v>10</v>
      </c>
      <c r="C614" t="s">
        <v>17</v>
      </c>
      <c r="D614" t="s">
        <v>32</v>
      </c>
      <c r="E614">
        <v>343</v>
      </c>
      <c r="F614">
        <f t="shared" si="18"/>
        <v>1166.2</v>
      </c>
      <c r="G614">
        <f>SUMIF($D$2:$D614,$D614,$E$2:$E614)</f>
        <v>5400</v>
      </c>
      <c r="H614">
        <f t="shared" si="19"/>
        <v>0</v>
      </c>
    </row>
    <row r="615" spans="1:8" x14ac:dyDescent="0.25">
      <c r="A615" s="1">
        <v>44652</v>
      </c>
      <c r="B615" t="s">
        <v>10</v>
      </c>
      <c r="C615" t="s">
        <v>17</v>
      </c>
      <c r="D615" t="s">
        <v>49</v>
      </c>
      <c r="E615">
        <v>409</v>
      </c>
      <c r="F615">
        <f t="shared" si="18"/>
        <v>1390.6</v>
      </c>
      <c r="G615">
        <f>SUMIF($D$2:$D615,$D615,$E$2:$E615)</f>
        <v>4875</v>
      </c>
      <c r="H615">
        <f t="shared" si="19"/>
        <v>0</v>
      </c>
    </row>
    <row r="616" spans="1:8" x14ac:dyDescent="0.25">
      <c r="A616" s="1">
        <v>44652</v>
      </c>
      <c r="B616" t="s">
        <v>4</v>
      </c>
      <c r="C616" t="s">
        <v>17</v>
      </c>
      <c r="D616" t="s">
        <v>64</v>
      </c>
      <c r="E616">
        <v>609</v>
      </c>
      <c r="F616">
        <f t="shared" si="18"/>
        <v>2070.6</v>
      </c>
      <c r="G616">
        <f>SUMIF($D$2:$D616,$D616,$E$2:$E616)</f>
        <v>3799</v>
      </c>
      <c r="H616">
        <f t="shared" si="19"/>
        <v>0</v>
      </c>
    </row>
    <row r="617" spans="1:8" x14ac:dyDescent="0.25">
      <c r="A617" s="1">
        <v>44652</v>
      </c>
      <c r="B617" t="s">
        <v>7</v>
      </c>
      <c r="C617" t="s">
        <v>17</v>
      </c>
      <c r="D617" t="s">
        <v>22</v>
      </c>
      <c r="E617">
        <v>389</v>
      </c>
      <c r="F617">
        <f t="shared" si="18"/>
        <v>1322.6</v>
      </c>
      <c r="G617">
        <f>SUMIF($D$2:$D617,$D617,$E$2:$E617)</f>
        <v>6249</v>
      </c>
      <c r="H617">
        <f t="shared" si="19"/>
        <v>0</v>
      </c>
    </row>
    <row r="618" spans="1:8" x14ac:dyDescent="0.25">
      <c r="A618" s="1">
        <v>44652</v>
      </c>
      <c r="B618" t="s">
        <v>4</v>
      </c>
      <c r="C618" t="s">
        <v>17</v>
      </c>
      <c r="D618" t="s">
        <v>53</v>
      </c>
      <c r="E618">
        <v>776</v>
      </c>
      <c r="F618">
        <f t="shared" si="18"/>
        <v>2638.4</v>
      </c>
      <c r="G618">
        <f>SUMIF($D$2:$D618,$D618,$E$2:$E618)</f>
        <v>5445</v>
      </c>
      <c r="H618">
        <f t="shared" si="19"/>
        <v>0</v>
      </c>
    </row>
    <row r="619" spans="1:8" x14ac:dyDescent="0.25">
      <c r="A619" s="1">
        <v>44652</v>
      </c>
      <c r="B619" t="s">
        <v>5</v>
      </c>
      <c r="C619" t="s">
        <v>17</v>
      </c>
      <c r="D619" t="s">
        <v>23</v>
      </c>
      <c r="E619">
        <v>399</v>
      </c>
      <c r="F619">
        <f t="shared" si="18"/>
        <v>1356.6</v>
      </c>
      <c r="G619">
        <f>SUMIF($D$2:$D619,$D619,$E$2:$E619)</f>
        <v>4290</v>
      </c>
      <c r="H619">
        <f t="shared" si="19"/>
        <v>0</v>
      </c>
    </row>
    <row r="620" spans="1:8" x14ac:dyDescent="0.25">
      <c r="A620" s="1">
        <v>44652</v>
      </c>
      <c r="B620" t="s">
        <v>0</v>
      </c>
      <c r="C620" t="s">
        <v>17</v>
      </c>
      <c r="D620" t="s">
        <v>38</v>
      </c>
      <c r="E620">
        <v>17</v>
      </c>
      <c r="F620">
        <f t="shared" si="18"/>
        <v>49.3</v>
      </c>
      <c r="G620">
        <f>SUMIF($D$2:$D620,$D620,$E$2:$E620)</f>
        <v>5065</v>
      </c>
      <c r="H620">
        <f t="shared" si="19"/>
        <v>0</v>
      </c>
    </row>
    <row r="621" spans="1:8" x14ac:dyDescent="0.25">
      <c r="A621" s="1">
        <v>44653</v>
      </c>
      <c r="B621" t="s">
        <v>15</v>
      </c>
      <c r="C621" t="s">
        <v>17</v>
      </c>
      <c r="D621" t="s">
        <v>32</v>
      </c>
      <c r="E621">
        <v>220</v>
      </c>
      <c r="F621">
        <f t="shared" si="18"/>
        <v>528</v>
      </c>
      <c r="G621">
        <f>SUMIF($D$2:$D621,$D621,$E$2:$E621)</f>
        <v>5620</v>
      </c>
      <c r="H621">
        <f t="shared" si="19"/>
        <v>0</v>
      </c>
    </row>
    <row r="622" spans="1:8" x14ac:dyDescent="0.25">
      <c r="A622" s="1">
        <v>44653</v>
      </c>
      <c r="B622" t="s">
        <v>0</v>
      </c>
      <c r="C622" t="s">
        <v>17</v>
      </c>
      <c r="D622" t="s">
        <v>41</v>
      </c>
      <c r="E622">
        <v>258</v>
      </c>
      <c r="F622">
        <f t="shared" si="18"/>
        <v>748.19999999999993</v>
      </c>
      <c r="G622">
        <f>SUMIF($D$2:$D622,$D622,$E$2:$E622)</f>
        <v>3469</v>
      </c>
      <c r="H622">
        <f t="shared" si="19"/>
        <v>0</v>
      </c>
    </row>
    <row r="623" spans="1:8" x14ac:dyDescent="0.25">
      <c r="A623" s="1">
        <v>44653</v>
      </c>
      <c r="B623" t="s">
        <v>4</v>
      </c>
      <c r="C623" t="s">
        <v>17</v>
      </c>
      <c r="D623" t="s">
        <v>23</v>
      </c>
      <c r="E623">
        <v>406</v>
      </c>
      <c r="F623">
        <f t="shared" si="18"/>
        <v>1380.3999999999999</v>
      </c>
      <c r="G623">
        <f>SUMIF($D$2:$D623,$D623,$E$2:$E623)</f>
        <v>4696</v>
      </c>
      <c r="H623">
        <f t="shared" si="19"/>
        <v>0</v>
      </c>
    </row>
    <row r="624" spans="1:8" x14ac:dyDescent="0.25">
      <c r="A624" s="1">
        <v>44653</v>
      </c>
      <c r="B624" t="s">
        <v>4</v>
      </c>
      <c r="C624" t="s">
        <v>17</v>
      </c>
      <c r="D624" t="s">
        <v>56</v>
      </c>
      <c r="E624">
        <v>402</v>
      </c>
      <c r="F624">
        <f t="shared" si="18"/>
        <v>1366.8</v>
      </c>
      <c r="G624">
        <f>SUMIF($D$2:$D624,$D624,$E$2:$E624)</f>
        <v>4441</v>
      </c>
      <c r="H624">
        <f t="shared" si="19"/>
        <v>0</v>
      </c>
    </row>
    <row r="625" spans="1:8" x14ac:dyDescent="0.25">
      <c r="A625" s="1">
        <v>44653</v>
      </c>
      <c r="B625" t="s">
        <v>10</v>
      </c>
      <c r="C625" t="s">
        <v>17</v>
      </c>
      <c r="D625" t="s">
        <v>66</v>
      </c>
      <c r="E625">
        <v>264</v>
      </c>
      <c r="F625">
        <f t="shared" si="18"/>
        <v>897.6</v>
      </c>
      <c r="G625">
        <f>SUMIF($D$2:$D625,$D625,$E$2:$E625)</f>
        <v>4575</v>
      </c>
      <c r="H625">
        <f t="shared" si="19"/>
        <v>0</v>
      </c>
    </row>
    <row r="626" spans="1:8" x14ac:dyDescent="0.25">
      <c r="A626" s="1">
        <v>44653</v>
      </c>
      <c r="B626" t="s">
        <v>5</v>
      </c>
      <c r="C626" t="s">
        <v>17</v>
      </c>
      <c r="D626" t="s">
        <v>32</v>
      </c>
      <c r="E626">
        <v>433</v>
      </c>
      <c r="F626">
        <f t="shared" si="18"/>
        <v>1472.2</v>
      </c>
      <c r="G626">
        <f>SUMIF($D$2:$D626,$D626,$E$2:$E626)</f>
        <v>6053</v>
      </c>
      <c r="H626">
        <f t="shared" si="19"/>
        <v>0</v>
      </c>
    </row>
    <row r="627" spans="1:8" x14ac:dyDescent="0.25">
      <c r="A627" s="1">
        <v>44653</v>
      </c>
      <c r="B627" t="s">
        <v>5</v>
      </c>
      <c r="C627" t="s">
        <v>17</v>
      </c>
      <c r="D627" t="s">
        <v>38</v>
      </c>
      <c r="E627">
        <v>161</v>
      </c>
      <c r="F627">
        <f t="shared" si="18"/>
        <v>547.4</v>
      </c>
      <c r="G627">
        <f>SUMIF($D$2:$D627,$D627,$E$2:$E627)</f>
        <v>5226</v>
      </c>
      <c r="H627">
        <f t="shared" si="19"/>
        <v>0</v>
      </c>
    </row>
    <row r="628" spans="1:8" x14ac:dyDescent="0.25">
      <c r="A628" s="1">
        <v>44653</v>
      </c>
      <c r="B628" t="s">
        <v>8</v>
      </c>
      <c r="C628" t="s">
        <v>17</v>
      </c>
      <c r="D628" t="s">
        <v>30</v>
      </c>
      <c r="E628">
        <v>612</v>
      </c>
      <c r="F628">
        <f t="shared" si="18"/>
        <v>2142</v>
      </c>
      <c r="G628">
        <f>SUMIF($D$2:$D628,$D628,$E$2:$E628)</f>
        <v>5344</v>
      </c>
      <c r="H628">
        <f t="shared" si="19"/>
        <v>0</v>
      </c>
    </row>
    <row r="629" spans="1:8" x14ac:dyDescent="0.25">
      <c r="A629" s="1">
        <v>44653</v>
      </c>
      <c r="B629" t="s">
        <v>8</v>
      </c>
      <c r="C629" t="s">
        <v>17</v>
      </c>
      <c r="D629" t="s">
        <v>51</v>
      </c>
      <c r="E629">
        <v>372</v>
      </c>
      <c r="F629">
        <f t="shared" si="18"/>
        <v>1302</v>
      </c>
      <c r="G629">
        <f>SUMIF($D$2:$D629,$D629,$E$2:$E629)</f>
        <v>5348</v>
      </c>
      <c r="H629">
        <f t="shared" si="19"/>
        <v>0</v>
      </c>
    </row>
    <row r="630" spans="1:8" x14ac:dyDescent="0.25">
      <c r="A630" s="1">
        <v>44655</v>
      </c>
      <c r="B630" t="s">
        <v>8</v>
      </c>
      <c r="C630" t="s">
        <v>17</v>
      </c>
      <c r="D630" t="s">
        <v>22</v>
      </c>
      <c r="E630">
        <v>249</v>
      </c>
      <c r="F630">
        <f t="shared" si="18"/>
        <v>871.5</v>
      </c>
      <c r="G630">
        <f>SUMIF($D$2:$D630,$D630,$E$2:$E630)</f>
        <v>6498</v>
      </c>
      <c r="H630">
        <f t="shared" si="19"/>
        <v>0</v>
      </c>
    </row>
    <row r="631" spans="1:8" x14ac:dyDescent="0.25">
      <c r="A631" s="1">
        <v>44655</v>
      </c>
      <c r="B631" t="s">
        <v>2</v>
      </c>
      <c r="C631" t="s">
        <v>17</v>
      </c>
      <c r="D631" t="s">
        <v>53</v>
      </c>
      <c r="E631">
        <v>333</v>
      </c>
      <c r="F631">
        <f t="shared" si="18"/>
        <v>1065.6000000000001</v>
      </c>
      <c r="G631">
        <f>SUMIF($D$2:$D631,$D631,$E$2:$E631)</f>
        <v>5778</v>
      </c>
      <c r="H631">
        <f t="shared" si="19"/>
        <v>0</v>
      </c>
    </row>
    <row r="632" spans="1:8" x14ac:dyDescent="0.25">
      <c r="A632" s="1">
        <v>44655</v>
      </c>
      <c r="B632" t="s">
        <v>5</v>
      </c>
      <c r="C632" t="s">
        <v>17</v>
      </c>
      <c r="D632" t="s">
        <v>53</v>
      </c>
      <c r="E632">
        <v>488</v>
      </c>
      <c r="F632">
        <f t="shared" si="18"/>
        <v>1659.2</v>
      </c>
      <c r="G632">
        <f>SUMIF($D$2:$D632,$D632,$E$2:$E632)</f>
        <v>6266</v>
      </c>
      <c r="H632">
        <f t="shared" si="19"/>
        <v>0</v>
      </c>
    </row>
    <row r="633" spans="1:8" x14ac:dyDescent="0.25">
      <c r="A633" s="1">
        <v>44655</v>
      </c>
      <c r="B633" t="s">
        <v>0</v>
      </c>
      <c r="C633" t="s">
        <v>17</v>
      </c>
      <c r="D633" t="s">
        <v>46</v>
      </c>
      <c r="E633">
        <v>214</v>
      </c>
      <c r="F633">
        <f t="shared" si="18"/>
        <v>620.6</v>
      </c>
      <c r="G633">
        <f>SUMIF($D$2:$D633,$D633,$E$2:$E633)</f>
        <v>3953</v>
      </c>
      <c r="H633">
        <f t="shared" si="19"/>
        <v>0</v>
      </c>
    </row>
    <row r="634" spans="1:8" x14ac:dyDescent="0.25">
      <c r="A634" s="1">
        <v>44655</v>
      </c>
      <c r="B634" t="s">
        <v>4</v>
      </c>
      <c r="C634" t="s">
        <v>17</v>
      </c>
      <c r="D634" t="s">
        <v>21</v>
      </c>
      <c r="E634">
        <v>417</v>
      </c>
      <c r="F634">
        <f t="shared" si="18"/>
        <v>1417.8</v>
      </c>
      <c r="G634">
        <f>SUMIF($D$2:$D634,$D634,$E$2:$E634)</f>
        <v>4425</v>
      </c>
      <c r="H634">
        <f t="shared" si="19"/>
        <v>0</v>
      </c>
    </row>
    <row r="635" spans="1:8" x14ac:dyDescent="0.25">
      <c r="A635" s="1">
        <v>44655</v>
      </c>
      <c r="B635" t="s">
        <v>7</v>
      </c>
      <c r="C635" t="s">
        <v>17</v>
      </c>
      <c r="D635" t="s">
        <v>16</v>
      </c>
      <c r="E635">
        <v>534</v>
      </c>
      <c r="F635">
        <f t="shared" si="18"/>
        <v>1815.6</v>
      </c>
      <c r="G635">
        <f>SUMIF($D$2:$D635,$D635,$E$2:$E635)</f>
        <v>5343</v>
      </c>
      <c r="H635">
        <f t="shared" si="19"/>
        <v>0</v>
      </c>
    </row>
    <row r="636" spans="1:8" x14ac:dyDescent="0.25">
      <c r="A636" s="1">
        <v>44655</v>
      </c>
      <c r="B636" t="s">
        <v>0</v>
      </c>
      <c r="C636" t="s">
        <v>17</v>
      </c>
      <c r="D636" t="s">
        <v>44</v>
      </c>
      <c r="E636">
        <v>477</v>
      </c>
      <c r="F636">
        <f t="shared" si="18"/>
        <v>1383.3</v>
      </c>
      <c r="G636">
        <f>SUMIF($D$2:$D636,$D636,$E$2:$E636)</f>
        <v>6729</v>
      </c>
      <c r="H636">
        <f t="shared" si="19"/>
        <v>0</v>
      </c>
    </row>
    <row r="637" spans="1:8" x14ac:dyDescent="0.25">
      <c r="A637" s="1">
        <v>44655</v>
      </c>
      <c r="B637" t="s">
        <v>0</v>
      </c>
      <c r="C637" t="s">
        <v>17</v>
      </c>
      <c r="D637" t="s">
        <v>21</v>
      </c>
      <c r="E637">
        <v>191</v>
      </c>
      <c r="F637">
        <f t="shared" si="18"/>
        <v>553.9</v>
      </c>
      <c r="G637">
        <f>SUMIF($D$2:$D637,$D637,$E$2:$E637)</f>
        <v>4616</v>
      </c>
      <c r="H637">
        <f t="shared" si="19"/>
        <v>0</v>
      </c>
    </row>
    <row r="638" spans="1:8" x14ac:dyDescent="0.25">
      <c r="A638" s="1">
        <v>44655</v>
      </c>
      <c r="B638" t="s">
        <v>8</v>
      </c>
      <c r="C638" t="s">
        <v>17</v>
      </c>
      <c r="D638" t="s">
        <v>41</v>
      </c>
      <c r="E638">
        <v>358</v>
      </c>
      <c r="F638">
        <f t="shared" si="18"/>
        <v>1253</v>
      </c>
      <c r="G638">
        <f>SUMIF($D$2:$D638,$D638,$E$2:$E638)</f>
        <v>3827</v>
      </c>
      <c r="H638">
        <f t="shared" si="19"/>
        <v>0</v>
      </c>
    </row>
    <row r="639" spans="1:8" x14ac:dyDescent="0.25">
      <c r="A639" s="1">
        <v>44655</v>
      </c>
      <c r="B639" t="s">
        <v>8</v>
      </c>
      <c r="C639" t="s">
        <v>17</v>
      </c>
      <c r="D639" t="s">
        <v>54</v>
      </c>
      <c r="E639">
        <v>517</v>
      </c>
      <c r="F639">
        <f t="shared" si="18"/>
        <v>1809.5</v>
      </c>
      <c r="G639">
        <f>SUMIF($D$2:$D639,$D639,$E$2:$E639)</f>
        <v>5047</v>
      </c>
      <c r="H639">
        <f t="shared" si="19"/>
        <v>0</v>
      </c>
    </row>
    <row r="640" spans="1:8" x14ac:dyDescent="0.25">
      <c r="A640" s="1">
        <v>44655</v>
      </c>
      <c r="B640" t="s">
        <v>10</v>
      </c>
      <c r="C640" t="s">
        <v>17</v>
      </c>
      <c r="D640" t="s">
        <v>30</v>
      </c>
      <c r="E640">
        <v>442</v>
      </c>
      <c r="F640">
        <f t="shared" si="18"/>
        <v>1502.8</v>
      </c>
      <c r="G640">
        <f>SUMIF($D$2:$D640,$D640,$E$2:$E640)</f>
        <v>5786</v>
      </c>
      <c r="H640">
        <f t="shared" si="19"/>
        <v>0</v>
      </c>
    </row>
    <row r="641" spans="1:8" x14ac:dyDescent="0.25">
      <c r="A641" s="1">
        <v>44655</v>
      </c>
      <c r="B641" t="s">
        <v>10</v>
      </c>
      <c r="C641" t="s">
        <v>17</v>
      </c>
      <c r="D641" t="s">
        <v>25</v>
      </c>
      <c r="E641">
        <v>33</v>
      </c>
      <c r="F641">
        <f t="shared" si="18"/>
        <v>112.2</v>
      </c>
      <c r="G641">
        <f>SUMIF($D$2:$D641,$D641,$E$2:$E641)</f>
        <v>2848</v>
      </c>
      <c r="H641">
        <f t="shared" si="19"/>
        <v>0</v>
      </c>
    </row>
    <row r="642" spans="1:8" x14ac:dyDescent="0.25">
      <c r="A642" s="1">
        <v>44655</v>
      </c>
      <c r="B642" t="s">
        <v>10</v>
      </c>
      <c r="C642" t="s">
        <v>17</v>
      </c>
      <c r="D642" t="s">
        <v>38</v>
      </c>
      <c r="E642">
        <v>56</v>
      </c>
      <c r="F642">
        <f t="shared" si="18"/>
        <v>190.4</v>
      </c>
      <c r="G642">
        <f>SUMIF($D$2:$D642,$D642,$E$2:$E642)</f>
        <v>5282</v>
      </c>
      <c r="H642">
        <f t="shared" si="19"/>
        <v>0</v>
      </c>
    </row>
    <row r="643" spans="1:8" x14ac:dyDescent="0.25">
      <c r="A643" s="1">
        <v>44655</v>
      </c>
      <c r="B643" t="s">
        <v>5</v>
      </c>
      <c r="C643" t="s">
        <v>17</v>
      </c>
      <c r="D643" t="s">
        <v>60</v>
      </c>
      <c r="E643">
        <v>60</v>
      </c>
      <c r="F643">
        <f t="shared" ref="F643:F706" si="20">E643* _xlfn.XLOOKUP(B643,$I$2:$I$17,$J$2:$J$17,"0",0,1)</f>
        <v>204</v>
      </c>
      <c r="G643">
        <f>SUMIF($D$2:$D643,$D643,$E$2:$E643)</f>
        <v>4923</v>
      </c>
      <c r="H643">
        <f t="shared" ref="H643:H706" si="21">IF(AND($G643 &gt; 15000,$G643 &lt; 20000),5*$E643,IF($G643 &gt;= 20000,10*$E643,0))</f>
        <v>0</v>
      </c>
    </row>
    <row r="644" spans="1:8" x14ac:dyDescent="0.25">
      <c r="A644" s="1">
        <v>44655</v>
      </c>
      <c r="B644" t="s">
        <v>6</v>
      </c>
      <c r="C644" t="s">
        <v>17</v>
      </c>
      <c r="D644" t="s">
        <v>30</v>
      </c>
      <c r="E644">
        <v>161</v>
      </c>
      <c r="F644">
        <f t="shared" si="20"/>
        <v>547.4</v>
      </c>
      <c r="G644">
        <f>SUMIF($D$2:$D644,$D644,$E$2:$E644)</f>
        <v>5947</v>
      </c>
      <c r="H644">
        <f t="shared" si="21"/>
        <v>0</v>
      </c>
    </row>
    <row r="645" spans="1:8" x14ac:dyDescent="0.25">
      <c r="A645" s="1">
        <v>44655</v>
      </c>
      <c r="B645" t="s">
        <v>4</v>
      </c>
      <c r="C645" t="s">
        <v>17</v>
      </c>
      <c r="D645" t="s">
        <v>52</v>
      </c>
      <c r="E645">
        <v>624</v>
      </c>
      <c r="F645">
        <f t="shared" si="20"/>
        <v>2121.6</v>
      </c>
      <c r="G645">
        <f>SUMIF($D$2:$D645,$D645,$E$2:$E645)</f>
        <v>3985</v>
      </c>
      <c r="H645">
        <f t="shared" si="21"/>
        <v>0</v>
      </c>
    </row>
    <row r="646" spans="1:8" x14ac:dyDescent="0.25">
      <c r="A646" s="1">
        <v>44656</v>
      </c>
      <c r="B646" t="s">
        <v>8</v>
      </c>
      <c r="C646" t="s">
        <v>17</v>
      </c>
      <c r="D646" t="s">
        <v>56</v>
      </c>
      <c r="E646">
        <v>297</v>
      </c>
      <c r="F646">
        <f t="shared" si="20"/>
        <v>1039.5</v>
      </c>
      <c r="G646">
        <f>SUMIF($D$2:$D646,$D646,$E$2:$E646)</f>
        <v>4738</v>
      </c>
      <c r="H646">
        <f t="shared" si="21"/>
        <v>0</v>
      </c>
    </row>
    <row r="647" spans="1:8" x14ac:dyDescent="0.25">
      <c r="A647" s="1">
        <v>44656</v>
      </c>
      <c r="B647" t="s">
        <v>4</v>
      </c>
      <c r="C647" t="s">
        <v>17</v>
      </c>
      <c r="D647" t="s">
        <v>58</v>
      </c>
      <c r="E647">
        <v>342</v>
      </c>
      <c r="F647">
        <f t="shared" si="20"/>
        <v>1162.8</v>
      </c>
      <c r="G647">
        <f>SUMIF($D$2:$D647,$D647,$E$2:$E647)</f>
        <v>3247</v>
      </c>
      <c r="H647">
        <f t="shared" si="21"/>
        <v>0</v>
      </c>
    </row>
    <row r="648" spans="1:8" x14ac:dyDescent="0.25">
      <c r="A648" s="1">
        <v>44656</v>
      </c>
      <c r="B648" t="s">
        <v>2</v>
      </c>
      <c r="C648" t="s">
        <v>17</v>
      </c>
      <c r="D648" t="s">
        <v>42</v>
      </c>
      <c r="E648">
        <v>392</v>
      </c>
      <c r="F648">
        <f t="shared" si="20"/>
        <v>1254.4000000000001</v>
      </c>
      <c r="G648">
        <f>SUMIF($D$2:$D648,$D648,$E$2:$E648)</f>
        <v>3213</v>
      </c>
      <c r="H648">
        <f t="shared" si="21"/>
        <v>0</v>
      </c>
    </row>
    <row r="649" spans="1:8" x14ac:dyDescent="0.25">
      <c r="A649" s="1">
        <v>44656</v>
      </c>
      <c r="B649" t="s">
        <v>0</v>
      </c>
      <c r="C649" t="s">
        <v>17</v>
      </c>
      <c r="D649" t="s">
        <v>39</v>
      </c>
      <c r="E649">
        <v>178</v>
      </c>
      <c r="F649">
        <f t="shared" si="20"/>
        <v>516.19999999999993</v>
      </c>
      <c r="G649">
        <f>SUMIF($D$2:$D649,$D649,$E$2:$E649)</f>
        <v>4383</v>
      </c>
      <c r="H649">
        <f t="shared" si="21"/>
        <v>0</v>
      </c>
    </row>
    <row r="650" spans="1:8" x14ac:dyDescent="0.25">
      <c r="A650" s="1">
        <v>44656</v>
      </c>
      <c r="B650" t="s">
        <v>6</v>
      </c>
      <c r="C650" t="s">
        <v>17</v>
      </c>
      <c r="D650" t="s">
        <v>31</v>
      </c>
      <c r="E650">
        <v>311</v>
      </c>
      <c r="F650">
        <f t="shared" si="20"/>
        <v>1057.3999999999999</v>
      </c>
      <c r="G650">
        <f>SUMIF($D$2:$D650,$D650,$E$2:$E650)</f>
        <v>4709</v>
      </c>
      <c r="H650">
        <f t="shared" si="21"/>
        <v>0</v>
      </c>
    </row>
    <row r="651" spans="1:8" x14ac:dyDescent="0.25">
      <c r="A651" s="1">
        <v>44656</v>
      </c>
      <c r="B651" t="s">
        <v>8</v>
      </c>
      <c r="C651" t="s">
        <v>17</v>
      </c>
      <c r="D651" t="s">
        <v>49</v>
      </c>
      <c r="E651">
        <v>293</v>
      </c>
      <c r="F651">
        <f t="shared" si="20"/>
        <v>1025.5</v>
      </c>
      <c r="G651">
        <f>SUMIF($D$2:$D651,$D651,$E$2:$E651)</f>
        <v>5168</v>
      </c>
      <c r="H651">
        <f t="shared" si="21"/>
        <v>0</v>
      </c>
    </row>
    <row r="652" spans="1:8" x14ac:dyDescent="0.25">
      <c r="A652" s="1">
        <v>44656</v>
      </c>
      <c r="B652" t="s">
        <v>4</v>
      </c>
      <c r="C652" t="s">
        <v>17</v>
      </c>
      <c r="D652" t="s">
        <v>56</v>
      </c>
      <c r="E652">
        <v>495</v>
      </c>
      <c r="F652">
        <f t="shared" si="20"/>
        <v>1683</v>
      </c>
      <c r="G652">
        <f>SUMIF($D$2:$D652,$D652,$E$2:$E652)</f>
        <v>5233</v>
      </c>
      <c r="H652">
        <f t="shared" si="21"/>
        <v>0</v>
      </c>
    </row>
    <row r="653" spans="1:8" x14ac:dyDescent="0.25">
      <c r="A653" s="1">
        <v>44656</v>
      </c>
      <c r="B653" t="s">
        <v>10</v>
      </c>
      <c r="C653" t="s">
        <v>17</v>
      </c>
      <c r="D653" t="s">
        <v>61</v>
      </c>
      <c r="E653">
        <v>374</v>
      </c>
      <c r="F653">
        <f t="shared" si="20"/>
        <v>1271.5999999999999</v>
      </c>
      <c r="G653">
        <f>SUMIF($D$2:$D653,$D653,$E$2:$E653)</f>
        <v>5038</v>
      </c>
      <c r="H653">
        <f t="shared" si="21"/>
        <v>0</v>
      </c>
    </row>
    <row r="654" spans="1:8" x14ac:dyDescent="0.25">
      <c r="A654" s="1">
        <v>44656</v>
      </c>
      <c r="B654" t="s">
        <v>2</v>
      </c>
      <c r="C654" t="s">
        <v>17</v>
      </c>
      <c r="D654" t="s">
        <v>63</v>
      </c>
      <c r="E654">
        <v>498</v>
      </c>
      <c r="F654">
        <f t="shared" si="20"/>
        <v>1593.6000000000001</v>
      </c>
      <c r="G654">
        <f>SUMIF($D$2:$D654,$D654,$E$2:$E654)</f>
        <v>4227</v>
      </c>
      <c r="H654">
        <f t="shared" si="21"/>
        <v>0</v>
      </c>
    </row>
    <row r="655" spans="1:8" x14ac:dyDescent="0.25">
      <c r="A655" s="1">
        <v>44656</v>
      </c>
      <c r="B655" t="s">
        <v>7</v>
      </c>
      <c r="C655" t="s">
        <v>17</v>
      </c>
      <c r="D655" t="s">
        <v>25</v>
      </c>
      <c r="E655">
        <v>400</v>
      </c>
      <c r="F655">
        <f t="shared" si="20"/>
        <v>1360</v>
      </c>
      <c r="G655">
        <f>SUMIF($D$2:$D655,$D655,$E$2:$E655)</f>
        <v>3248</v>
      </c>
      <c r="H655">
        <f t="shared" si="21"/>
        <v>0</v>
      </c>
    </row>
    <row r="656" spans="1:8" x14ac:dyDescent="0.25">
      <c r="A656" s="1">
        <v>44657</v>
      </c>
      <c r="B656" t="s">
        <v>8</v>
      </c>
      <c r="C656" t="s">
        <v>17</v>
      </c>
      <c r="D656" t="s">
        <v>38</v>
      </c>
      <c r="E656">
        <v>571</v>
      </c>
      <c r="F656">
        <f t="shared" si="20"/>
        <v>1998.5</v>
      </c>
      <c r="G656">
        <f>SUMIF($D$2:$D656,$D656,$E$2:$E656)</f>
        <v>5853</v>
      </c>
      <c r="H656">
        <f t="shared" si="21"/>
        <v>0</v>
      </c>
    </row>
    <row r="657" spans="1:8" x14ac:dyDescent="0.25">
      <c r="A657" s="1">
        <v>44657</v>
      </c>
      <c r="B657" t="s">
        <v>10</v>
      </c>
      <c r="C657" t="s">
        <v>17</v>
      </c>
      <c r="D657" t="s">
        <v>30</v>
      </c>
      <c r="E657">
        <v>136</v>
      </c>
      <c r="F657">
        <f t="shared" si="20"/>
        <v>462.4</v>
      </c>
      <c r="G657">
        <f>SUMIF($D$2:$D657,$D657,$E$2:$E657)</f>
        <v>6083</v>
      </c>
      <c r="H657">
        <f t="shared" si="21"/>
        <v>0</v>
      </c>
    </row>
    <row r="658" spans="1:8" x14ac:dyDescent="0.25">
      <c r="A658" s="1">
        <v>44657</v>
      </c>
      <c r="B658" t="s">
        <v>0</v>
      </c>
      <c r="C658" t="s">
        <v>17</v>
      </c>
      <c r="D658" t="s">
        <v>28</v>
      </c>
      <c r="E658">
        <v>451</v>
      </c>
      <c r="F658">
        <f t="shared" si="20"/>
        <v>1307.8999999999999</v>
      </c>
      <c r="G658">
        <f>SUMIF($D$2:$D658,$D658,$E$2:$E658)</f>
        <v>5190</v>
      </c>
      <c r="H658">
        <f t="shared" si="21"/>
        <v>0</v>
      </c>
    </row>
    <row r="659" spans="1:8" x14ac:dyDescent="0.25">
      <c r="A659" s="1">
        <v>44657</v>
      </c>
      <c r="B659" t="s">
        <v>2</v>
      </c>
      <c r="C659" t="s">
        <v>17</v>
      </c>
      <c r="D659" t="s">
        <v>27</v>
      </c>
      <c r="E659">
        <v>217</v>
      </c>
      <c r="F659">
        <f t="shared" si="20"/>
        <v>694.40000000000009</v>
      </c>
      <c r="G659">
        <f>SUMIF($D$2:$D659,$D659,$E$2:$E659)</f>
        <v>5268</v>
      </c>
      <c r="H659">
        <f t="shared" si="21"/>
        <v>0</v>
      </c>
    </row>
    <row r="660" spans="1:8" x14ac:dyDescent="0.25">
      <c r="A660" s="1">
        <v>44657</v>
      </c>
      <c r="B660" t="s">
        <v>2</v>
      </c>
      <c r="C660" t="s">
        <v>17</v>
      </c>
      <c r="D660" t="s">
        <v>40</v>
      </c>
      <c r="E660">
        <v>195</v>
      </c>
      <c r="F660">
        <f t="shared" si="20"/>
        <v>624</v>
      </c>
      <c r="G660">
        <f>SUMIF($D$2:$D660,$D660,$E$2:$E660)</f>
        <v>2019</v>
      </c>
      <c r="H660">
        <f t="shared" si="21"/>
        <v>0</v>
      </c>
    </row>
    <row r="661" spans="1:8" x14ac:dyDescent="0.25">
      <c r="A661" s="1">
        <v>44657</v>
      </c>
      <c r="B661" t="s">
        <v>0</v>
      </c>
      <c r="C661" t="s">
        <v>17</v>
      </c>
      <c r="D661" t="s">
        <v>42</v>
      </c>
      <c r="E661">
        <v>399</v>
      </c>
      <c r="F661">
        <f t="shared" si="20"/>
        <v>1157.0999999999999</v>
      </c>
      <c r="G661">
        <f>SUMIF($D$2:$D661,$D661,$E$2:$E661)</f>
        <v>3612</v>
      </c>
      <c r="H661">
        <f t="shared" si="21"/>
        <v>0</v>
      </c>
    </row>
    <row r="662" spans="1:8" x14ac:dyDescent="0.25">
      <c r="A662" s="1">
        <v>44657</v>
      </c>
      <c r="B662" t="s">
        <v>8</v>
      </c>
      <c r="C662" t="s">
        <v>17</v>
      </c>
      <c r="D662" t="s">
        <v>25</v>
      </c>
      <c r="E662">
        <v>230</v>
      </c>
      <c r="F662">
        <f t="shared" si="20"/>
        <v>805</v>
      </c>
      <c r="G662">
        <f>SUMIF($D$2:$D662,$D662,$E$2:$E662)</f>
        <v>3478</v>
      </c>
      <c r="H662">
        <f t="shared" si="21"/>
        <v>0</v>
      </c>
    </row>
    <row r="663" spans="1:8" x14ac:dyDescent="0.25">
      <c r="A663" s="1">
        <v>44657</v>
      </c>
      <c r="B663" t="s">
        <v>0</v>
      </c>
      <c r="C663" t="s">
        <v>17</v>
      </c>
      <c r="D663" t="s">
        <v>18</v>
      </c>
      <c r="E663">
        <v>383</v>
      </c>
      <c r="F663">
        <f t="shared" si="20"/>
        <v>1110.7</v>
      </c>
      <c r="G663">
        <f>SUMIF($D$2:$D663,$D663,$E$2:$E663)</f>
        <v>4861</v>
      </c>
      <c r="H663">
        <f t="shared" si="21"/>
        <v>0</v>
      </c>
    </row>
    <row r="664" spans="1:8" x14ac:dyDescent="0.25">
      <c r="A664" s="1">
        <v>44658</v>
      </c>
      <c r="B664" t="s">
        <v>0</v>
      </c>
      <c r="C664" t="s">
        <v>17</v>
      </c>
      <c r="D664" t="s">
        <v>56</v>
      </c>
      <c r="E664">
        <v>12</v>
      </c>
      <c r="F664">
        <f t="shared" si="20"/>
        <v>34.799999999999997</v>
      </c>
      <c r="G664">
        <f>SUMIF($D$2:$D664,$D664,$E$2:$E664)</f>
        <v>5245</v>
      </c>
      <c r="H664">
        <f t="shared" si="21"/>
        <v>0</v>
      </c>
    </row>
    <row r="665" spans="1:8" x14ac:dyDescent="0.25">
      <c r="A665" s="1">
        <v>44658</v>
      </c>
      <c r="B665" t="s">
        <v>10</v>
      </c>
      <c r="C665" t="s">
        <v>17</v>
      </c>
      <c r="D665" t="s">
        <v>34</v>
      </c>
      <c r="E665">
        <v>395</v>
      </c>
      <c r="F665">
        <f t="shared" si="20"/>
        <v>1343</v>
      </c>
      <c r="G665">
        <f>SUMIF($D$2:$D665,$D665,$E$2:$E665)</f>
        <v>4399</v>
      </c>
      <c r="H665">
        <f t="shared" si="21"/>
        <v>0</v>
      </c>
    </row>
    <row r="666" spans="1:8" x14ac:dyDescent="0.25">
      <c r="A666" s="1">
        <v>44658</v>
      </c>
      <c r="B666" t="s">
        <v>4</v>
      </c>
      <c r="C666" t="s">
        <v>17</v>
      </c>
      <c r="D666" t="s">
        <v>36</v>
      </c>
      <c r="E666">
        <v>710</v>
      </c>
      <c r="F666">
        <f t="shared" si="20"/>
        <v>2414</v>
      </c>
      <c r="G666">
        <f>SUMIF($D$2:$D666,$D666,$E$2:$E666)</f>
        <v>5470</v>
      </c>
      <c r="H666">
        <f t="shared" si="21"/>
        <v>0</v>
      </c>
    </row>
    <row r="667" spans="1:8" x14ac:dyDescent="0.25">
      <c r="A667" s="1">
        <v>44658</v>
      </c>
      <c r="B667" t="s">
        <v>0</v>
      </c>
      <c r="C667" t="s">
        <v>17</v>
      </c>
      <c r="D667" t="s">
        <v>58</v>
      </c>
      <c r="E667">
        <v>238</v>
      </c>
      <c r="F667">
        <f t="shared" si="20"/>
        <v>690.19999999999993</v>
      </c>
      <c r="G667">
        <f>SUMIF($D$2:$D667,$D667,$E$2:$E667)</f>
        <v>3485</v>
      </c>
      <c r="H667">
        <f t="shared" si="21"/>
        <v>0</v>
      </c>
    </row>
    <row r="668" spans="1:8" x14ac:dyDescent="0.25">
      <c r="A668" s="1">
        <v>44658</v>
      </c>
      <c r="B668" t="s">
        <v>0</v>
      </c>
      <c r="C668" t="s">
        <v>17</v>
      </c>
      <c r="D668" t="s">
        <v>43</v>
      </c>
      <c r="E668">
        <v>498</v>
      </c>
      <c r="F668">
        <f t="shared" si="20"/>
        <v>1444.2</v>
      </c>
      <c r="G668">
        <f>SUMIF($D$2:$D668,$D668,$E$2:$E668)</f>
        <v>6188</v>
      </c>
      <c r="H668">
        <f t="shared" si="21"/>
        <v>0</v>
      </c>
    </row>
    <row r="669" spans="1:8" x14ac:dyDescent="0.25">
      <c r="A669" s="1">
        <v>44658</v>
      </c>
      <c r="B669" t="s">
        <v>7</v>
      </c>
      <c r="C669" t="s">
        <v>17</v>
      </c>
      <c r="D669" t="s">
        <v>28</v>
      </c>
      <c r="E669">
        <v>229</v>
      </c>
      <c r="F669">
        <f t="shared" si="20"/>
        <v>778.6</v>
      </c>
      <c r="G669">
        <f>SUMIF($D$2:$D669,$D669,$E$2:$E669)</f>
        <v>5419</v>
      </c>
      <c r="H669">
        <f t="shared" si="21"/>
        <v>0</v>
      </c>
    </row>
    <row r="670" spans="1:8" x14ac:dyDescent="0.25">
      <c r="A670" s="1">
        <v>44658</v>
      </c>
      <c r="B670" t="s">
        <v>10</v>
      </c>
      <c r="C670" t="s">
        <v>17</v>
      </c>
      <c r="D670" t="s">
        <v>32</v>
      </c>
      <c r="E670">
        <v>20</v>
      </c>
      <c r="F670">
        <f t="shared" si="20"/>
        <v>68</v>
      </c>
      <c r="G670">
        <f>SUMIF($D$2:$D670,$D670,$E$2:$E670)</f>
        <v>6073</v>
      </c>
      <c r="H670">
        <f t="shared" si="21"/>
        <v>0</v>
      </c>
    </row>
    <row r="671" spans="1:8" x14ac:dyDescent="0.25">
      <c r="A671" s="1">
        <v>44658</v>
      </c>
      <c r="B671" t="s">
        <v>4</v>
      </c>
      <c r="C671" t="s">
        <v>17</v>
      </c>
      <c r="D671" t="s">
        <v>26</v>
      </c>
      <c r="E671">
        <v>730</v>
      </c>
      <c r="F671">
        <f t="shared" si="20"/>
        <v>2482</v>
      </c>
      <c r="G671">
        <f>SUMIF($D$2:$D671,$D671,$E$2:$E671)</f>
        <v>7197</v>
      </c>
      <c r="H671">
        <f t="shared" si="21"/>
        <v>0</v>
      </c>
    </row>
    <row r="672" spans="1:8" x14ac:dyDescent="0.25">
      <c r="A672" s="1">
        <v>44658</v>
      </c>
      <c r="B672" t="s">
        <v>7</v>
      </c>
      <c r="C672" t="s">
        <v>17</v>
      </c>
      <c r="D672" t="s">
        <v>60</v>
      </c>
      <c r="E672">
        <v>688</v>
      </c>
      <c r="F672">
        <f t="shared" si="20"/>
        <v>2339.1999999999998</v>
      </c>
      <c r="G672">
        <f>SUMIF($D$2:$D672,$D672,$E$2:$E672)</f>
        <v>5611</v>
      </c>
      <c r="H672">
        <f t="shared" si="21"/>
        <v>0</v>
      </c>
    </row>
    <row r="673" spans="1:8" x14ac:dyDescent="0.25">
      <c r="A673" s="1">
        <v>44659</v>
      </c>
      <c r="B673" t="s">
        <v>15</v>
      </c>
      <c r="C673" t="s">
        <v>17</v>
      </c>
      <c r="D673" t="s">
        <v>19</v>
      </c>
      <c r="E673">
        <v>379</v>
      </c>
      <c r="F673">
        <f t="shared" si="20"/>
        <v>909.6</v>
      </c>
      <c r="G673">
        <f>SUMIF($D$2:$D673,$D673,$E$2:$E673)</f>
        <v>1239</v>
      </c>
      <c r="H673">
        <f t="shared" si="21"/>
        <v>0</v>
      </c>
    </row>
    <row r="674" spans="1:8" x14ac:dyDescent="0.25">
      <c r="A674" s="1">
        <v>44659</v>
      </c>
      <c r="B674" t="s">
        <v>4</v>
      </c>
      <c r="C674" t="s">
        <v>17</v>
      </c>
      <c r="D674" t="s">
        <v>42</v>
      </c>
      <c r="E674">
        <v>582</v>
      </c>
      <c r="F674">
        <f t="shared" si="20"/>
        <v>1978.8</v>
      </c>
      <c r="G674">
        <f>SUMIF($D$2:$D674,$D674,$E$2:$E674)</f>
        <v>4194</v>
      </c>
      <c r="H674">
        <f t="shared" si="21"/>
        <v>0</v>
      </c>
    </row>
    <row r="675" spans="1:8" x14ac:dyDescent="0.25">
      <c r="A675" s="1">
        <v>44659</v>
      </c>
      <c r="B675" t="s">
        <v>2</v>
      </c>
      <c r="C675" t="s">
        <v>17</v>
      </c>
      <c r="D675" t="s">
        <v>49</v>
      </c>
      <c r="E675">
        <v>99</v>
      </c>
      <c r="F675">
        <f t="shared" si="20"/>
        <v>316.8</v>
      </c>
      <c r="G675">
        <f>SUMIF($D$2:$D675,$D675,$E$2:$E675)</f>
        <v>5267</v>
      </c>
      <c r="H675">
        <f t="shared" si="21"/>
        <v>0</v>
      </c>
    </row>
    <row r="676" spans="1:8" x14ac:dyDescent="0.25">
      <c r="A676" s="1">
        <v>44659</v>
      </c>
      <c r="B676" t="s">
        <v>0</v>
      </c>
      <c r="C676" t="s">
        <v>17</v>
      </c>
      <c r="D676" t="s">
        <v>25</v>
      </c>
      <c r="E676">
        <v>470</v>
      </c>
      <c r="F676">
        <f t="shared" si="20"/>
        <v>1363</v>
      </c>
      <c r="G676">
        <f>SUMIF($D$2:$D676,$D676,$E$2:$E676)</f>
        <v>3948</v>
      </c>
      <c r="H676">
        <f t="shared" si="21"/>
        <v>0</v>
      </c>
    </row>
    <row r="677" spans="1:8" x14ac:dyDescent="0.25">
      <c r="A677" s="1">
        <v>44659</v>
      </c>
      <c r="B677" t="s">
        <v>4</v>
      </c>
      <c r="C677" t="s">
        <v>17</v>
      </c>
      <c r="D677" t="s">
        <v>54</v>
      </c>
      <c r="E677">
        <v>620</v>
      </c>
      <c r="F677">
        <f t="shared" si="20"/>
        <v>2108</v>
      </c>
      <c r="G677">
        <f>SUMIF($D$2:$D677,$D677,$E$2:$E677)</f>
        <v>5667</v>
      </c>
      <c r="H677">
        <f t="shared" si="21"/>
        <v>0</v>
      </c>
    </row>
    <row r="678" spans="1:8" x14ac:dyDescent="0.25">
      <c r="A678" s="1">
        <v>44659</v>
      </c>
      <c r="B678" t="s">
        <v>10</v>
      </c>
      <c r="C678" t="s">
        <v>17</v>
      </c>
      <c r="D678" t="s">
        <v>59</v>
      </c>
      <c r="E678">
        <v>453</v>
      </c>
      <c r="F678">
        <f t="shared" si="20"/>
        <v>1540.2</v>
      </c>
      <c r="G678">
        <f>SUMIF($D$2:$D678,$D678,$E$2:$E678)</f>
        <v>2048</v>
      </c>
      <c r="H678">
        <f t="shared" si="21"/>
        <v>0</v>
      </c>
    </row>
    <row r="679" spans="1:8" x14ac:dyDescent="0.25">
      <c r="A679" s="1">
        <v>44659</v>
      </c>
      <c r="B679" t="s">
        <v>0</v>
      </c>
      <c r="C679" t="s">
        <v>17</v>
      </c>
      <c r="D679" t="s">
        <v>49</v>
      </c>
      <c r="E679">
        <v>270</v>
      </c>
      <c r="F679">
        <f t="shared" si="20"/>
        <v>783</v>
      </c>
      <c r="G679">
        <f>SUMIF($D$2:$D679,$D679,$E$2:$E679)</f>
        <v>5537</v>
      </c>
      <c r="H679">
        <f t="shared" si="21"/>
        <v>0</v>
      </c>
    </row>
    <row r="680" spans="1:8" x14ac:dyDescent="0.25">
      <c r="A680" s="1">
        <v>44659</v>
      </c>
      <c r="B680" t="s">
        <v>0</v>
      </c>
      <c r="C680" t="s">
        <v>17</v>
      </c>
      <c r="D680" t="s">
        <v>58</v>
      </c>
      <c r="E680">
        <v>107</v>
      </c>
      <c r="F680">
        <f t="shared" si="20"/>
        <v>310.3</v>
      </c>
      <c r="G680">
        <f>SUMIF($D$2:$D680,$D680,$E$2:$E680)</f>
        <v>3592</v>
      </c>
      <c r="H680">
        <f t="shared" si="21"/>
        <v>0</v>
      </c>
    </row>
    <row r="681" spans="1:8" x14ac:dyDescent="0.25">
      <c r="A681" s="1">
        <v>44659</v>
      </c>
      <c r="B681" t="s">
        <v>6</v>
      </c>
      <c r="C681" t="s">
        <v>17</v>
      </c>
      <c r="D681" t="s">
        <v>47</v>
      </c>
      <c r="E681">
        <v>101</v>
      </c>
      <c r="F681">
        <f t="shared" si="20"/>
        <v>343.4</v>
      </c>
      <c r="G681">
        <f>SUMIF($D$2:$D681,$D681,$E$2:$E681)</f>
        <v>4884</v>
      </c>
      <c r="H681">
        <f t="shared" si="21"/>
        <v>0</v>
      </c>
    </row>
    <row r="682" spans="1:8" x14ac:dyDescent="0.25">
      <c r="A682" s="1">
        <v>44659</v>
      </c>
      <c r="B682" t="s">
        <v>15</v>
      </c>
      <c r="C682" t="s">
        <v>17</v>
      </c>
      <c r="D682" t="s">
        <v>38</v>
      </c>
      <c r="E682">
        <v>176</v>
      </c>
      <c r="F682">
        <f t="shared" si="20"/>
        <v>422.4</v>
      </c>
      <c r="G682">
        <f>SUMIF($D$2:$D682,$D682,$E$2:$E682)</f>
        <v>6029</v>
      </c>
      <c r="H682">
        <f t="shared" si="21"/>
        <v>0</v>
      </c>
    </row>
    <row r="683" spans="1:8" x14ac:dyDescent="0.25">
      <c r="A683" s="1">
        <v>44660</v>
      </c>
      <c r="B683" t="s">
        <v>10</v>
      </c>
      <c r="C683" t="s">
        <v>17</v>
      </c>
      <c r="D683" t="s">
        <v>36</v>
      </c>
      <c r="E683">
        <v>457</v>
      </c>
      <c r="F683">
        <f t="shared" si="20"/>
        <v>1553.8</v>
      </c>
      <c r="G683">
        <f>SUMIF($D$2:$D683,$D683,$E$2:$E683)</f>
        <v>5927</v>
      </c>
      <c r="H683">
        <f t="shared" si="21"/>
        <v>0</v>
      </c>
    </row>
    <row r="684" spans="1:8" x14ac:dyDescent="0.25">
      <c r="A684" s="1">
        <v>44660</v>
      </c>
      <c r="B684" t="s">
        <v>2</v>
      </c>
      <c r="C684" t="s">
        <v>17</v>
      </c>
      <c r="D684" t="s">
        <v>58</v>
      </c>
      <c r="E684">
        <v>344</v>
      </c>
      <c r="F684">
        <f t="shared" si="20"/>
        <v>1100.8</v>
      </c>
      <c r="G684">
        <f>SUMIF($D$2:$D684,$D684,$E$2:$E684)</f>
        <v>3936</v>
      </c>
      <c r="H684">
        <f t="shared" si="21"/>
        <v>0</v>
      </c>
    </row>
    <row r="685" spans="1:8" x14ac:dyDescent="0.25">
      <c r="A685" s="1">
        <v>44660</v>
      </c>
      <c r="B685" t="s">
        <v>2</v>
      </c>
      <c r="C685" t="s">
        <v>17</v>
      </c>
      <c r="D685" t="s">
        <v>58</v>
      </c>
      <c r="E685">
        <v>294</v>
      </c>
      <c r="F685">
        <f t="shared" si="20"/>
        <v>940.80000000000007</v>
      </c>
      <c r="G685">
        <f>SUMIF($D$2:$D685,$D685,$E$2:$E685)</f>
        <v>4230</v>
      </c>
      <c r="H685">
        <f t="shared" si="21"/>
        <v>0</v>
      </c>
    </row>
    <row r="686" spans="1:8" x14ac:dyDescent="0.25">
      <c r="A686" s="1">
        <v>44660</v>
      </c>
      <c r="B686" t="s">
        <v>7</v>
      </c>
      <c r="C686" t="s">
        <v>17</v>
      </c>
      <c r="D686" t="s">
        <v>35</v>
      </c>
      <c r="E686">
        <v>541</v>
      </c>
      <c r="F686">
        <f t="shared" si="20"/>
        <v>1839.3999999999999</v>
      </c>
      <c r="G686">
        <f>SUMIF($D$2:$D686,$D686,$E$2:$E686)</f>
        <v>4354</v>
      </c>
      <c r="H686">
        <f t="shared" si="21"/>
        <v>0</v>
      </c>
    </row>
    <row r="687" spans="1:8" x14ac:dyDescent="0.25">
      <c r="A687" s="1">
        <v>44660</v>
      </c>
      <c r="B687" t="s">
        <v>4</v>
      </c>
      <c r="C687" t="s">
        <v>17</v>
      </c>
      <c r="D687" t="s">
        <v>36</v>
      </c>
      <c r="E687">
        <v>454</v>
      </c>
      <c r="F687">
        <f t="shared" si="20"/>
        <v>1543.6</v>
      </c>
      <c r="G687">
        <f>SUMIF($D$2:$D687,$D687,$E$2:$E687)</f>
        <v>6381</v>
      </c>
      <c r="H687">
        <f t="shared" si="21"/>
        <v>0</v>
      </c>
    </row>
    <row r="688" spans="1:8" x14ac:dyDescent="0.25">
      <c r="A688" s="1">
        <v>44660</v>
      </c>
      <c r="B688" t="s">
        <v>2</v>
      </c>
      <c r="C688" t="s">
        <v>17</v>
      </c>
      <c r="D688" t="s">
        <v>31</v>
      </c>
      <c r="E688">
        <v>472</v>
      </c>
      <c r="F688">
        <f t="shared" si="20"/>
        <v>1510.4</v>
      </c>
      <c r="G688">
        <f>SUMIF($D$2:$D688,$D688,$E$2:$E688)</f>
        <v>5181</v>
      </c>
      <c r="H688">
        <f t="shared" si="21"/>
        <v>0</v>
      </c>
    </row>
    <row r="689" spans="1:8" x14ac:dyDescent="0.25">
      <c r="A689" s="1">
        <v>44660</v>
      </c>
      <c r="B689" t="s">
        <v>2</v>
      </c>
      <c r="C689" t="s">
        <v>17</v>
      </c>
      <c r="D689" t="s">
        <v>21</v>
      </c>
      <c r="E689">
        <v>213</v>
      </c>
      <c r="F689">
        <f t="shared" si="20"/>
        <v>681.6</v>
      </c>
      <c r="G689">
        <f>SUMIF($D$2:$D689,$D689,$E$2:$E689)</f>
        <v>4829</v>
      </c>
      <c r="H689">
        <f t="shared" si="21"/>
        <v>0</v>
      </c>
    </row>
    <row r="690" spans="1:8" x14ac:dyDescent="0.25">
      <c r="A690" s="1">
        <v>44662</v>
      </c>
      <c r="B690" t="s">
        <v>7</v>
      </c>
      <c r="C690" t="s">
        <v>17</v>
      </c>
      <c r="D690" t="s">
        <v>29</v>
      </c>
      <c r="E690">
        <v>611</v>
      </c>
      <c r="F690">
        <f t="shared" si="20"/>
        <v>2077.4</v>
      </c>
      <c r="G690">
        <f>SUMIF($D$2:$D690,$D690,$E$2:$E690)</f>
        <v>7124</v>
      </c>
      <c r="H690">
        <f t="shared" si="21"/>
        <v>0</v>
      </c>
    </row>
    <row r="691" spans="1:8" x14ac:dyDescent="0.25">
      <c r="A691" s="1">
        <v>44662</v>
      </c>
      <c r="B691" t="s">
        <v>4</v>
      </c>
      <c r="C691" t="s">
        <v>17</v>
      </c>
      <c r="D691" t="s">
        <v>40</v>
      </c>
      <c r="E691">
        <v>771</v>
      </c>
      <c r="F691">
        <f t="shared" si="20"/>
        <v>2621.4</v>
      </c>
      <c r="G691">
        <f>SUMIF($D$2:$D691,$D691,$E$2:$E691)</f>
        <v>2790</v>
      </c>
      <c r="H691">
        <f t="shared" si="21"/>
        <v>0</v>
      </c>
    </row>
    <row r="692" spans="1:8" x14ac:dyDescent="0.25">
      <c r="A692" s="1">
        <v>44662</v>
      </c>
      <c r="B692" t="s">
        <v>2</v>
      </c>
      <c r="C692" t="s">
        <v>17</v>
      </c>
      <c r="D692" t="s">
        <v>55</v>
      </c>
      <c r="E692">
        <v>52</v>
      </c>
      <c r="F692">
        <f t="shared" si="20"/>
        <v>166.4</v>
      </c>
      <c r="G692">
        <f>SUMIF($D$2:$D692,$D692,$E$2:$E692)</f>
        <v>4505</v>
      </c>
      <c r="H692">
        <f t="shared" si="21"/>
        <v>0</v>
      </c>
    </row>
    <row r="693" spans="1:8" x14ac:dyDescent="0.25">
      <c r="A693" s="1">
        <v>44662</v>
      </c>
      <c r="B693" t="s">
        <v>10</v>
      </c>
      <c r="C693" t="s">
        <v>17</v>
      </c>
      <c r="D693" t="s">
        <v>66</v>
      </c>
      <c r="E693">
        <v>36</v>
      </c>
      <c r="F693">
        <f t="shared" si="20"/>
        <v>122.39999999999999</v>
      </c>
      <c r="G693">
        <f>SUMIF($D$2:$D693,$D693,$E$2:$E693)</f>
        <v>4611</v>
      </c>
      <c r="H693">
        <f t="shared" si="21"/>
        <v>0</v>
      </c>
    </row>
    <row r="694" spans="1:8" x14ac:dyDescent="0.25">
      <c r="A694" s="1">
        <v>44662</v>
      </c>
      <c r="B694" t="s">
        <v>7</v>
      </c>
      <c r="C694" t="s">
        <v>17</v>
      </c>
      <c r="D694" t="s">
        <v>45</v>
      </c>
      <c r="E694">
        <v>564</v>
      </c>
      <c r="F694">
        <f t="shared" si="20"/>
        <v>1917.6</v>
      </c>
      <c r="G694">
        <f>SUMIF($D$2:$D694,$D694,$E$2:$E694)</f>
        <v>4299</v>
      </c>
      <c r="H694">
        <f t="shared" si="21"/>
        <v>0</v>
      </c>
    </row>
    <row r="695" spans="1:8" x14ac:dyDescent="0.25">
      <c r="A695" s="1">
        <v>44662</v>
      </c>
      <c r="B695" t="s">
        <v>15</v>
      </c>
      <c r="C695" t="s">
        <v>17</v>
      </c>
      <c r="D695" t="s">
        <v>63</v>
      </c>
      <c r="E695">
        <v>428</v>
      </c>
      <c r="F695">
        <f t="shared" si="20"/>
        <v>1027.2</v>
      </c>
      <c r="G695">
        <f>SUMIF($D$2:$D695,$D695,$E$2:$E695)</f>
        <v>4655</v>
      </c>
      <c r="H695">
        <f t="shared" si="21"/>
        <v>0</v>
      </c>
    </row>
    <row r="696" spans="1:8" x14ac:dyDescent="0.25">
      <c r="A696" s="1">
        <v>44662</v>
      </c>
      <c r="B696" t="s">
        <v>0</v>
      </c>
      <c r="C696" t="s">
        <v>17</v>
      </c>
      <c r="D696" t="s">
        <v>67</v>
      </c>
      <c r="E696">
        <v>460</v>
      </c>
      <c r="F696">
        <f t="shared" si="20"/>
        <v>1334</v>
      </c>
      <c r="G696">
        <f>SUMIF($D$2:$D696,$D696,$E$2:$E696)</f>
        <v>4379</v>
      </c>
      <c r="H696">
        <f t="shared" si="21"/>
        <v>0</v>
      </c>
    </row>
    <row r="697" spans="1:8" x14ac:dyDescent="0.25">
      <c r="A697" s="1">
        <v>44662</v>
      </c>
      <c r="B697" t="s">
        <v>8</v>
      </c>
      <c r="C697" t="s">
        <v>17</v>
      </c>
      <c r="D697" t="s">
        <v>46</v>
      </c>
      <c r="E697">
        <v>633</v>
      </c>
      <c r="F697">
        <f t="shared" si="20"/>
        <v>2215.5</v>
      </c>
      <c r="G697">
        <f>SUMIF($D$2:$D697,$D697,$E$2:$E697)</f>
        <v>4586</v>
      </c>
      <c r="H697">
        <f t="shared" si="21"/>
        <v>0</v>
      </c>
    </row>
    <row r="698" spans="1:8" x14ac:dyDescent="0.25">
      <c r="A698" s="1">
        <v>44662</v>
      </c>
      <c r="B698" t="s">
        <v>2</v>
      </c>
      <c r="C698" t="s">
        <v>17</v>
      </c>
      <c r="D698" t="s">
        <v>36</v>
      </c>
      <c r="E698">
        <v>94</v>
      </c>
      <c r="F698">
        <f t="shared" si="20"/>
        <v>300.8</v>
      </c>
      <c r="G698">
        <f>SUMIF($D$2:$D698,$D698,$E$2:$E698)</f>
        <v>6475</v>
      </c>
      <c r="H698">
        <f t="shared" si="21"/>
        <v>0</v>
      </c>
    </row>
    <row r="699" spans="1:8" x14ac:dyDescent="0.25">
      <c r="A699" s="1">
        <v>44662</v>
      </c>
      <c r="B699" t="s">
        <v>0</v>
      </c>
      <c r="C699" t="s">
        <v>17</v>
      </c>
      <c r="D699" t="s">
        <v>20</v>
      </c>
      <c r="E699">
        <v>307</v>
      </c>
      <c r="F699">
        <f t="shared" si="20"/>
        <v>890.3</v>
      </c>
      <c r="G699">
        <f>SUMIF($D$2:$D699,$D699,$E$2:$E699)</f>
        <v>3926</v>
      </c>
      <c r="H699">
        <f t="shared" si="21"/>
        <v>0</v>
      </c>
    </row>
    <row r="700" spans="1:8" x14ac:dyDescent="0.25">
      <c r="A700" s="1">
        <v>44662</v>
      </c>
      <c r="B700" t="s">
        <v>0</v>
      </c>
      <c r="C700" t="s">
        <v>17</v>
      </c>
      <c r="D700" t="s">
        <v>32</v>
      </c>
      <c r="E700">
        <v>133</v>
      </c>
      <c r="F700">
        <f t="shared" si="20"/>
        <v>385.7</v>
      </c>
      <c r="G700">
        <f>SUMIF($D$2:$D700,$D700,$E$2:$E700)</f>
        <v>6206</v>
      </c>
      <c r="H700">
        <f t="shared" si="21"/>
        <v>0</v>
      </c>
    </row>
    <row r="701" spans="1:8" x14ac:dyDescent="0.25">
      <c r="A701" s="1">
        <v>44662</v>
      </c>
      <c r="B701" t="s">
        <v>10</v>
      </c>
      <c r="C701" t="s">
        <v>17</v>
      </c>
      <c r="D701" t="s">
        <v>64</v>
      </c>
      <c r="E701">
        <v>403</v>
      </c>
      <c r="F701">
        <f t="shared" si="20"/>
        <v>1370.2</v>
      </c>
      <c r="G701">
        <f>SUMIF($D$2:$D701,$D701,$E$2:$E701)</f>
        <v>4202</v>
      </c>
      <c r="H701">
        <f t="shared" si="21"/>
        <v>0</v>
      </c>
    </row>
    <row r="702" spans="1:8" x14ac:dyDescent="0.25">
      <c r="A702" s="1">
        <v>44662</v>
      </c>
      <c r="B702" t="s">
        <v>6</v>
      </c>
      <c r="C702" t="s">
        <v>17</v>
      </c>
      <c r="D702" t="s">
        <v>31</v>
      </c>
      <c r="E702">
        <v>217</v>
      </c>
      <c r="F702">
        <f t="shared" si="20"/>
        <v>737.8</v>
      </c>
      <c r="G702">
        <f>SUMIF($D$2:$D702,$D702,$E$2:$E702)</f>
        <v>5398</v>
      </c>
      <c r="H702">
        <f t="shared" si="21"/>
        <v>0</v>
      </c>
    </row>
    <row r="703" spans="1:8" x14ac:dyDescent="0.25">
      <c r="A703" s="1">
        <v>44663</v>
      </c>
      <c r="B703" t="s">
        <v>5</v>
      </c>
      <c r="C703" t="s">
        <v>17</v>
      </c>
      <c r="D703" t="s">
        <v>32</v>
      </c>
      <c r="E703">
        <v>307</v>
      </c>
      <c r="F703">
        <f t="shared" si="20"/>
        <v>1043.8</v>
      </c>
      <c r="G703">
        <f>SUMIF($D$2:$D703,$D703,$E$2:$E703)</f>
        <v>6513</v>
      </c>
      <c r="H703">
        <f t="shared" si="21"/>
        <v>0</v>
      </c>
    </row>
    <row r="704" spans="1:8" x14ac:dyDescent="0.25">
      <c r="A704" s="1">
        <v>44663</v>
      </c>
      <c r="B704" t="s">
        <v>2</v>
      </c>
      <c r="C704" t="s">
        <v>17</v>
      </c>
      <c r="D704" t="s">
        <v>49</v>
      </c>
      <c r="E704">
        <v>253</v>
      </c>
      <c r="F704">
        <f t="shared" si="20"/>
        <v>809.6</v>
      </c>
      <c r="G704">
        <f>SUMIF($D$2:$D704,$D704,$E$2:$E704)</f>
        <v>5790</v>
      </c>
      <c r="H704">
        <f t="shared" si="21"/>
        <v>0</v>
      </c>
    </row>
    <row r="705" spans="1:8" x14ac:dyDescent="0.25">
      <c r="A705" s="1">
        <v>44663</v>
      </c>
      <c r="B705" t="s">
        <v>8</v>
      </c>
      <c r="C705" t="s">
        <v>17</v>
      </c>
      <c r="D705" t="s">
        <v>30</v>
      </c>
      <c r="E705">
        <v>334</v>
      </c>
      <c r="F705">
        <f t="shared" si="20"/>
        <v>1169</v>
      </c>
      <c r="G705">
        <f>SUMIF($D$2:$D705,$D705,$E$2:$E705)</f>
        <v>6417</v>
      </c>
      <c r="H705">
        <f t="shared" si="21"/>
        <v>0</v>
      </c>
    </row>
    <row r="706" spans="1:8" x14ac:dyDescent="0.25">
      <c r="A706" s="1">
        <v>44663</v>
      </c>
      <c r="B706" t="s">
        <v>2</v>
      </c>
      <c r="C706" t="s">
        <v>17</v>
      </c>
      <c r="D706" t="s">
        <v>21</v>
      </c>
      <c r="E706">
        <v>95</v>
      </c>
      <c r="F706">
        <f t="shared" si="20"/>
        <v>304</v>
      </c>
      <c r="G706">
        <f>SUMIF($D$2:$D706,$D706,$E$2:$E706)</f>
        <v>4924</v>
      </c>
      <c r="H706">
        <f t="shared" si="21"/>
        <v>0</v>
      </c>
    </row>
    <row r="707" spans="1:8" x14ac:dyDescent="0.25">
      <c r="A707" s="1">
        <v>44663</v>
      </c>
      <c r="B707" t="s">
        <v>4</v>
      </c>
      <c r="C707" t="s">
        <v>17</v>
      </c>
      <c r="D707" t="s">
        <v>30</v>
      </c>
      <c r="E707">
        <v>547</v>
      </c>
      <c r="F707">
        <f t="shared" ref="F707:F770" si="22">E707* _xlfn.XLOOKUP(B707,$I$2:$I$17,$J$2:$J$17,"0",0,1)</f>
        <v>1859.8</v>
      </c>
      <c r="G707">
        <f>SUMIF($D$2:$D707,$D707,$E$2:$E707)</f>
        <v>6964</v>
      </c>
      <c r="H707">
        <f t="shared" ref="H707:H770" si="23">IF(AND($G707 &gt; 15000,$G707 &lt; 20000),5*$E707,IF($G707 &gt;= 20000,10*$E707,0))</f>
        <v>0</v>
      </c>
    </row>
    <row r="708" spans="1:8" x14ac:dyDescent="0.25">
      <c r="A708" s="1">
        <v>44663</v>
      </c>
      <c r="B708" t="s">
        <v>4</v>
      </c>
      <c r="C708" t="s">
        <v>17</v>
      </c>
      <c r="D708" t="s">
        <v>35</v>
      </c>
      <c r="E708">
        <v>489</v>
      </c>
      <c r="F708">
        <f t="shared" si="22"/>
        <v>1662.6</v>
      </c>
      <c r="G708">
        <f>SUMIF($D$2:$D708,$D708,$E$2:$E708)</f>
        <v>4843</v>
      </c>
      <c r="H708">
        <f t="shared" si="23"/>
        <v>0</v>
      </c>
    </row>
    <row r="709" spans="1:8" x14ac:dyDescent="0.25">
      <c r="A709" s="1">
        <v>44663</v>
      </c>
      <c r="B709" t="s">
        <v>8</v>
      </c>
      <c r="C709" t="s">
        <v>17</v>
      </c>
      <c r="D709" t="s">
        <v>38</v>
      </c>
      <c r="E709">
        <v>638</v>
      </c>
      <c r="F709">
        <f t="shared" si="22"/>
        <v>2233</v>
      </c>
      <c r="G709">
        <f>SUMIF($D$2:$D709,$D709,$E$2:$E709)</f>
        <v>6667</v>
      </c>
      <c r="H709">
        <f t="shared" si="23"/>
        <v>0</v>
      </c>
    </row>
    <row r="710" spans="1:8" x14ac:dyDescent="0.25">
      <c r="A710" s="1">
        <v>44664</v>
      </c>
      <c r="B710" t="s">
        <v>8</v>
      </c>
      <c r="C710" t="s">
        <v>17</v>
      </c>
      <c r="D710" t="s">
        <v>27</v>
      </c>
      <c r="E710">
        <v>579</v>
      </c>
      <c r="F710">
        <f t="shared" si="22"/>
        <v>2026.5</v>
      </c>
      <c r="G710">
        <f>SUMIF($D$2:$D710,$D710,$E$2:$E710)</f>
        <v>5847</v>
      </c>
      <c r="H710">
        <f t="shared" si="23"/>
        <v>0</v>
      </c>
    </row>
    <row r="711" spans="1:8" x14ac:dyDescent="0.25">
      <c r="A711" s="1">
        <v>44664</v>
      </c>
      <c r="B711" t="s">
        <v>4</v>
      </c>
      <c r="C711" t="s">
        <v>17</v>
      </c>
      <c r="D711" t="s">
        <v>67</v>
      </c>
      <c r="E711">
        <v>413</v>
      </c>
      <c r="F711">
        <f t="shared" si="22"/>
        <v>1404.2</v>
      </c>
      <c r="G711">
        <f>SUMIF($D$2:$D711,$D711,$E$2:$E711)</f>
        <v>4792</v>
      </c>
      <c r="H711">
        <f t="shared" si="23"/>
        <v>0</v>
      </c>
    </row>
    <row r="712" spans="1:8" x14ac:dyDescent="0.25">
      <c r="A712" s="1">
        <v>44664</v>
      </c>
      <c r="B712" t="s">
        <v>10</v>
      </c>
      <c r="C712" t="s">
        <v>17</v>
      </c>
      <c r="D712" t="s">
        <v>64</v>
      </c>
      <c r="E712">
        <v>200</v>
      </c>
      <c r="F712">
        <f t="shared" si="22"/>
        <v>680</v>
      </c>
      <c r="G712">
        <f>SUMIF($D$2:$D712,$D712,$E$2:$E712)</f>
        <v>4402</v>
      </c>
      <c r="H712">
        <f t="shared" si="23"/>
        <v>0</v>
      </c>
    </row>
    <row r="713" spans="1:8" x14ac:dyDescent="0.25">
      <c r="A713" s="1">
        <v>44664</v>
      </c>
      <c r="B713" t="s">
        <v>2</v>
      </c>
      <c r="C713" t="s">
        <v>17</v>
      </c>
      <c r="D713" t="s">
        <v>56</v>
      </c>
      <c r="E713">
        <v>448</v>
      </c>
      <c r="F713">
        <f t="shared" si="22"/>
        <v>1433.6000000000001</v>
      </c>
      <c r="G713">
        <f>SUMIF($D$2:$D713,$D713,$E$2:$E713)</f>
        <v>5693</v>
      </c>
      <c r="H713">
        <f t="shared" si="23"/>
        <v>0</v>
      </c>
    </row>
    <row r="714" spans="1:8" x14ac:dyDescent="0.25">
      <c r="A714" s="1">
        <v>44664</v>
      </c>
      <c r="B714" t="s">
        <v>15</v>
      </c>
      <c r="C714" t="s">
        <v>17</v>
      </c>
      <c r="D714" t="s">
        <v>64</v>
      </c>
      <c r="E714">
        <v>274</v>
      </c>
      <c r="F714">
        <f t="shared" si="22"/>
        <v>657.6</v>
      </c>
      <c r="G714">
        <f>SUMIF($D$2:$D714,$D714,$E$2:$E714)</f>
        <v>4676</v>
      </c>
      <c r="H714">
        <f t="shared" si="23"/>
        <v>0</v>
      </c>
    </row>
    <row r="715" spans="1:8" x14ac:dyDescent="0.25">
      <c r="A715" s="1">
        <v>44665</v>
      </c>
      <c r="B715" t="s">
        <v>8</v>
      </c>
      <c r="C715" t="s">
        <v>17</v>
      </c>
      <c r="D715" t="s">
        <v>67</v>
      </c>
      <c r="E715">
        <v>598</v>
      </c>
      <c r="F715">
        <f t="shared" si="22"/>
        <v>2093</v>
      </c>
      <c r="G715">
        <f>SUMIF($D$2:$D715,$D715,$E$2:$E715)</f>
        <v>5390</v>
      </c>
      <c r="H715">
        <f t="shared" si="23"/>
        <v>0</v>
      </c>
    </row>
    <row r="716" spans="1:8" x14ac:dyDescent="0.25">
      <c r="A716" s="1">
        <v>44665</v>
      </c>
      <c r="B716" t="s">
        <v>15</v>
      </c>
      <c r="C716" t="s">
        <v>17</v>
      </c>
      <c r="D716" t="s">
        <v>28</v>
      </c>
      <c r="E716">
        <v>506</v>
      </c>
      <c r="F716">
        <f t="shared" si="22"/>
        <v>1214.3999999999999</v>
      </c>
      <c r="G716">
        <f>SUMIF($D$2:$D716,$D716,$E$2:$E716)</f>
        <v>5925</v>
      </c>
      <c r="H716">
        <f t="shared" si="23"/>
        <v>0</v>
      </c>
    </row>
    <row r="717" spans="1:8" x14ac:dyDescent="0.25">
      <c r="A717" s="1">
        <v>44665</v>
      </c>
      <c r="B717" t="s">
        <v>5</v>
      </c>
      <c r="C717" t="s">
        <v>17</v>
      </c>
      <c r="D717" t="s">
        <v>25</v>
      </c>
      <c r="E717">
        <v>427</v>
      </c>
      <c r="F717">
        <f t="shared" si="22"/>
        <v>1451.8</v>
      </c>
      <c r="G717">
        <f>SUMIF($D$2:$D717,$D717,$E$2:$E717)</f>
        <v>4375</v>
      </c>
      <c r="H717">
        <f t="shared" si="23"/>
        <v>0</v>
      </c>
    </row>
    <row r="718" spans="1:8" x14ac:dyDescent="0.25">
      <c r="A718" s="1">
        <v>44665</v>
      </c>
      <c r="B718" t="s">
        <v>8</v>
      </c>
      <c r="C718" t="s">
        <v>17</v>
      </c>
      <c r="D718" t="s">
        <v>38</v>
      </c>
      <c r="E718">
        <v>621</v>
      </c>
      <c r="F718">
        <f t="shared" si="22"/>
        <v>2173.5</v>
      </c>
      <c r="G718">
        <f>SUMIF($D$2:$D718,$D718,$E$2:$E718)</f>
        <v>7288</v>
      </c>
      <c r="H718">
        <f t="shared" si="23"/>
        <v>0</v>
      </c>
    </row>
    <row r="719" spans="1:8" x14ac:dyDescent="0.25">
      <c r="A719" s="1">
        <v>44665</v>
      </c>
      <c r="B719" t="s">
        <v>2</v>
      </c>
      <c r="C719" t="s">
        <v>17</v>
      </c>
      <c r="D719" t="s">
        <v>22</v>
      </c>
      <c r="E719">
        <v>397</v>
      </c>
      <c r="F719">
        <f t="shared" si="22"/>
        <v>1270.4000000000001</v>
      </c>
      <c r="G719">
        <f>SUMIF($D$2:$D719,$D719,$E$2:$E719)</f>
        <v>6895</v>
      </c>
      <c r="H719">
        <f t="shared" si="23"/>
        <v>0</v>
      </c>
    </row>
    <row r="720" spans="1:8" x14ac:dyDescent="0.25">
      <c r="A720" s="1">
        <v>44665</v>
      </c>
      <c r="B720" t="s">
        <v>6</v>
      </c>
      <c r="C720" t="s">
        <v>17</v>
      </c>
      <c r="D720" t="s">
        <v>25</v>
      </c>
      <c r="E720">
        <v>155</v>
      </c>
      <c r="F720">
        <f t="shared" si="22"/>
        <v>527</v>
      </c>
      <c r="G720">
        <f>SUMIF($D$2:$D720,$D720,$E$2:$E720)</f>
        <v>4530</v>
      </c>
      <c r="H720">
        <f t="shared" si="23"/>
        <v>0</v>
      </c>
    </row>
    <row r="721" spans="1:8" x14ac:dyDescent="0.25">
      <c r="A721" s="1">
        <v>44666</v>
      </c>
      <c r="B721" t="s">
        <v>15</v>
      </c>
      <c r="C721" t="s">
        <v>17</v>
      </c>
      <c r="D721" t="s">
        <v>23</v>
      </c>
      <c r="E721">
        <v>550</v>
      </c>
      <c r="F721">
        <f t="shared" si="22"/>
        <v>1320</v>
      </c>
      <c r="G721">
        <f>SUMIF($D$2:$D721,$D721,$E$2:$E721)</f>
        <v>5246</v>
      </c>
      <c r="H721">
        <f t="shared" si="23"/>
        <v>0</v>
      </c>
    </row>
    <row r="722" spans="1:8" x14ac:dyDescent="0.25">
      <c r="A722" s="1">
        <v>44666</v>
      </c>
      <c r="B722" t="s">
        <v>5</v>
      </c>
      <c r="C722" t="s">
        <v>17</v>
      </c>
      <c r="D722" t="s">
        <v>38</v>
      </c>
      <c r="E722">
        <v>279</v>
      </c>
      <c r="F722">
        <f t="shared" si="22"/>
        <v>948.6</v>
      </c>
      <c r="G722">
        <f>SUMIF($D$2:$D722,$D722,$E$2:$E722)</f>
        <v>7567</v>
      </c>
      <c r="H722">
        <f t="shared" si="23"/>
        <v>0</v>
      </c>
    </row>
    <row r="723" spans="1:8" x14ac:dyDescent="0.25">
      <c r="A723" s="1">
        <v>44666</v>
      </c>
      <c r="B723" t="s">
        <v>5</v>
      </c>
      <c r="C723" t="s">
        <v>17</v>
      </c>
      <c r="D723" t="s">
        <v>20</v>
      </c>
      <c r="E723">
        <v>133</v>
      </c>
      <c r="F723">
        <f t="shared" si="22"/>
        <v>452.2</v>
      </c>
      <c r="G723">
        <f>SUMIF($D$2:$D723,$D723,$E$2:$E723)</f>
        <v>4059</v>
      </c>
      <c r="H723">
        <f t="shared" si="23"/>
        <v>0</v>
      </c>
    </row>
    <row r="724" spans="1:8" x14ac:dyDescent="0.25">
      <c r="A724" s="1">
        <v>44666</v>
      </c>
      <c r="B724" t="s">
        <v>8</v>
      </c>
      <c r="C724" t="s">
        <v>17</v>
      </c>
      <c r="D724" t="s">
        <v>22</v>
      </c>
      <c r="E724">
        <v>463</v>
      </c>
      <c r="F724">
        <f t="shared" si="22"/>
        <v>1620.5</v>
      </c>
      <c r="G724">
        <f>SUMIF($D$2:$D724,$D724,$E$2:$E724)</f>
        <v>7358</v>
      </c>
      <c r="H724">
        <f t="shared" si="23"/>
        <v>0</v>
      </c>
    </row>
    <row r="725" spans="1:8" x14ac:dyDescent="0.25">
      <c r="A725" s="1">
        <v>44666</v>
      </c>
      <c r="B725" t="s">
        <v>7</v>
      </c>
      <c r="C725" t="s">
        <v>17</v>
      </c>
      <c r="D725" t="s">
        <v>67</v>
      </c>
      <c r="E725">
        <v>474</v>
      </c>
      <c r="F725">
        <f t="shared" si="22"/>
        <v>1611.6</v>
      </c>
      <c r="G725">
        <f>SUMIF($D$2:$D725,$D725,$E$2:$E725)</f>
        <v>5864</v>
      </c>
      <c r="H725">
        <f t="shared" si="23"/>
        <v>0</v>
      </c>
    </row>
    <row r="726" spans="1:8" x14ac:dyDescent="0.25">
      <c r="A726" s="1">
        <v>44666</v>
      </c>
      <c r="B726" t="s">
        <v>7</v>
      </c>
      <c r="C726" t="s">
        <v>17</v>
      </c>
      <c r="D726" t="s">
        <v>66</v>
      </c>
      <c r="E726">
        <v>568</v>
      </c>
      <c r="F726">
        <f t="shared" si="22"/>
        <v>1931.2</v>
      </c>
      <c r="G726">
        <f>SUMIF($D$2:$D726,$D726,$E$2:$E726)</f>
        <v>5179</v>
      </c>
      <c r="H726">
        <f t="shared" si="23"/>
        <v>0</v>
      </c>
    </row>
    <row r="727" spans="1:8" x14ac:dyDescent="0.25">
      <c r="A727" s="1">
        <v>44666</v>
      </c>
      <c r="B727" t="s">
        <v>2</v>
      </c>
      <c r="C727" t="s">
        <v>17</v>
      </c>
      <c r="D727" t="s">
        <v>26</v>
      </c>
      <c r="E727">
        <v>205</v>
      </c>
      <c r="F727">
        <f t="shared" si="22"/>
        <v>656</v>
      </c>
      <c r="G727">
        <f>SUMIF($D$2:$D727,$D727,$E$2:$E727)</f>
        <v>7402</v>
      </c>
      <c r="H727">
        <f t="shared" si="23"/>
        <v>0</v>
      </c>
    </row>
    <row r="728" spans="1:8" x14ac:dyDescent="0.25">
      <c r="A728" s="1">
        <v>44666</v>
      </c>
      <c r="B728" t="s">
        <v>2</v>
      </c>
      <c r="C728" t="s">
        <v>17</v>
      </c>
      <c r="D728" t="s">
        <v>23</v>
      </c>
      <c r="E728">
        <v>412</v>
      </c>
      <c r="F728">
        <f t="shared" si="22"/>
        <v>1318.4</v>
      </c>
      <c r="G728">
        <f>SUMIF($D$2:$D728,$D728,$E$2:$E728)</f>
        <v>5658</v>
      </c>
      <c r="H728">
        <f t="shared" si="23"/>
        <v>0</v>
      </c>
    </row>
    <row r="729" spans="1:8" x14ac:dyDescent="0.25">
      <c r="A729" s="1">
        <v>44666</v>
      </c>
      <c r="B729" t="s">
        <v>15</v>
      </c>
      <c r="C729" t="s">
        <v>17</v>
      </c>
      <c r="D729" t="s">
        <v>23</v>
      </c>
      <c r="E729">
        <v>133</v>
      </c>
      <c r="F729">
        <f t="shared" si="22"/>
        <v>319.2</v>
      </c>
      <c r="G729">
        <f>SUMIF($D$2:$D729,$D729,$E$2:$E729)</f>
        <v>5791</v>
      </c>
      <c r="H729">
        <f t="shared" si="23"/>
        <v>0</v>
      </c>
    </row>
    <row r="730" spans="1:8" x14ac:dyDescent="0.25">
      <c r="A730" s="1">
        <v>44666</v>
      </c>
      <c r="B730" t="s">
        <v>5</v>
      </c>
      <c r="C730" t="s">
        <v>17</v>
      </c>
      <c r="D730" t="s">
        <v>26</v>
      </c>
      <c r="E730">
        <v>458</v>
      </c>
      <c r="F730">
        <f t="shared" si="22"/>
        <v>1557.2</v>
      </c>
      <c r="G730">
        <f>SUMIF($D$2:$D730,$D730,$E$2:$E730)</f>
        <v>7860</v>
      </c>
      <c r="H730">
        <f t="shared" si="23"/>
        <v>0</v>
      </c>
    </row>
    <row r="731" spans="1:8" x14ac:dyDescent="0.25">
      <c r="A731" s="1">
        <v>44666</v>
      </c>
      <c r="B731" t="s">
        <v>5</v>
      </c>
      <c r="C731" t="s">
        <v>17</v>
      </c>
      <c r="D731" t="s">
        <v>62</v>
      </c>
      <c r="E731">
        <v>263</v>
      </c>
      <c r="F731">
        <f t="shared" si="22"/>
        <v>894.19999999999993</v>
      </c>
      <c r="G731">
        <f>SUMIF($D$2:$D731,$D731,$E$2:$E731)</f>
        <v>4481</v>
      </c>
      <c r="H731">
        <f t="shared" si="23"/>
        <v>0</v>
      </c>
    </row>
    <row r="732" spans="1:8" x14ac:dyDescent="0.25">
      <c r="A732" s="1">
        <v>44666</v>
      </c>
      <c r="B732" t="s">
        <v>7</v>
      </c>
      <c r="C732" t="s">
        <v>17</v>
      </c>
      <c r="D732" t="s">
        <v>27</v>
      </c>
      <c r="E732">
        <v>682</v>
      </c>
      <c r="F732">
        <f t="shared" si="22"/>
        <v>2318.7999999999997</v>
      </c>
      <c r="G732">
        <f>SUMIF($D$2:$D732,$D732,$E$2:$E732)</f>
        <v>6529</v>
      </c>
      <c r="H732">
        <f t="shared" si="23"/>
        <v>0</v>
      </c>
    </row>
    <row r="733" spans="1:8" x14ac:dyDescent="0.25">
      <c r="A733" s="1">
        <v>44667</v>
      </c>
      <c r="B733" t="s">
        <v>4</v>
      </c>
      <c r="C733" t="s">
        <v>17</v>
      </c>
      <c r="D733" t="s">
        <v>45</v>
      </c>
      <c r="E733">
        <v>656</v>
      </c>
      <c r="F733">
        <f t="shared" si="22"/>
        <v>2230.4</v>
      </c>
      <c r="G733">
        <f>SUMIF($D$2:$D733,$D733,$E$2:$E733)</f>
        <v>4955</v>
      </c>
      <c r="H733">
        <f t="shared" si="23"/>
        <v>0</v>
      </c>
    </row>
    <row r="734" spans="1:8" x14ac:dyDescent="0.25">
      <c r="A734" s="1">
        <v>44667</v>
      </c>
      <c r="B734" t="s">
        <v>10</v>
      </c>
      <c r="C734" t="s">
        <v>17</v>
      </c>
      <c r="D734" t="s">
        <v>55</v>
      </c>
      <c r="E734">
        <v>465</v>
      </c>
      <c r="F734">
        <f t="shared" si="22"/>
        <v>1581</v>
      </c>
      <c r="G734">
        <f>SUMIF($D$2:$D734,$D734,$E$2:$E734)</f>
        <v>4970</v>
      </c>
      <c r="H734">
        <f t="shared" si="23"/>
        <v>0</v>
      </c>
    </row>
    <row r="735" spans="1:8" x14ac:dyDescent="0.25">
      <c r="A735" s="1">
        <v>44667</v>
      </c>
      <c r="B735" t="s">
        <v>2</v>
      </c>
      <c r="C735" t="s">
        <v>17</v>
      </c>
      <c r="D735" t="s">
        <v>60</v>
      </c>
      <c r="E735">
        <v>79</v>
      </c>
      <c r="F735">
        <f t="shared" si="22"/>
        <v>252.8</v>
      </c>
      <c r="G735">
        <f>SUMIF($D$2:$D735,$D735,$E$2:$E735)</f>
        <v>5690</v>
      </c>
      <c r="H735">
        <f t="shared" si="23"/>
        <v>0</v>
      </c>
    </row>
    <row r="736" spans="1:8" x14ac:dyDescent="0.25">
      <c r="A736" s="1">
        <v>44667</v>
      </c>
      <c r="B736" t="s">
        <v>4</v>
      </c>
      <c r="C736" t="s">
        <v>17</v>
      </c>
      <c r="D736" t="s">
        <v>53</v>
      </c>
      <c r="E736">
        <v>317</v>
      </c>
      <c r="F736">
        <f t="shared" si="22"/>
        <v>1077.8</v>
      </c>
      <c r="G736">
        <f>SUMIF($D$2:$D736,$D736,$E$2:$E736)</f>
        <v>6583</v>
      </c>
      <c r="H736">
        <f t="shared" si="23"/>
        <v>0</v>
      </c>
    </row>
    <row r="737" spans="1:8" x14ac:dyDescent="0.25">
      <c r="A737" s="1">
        <v>44667</v>
      </c>
      <c r="B737" t="s">
        <v>5</v>
      </c>
      <c r="C737" t="s">
        <v>17</v>
      </c>
      <c r="D737" t="s">
        <v>26</v>
      </c>
      <c r="E737">
        <v>376</v>
      </c>
      <c r="F737">
        <f t="shared" si="22"/>
        <v>1278.3999999999999</v>
      </c>
      <c r="G737">
        <f>SUMIF($D$2:$D737,$D737,$E$2:$E737)</f>
        <v>8236</v>
      </c>
      <c r="H737">
        <f t="shared" si="23"/>
        <v>0</v>
      </c>
    </row>
    <row r="738" spans="1:8" x14ac:dyDescent="0.25">
      <c r="A738" s="1">
        <v>44667</v>
      </c>
      <c r="B738" t="s">
        <v>6</v>
      </c>
      <c r="C738" t="s">
        <v>17</v>
      </c>
      <c r="D738" t="s">
        <v>51</v>
      </c>
      <c r="E738">
        <v>119</v>
      </c>
      <c r="F738">
        <f t="shared" si="22"/>
        <v>404.59999999999997</v>
      </c>
      <c r="G738">
        <f>SUMIF($D$2:$D738,$D738,$E$2:$E738)</f>
        <v>5467</v>
      </c>
      <c r="H738">
        <f t="shared" si="23"/>
        <v>0</v>
      </c>
    </row>
    <row r="739" spans="1:8" x14ac:dyDescent="0.25">
      <c r="A739" s="1">
        <v>44667</v>
      </c>
      <c r="B739" t="s">
        <v>5</v>
      </c>
      <c r="C739" t="s">
        <v>17</v>
      </c>
      <c r="D739" t="s">
        <v>67</v>
      </c>
      <c r="E739">
        <v>305</v>
      </c>
      <c r="F739">
        <f t="shared" si="22"/>
        <v>1037</v>
      </c>
      <c r="G739">
        <f>SUMIF($D$2:$D739,$D739,$E$2:$E739)</f>
        <v>6169</v>
      </c>
      <c r="H739">
        <f t="shared" si="23"/>
        <v>0</v>
      </c>
    </row>
    <row r="740" spans="1:8" x14ac:dyDescent="0.25">
      <c r="A740" s="1">
        <v>44667</v>
      </c>
      <c r="B740" t="s">
        <v>5</v>
      </c>
      <c r="C740" t="s">
        <v>17</v>
      </c>
      <c r="D740" t="s">
        <v>60</v>
      </c>
      <c r="E740">
        <v>77</v>
      </c>
      <c r="F740">
        <f t="shared" si="22"/>
        <v>261.8</v>
      </c>
      <c r="G740">
        <f>SUMIF($D$2:$D740,$D740,$E$2:$E740)</f>
        <v>5767</v>
      </c>
      <c r="H740">
        <f t="shared" si="23"/>
        <v>0</v>
      </c>
    </row>
    <row r="741" spans="1:8" x14ac:dyDescent="0.25">
      <c r="A741" s="1">
        <v>44669</v>
      </c>
      <c r="B741" t="s">
        <v>4</v>
      </c>
      <c r="C741" t="s">
        <v>17</v>
      </c>
      <c r="D741" t="s">
        <v>57</v>
      </c>
      <c r="E741">
        <v>795</v>
      </c>
      <c r="F741">
        <f t="shared" si="22"/>
        <v>2703</v>
      </c>
      <c r="G741">
        <f>SUMIF($D$2:$D741,$D741,$E$2:$E741)</f>
        <v>6321</v>
      </c>
      <c r="H741">
        <f t="shared" si="23"/>
        <v>0</v>
      </c>
    </row>
    <row r="742" spans="1:8" x14ac:dyDescent="0.25">
      <c r="A742" s="1">
        <v>44669</v>
      </c>
      <c r="B742" t="s">
        <v>4</v>
      </c>
      <c r="C742" t="s">
        <v>17</v>
      </c>
      <c r="D742" t="s">
        <v>63</v>
      </c>
      <c r="E742">
        <v>398</v>
      </c>
      <c r="F742">
        <f t="shared" si="22"/>
        <v>1353.2</v>
      </c>
      <c r="G742">
        <f>SUMIF($D$2:$D742,$D742,$E$2:$E742)</f>
        <v>5053</v>
      </c>
      <c r="H742">
        <f t="shared" si="23"/>
        <v>0</v>
      </c>
    </row>
    <row r="743" spans="1:8" x14ac:dyDescent="0.25">
      <c r="A743" s="1">
        <v>44669</v>
      </c>
      <c r="B743" t="s">
        <v>4</v>
      </c>
      <c r="C743" t="s">
        <v>17</v>
      </c>
      <c r="D743" t="s">
        <v>50</v>
      </c>
      <c r="E743">
        <v>453</v>
      </c>
      <c r="F743">
        <f t="shared" si="22"/>
        <v>1540.2</v>
      </c>
      <c r="G743">
        <f>SUMIF($D$2:$D743,$D743,$E$2:$E743)</f>
        <v>1974</v>
      </c>
      <c r="H743">
        <f t="shared" si="23"/>
        <v>0</v>
      </c>
    </row>
    <row r="744" spans="1:8" x14ac:dyDescent="0.25">
      <c r="A744" s="1">
        <v>44669</v>
      </c>
      <c r="B744" t="s">
        <v>8</v>
      </c>
      <c r="C744" t="s">
        <v>17</v>
      </c>
      <c r="D744" t="s">
        <v>49</v>
      </c>
      <c r="E744">
        <v>218</v>
      </c>
      <c r="F744">
        <f t="shared" si="22"/>
        <v>763</v>
      </c>
      <c r="G744">
        <f>SUMIF($D$2:$D744,$D744,$E$2:$E744)</f>
        <v>6008</v>
      </c>
      <c r="H744">
        <f t="shared" si="23"/>
        <v>0</v>
      </c>
    </row>
    <row r="745" spans="1:8" x14ac:dyDescent="0.25">
      <c r="A745" s="1">
        <v>44669</v>
      </c>
      <c r="B745" t="s">
        <v>7</v>
      </c>
      <c r="C745" t="s">
        <v>17</v>
      </c>
      <c r="D745" t="s">
        <v>40</v>
      </c>
      <c r="E745">
        <v>590</v>
      </c>
      <c r="F745">
        <f t="shared" si="22"/>
        <v>2006</v>
      </c>
      <c r="G745">
        <f>SUMIF($D$2:$D745,$D745,$E$2:$E745)</f>
        <v>3380</v>
      </c>
      <c r="H745">
        <f t="shared" si="23"/>
        <v>0</v>
      </c>
    </row>
    <row r="746" spans="1:8" x14ac:dyDescent="0.25">
      <c r="A746" s="1">
        <v>44669</v>
      </c>
      <c r="B746" t="s">
        <v>4</v>
      </c>
      <c r="C746" t="s">
        <v>17</v>
      </c>
      <c r="D746" t="s">
        <v>52</v>
      </c>
      <c r="E746">
        <v>426</v>
      </c>
      <c r="F746">
        <f t="shared" si="22"/>
        <v>1448.3999999999999</v>
      </c>
      <c r="G746">
        <f>SUMIF($D$2:$D746,$D746,$E$2:$E746)</f>
        <v>4411</v>
      </c>
      <c r="H746">
        <f t="shared" si="23"/>
        <v>0</v>
      </c>
    </row>
    <row r="747" spans="1:8" x14ac:dyDescent="0.25">
      <c r="A747" s="1">
        <v>44669</v>
      </c>
      <c r="B747" t="s">
        <v>7</v>
      </c>
      <c r="C747" t="s">
        <v>17</v>
      </c>
      <c r="D747" t="s">
        <v>51</v>
      </c>
      <c r="E747">
        <v>674</v>
      </c>
      <c r="F747">
        <f t="shared" si="22"/>
        <v>2291.6</v>
      </c>
      <c r="G747">
        <f>SUMIF($D$2:$D747,$D747,$E$2:$E747)</f>
        <v>6141</v>
      </c>
      <c r="H747">
        <f t="shared" si="23"/>
        <v>0</v>
      </c>
    </row>
    <row r="748" spans="1:8" x14ac:dyDescent="0.25">
      <c r="A748" s="1">
        <v>44669</v>
      </c>
      <c r="B748" t="s">
        <v>2</v>
      </c>
      <c r="C748" t="s">
        <v>17</v>
      </c>
      <c r="D748" t="s">
        <v>29</v>
      </c>
      <c r="E748">
        <v>500</v>
      </c>
      <c r="F748">
        <f t="shared" si="22"/>
        <v>1600</v>
      </c>
      <c r="G748">
        <f>SUMIF($D$2:$D748,$D748,$E$2:$E748)</f>
        <v>7624</v>
      </c>
      <c r="H748">
        <f t="shared" si="23"/>
        <v>0</v>
      </c>
    </row>
    <row r="749" spans="1:8" x14ac:dyDescent="0.25">
      <c r="A749" s="1">
        <v>44669</v>
      </c>
      <c r="B749" t="s">
        <v>8</v>
      </c>
      <c r="C749" t="s">
        <v>17</v>
      </c>
      <c r="D749" t="s">
        <v>45</v>
      </c>
      <c r="E749">
        <v>222</v>
      </c>
      <c r="F749">
        <f t="shared" si="22"/>
        <v>777</v>
      </c>
      <c r="G749">
        <f>SUMIF($D$2:$D749,$D749,$E$2:$E749)</f>
        <v>5177</v>
      </c>
      <c r="H749">
        <f t="shared" si="23"/>
        <v>0</v>
      </c>
    </row>
    <row r="750" spans="1:8" x14ac:dyDescent="0.25">
      <c r="A750" s="1">
        <v>44669</v>
      </c>
      <c r="B750" t="s">
        <v>0</v>
      </c>
      <c r="C750" t="s">
        <v>17</v>
      </c>
      <c r="D750" t="s">
        <v>64</v>
      </c>
      <c r="E750">
        <v>440</v>
      </c>
      <c r="F750">
        <f t="shared" si="22"/>
        <v>1276</v>
      </c>
      <c r="G750">
        <f>SUMIF($D$2:$D750,$D750,$E$2:$E750)</f>
        <v>5116</v>
      </c>
      <c r="H750">
        <f t="shared" si="23"/>
        <v>0</v>
      </c>
    </row>
    <row r="751" spans="1:8" x14ac:dyDescent="0.25">
      <c r="A751" s="1">
        <v>44669</v>
      </c>
      <c r="B751" t="s">
        <v>15</v>
      </c>
      <c r="C751" t="s">
        <v>17</v>
      </c>
      <c r="D751" t="s">
        <v>41</v>
      </c>
      <c r="E751">
        <v>207</v>
      </c>
      <c r="F751">
        <f t="shared" si="22"/>
        <v>496.79999999999995</v>
      </c>
      <c r="G751">
        <f>SUMIF($D$2:$D751,$D751,$E$2:$E751)</f>
        <v>4034</v>
      </c>
      <c r="H751">
        <f t="shared" si="23"/>
        <v>0</v>
      </c>
    </row>
    <row r="752" spans="1:8" x14ac:dyDescent="0.25">
      <c r="A752" s="1">
        <v>44669</v>
      </c>
      <c r="B752" t="s">
        <v>8</v>
      </c>
      <c r="C752" t="s">
        <v>17</v>
      </c>
      <c r="D752" t="s">
        <v>41</v>
      </c>
      <c r="E752">
        <v>481</v>
      </c>
      <c r="F752">
        <f t="shared" si="22"/>
        <v>1683.5</v>
      </c>
      <c r="G752">
        <f>SUMIF($D$2:$D752,$D752,$E$2:$E752)</f>
        <v>4515</v>
      </c>
      <c r="H752">
        <f t="shared" si="23"/>
        <v>0</v>
      </c>
    </row>
    <row r="753" spans="1:8" x14ac:dyDescent="0.25">
      <c r="A753" s="1">
        <v>44669</v>
      </c>
      <c r="B753" t="s">
        <v>15</v>
      </c>
      <c r="C753" t="s">
        <v>17</v>
      </c>
      <c r="D753" t="s">
        <v>48</v>
      </c>
      <c r="E753">
        <v>540</v>
      </c>
      <c r="F753">
        <f t="shared" si="22"/>
        <v>1296</v>
      </c>
      <c r="G753">
        <f>SUMIF($D$2:$D753,$D753,$E$2:$E753)</f>
        <v>2126</v>
      </c>
      <c r="H753">
        <f t="shared" si="23"/>
        <v>0</v>
      </c>
    </row>
    <row r="754" spans="1:8" x14ac:dyDescent="0.25">
      <c r="A754" s="1">
        <v>44669</v>
      </c>
      <c r="B754" t="s">
        <v>4</v>
      </c>
      <c r="C754" t="s">
        <v>17</v>
      </c>
      <c r="D754" t="s">
        <v>16</v>
      </c>
      <c r="E754">
        <v>616</v>
      </c>
      <c r="F754">
        <f t="shared" si="22"/>
        <v>2094.4</v>
      </c>
      <c r="G754">
        <f>SUMIF($D$2:$D754,$D754,$E$2:$E754)</f>
        <v>5959</v>
      </c>
      <c r="H754">
        <f t="shared" si="23"/>
        <v>0</v>
      </c>
    </row>
    <row r="755" spans="1:8" x14ac:dyDescent="0.25">
      <c r="A755" s="1">
        <v>44669</v>
      </c>
      <c r="B755" t="s">
        <v>5</v>
      </c>
      <c r="C755" t="s">
        <v>17</v>
      </c>
      <c r="D755" t="s">
        <v>30</v>
      </c>
      <c r="E755">
        <v>304</v>
      </c>
      <c r="F755">
        <f t="shared" si="22"/>
        <v>1033.5999999999999</v>
      </c>
      <c r="G755">
        <f>SUMIF($D$2:$D755,$D755,$E$2:$E755)</f>
        <v>7268</v>
      </c>
      <c r="H755">
        <f t="shared" si="23"/>
        <v>0</v>
      </c>
    </row>
    <row r="756" spans="1:8" x14ac:dyDescent="0.25">
      <c r="A756" s="1">
        <v>44669</v>
      </c>
      <c r="B756" t="s">
        <v>4</v>
      </c>
      <c r="C756" t="s">
        <v>17</v>
      </c>
      <c r="D756" t="s">
        <v>25</v>
      </c>
      <c r="E756">
        <v>359</v>
      </c>
      <c r="F756">
        <f t="shared" si="22"/>
        <v>1220.5999999999999</v>
      </c>
      <c r="G756">
        <f>SUMIF($D$2:$D756,$D756,$E$2:$E756)</f>
        <v>4889</v>
      </c>
      <c r="H756">
        <f t="shared" si="23"/>
        <v>0</v>
      </c>
    </row>
    <row r="757" spans="1:8" x14ac:dyDescent="0.25">
      <c r="A757" s="1">
        <v>44669</v>
      </c>
      <c r="B757" t="s">
        <v>2</v>
      </c>
      <c r="C757" t="s">
        <v>17</v>
      </c>
      <c r="D757" t="s">
        <v>27</v>
      </c>
      <c r="E757">
        <v>169</v>
      </c>
      <c r="F757">
        <f t="shared" si="22"/>
        <v>540.80000000000007</v>
      </c>
      <c r="G757">
        <f>SUMIF($D$2:$D757,$D757,$E$2:$E757)</f>
        <v>6698</v>
      </c>
      <c r="H757">
        <f t="shared" si="23"/>
        <v>0</v>
      </c>
    </row>
    <row r="758" spans="1:8" x14ac:dyDescent="0.25">
      <c r="A758" s="1">
        <v>44669</v>
      </c>
      <c r="B758" t="s">
        <v>0</v>
      </c>
      <c r="C758" t="s">
        <v>17</v>
      </c>
      <c r="D758" t="s">
        <v>59</v>
      </c>
      <c r="E758">
        <v>277</v>
      </c>
      <c r="F758">
        <f t="shared" si="22"/>
        <v>803.3</v>
      </c>
      <c r="G758">
        <f>SUMIF($D$2:$D758,$D758,$E$2:$E758)</f>
        <v>2325</v>
      </c>
      <c r="H758">
        <f t="shared" si="23"/>
        <v>0</v>
      </c>
    </row>
    <row r="759" spans="1:8" x14ac:dyDescent="0.25">
      <c r="A759" s="1">
        <v>44669</v>
      </c>
      <c r="B759" t="s">
        <v>2</v>
      </c>
      <c r="C759" t="s">
        <v>17</v>
      </c>
      <c r="D759" t="s">
        <v>34</v>
      </c>
      <c r="E759">
        <v>271</v>
      </c>
      <c r="F759">
        <f t="shared" si="22"/>
        <v>867.2</v>
      </c>
      <c r="G759">
        <f>SUMIF($D$2:$D759,$D759,$E$2:$E759)</f>
        <v>4670</v>
      </c>
      <c r="H759">
        <f t="shared" si="23"/>
        <v>0</v>
      </c>
    </row>
    <row r="760" spans="1:8" x14ac:dyDescent="0.25">
      <c r="A760" s="1">
        <v>44670</v>
      </c>
      <c r="B760" t="s">
        <v>6</v>
      </c>
      <c r="C760" t="s">
        <v>17</v>
      </c>
      <c r="D760" t="s">
        <v>30</v>
      </c>
      <c r="E760">
        <v>474</v>
      </c>
      <c r="F760">
        <f t="shared" si="22"/>
        <v>1611.6</v>
      </c>
      <c r="G760">
        <f>SUMIF($D$2:$D760,$D760,$E$2:$E760)</f>
        <v>7742</v>
      </c>
      <c r="H760">
        <f t="shared" si="23"/>
        <v>0</v>
      </c>
    </row>
    <row r="761" spans="1:8" x14ac:dyDescent="0.25">
      <c r="A761" s="1">
        <v>44670</v>
      </c>
      <c r="B761" t="s">
        <v>0</v>
      </c>
      <c r="C761" t="s">
        <v>17</v>
      </c>
      <c r="D761" t="s">
        <v>28</v>
      </c>
      <c r="E761">
        <v>264</v>
      </c>
      <c r="F761">
        <f t="shared" si="22"/>
        <v>765.6</v>
      </c>
      <c r="G761">
        <f>SUMIF($D$2:$D761,$D761,$E$2:$E761)</f>
        <v>6189</v>
      </c>
      <c r="H761">
        <f t="shared" si="23"/>
        <v>0</v>
      </c>
    </row>
    <row r="762" spans="1:8" x14ac:dyDescent="0.25">
      <c r="A762" s="1">
        <v>44670</v>
      </c>
      <c r="B762" t="s">
        <v>4</v>
      </c>
      <c r="C762" t="s">
        <v>17</v>
      </c>
      <c r="D762" t="s">
        <v>31</v>
      </c>
      <c r="E762">
        <v>434</v>
      </c>
      <c r="F762">
        <f t="shared" si="22"/>
        <v>1475.6</v>
      </c>
      <c r="G762">
        <f>SUMIF($D$2:$D762,$D762,$E$2:$E762)</f>
        <v>5832</v>
      </c>
      <c r="H762">
        <f t="shared" si="23"/>
        <v>0</v>
      </c>
    </row>
    <row r="763" spans="1:8" x14ac:dyDescent="0.25">
      <c r="A763" s="1">
        <v>44670</v>
      </c>
      <c r="B763" t="s">
        <v>4</v>
      </c>
      <c r="C763" t="s">
        <v>17</v>
      </c>
      <c r="D763" t="s">
        <v>54</v>
      </c>
      <c r="E763">
        <v>591</v>
      </c>
      <c r="F763">
        <f t="shared" si="22"/>
        <v>2009.3999999999999</v>
      </c>
      <c r="G763">
        <f>SUMIF($D$2:$D763,$D763,$E$2:$E763)</f>
        <v>6258</v>
      </c>
      <c r="H763">
        <f t="shared" si="23"/>
        <v>0</v>
      </c>
    </row>
    <row r="764" spans="1:8" x14ac:dyDescent="0.25">
      <c r="A764" s="1">
        <v>44670</v>
      </c>
      <c r="B764" t="s">
        <v>0</v>
      </c>
      <c r="C764" t="s">
        <v>17</v>
      </c>
      <c r="D764" t="s">
        <v>60</v>
      </c>
      <c r="E764">
        <v>288</v>
      </c>
      <c r="F764">
        <f t="shared" si="22"/>
        <v>835.19999999999993</v>
      </c>
      <c r="G764">
        <f>SUMIF($D$2:$D764,$D764,$E$2:$E764)</f>
        <v>6055</v>
      </c>
      <c r="H764">
        <f t="shared" si="23"/>
        <v>0</v>
      </c>
    </row>
    <row r="765" spans="1:8" x14ac:dyDescent="0.25">
      <c r="A765" s="1">
        <v>44670</v>
      </c>
      <c r="B765" t="s">
        <v>8</v>
      </c>
      <c r="C765" t="s">
        <v>17</v>
      </c>
      <c r="D765" t="s">
        <v>18</v>
      </c>
      <c r="E765">
        <v>469</v>
      </c>
      <c r="F765">
        <f t="shared" si="22"/>
        <v>1641.5</v>
      </c>
      <c r="G765">
        <f>SUMIF($D$2:$D765,$D765,$E$2:$E765)</f>
        <v>5330</v>
      </c>
      <c r="H765">
        <f t="shared" si="23"/>
        <v>0</v>
      </c>
    </row>
    <row r="766" spans="1:8" x14ac:dyDescent="0.25">
      <c r="A766" s="1">
        <v>44670</v>
      </c>
      <c r="B766" t="s">
        <v>15</v>
      </c>
      <c r="C766" t="s">
        <v>17</v>
      </c>
      <c r="D766" t="s">
        <v>46</v>
      </c>
      <c r="E766">
        <v>390</v>
      </c>
      <c r="F766">
        <f t="shared" si="22"/>
        <v>936</v>
      </c>
      <c r="G766">
        <f>SUMIF($D$2:$D766,$D766,$E$2:$E766)</f>
        <v>4976</v>
      </c>
      <c r="H766">
        <f t="shared" si="23"/>
        <v>0</v>
      </c>
    </row>
    <row r="767" spans="1:8" x14ac:dyDescent="0.25">
      <c r="A767" s="1">
        <v>44670</v>
      </c>
      <c r="B767" t="s">
        <v>0</v>
      </c>
      <c r="C767" t="s">
        <v>17</v>
      </c>
      <c r="D767" t="s">
        <v>18</v>
      </c>
      <c r="E767">
        <v>89</v>
      </c>
      <c r="F767">
        <f t="shared" si="22"/>
        <v>258.09999999999997</v>
      </c>
      <c r="G767">
        <f>SUMIF($D$2:$D767,$D767,$E$2:$E767)</f>
        <v>5419</v>
      </c>
      <c r="H767">
        <f t="shared" si="23"/>
        <v>0</v>
      </c>
    </row>
    <row r="768" spans="1:8" x14ac:dyDescent="0.25">
      <c r="A768" s="1">
        <v>44670</v>
      </c>
      <c r="B768" t="s">
        <v>10</v>
      </c>
      <c r="C768" t="s">
        <v>17</v>
      </c>
      <c r="D768" t="s">
        <v>34</v>
      </c>
      <c r="E768">
        <v>56</v>
      </c>
      <c r="F768">
        <f t="shared" si="22"/>
        <v>190.4</v>
      </c>
      <c r="G768">
        <f>SUMIF($D$2:$D768,$D768,$E$2:$E768)</f>
        <v>4726</v>
      </c>
      <c r="H768">
        <f t="shared" si="23"/>
        <v>0</v>
      </c>
    </row>
    <row r="769" spans="1:8" x14ac:dyDescent="0.25">
      <c r="A769" s="1">
        <v>44671</v>
      </c>
      <c r="B769" t="s">
        <v>5</v>
      </c>
      <c r="C769" t="s">
        <v>17</v>
      </c>
      <c r="D769" t="s">
        <v>46</v>
      </c>
      <c r="E769">
        <v>354</v>
      </c>
      <c r="F769">
        <f t="shared" si="22"/>
        <v>1203.5999999999999</v>
      </c>
      <c r="G769">
        <f>SUMIF($D$2:$D769,$D769,$E$2:$E769)</f>
        <v>5330</v>
      </c>
      <c r="H769">
        <f t="shared" si="23"/>
        <v>0</v>
      </c>
    </row>
    <row r="770" spans="1:8" x14ac:dyDescent="0.25">
      <c r="A770" s="1">
        <v>44671</v>
      </c>
      <c r="B770" t="s">
        <v>6</v>
      </c>
      <c r="C770" t="s">
        <v>17</v>
      </c>
      <c r="D770" t="s">
        <v>44</v>
      </c>
      <c r="E770">
        <v>189</v>
      </c>
      <c r="F770">
        <f t="shared" si="22"/>
        <v>642.6</v>
      </c>
      <c r="G770">
        <f>SUMIF($D$2:$D770,$D770,$E$2:$E770)</f>
        <v>6918</v>
      </c>
      <c r="H770">
        <f t="shared" si="23"/>
        <v>0</v>
      </c>
    </row>
    <row r="771" spans="1:8" x14ac:dyDescent="0.25">
      <c r="A771" s="1">
        <v>44671</v>
      </c>
      <c r="B771" t="s">
        <v>6</v>
      </c>
      <c r="C771" t="s">
        <v>17</v>
      </c>
      <c r="D771" t="s">
        <v>18</v>
      </c>
      <c r="E771">
        <v>349</v>
      </c>
      <c r="F771">
        <f t="shared" ref="F771:F834" si="24">E771* _xlfn.XLOOKUP(B771,$I$2:$I$17,$J$2:$J$17,"0",0,1)</f>
        <v>1186.5999999999999</v>
      </c>
      <c r="G771">
        <f>SUMIF($D$2:$D771,$D771,$E$2:$E771)</f>
        <v>5768</v>
      </c>
      <c r="H771">
        <f t="shared" ref="H771:H834" si="25">IF(AND($G771 &gt; 15000,$G771 &lt; 20000),5*$E771,IF($G771 &gt;= 20000,10*$E771,0))</f>
        <v>0</v>
      </c>
    </row>
    <row r="772" spans="1:8" x14ac:dyDescent="0.25">
      <c r="A772" s="1">
        <v>44671</v>
      </c>
      <c r="B772" t="s">
        <v>0</v>
      </c>
      <c r="C772" t="s">
        <v>17</v>
      </c>
      <c r="D772" t="s">
        <v>41</v>
      </c>
      <c r="E772">
        <v>393</v>
      </c>
      <c r="F772">
        <f t="shared" si="24"/>
        <v>1139.7</v>
      </c>
      <c r="G772">
        <f>SUMIF($D$2:$D772,$D772,$E$2:$E772)</f>
        <v>4908</v>
      </c>
      <c r="H772">
        <f t="shared" si="25"/>
        <v>0</v>
      </c>
    </row>
    <row r="773" spans="1:8" x14ac:dyDescent="0.25">
      <c r="A773" s="1">
        <v>44671</v>
      </c>
      <c r="B773" t="s">
        <v>5</v>
      </c>
      <c r="C773" t="s">
        <v>17</v>
      </c>
      <c r="D773" t="s">
        <v>19</v>
      </c>
      <c r="E773">
        <v>166</v>
      </c>
      <c r="F773">
        <f t="shared" si="24"/>
        <v>564.4</v>
      </c>
      <c r="G773">
        <f>SUMIF($D$2:$D773,$D773,$E$2:$E773)</f>
        <v>1405</v>
      </c>
      <c r="H773">
        <f t="shared" si="25"/>
        <v>0</v>
      </c>
    </row>
    <row r="774" spans="1:8" x14ac:dyDescent="0.25">
      <c r="A774" s="1">
        <v>44672</v>
      </c>
      <c r="B774" t="s">
        <v>15</v>
      </c>
      <c r="C774" t="s">
        <v>17</v>
      </c>
      <c r="D774" t="s">
        <v>25</v>
      </c>
      <c r="E774">
        <v>422</v>
      </c>
      <c r="F774">
        <f t="shared" si="24"/>
        <v>1012.8</v>
      </c>
      <c r="G774">
        <f>SUMIF($D$2:$D774,$D774,$E$2:$E774)</f>
        <v>5311</v>
      </c>
      <c r="H774">
        <f t="shared" si="25"/>
        <v>0</v>
      </c>
    </row>
    <row r="775" spans="1:8" x14ac:dyDescent="0.25">
      <c r="A775" s="1">
        <v>44672</v>
      </c>
      <c r="B775" t="s">
        <v>10</v>
      </c>
      <c r="C775" t="s">
        <v>17</v>
      </c>
      <c r="D775" t="s">
        <v>19</v>
      </c>
      <c r="E775">
        <v>148</v>
      </c>
      <c r="F775">
        <f t="shared" si="24"/>
        <v>503.2</v>
      </c>
      <c r="G775">
        <f>SUMIF($D$2:$D775,$D775,$E$2:$E775)</f>
        <v>1553</v>
      </c>
      <c r="H775">
        <f t="shared" si="25"/>
        <v>0</v>
      </c>
    </row>
    <row r="776" spans="1:8" x14ac:dyDescent="0.25">
      <c r="A776" s="1">
        <v>44672</v>
      </c>
      <c r="B776" t="s">
        <v>10</v>
      </c>
      <c r="C776" t="s">
        <v>17</v>
      </c>
      <c r="D776" t="s">
        <v>49</v>
      </c>
      <c r="E776">
        <v>344</v>
      </c>
      <c r="F776">
        <f t="shared" si="24"/>
        <v>1169.5999999999999</v>
      </c>
      <c r="G776">
        <f>SUMIF($D$2:$D776,$D776,$E$2:$E776)</f>
        <v>6352</v>
      </c>
      <c r="H776">
        <f t="shared" si="25"/>
        <v>0</v>
      </c>
    </row>
    <row r="777" spans="1:8" x14ac:dyDescent="0.25">
      <c r="A777" s="1">
        <v>44672</v>
      </c>
      <c r="B777" t="s">
        <v>2</v>
      </c>
      <c r="C777" t="s">
        <v>17</v>
      </c>
      <c r="D777" t="s">
        <v>36</v>
      </c>
      <c r="E777">
        <v>27</v>
      </c>
      <c r="F777">
        <f t="shared" si="24"/>
        <v>86.4</v>
      </c>
      <c r="G777">
        <f>SUMIF($D$2:$D777,$D777,$E$2:$E777)</f>
        <v>6502</v>
      </c>
      <c r="H777">
        <f t="shared" si="25"/>
        <v>0</v>
      </c>
    </row>
    <row r="778" spans="1:8" x14ac:dyDescent="0.25">
      <c r="A778" s="1">
        <v>44672</v>
      </c>
      <c r="B778" t="s">
        <v>8</v>
      </c>
      <c r="C778" t="s">
        <v>17</v>
      </c>
      <c r="D778" t="s">
        <v>33</v>
      </c>
      <c r="E778">
        <v>577</v>
      </c>
      <c r="F778">
        <f t="shared" si="24"/>
        <v>2019.5</v>
      </c>
      <c r="G778">
        <f>SUMIF($D$2:$D778,$D778,$E$2:$E778)</f>
        <v>6089</v>
      </c>
      <c r="H778">
        <f t="shared" si="25"/>
        <v>0</v>
      </c>
    </row>
    <row r="779" spans="1:8" x14ac:dyDescent="0.25">
      <c r="A779" s="1">
        <v>44673</v>
      </c>
      <c r="B779" t="s">
        <v>10</v>
      </c>
      <c r="C779" t="s">
        <v>17</v>
      </c>
      <c r="D779" t="s">
        <v>48</v>
      </c>
      <c r="E779">
        <v>306</v>
      </c>
      <c r="F779">
        <f t="shared" si="24"/>
        <v>1040.3999999999999</v>
      </c>
      <c r="G779">
        <f>SUMIF($D$2:$D779,$D779,$E$2:$E779)</f>
        <v>2432</v>
      </c>
      <c r="H779">
        <f t="shared" si="25"/>
        <v>0</v>
      </c>
    </row>
    <row r="780" spans="1:8" x14ac:dyDescent="0.25">
      <c r="A780" s="1">
        <v>44673</v>
      </c>
      <c r="B780" t="s">
        <v>7</v>
      </c>
      <c r="C780" t="s">
        <v>17</v>
      </c>
      <c r="D780" t="s">
        <v>18</v>
      </c>
      <c r="E780">
        <v>266</v>
      </c>
      <c r="F780">
        <f t="shared" si="24"/>
        <v>904.4</v>
      </c>
      <c r="G780">
        <f>SUMIF($D$2:$D780,$D780,$E$2:$E780)</f>
        <v>6034</v>
      </c>
      <c r="H780">
        <f t="shared" si="25"/>
        <v>0</v>
      </c>
    </row>
    <row r="781" spans="1:8" x14ac:dyDescent="0.25">
      <c r="A781" s="1">
        <v>44673</v>
      </c>
      <c r="B781" t="s">
        <v>10</v>
      </c>
      <c r="C781" t="s">
        <v>17</v>
      </c>
      <c r="D781" t="s">
        <v>19</v>
      </c>
      <c r="E781">
        <v>292</v>
      </c>
      <c r="F781">
        <f t="shared" si="24"/>
        <v>992.8</v>
      </c>
      <c r="G781">
        <f>SUMIF($D$2:$D781,$D781,$E$2:$E781)</f>
        <v>1845</v>
      </c>
      <c r="H781">
        <f t="shared" si="25"/>
        <v>0</v>
      </c>
    </row>
    <row r="782" spans="1:8" x14ac:dyDescent="0.25">
      <c r="A782" s="1">
        <v>44673</v>
      </c>
      <c r="B782" t="s">
        <v>2</v>
      </c>
      <c r="C782" t="s">
        <v>17</v>
      </c>
      <c r="D782" t="s">
        <v>43</v>
      </c>
      <c r="E782">
        <v>383</v>
      </c>
      <c r="F782">
        <f t="shared" si="24"/>
        <v>1225.6000000000001</v>
      </c>
      <c r="G782">
        <f>SUMIF($D$2:$D782,$D782,$E$2:$E782)</f>
        <v>6571</v>
      </c>
      <c r="H782">
        <f t="shared" si="25"/>
        <v>0</v>
      </c>
    </row>
    <row r="783" spans="1:8" x14ac:dyDescent="0.25">
      <c r="A783" s="1">
        <v>44673</v>
      </c>
      <c r="B783" t="s">
        <v>5</v>
      </c>
      <c r="C783" t="s">
        <v>17</v>
      </c>
      <c r="D783" t="s">
        <v>64</v>
      </c>
      <c r="E783">
        <v>356</v>
      </c>
      <c r="F783">
        <f t="shared" si="24"/>
        <v>1210.3999999999999</v>
      </c>
      <c r="G783">
        <f>SUMIF($D$2:$D783,$D783,$E$2:$E783)</f>
        <v>5472</v>
      </c>
      <c r="H783">
        <f t="shared" si="25"/>
        <v>0</v>
      </c>
    </row>
    <row r="784" spans="1:8" x14ac:dyDescent="0.25">
      <c r="A784" s="1">
        <v>44673</v>
      </c>
      <c r="B784" t="s">
        <v>5</v>
      </c>
      <c r="C784" t="s">
        <v>17</v>
      </c>
      <c r="D784" t="s">
        <v>39</v>
      </c>
      <c r="E784">
        <v>388</v>
      </c>
      <c r="F784">
        <f t="shared" si="24"/>
        <v>1319.2</v>
      </c>
      <c r="G784">
        <f>SUMIF($D$2:$D784,$D784,$E$2:$E784)</f>
        <v>4771</v>
      </c>
      <c r="H784">
        <f t="shared" si="25"/>
        <v>0</v>
      </c>
    </row>
    <row r="785" spans="1:8" x14ac:dyDescent="0.25">
      <c r="A785" s="1">
        <v>44674</v>
      </c>
      <c r="B785" t="s">
        <v>0</v>
      </c>
      <c r="C785" t="s">
        <v>17</v>
      </c>
      <c r="D785" t="s">
        <v>46</v>
      </c>
      <c r="E785">
        <v>246</v>
      </c>
      <c r="F785">
        <f t="shared" si="24"/>
        <v>713.4</v>
      </c>
      <c r="G785">
        <f>SUMIF($D$2:$D785,$D785,$E$2:$E785)</f>
        <v>5576</v>
      </c>
      <c r="H785">
        <f t="shared" si="25"/>
        <v>0</v>
      </c>
    </row>
    <row r="786" spans="1:8" x14ac:dyDescent="0.25">
      <c r="A786" s="1">
        <v>44674</v>
      </c>
      <c r="B786" t="s">
        <v>4</v>
      </c>
      <c r="C786" t="s">
        <v>17</v>
      </c>
      <c r="D786" t="s">
        <v>52</v>
      </c>
      <c r="E786">
        <v>710</v>
      </c>
      <c r="F786">
        <f t="shared" si="24"/>
        <v>2414</v>
      </c>
      <c r="G786">
        <f>SUMIF($D$2:$D786,$D786,$E$2:$E786)</f>
        <v>5121</v>
      </c>
      <c r="H786">
        <f t="shared" si="25"/>
        <v>0</v>
      </c>
    </row>
    <row r="787" spans="1:8" x14ac:dyDescent="0.25">
      <c r="A787" s="1">
        <v>44674</v>
      </c>
      <c r="B787" t="s">
        <v>4</v>
      </c>
      <c r="C787" t="s">
        <v>17</v>
      </c>
      <c r="D787" t="s">
        <v>33</v>
      </c>
      <c r="E787">
        <v>549</v>
      </c>
      <c r="F787">
        <f t="shared" si="24"/>
        <v>1866.6</v>
      </c>
      <c r="G787">
        <f>SUMIF($D$2:$D787,$D787,$E$2:$E787)</f>
        <v>6638</v>
      </c>
      <c r="H787">
        <f t="shared" si="25"/>
        <v>0</v>
      </c>
    </row>
    <row r="788" spans="1:8" x14ac:dyDescent="0.25">
      <c r="A788" s="1">
        <v>44674</v>
      </c>
      <c r="B788" t="s">
        <v>8</v>
      </c>
      <c r="C788" t="s">
        <v>17</v>
      </c>
      <c r="D788" t="s">
        <v>25</v>
      </c>
      <c r="E788">
        <v>580</v>
      </c>
      <c r="F788">
        <f t="shared" si="24"/>
        <v>2030</v>
      </c>
      <c r="G788">
        <f>SUMIF($D$2:$D788,$D788,$E$2:$E788)</f>
        <v>5891</v>
      </c>
      <c r="H788">
        <f t="shared" si="25"/>
        <v>0</v>
      </c>
    </row>
    <row r="789" spans="1:8" x14ac:dyDescent="0.25">
      <c r="A789" s="1">
        <v>44674</v>
      </c>
      <c r="B789" t="s">
        <v>6</v>
      </c>
      <c r="C789" t="s">
        <v>17</v>
      </c>
      <c r="D789" t="s">
        <v>46</v>
      </c>
      <c r="E789">
        <v>237</v>
      </c>
      <c r="F789">
        <f t="shared" si="24"/>
        <v>805.8</v>
      </c>
      <c r="G789">
        <f>SUMIF($D$2:$D789,$D789,$E$2:$E789)</f>
        <v>5813</v>
      </c>
      <c r="H789">
        <f t="shared" si="25"/>
        <v>0</v>
      </c>
    </row>
    <row r="790" spans="1:8" x14ac:dyDescent="0.25">
      <c r="A790" s="1">
        <v>44676</v>
      </c>
      <c r="B790" t="s">
        <v>8</v>
      </c>
      <c r="C790" t="s">
        <v>17</v>
      </c>
      <c r="D790" t="s">
        <v>64</v>
      </c>
      <c r="E790">
        <v>403</v>
      </c>
      <c r="F790">
        <f t="shared" si="24"/>
        <v>1410.5</v>
      </c>
      <c r="G790">
        <f>SUMIF($D$2:$D790,$D790,$E$2:$E790)</f>
        <v>5875</v>
      </c>
      <c r="H790">
        <f t="shared" si="25"/>
        <v>0</v>
      </c>
    </row>
    <row r="791" spans="1:8" x14ac:dyDescent="0.25">
      <c r="A791" s="1">
        <v>44676</v>
      </c>
      <c r="B791" t="s">
        <v>2</v>
      </c>
      <c r="C791" t="s">
        <v>17</v>
      </c>
      <c r="D791" t="s">
        <v>52</v>
      </c>
      <c r="E791">
        <v>415</v>
      </c>
      <c r="F791">
        <f t="shared" si="24"/>
        <v>1328</v>
      </c>
      <c r="G791">
        <f>SUMIF($D$2:$D791,$D791,$E$2:$E791)</f>
        <v>5536</v>
      </c>
      <c r="H791">
        <f t="shared" si="25"/>
        <v>0</v>
      </c>
    </row>
    <row r="792" spans="1:8" x14ac:dyDescent="0.25">
      <c r="A792" s="1">
        <v>44676</v>
      </c>
      <c r="B792" t="s">
        <v>0</v>
      </c>
      <c r="C792" t="s">
        <v>17</v>
      </c>
      <c r="D792" t="s">
        <v>33</v>
      </c>
      <c r="E792">
        <v>319</v>
      </c>
      <c r="F792">
        <f t="shared" si="24"/>
        <v>925.1</v>
      </c>
      <c r="G792">
        <f>SUMIF($D$2:$D792,$D792,$E$2:$E792)</f>
        <v>6957</v>
      </c>
      <c r="H792">
        <f t="shared" si="25"/>
        <v>0</v>
      </c>
    </row>
    <row r="793" spans="1:8" x14ac:dyDescent="0.25">
      <c r="A793" s="1">
        <v>44676</v>
      </c>
      <c r="B793" t="s">
        <v>5</v>
      </c>
      <c r="C793" t="s">
        <v>17</v>
      </c>
      <c r="D793" t="s">
        <v>26</v>
      </c>
      <c r="E793">
        <v>189</v>
      </c>
      <c r="F793">
        <f t="shared" si="24"/>
        <v>642.6</v>
      </c>
      <c r="G793">
        <f>SUMIF($D$2:$D793,$D793,$E$2:$E793)</f>
        <v>8425</v>
      </c>
      <c r="H793">
        <f t="shared" si="25"/>
        <v>0</v>
      </c>
    </row>
    <row r="794" spans="1:8" x14ac:dyDescent="0.25">
      <c r="A794" s="1">
        <v>44676</v>
      </c>
      <c r="B794" t="s">
        <v>5</v>
      </c>
      <c r="C794" t="s">
        <v>17</v>
      </c>
      <c r="D794" t="s">
        <v>29</v>
      </c>
      <c r="E794">
        <v>85</v>
      </c>
      <c r="F794">
        <f t="shared" si="24"/>
        <v>289</v>
      </c>
      <c r="G794">
        <f>SUMIF($D$2:$D794,$D794,$E$2:$E794)</f>
        <v>7709</v>
      </c>
      <c r="H794">
        <f t="shared" si="25"/>
        <v>0</v>
      </c>
    </row>
    <row r="795" spans="1:8" x14ac:dyDescent="0.25">
      <c r="A795" s="1">
        <v>44676</v>
      </c>
      <c r="B795" t="s">
        <v>7</v>
      </c>
      <c r="C795" t="s">
        <v>17</v>
      </c>
      <c r="D795" t="s">
        <v>53</v>
      </c>
      <c r="E795">
        <v>448</v>
      </c>
      <c r="F795">
        <f t="shared" si="24"/>
        <v>1523.2</v>
      </c>
      <c r="G795">
        <f>SUMIF($D$2:$D795,$D795,$E$2:$E795)</f>
        <v>7031</v>
      </c>
      <c r="H795">
        <f t="shared" si="25"/>
        <v>0</v>
      </c>
    </row>
    <row r="796" spans="1:8" x14ac:dyDescent="0.25">
      <c r="A796" s="1">
        <v>44676</v>
      </c>
      <c r="B796" t="s">
        <v>15</v>
      </c>
      <c r="C796" t="s">
        <v>17</v>
      </c>
      <c r="D796" t="s">
        <v>26</v>
      </c>
      <c r="E796">
        <v>389</v>
      </c>
      <c r="F796">
        <f t="shared" si="24"/>
        <v>933.59999999999991</v>
      </c>
      <c r="G796">
        <f>SUMIF($D$2:$D796,$D796,$E$2:$E796)</f>
        <v>8814</v>
      </c>
      <c r="H796">
        <f t="shared" si="25"/>
        <v>0</v>
      </c>
    </row>
    <row r="797" spans="1:8" x14ac:dyDescent="0.25">
      <c r="A797" s="1">
        <v>44676</v>
      </c>
      <c r="B797" t="s">
        <v>4</v>
      </c>
      <c r="C797" t="s">
        <v>17</v>
      </c>
      <c r="D797" t="s">
        <v>58</v>
      </c>
      <c r="E797">
        <v>623</v>
      </c>
      <c r="F797">
        <f t="shared" si="24"/>
        <v>2118.1999999999998</v>
      </c>
      <c r="G797">
        <f>SUMIF($D$2:$D797,$D797,$E$2:$E797)</f>
        <v>4853</v>
      </c>
      <c r="H797">
        <f t="shared" si="25"/>
        <v>0</v>
      </c>
    </row>
    <row r="798" spans="1:8" x14ac:dyDescent="0.25">
      <c r="A798" s="1">
        <v>44676</v>
      </c>
      <c r="B798" t="s">
        <v>4</v>
      </c>
      <c r="C798" t="s">
        <v>17</v>
      </c>
      <c r="D798" t="s">
        <v>56</v>
      </c>
      <c r="E798">
        <v>668</v>
      </c>
      <c r="F798">
        <f t="shared" si="24"/>
        <v>2271.1999999999998</v>
      </c>
      <c r="G798">
        <f>SUMIF($D$2:$D798,$D798,$E$2:$E798)</f>
        <v>6361</v>
      </c>
      <c r="H798">
        <f t="shared" si="25"/>
        <v>0</v>
      </c>
    </row>
    <row r="799" spans="1:8" x14ac:dyDescent="0.25">
      <c r="A799" s="1">
        <v>44676</v>
      </c>
      <c r="B799" t="s">
        <v>15</v>
      </c>
      <c r="C799" t="s">
        <v>17</v>
      </c>
      <c r="D799" t="s">
        <v>32</v>
      </c>
      <c r="E799">
        <v>178</v>
      </c>
      <c r="F799">
        <f t="shared" si="24"/>
        <v>427.2</v>
      </c>
      <c r="G799">
        <f>SUMIF($D$2:$D799,$D799,$E$2:$E799)</f>
        <v>6691</v>
      </c>
      <c r="H799">
        <f t="shared" si="25"/>
        <v>0</v>
      </c>
    </row>
    <row r="800" spans="1:8" x14ac:dyDescent="0.25">
      <c r="A800" s="1">
        <v>44677</v>
      </c>
      <c r="B800" t="s">
        <v>5</v>
      </c>
      <c r="C800" t="s">
        <v>17</v>
      </c>
      <c r="D800" t="s">
        <v>64</v>
      </c>
      <c r="E800">
        <v>338</v>
      </c>
      <c r="F800">
        <f t="shared" si="24"/>
        <v>1149.2</v>
      </c>
      <c r="G800">
        <f>SUMIF($D$2:$D800,$D800,$E$2:$E800)</f>
        <v>6213</v>
      </c>
      <c r="H800">
        <f t="shared" si="25"/>
        <v>0</v>
      </c>
    </row>
    <row r="801" spans="1:8" x14ac:dyDescent="0.25">
      <c r="A801" s="1">
        <v>44677</v>
      </c>
      <c r="B801" t="s">
        <v>6</v>
      </c>
      <c r="C801" t="s">
        <v>17</v>
      </c>
      <c r="D801" t="s">
        <v>29</v>
      </c>
      <c r="E801">
        <v>344</v>
      </c>
      <c r="F801">
        <f t="shared" si="24"/>
        <v>1169.5999999999999</v>
      </c>
      <c r="G801">
        <f>SUMIF($D$2:$D801,$D801,$E$2:$E801)</f>
        <v>8053</v>
      </c>
      <c r="H801">
        <f t="shared" si="25"/>
        <v>0</v>
      </c>
    </row>
    <row r="802" spans="1:8" x14ac:dyDescent="0.25">
      <c r="A802" s="1">
        <v>44677</v>
      </c>
      <c r="B802" t="s">
        <v>7</v>
      </c>
      <c r="C802" t="s">
        <v>17</v>
      </c>
      <c r="D802" t="s">
        <v>57</v>
      </c>
      <c r="E802">
        <v>415</v>
      </c>
      <c r="F802">
        <f t="shared" si="24"/>
        <v>1411</v>
      </c>
      <c r="G802">
        <f>SUMIF($D$2:$D802,$D802,$E$2:$E802)</f>
        <v>6736</v>
      </c>
      <c r="H802">
        <f t="shared" si="25"/>
        <v>0</v>
      </c>
    </row>
    <row r="803" spans="1:8" x14ac:dyDescent="0.25">
      <c r="A803" s="1">
        <v>44678</v>
      </c>
      <c r="B803" t="s">
        <v>7</v>
      </c>
      <c r="C803" t="s">
        <v>17</v>
      </c>
      <c r="D803" t="s">
        <v>36</v>
      </c>
      <c r="E803">
        <v>255</v>
      </c>
      <c r="F803">
        <f t="shared" si="24"/>
        <v>867</v>
      </c>
      <c r="G803">
        <f>SUMIF($D$2:$D803,$D803,$E$2:$E803)</f>
        <v>6757</v>
      </c>
      <c r="H803">
        <f t="shared" si="25"/>
        <v>0</v>
      </c>
    </row>
    <row r="804" spans="1:8" x14ac:dyDescent="0.25">
      <c r="A804" s="1">
        <v>44678</v>
      </c>
      <c r="B804" t="s">
        <v>2</v>
      </c>
      <c r="C804" t="s">
        <v>17</v>
      </c>
      <c r="D804" t="s">
        <v>50</v>
      </c>
      <c r="E804">
        <v>150</v>
      </c>
      <c r="F804">
        <f t="shared" si="24"/>
        <v>480</v>
      </c>
      <c r="G804">
        <f>SUMIF($D$2:$D804,$D804,$E$2:$E804)</f>
        <v>2124</v>
      </c>
      <c r="H804">
        <f t="shared" si="25"/>
        <v>0</v>
      </c>
    </row>
    <row r="805" spans="1:8" x14ac:dyDescent="0.25">
      <c r="A805" s="1">
        <v>44678</v>
      </c>
      <c r="B805" t="s">
        <v>15</v>
      </c>
      <c r="C805" t="s">
        <v>17</v>
      </c>
      <c r="D805" t="s">
        <v>64</v>
      </c>
      <c r="E805">
        <v>383</v>
      </c>
      <c r="F805">
        <f t="shared" si="24"/>
        <v>919.19999999999993</v>
      </c>
      <c r="G805">
        <f>SUMIF($D$2:$D805,$D805,$E$2:$E805)</f>
        <v>6596</v>
      </c>
      <c r="H805">
        <f t="shared" si="25"/>
        <v>0</v>
      </c>
    </row>
    <row r="806" spans="1:8" x14ac:dyDescent="0.25">
      <c r="A806" s="1">
        <v>44678</v>
      </c>
      <c r="B806" t="s">
        <v>2</v>
      </c>
      <c r="C806" t="s">
        <v>17</v>
      </c>
      <c r="D806" t="s">
        <v>40</v>
      </c>
      <c r="E806">
        <v>404</v>
      </c>
      <c r="F806">
        <f t="shared" si="24"/>
        <v>1292.8000000000002</v>
      </c>
      <c r="G806">
        <f>SUMIF($D$2:$D806,$D806,$E$2:$E806)</f>
        <v>3784</v>
      </c>
      <c r="H806">
        <f t="shared" si="25"/>
        <v>0</v>
      </c>
    </row>
    <row r="807" spans="1:8" x14ac:dyDescent="0.25">
      <c r="A807" s="1">
        <v>44678</v>
      </c>
      <c r="B807" t="s">
        <v>10</v>
      </c>
      <c r="C807" t="s">
        <v>17</v>
      </c>
      <c r="D807" t="s">
        <v>25</v>
      </c>
      <c r="E807">
        <v>177</v>
      </c>
      <c r="F807">
        <f t="shared" si="24"/>
        <v>601.79999999999995</v>
      </c>
      <c r="G807">
        <f>SUMIF($D$2:$D807,$D807,$E$2:$E807)</f>
        <v>6068</v>
      </c>
      <c r="H807">
        <f t="shared" si="25"/>
        <v>0</v>
      </c>
    </row>
    <row r="808" spans="1:8" x14ac:dyDescent="0.25">
      <c r="A808" s="1">
        <v>44678</v>
      </c>
      <c r="B808" t="s">
        <v>15</v>
      </c>
      <c r="C808" t="s">
        <v>17</v>
      </c>
      <c r="D808" t="s">
        <v>57</v>
      </c>
      <c r="E808">
        <v>415</v>
      </c>
      <c r="F808">
        <f t="shared" si="24"/>
        <v>996</v>
      </c>
      <c r="G808">
        <f>SUMIF($D$2:$D808,$D808,$E$2:$E808)</f>
        <v>7151</v>
      </c>
      <c r="H808">
        <f t="shared" si="25"/>
        <v>0</v>
      </c>
    </row>
    <row r="809" spans="1:8" x14ac:dyDescent="0.25">
      <c r="A809" s="1">
        <v>44678</v>
      </c>
      <c r="B809" t="s">
        <v>7</v>
      </c>
      <c r="C809" t="s">
        <v>17</v>
      </c>
      <c r="D809" t="s">
        <v>40</v>
      </c>
      <c r="E809">
        <v>475</v>
      </c>
      <c r="F809">
        <f t="shared" si="24"/>
        <v>1615</v>
      </c>
      <c r="G809">
        <f>SUMIF($D$2:$D809,$D809,$E$2:$E809)</f>
        <v>4259</v>
      </c>
      <c r="H809">
        <f t="shared" si="25"/>
        <v>0</v>
      </c>
    </row>
    <row r="810" spans="1:8" x14ac:dyDescent="0.25">
      <c r="A810" s="1">
        <v>44678</v>
      </c>
      <c r="B810" t="s">
        <v>4</v>
      </c>
      <c r="C810" t="s">
        <v>17</v>
      </c>
      <c r="D810" t="s">
        <v>67</v>
      </c>
      <c r="E810">
        <v>423</v>
      </c>
      <c r="F810">
        <f t="shared" si="24"/>
        <v>1438.2</v>
      </c>
      <c r="G810">
        <f>SUMIF($D$2:$D810,$D810,$E$2:$E810)</f>
        <v>6592</v>
      </c>
      <c r="H810">
        <f t="shared" si="25"/>
        <v>0</v>
      </c>
    </row>
    <row r="811" spans="1:8" x14ac:dyDescent="0.25">
      <c r="A811" s="1">
        <v>44678</v>
      </c>
      <c r="B811" t="s">
        <v>15</v>
      </c>
      <c r="C811" t="s">
        <v>17</v>
      </c>
      <c r="D811" t="s">
        <v>66</v>
      </c>
      <c r="E811">
        <v>487</v>
      </c>
      <c r="F811">
        <f t="shared" si="24"/>
        <v>1168.8</v>
      </c>
      <c r="G811">
        <f>SUMIF($D$2:$D811,$D811,$E$2:$E811)</f>
        <v>5666</v>
      </c>
      <c r="H811">
        <f t="shared" si="25"/>
        <v>0</v>
      </c>
    </row>
    <row r="812" spans="1:8" x14ac:dyDescent="0.25">
      <c r="A812" s="1">
        <v>44678</v>
      </c>
      <c r="B812" t="s">
        <v>15</v>
      </c>
      <c r="C812" t="s">
        <v>17</v>
      </c>
      <c r="D812" t="s">
        <v>50</v>
      </c>
      <c r="E812">
        <v>253</v>
      </c>
      <c r="F812">
        <f t="shared" si="24"/>
        <v>607.19999999999993</v>
      </c>
      <c r="G812">
        <f>SUMIF($D$2:$D812,$D812,$E$2:$E812)</f>
        <v>2377</v>
      </c>
      <c r="H812">
        <f t="shared" si="25"/>
        <v>0</v>
      </c>
    </row>
    <row r="813" spans="1:8" x14ac:dyDescent="0.25">
      <c r="A813" s="1">
        <v>44678</v>
      </c>
      <c r="B813" t="s">
        <v>2</v>
      </c>
      <c r="C813" t="s">
        <v>17</v>
      </c>
      <c r="D813" t="s">
        <v>39</v>
      </c>
      <c r="E813">
        <v>81</v>
      </c>
      <c r="F813">
        <f t="shared" si="24"/>
        <v>259.2</v>
      </c>
      <c r="G813">
        <f>SUMIF($D$2:$D813,$D813,$E$2:$E813)</f>
        <v>4852</v>
      </c>
      <c r="H813">
        <f t="shared" si="25"/>
        <v>0</v>
      </c>
    </row>
    <row r="814" spans="1:8" x14ac:dyDescent="0.25">
      <c r="A814" s="1">
        <v>44678</v>
      </c>
      <c r="B814" t="s">
        <v>7</v>
      </c>
      <c r="C814" t="s">
        <v>17</v>
      </c>
      <c r="D814" t="s">
        <v>18</v>
      </c>
      <c r="E814">
        <v>467</v>
      </c>
      <c r="F814">
        <f t="shared" si="24"/>
        <v>1587.8</v>
      </c>
      <c r="G814">
        <f>SUMIF($D$2:$D814,$D814,$E$2:$E814)</f>
        <v>6501</v>
      </c>
      <c r="H814">
        <f t="shared" si="25"/>
        <v>0</v>
      </c>
    </row>
    <row r="815" spans="1:8" x14ac:dyDescent="0.25">
      <c r="A815" s="1">
        <v>44679</v>
      </c>
      <c r="B815" t="s">
        <v>5</v>
      </c>
      <c r="C815" t="s">
        <v>17</v>
      </c>
      <c r="D815" t="s">
        <v>55</v>
      </c>
      <c r="E815">
        <v>156</v>
      </c>
      <c r="F815">
        <f t="shared" si="24"/>
        <v>530.4</v>
      </c>
      <c r="G815">
        <f>SUMIF($D$2:$D815,$D815,$E$2:$E815)</f>
        <v>5126</v>
      </c>
      <c r="H815">
        <f t="shared" si="25"/>
        <v>0</v>
      </c>
    </row>
    <row r="816" spans="1:8" x14ac:dyDescent="0.25">
      <c r="A816" s="1">
        <v>44679</v>
      </c>
      <c r="B816" t="s">
        <v>8</v>
      </c>
      <c r="C816" t="s">
        <v>17</v>
      </c>
      <c r="D816" t="s">
        <v>39</v>
      </c>
      <c r="E816">
        <v>303</v>
      </c>
      <c r="F816">
        <f t="shared" si="24"/>
        <v>1060.5</v>
      </c>
      <c r="G816">
        <f>SUMIF($D$2:$D816,$D816,$E$2:$E816)</f>
        <v>5155</v>
      </c>
      <c r="H816">
        <f t="shared" si="25"/>
        <v>0</v>
      </c>
    </row>
    <row r="817" spans="1:8" x14ac:dyDescent="0.25">
      <c r="A817" s="1">
        <v>44679</v>
      </c>
      <c r="B817" t="s">
        <v>2</v>
      </c>
      <c r="C817" t="s">
        <v>17</v>
      </c>
      <c r="D817" t="s">
        <v>61</v>
      </c>
      <c r="E817">
        <v>122</v>
      </c>
      <c r="F817">
        <f t="shared" si="24"/>
        <v>390.40000000000003</v>
      </c>
      <c r="G817">
        <f>SUMIF($D$2:$D817,$D817,$E$2:$E817)</f>
        <v>5160</v>
      </c>
      <c r="H817">
        <f t="shared" si="25"/>
        <v>0</v>
      </c>
    </row>
    <row r="818" spans="1:8" x14ac:dyDescent="0.25">
      <c r="A818" s="1">
        <v>44679</v>
      </c>
      <c r="B818" t="s">
        <v>0</v>
      </c>
      <c r="C818" t="s">
        <v>17</v>
      </c>
      <c r="D818" t="s">
        <v>66</v>
      </c>
      <c r="E818">
        <v>76</v>
      </c>
      <c r="F818">
        <f t="shared" si="24"/>
        <v>220.4</v>
      </c>
      <c r="G818">
        <f>SUMIF($D$2:$D818,$D818,$E$2:$E818)</f>
        <v>5742</v>
      </c>
      <c r="H818">
        <f t="shared" si="25"/>
        <v>0</v>
      </c>
    </row>
    <row r="819" spans="1:8" x14ac:dyDescent="0.25">
      <c r="A819" s="1">
        <v>44679</v>
      </c>
      <c r="B819" t="s">
        <v>7</v>
      </c>
      <c r="C819" t="s">
        <v>17</v>
      </c>
      <c r="D819" t="s">
        <v>55</v>
      </c>
      <c r="E819">
        <v>648</v>
      </c>
      <c r="F819">
        <f t="shared" si="24"/>
        <v>2203.1999999999998</v>
      </c>
      <c r="G819">
        <f>SUMIF($D$2:$D819,$D819,$E$2:$E819)</f>
        <v>5774</v>
      </c>
      <c r="H819">
        <f t="shared" si="25"/>
        <v>0</v>
      </c>
    </row>
    <row r="820" spans="1:8" x14ac:dyDescent="0.25">
      <c r="A820" s="1">
        <v>44679</v>
      </c>
      <c r="B820" t="s">
        <v>8</v>
      </c>
      <c r="C820" t="s">
        <v>17</v>
      </c>
      <c r="D820" t="s">
        <v>29</v>
      </c>
      <c r="E820">
        <v>583</v>
      </c>
      <c r="F820">
        <f t="shared" si="24"/>
        <v>2040.5</v>
      </c>
      <c r="G820">
        <f>SUMIF($D$2:$D820,$D820,$E$2:$E820)</f>
        <v>8636</v>
      </c>
      <c r="H820">
        <f t="shared" si="25"/>
        <v>0</v>
      </c>
    </row>
    <row r="821" spans="1:8" x14ac:dyDescent="0.25">
      <c r="A821" s="1">
        <v>44679</v>
      </c>
      <c r="B821" t="s">
        <v>6</v>
      </c>
      <c r="C821" t="s">
        <v>17</v>
      </c>
      <c r="D821" t="s">
        <v>29</v>
      </c>
      <c r="E821">
        <v>132</v>
      </c>
      <c r="F821">
        <f t="shared" si="24"/>
        <v>448.8</v>
      </c>
      <c r="G821">
        <f>SUMIF($D$2:$D821,$D821,$E$2:$E821)</f>
        <v>8768</v>
      </c>
      <c r="H821">
        <f t="shared" si="25"/>
        <v>0</v>
      </c>
    </row>
    <row r="822" spans="1:8" x14ac:dyDescent="0.25">
      <c r="A822" s="1">
        <v>44679</v>
      </c>
      <c r="B822" t="s">
        <v>5</v>
      </c>
      <c r="C822" t="s">
        <v>17</v>
      </c>
      <c r="D822" t="s">
        <v>16</v>
      </c>
      <c r="E822">
        <v>101</v>
      </c>
      <c r="F822">
        <f t="shared" si="24"/>
        <v>343.4</v>
      </c>
      <c r="G822">
        <f>SUMIF($D$2:$D822,$D822,$E$2:$E822)</f>
        <v>6060</v>
      </c>
      <c r="H822">
        <f t="shared" si="25"/>
        <v>0</v>
      </c>
    </row>
    <row r="823" spans="1:8" x14ac:dyDescent="0.25">
      <c r="A823" s="1">
        <v>44679</v>
      </c>
      <c r="B823" t="s">
        <v>2</v>
      </c>
      <c r="C823" t="s">
        <v>17</v>
      </c>
      <c r="D823" t="s">
        <v>49</v>
      </c>
      <c r="E823">
        <v>297</v>
      </c>
      <c r="F823">
        <f t="shared" si="24"/>
        <v>950.40000000000009</v>
      </c>
      <c r="G823">
        <f>SUMIF($D$2:$D823,$D823,$E$2:$E823)</f>
        <v>6649</v>
      </c>
      <c r="H823">
        <f t="shared" si="25"/>
        <v>0</v>
      </c>
    </row>
    <row r="824" spans="1:8" x14ac:dyDescent="0.25">
      <c r="A824" s="1">
        <v>44679</v>
      </c>
      <c r="B824" t="s">
        <v>2</v>
      </c>
      <c r="C824" t="s">
        <v>17</v>
      </c>
      <c r="D824" t="s">
        <v>40</v>
      </c>
      <c r="E824">
        <v>390</v>
      </c>
      <c r="F824">
        <f t="shared" si="24"/>
        <v>1248</v>
      </c>
      <c r="G824">
        <f>SUMIF($D$2:$D824,$D824,$E$2:$E824)</f>
        <v>4649</v>
      </c>
      <c r="H824">
        <f t="shared" si="25"/>
        <v>0</v>
      </c>
    </row>
    <row r="825" spans="1:8" x14ac:dyDescent="0.25">
      <c r="A825" s="1">
        <v>44679</v>
      </c>
      <c r="B825" t="s">
        <v>6</v>
      </c>
      <c r="C825" t="s">
        <v>17</v>
      </c>
      <c r="D825" t="s">
        <v>60</v>
      </c>
      <c r="E825">
        <v>411</v>
      </c>
      <c r="F825">
        <f t="shared" si="24"/>
        <v>1397.3999999999999</v>
      </c>
      <c r="G825">
        <f>SUMIF($D$2:$D825,$D825,$E$2:$E825)</f>
        <v>6466</v>
      </c>
      <c r="H825">
        <f t="shared" si="25"/>
        <v>0</v>
      </c>
    </row>
    <row r="826" spans="1:8" x14ac:dyDescent="0.25">
      <c r="A826" s="1">
        <v>44680</v>
      </c>
      <c r="B826" t="s">
        <v>10</v>
      </c>
      <c r="C826" t="s">
        <v>17</v>
      </c>
      <c r="D826" t="s">
        <v>26</v>
      </c>
      <c r="E826">
        <v>295</v>
      </c>
      <c r="F826">
        <f t="shared" si="24"/>
        <v>1003</v>
      </c>
      <c r="G826">
        <f>SUMIF($D$2:$D826,$D826,$E$2:$E826)</f>
        <v>9109</v>
      </c>
      <c r="H826">
        <f t="shared" si="25"/>
        <v>0</v>
      </c>
    </row>
    <row r="827" spans="1:8" x14ac:dyDescent="0.25">
      <c r="A827" s="1">
        <v>44680</v>
      </c>
      <c r="B827" t="s">
        <v>10</v>
      </c>
      <c r="C827" t="s">
        <v>17</v>
      </c>
      <c r="D827" t="s">
        <v>53</v>
      </c>
      <c r="E827">
        <v>359</v>
      </c>
      <c r="F827">
        <f t="shared" si="24"/>
        <v>1220.5999999999999</v>
      </c>
      <c r="G827">
        <f>SUMIF($D$2:$D827,$D827,$E$2:$E827)</f>
        <v>7390</v>
      </c>
      <c r="H827">
        <f t="shared" si="25"/>
        <v>0</v>
      </c>
    </row>
    <row r="828" spans="1:8" x14ac:dyDescent="0.25">
      <c r="A828" s="1">
        <v>44680</v>
      </c>
      <c r="B828" t="s">
        <v>4</v>
      </c>
      <c r="C828" t="s">
        <v>17</v>
      </c>
      <c r="D828" t="s">
        <v>51</v>
      </c>
      <c r="E828">
        <v>564</v>
      </c>
      <c r="F828">
        <f t="shared" si="24"/>
        <v>1917.6</v>
      </c>
      <c r="G828">
        <f>SUMIF($D$2:$D828,$D828,$E$2:$E828)</f>
        <v>6705</v>
      </c>
      <c r="H828">
        <f t="shared" si="25"/>
        <v>0</v>
      </c>
    </row>
    <row r="829" spans="1:8" x14ac:dyDescent="0.25">
      <c r="A829" s="1">
        <v>44680</v>
      </c>
      <c r="B829" t="s">
        <v>4</v>
      </c>
      <c r="C829" t="s">
        <v>17</v>
      </c>
      <c r="D829" t="s">
        <v>51</v>
      </c>
      <c r="E829">
        <v>557</v>
      </c>
      <c r="F829">
        <f t="shared" si="24"/>
        <v>1893.8</v>
      </c>
      <c r="G829">
        <f>SUMIF($D$2:$D829,$D829,$E$2:$E829)</f>
        <v>7262</v>
      </c>
      <c r="H829">
        <f t="shared" si="25"/>
        <v>0</v>
      </c>
    </row>
    <row r="830" spans="1:8" x14ac:dyDescent="0.25">
      <c r="A830" s="1">
        <v>44680</v>
      </c>
      <c r="B830" t="s">
        <v>10</v>
      </c>
      <c r="C830" t="s">
        <v>17</v>
      </c>
      <c r="D830" t="s">
        <v>42</v>
      </c>
      <c r="E830">
        <v>51</v>
      </c>
      <c r="F830">
        <f t="shared" si="24"/>
        <v>173.4</v>
      </c>
      <c r="G830">
        <f>SUMIF($D$2:$D830,$D830,$E$2:$E830)</f>
        <v>4245</v>
      </c>
      <c r="H830">
        <f t="shared" si="25"/>
        <v>0</v>
      </c>
    </row>
    <row r="831" spans="1:8" x14ac:dyDescent="0.25">
      <c r="A831" s="1">
        <v>44680</v>
      </c>
      <c r="B831" t="s">
        <v>10</v>
      </c>
      <c r="C831" t="s">
        <v>17</v>
      </c>
      <c r="D831" t="s">
        <v>39</v>
      </c>
      <c r="E831">
        <v>312</v>
      </c>
      <c r="F831">
        <f t="shared" si="24"/>
        <v>1060.8</v>
      </c>
      <c r="G831">
        <f>SUMIF($D$2:$D831,$D831,$E$2:$E831)</f>
        <v>5467</v>
      </c>
      <c r="H831">
        <f t="shared" si="25"/>
        <v>0</v>
      </c>
    </row>
    <row r="832" spans="1:8" x14ac:dyDescent="0.25">
      <c r="A832" s="1">
        <v>44680</v>
      </c>
      <c r="B832" t="s">
        <v>0</v>
      </c>
      <c r="C832" t="s">
        <v>17</v>
      </c>
      <c r="D832" t="s">
        <v>26</v>
      </c>
      <c r="E832">
        <v>210</v>
      </c>
      <c r="F832">
        <f t="shared" si="24"/>
        <v>609</v>
      </c>
      <c r="G832">
        <f>SUMIF($D$2:$D832,$D832,$E$2:$E832)</f>
        <v>9319</v>
      </c>
      <c r="H832">
        <f t="shared" si="25"/>
        <v>0</v>
      </c>
    </row>
    <row r="833" spans="1:8" x14ac:dyDescent="0.25">
      <c r="A833" s="1">
        <v>44680</v>
      </c>
      <c r="B833" t="s">
        <v>15</v>
      </c>
      <c r="C833" t="s">
        <v>17</v>
      </c>
      <c r="D833" t="s">
        <v>33</v>
      </c>
      <c r="E833">
        <v>271</v>
      </c>
      <c r="F833">
        <f t="shared" si="24"/>
        <v>650.4</v>
      </c>
      <c r="G833">
        <f>SUMIF($D$2:$D833,$D833,$E$2:$E833)</f>
        <v>7228</v>
      </c>
      <c r="H833">
        <f t="shared" si="25"/>
        <v>0</v>
      </c>
    </row>
    <row r="834" spans="1:8" x14ac:dyDescent="0.25">
      <c r="A834" s="1">
        <v>44680</v>
      </c>
      <c r="B834" t="s">
        <v>0</v>
      </c>
      <c r="C834" t="s">
        <v>17</v>
      </c>
      <c r="D834" t="s">
        <v>52</v>
      </c>
      <c r="E834">
        <v>358</v>
      </c>
      <c r="F834">
        <f t="shared" si="24"/>
        <v>1038.2</v>
      </c>
      <c r="G834">
        <f>SUMIF($D$2:$D834,$D834,$E$2:$E834)</f>
        <v>5894</v>
      </c>
      <c r="H834">
        <f t="shared" si="25"/>
        <v>0</v>
      </c>
    </row>
    <row r="835" spans="1:8" x14ac:dyDescent="0.25">
      <c r="A835" s="1">
        <v>44681</v>
      </c>
      <c r="B835" t="s">
        <v>0</v>
      </c>
      <c r="C835" t="s">
        <v>17</v>
      </c>
      <c r="D835" t="s">
        <v>16</v>
      </c>
      <c r="E835">
        <v>131</v>
      </c>
      <c r="F835">
        <f t="shared" ref="F835:F898" si="26">E835* _xlfn.XLOOKUP(B835,$I$2:$I$17,$J$2:$J$17,"0",0,1)</f>
        <v>379.9</v>
      </c>
      <c r="G835">
        <f>SUMIF($D$2:$D835,$D835,$E$2:$E835)</f>
        <v>6191</v>
      </c>
      <c r="H835">
        <f t="shared" ref="H835:H898" si="27">IF(AND($G835 &gt; 15000,$G835 &lt; 20000),5*$E835,IF($G835 &gt;= 20000,10*$E835,0))</f>
        <v>0</v>
      </c>
    </row>
    <row r="836" spans="1:8" x14ac:dyDescent="0.25">
      <c r="A836" s="1">
        <v>44681</v>
      </c>
      <c r="B836" t="s">
        <v>0</v>
      </c>
      <c r="C836" t="s">
        <v>17</v>
      </c>
      <c r="D836" t="s">
        <v>24</v>
      </c>
      <c r="E836">
        <v>433</v>
      </c>
      <c r="F836">
        <f t="shared" si="26"/>
        <v>1255.7</v>
      </c>
      <c r="G836">
        <f>SUMIF($D$2:$D836,$D836,$E$2:$E836)</f>
        <v>4644</v>
      </c>
      <c r="H836">
        <f t="shared" si="27"/>
        <v>0</v>
      </c>
    </row>
    <row r="837" spans="1:8" x14ac:dyDescent="0.25">
      <c r="A837" s="1">
        <v>44681</v>
      </c>
      <c r="B837" t="s">
        <v>0</v>
      </c>
      <c r="C837" t="s">
        <v>17</v>
      </c>
      <c r="D837" t="s">
        <v>51</v>
      </c>
      <c r="E837">
        <v>368</v>
      </c>
      <c r="F837">
        <f t="shared" si="26"/>
        <v>1067.2</v>
      </c>
      <c r="G837">
        <f>SUMIF($D$2:$D837,$D837,$E$2:$E837)</f>
        <v>7630</v>
      </c>
      <c r="H837">
        <f t="shared" si="27"/>
        <v>0</v>
      </c>
    </row>
    <row r="838" spans="1:8" x14ac:dyDescent="0.25">
      <c r="A838" s="1">
        <v>44681</v>
      </c>
      <c r="B838" t="s">
        <v>4</v>
      </c>
      <c r="C838" t="s">
        <v>17</v>
      </c>
      <c r="D838" t="s">
        <v>16</v>
      </c>
      <c r="E838">
        <v>458</v>
      </c>
      <c r="F838">
        <f t="shared" si="26"/>
        <v>1557.2</v>
      </c>
      <c r="G838">
        <f>SUMIF($D$2:$D838,$D838,$E$2:$E838)</f>
        <v>6649</v>
      </c>
      <c r="H838">
        <f t="shared" si="27"/>
        <v>0</v>
      </c>
    </row>
    <row r="839" spans="1:8" x14ac:dyDescent="0.25">
      <c r="A839" s="1">
        <v>44681</v>
      </c>
      <c r="B839" t="s">
        <v>0</v>
      </c>
      <c r="C839" t="s">
        <v>17</v>
      </c>
      <c r="D839" t="s">
        <v>61</v>
      </c>
      <c r="E839">
        <v>255</v>
      </c>
      <c r="F839">
        <f t="shared" si="26"/>
        <v>739.5</v>
      </c>
      <c r="G839">
        <f>SUMIF($D$2:$D839,$D839,$E$2:$E839)</f>
        <v>5415</v>
      </c>
      <c r="H839">
        <f t="shared" si="27"/>
        <v>0</v>
      </c>
    </row>
    <row r="840" spans="1:8" x14ac:dyDescent="0.25">
      <c r="A840" s="1">
        <v>44681</v>
      </c>
      <c r="B840" t="s">
        <v>7</v>
      </c>
      <c r="C840" t="s">
        <v>17</v>
      </c>
      <c r="D840" t="s">
        <v>45</v>
      </c>
      <c r="E840">
        <v>291</v>
      </c>
      <c r="F840">
        <f t="shared" si="26"/>
        <v>989.4</v>
      </c>
      <c r="G840">
        <f>SUMIF($D$2:$D840,$D840,$E$2:$E840)</f>
        <v>5468</v>
      </c>
      <c r="H840">
        <f t="shared" si="27"/>
        <v>0</v>
      </c>
    </row>
    <row r="841" spans="1:8" x14ac:dyDescent="0.25">
      <c r="A841" s="1">
        <v>44683</v>
      </c>
      <c r="B841" t="s">
        <v>10</v>
      </c>
      <c r="C841" t="s">
        <v>17</v>
      </c>
      <c r="D841" t="s">
        <v>37</v>
      </c>
      <c r="E841">
        <v>490</v>
      </c>
      <c r="F841">
        <f t="shared" si="26"/>
        <v>1666</v>
      </c>
      <c r="G841">
        <f>SUMIF($D$2:$D841,$D841,$E$2:$E841)</f>
        <v>6135</v>
      </c>
      <c r="H841">
        <f t="shared" si="27"/>
        <v>0</v>
      </c>
    </row>
    <row r="842" spans="1:8" x14ac:dyDescent="0.25">
      <c r="A842" s="1">
        <v>44683</v>
      </c>
      <c r="B842" t="s">
        <v>8</v>
      </c>
      <c r="C842" t="s">
        <v>17</v>
      </c>
      <c r="D842" t="s">
        <v>54</v>
      </c>
      <c r="E842">
        <v>516</v>
      </c>
      <c r="F842">
        <f t="shared" si="26"/>
        <v>1806</v>
      </c>
      <c r="G842">
        <f>SUMIF($D$2:$D842,$D842,$E$2:$E842)</f>
        <v>6774</v>
      </c>
      <c r="H842">
        <f t="shared" si="27"/>
        <v>0</v>
      </c>
    </row>
    <row r="843" spans="1:8" x14ac:dyDescent="0.25">
      <c r="A843" s="1">
        <v>44683</v>
      </c>
      <c r="B843" t="s">
        <v>4</v>
      </c>
      <c r="C843" t="s">
        <v>17</v>
      </c>
      <c r="D843" t="s">
        <v>24</v>
      </c>
      <c r="E843">
        <v>350</v>
      </c>
      <c r="F843">
        <f t="shared" si="26"/>
        <v>1190</v>
      </c>
      <c r="G843">
        <f>SUMIF($D$2:$D843,$D843,$E$2:$E843)</f>
        <v>4994</v>
      </c>
      <c r="H843">
        <f t="shared" si="27"/>
        <v>0</v>
      </c>
    </row>
    <row r="844" spans="1:8" x14ac:dyDescent="0.25">
      <c r="A844" s="1">
        <v>44683</v>
      </c>
      <c r="B844" t="s">
        <v>15</v>
      </c>
      <c r="C844" t="s">
        <v>17</v>
      </c>
      <c r="D844" t="s">
        <v>61</v>
      </c>
      <c r="E844">
        <v>463</v>
      </c>
      <c r="F844">
        <f t="shared" si="26"/>
        <v>1111.2</v>
      </c>
      <c r="G844">
        <f>SUMIF($D$2:$D844,$D844,$E$2:$E844)</f>
        <v>5878</v>
      </c>
      <c r="H844">
        <f t="shared" si="27"/>
        <v>0</v>
      </c>
    </row>
    <row r="845" spans="1:8" x14ac:dyDescent="0.25">
      <c r="A845" s="1">
        <v>44683</v>
      </c>
      <c r="B845" t="s">
        <v>0</v>
      </c>
      <c r="C845" t="s">
        <v>17</v>
      </c>
      <c r="D845" t="s">
        <v>52</v>
      </c>
      <c r="E845">
        <v>421</v>
      </c>
      <c r="F845">
        <f t="shared" si="26"/>
        <v>1220.8999999999999</v>
      </c>
      <c r="G845">
        <f>SUMIF($D$2:$D845,$D845,$E$2:$E845)</f>
        <v>6315</v>
      </c>
      <c r="H845">
        <f t="shared" si="27"/>
        <v>0</v>
      </c>
    </row>
    <row r="846" spans="1:8" x14ac:dyDescent="0.25">
      <c r="A846" s="1">
        <v>44683</v>
      </c>
      <c r="B846" t="s">
        <v>4</v>
      </c>
      <c r="C846" t="s">
        <v>17</v>
      </c>
      <c r="D846" t="s">
        <v>60</v>
      </c>
      <c r="E846">
        <v>797</v>
      </c>
      <c r="F846">
        <f t="shared" si="26"/>
        <v>2709.7999999999997</v>
      </c>
      <c r="G846">
        <f>SUMIF($D$2:$D846,$D846,$E$2:$E846)</f>
        <v>7263</v>
      </c>
      <c r="H846">
        <f t="shared" si="27"/>
        <v>0</v>
      </c>
    </row>
    <row r="847" spans="1:8" x14ac:dyDescent="0.25">
      <c r="A847" s="1">
        <v>44683</v>
      </c>
      <c r="B847" t="s">
        <v>8</v>
      </c>
      <c r="C847" t="s">
        <v>17</v>
      </c>
      <c r="D847" t="s">
        <v>58</v>
      </c>
      <c r="E847">
        <v>535</v>
      </c>
      <c r="F847">
        <f t="shared" si="26"/>
        <v>1872.5</v>
      </c>
      <c r="G847">
        <f>SUMIF($D$2:$D847,$D847,$E$2:$E847)</f>
        <v>5388</v>
      </c>
      <c r="H847">
        <f t="shared" si="27"/>
        <v>0</v>
      </c>
    </row>
    <row r="848" spans="1:8" x14ac:dyDescent="0.25">
      <c r="A848" s="1">
        <v>44683</v>
      </c>
      <c r="B848" t="s">
        <v>10</v>
      </c>
      <c r="C848" t="s">
        <v>17</v>
      </c>
      <c r="D848" t="s">
        <v>53</v>
      </c>
      <c r="E848">
        <v>395</v>
      </c>
      <c r="F848">
        <f t="shared" si="26"/>
        <v>1343</v>
      </c>
      <c r="G848">
        <f>SUMIF($D$2:$D848,$D848,$E$2:$E848)</f>
        <v>7785</v>
      </c>
      <c r="H848">
        <f t="shared" si="27"/>
        <v>0</v>
      </c>
    </row>
    <row r="849" spans="1:8" x14ac:dyDescent="0.25">
      <c r="A849" s="1">
        <v>44683</v>
      </c>
      <c r="B849" t="s">
        <v>15</v>
      </c>
      <c r="C849" t="s">
        <v>17</v>
      </c>
      <c r="D849" t="s">
        <v>16</v>
      </c>
      <c r="E849">
        <v>368</v>
      </c>
      <c r="F849">
        <f t="shared" si="26"/>
        <v>883.19999999999993</v>
      </c>
      <c r="G849">
        <f>SUMIF($D$2:$D849,$D849,$E$2:$E849)</f>
        <v>7017</v>
      </c>
      <c r="H849">
        <f t="shared" si="27"/>
        <v>0</v>
      </c>
    </row>
    <row r="850" spans="1:8" x14ac:dyDescent="0.25">
      <c r="A850" s="1">
        <v>44683</v>
      </c>
      <c r="B850" t="s">
        <v>2</v>
      </c>
      <c r="C850" t="s">
        <v>17</v>
      </c>
      <c r="D850" t="s">
        <v>22</v>
      </c>
      <c r="E850">
        <v>52</v>
      </c>
      <c r="F850">
        <f t="shared" si="26"/>
        <v>166.4</v>
      </c>
      <c r="G850">
        <f>SUMIF($D$2:$D850,$D850,$E$2:$E850)</f>
        <v>7410</v>
      </c>
      <c r="H850">
        <f t="shared" si="27"/>
        <v>0</v>
      </c>
    </row>
    <row r="851" spans="1:8" x14ac:dyDescent="0.25">
      <c r="A851" s="1">
        <v>44683</v>
      </c>
      <c r="B851" t="s">
        <v>5</v>
      </c>
      <c r="C851" t="s">
        <v>17</v>
      </c>
      <c r="D851" t="s">
        <v>63</v>
      </c>
      <c r="E851">
        <v>146</v>
      </c>
      <c r="F851">
        <f t="shared" si="26"/>
        <v>496.4</v>
      </c>
      <c r="G851">
        <f>SUMIF($D$2:$D851,$D851,$E$2:$E851)</f>
        <v>5199</v>
      </c>
      <c r="H851">
        <f t="shared" si="27"/>
        <v>0</v>
      </c>
    </row>
    <row r="852" spans="1:8" x14ac:dyDescent="0.25">
      <c r="A852" s="1">
        <v>44683</v>
      </c>
      <c r="B852" t="s">
        <v>5</v>
      </c>
      <c r="C852" t="s">
        <v>17</v>
      </c>
      <c r="D852" t="s">
        <v>62</v>
      </c>
      <c r="E852">
        <v>195</v>
      </c>
      <c r="F852">
        <f t="shared" si="26"/>
        <v>663</v>
      </c>
      <c r="G852">
        <f>SUMIF($D$2:$D852,$D852,$E$2:$E852)</f>
        <v>4676</v>
      </c>
      <c r="H852">
        <f t="shared" si="27"/>
        <v>0</v>
      </c>
    </row>
    <row r="853" spans="1:8" x14ac:dyDescent="0.25">
      <c r="A853" s="1">
        <v>44684</v>
      </c>
      <c r="B853" t="s">
        <v>4</v>
      </c>
      <c r="C853" t="s">
        <v>17</v>
      </c>
      <c r="D853" t="s">
        <v>60</v>
      </c>
      <c r="E853">
        <v>513</v>
      </c>
      <c r="F853">
        <f t="shared" si="26"/>
        <v>1744.2</v>
      </c>
      <c r="G853">
        <f>SUMIF($D$2:$D853,$D853,$E$2:$E853)</f>
        <v>7776</v>
      </c>
      <c r="H853">
        <f t="shared" si="27"/>
        <v>0</v>
      </c>
    </row>
    <row r="854" spans="1:8" x14ac:dyDescent="0.25">
      <c r="A854" s="1">
        <v>44684</v>
      </c>
      <c r="B854" t="s">
        <v>15</v>
      </c>
      <c r="C854" t="s">
        <v>17</v>
      </c>
      <c r="D854" t="s">
        <v>39</v>
      </c>
      <c r="E854">
        <v>219</v>
      </c>
      <c r="F854">
        <f t="shared" si="26"/>
        <v>525.6</v>
      </c>
      <c r="G854">
        <f>SUMIF($D$2:$D854,$D854,$E$2:$E854)</f>
        <v>5686</v>
      </c>
      <c r="H854">
        <f t="shared" si="27"/>
        <v>0</v>
      </c>
    </row>
    <row r="855" spans="1:8" x14ac:dyDescent="0.25">
      <c r="A855" s="1">
        <v>44684</v>
      </c>
      <c r="B855" t="s">
        <v>4</v>
      </c>
      <c r="C855" t="s">
        <v>17</v>
      </c>
      <c r="D855" t="s">
        <v>58</v>
      </c>
      <c r="E855">
        <v>457</v>
      </c>
      <c r="F855">
        <f t="shared" si="26"/>
        <v>1553.8</v>
      </c>
      <c r="G855">
        <f>SUMIF($D$2:$D855,$D855,$E$2:$E855)</f>
        <v>5845</v>
      </c>
      <c r="H855">
        <f t="shared" si="27"/>
        <v>0</v>
      </c>
    </row>
    <row r="856" spans="1:8" x14ac:dyDescent="0.25">
      <c r="A856" s="1">
        <v>44684</v>
      </c>
      <c r="B856" t="s">
        <v>2</v>
      </c>
      <c r="C856" t="s">
        <v>17</v>
      </c>
      <c r="D856" t="s">
        <v>61</v>
      </c>
      <c r="E856">
        <v>266</v>
      </c>
      <c r="F856">
        <f t="shared" si="26"/>
        <v>851.2</v>
      </c>
      <c r="G856">
        <f>SUMIF($D$2:$D856,$D856,$E$2:$E856)</f>
        <v>6144</v>
      </c>
      <c r="H856">
        <f t="shared" si="27"/>
        <v>0</v>
      </c>
    </row>
    <row r="857" spans="1:8" x14ac:dyDescent="0.25">
      <c r="A857" s="1">
        <v>44684</v>
      </c>
      <c r="B857" t="s">
        <v>0</v>
      </c>
      <c r="C857" t="s">
        <v>17</v>
      </c>
      <c r="D857" t="s">
        <v>52</v>
      </c>
      <c r="E857">
        <v>410</v>
      </c>
      <c r="F857">
        <f t="shared" si="26"/>
        <v>1189</v>
      </c>
      <c r="G857">
        <f>SUMIF($D$2:$D857,$D857,$E$2:$E857)</f>
        <v>6725</v>
      </c>
      <c r="H857">
        <f t="shared" si="27"/>
        <v>0</v>
      </c>
    </row>
    <row r="858" spans="1:8" x14ac:dyDescent="0.25">
      <c r="A858" s="1">
        <v>44684</v>
      </c>
      <c r="B858" t="s">
        <v>7</v>
      </c>
      <c r="C858" t="s">
        <v>17</v>
      </c>
      <c r="D858" t="s">
        <v>55</v>
      </c>
      <c r="E858">
        <v>339</v>
      </c>
      <c r="F858">
        <f t="shared" si="26"/>
        <v>1152.5999999999999</v>
      </c>
      <c r="G858">
        <f>SUMIF($D$2:$D858,$D858,$E$2:$E858)</f>
        <v>6113</v>
      </c>
      <c r="H858">
        <f t="shared" si="27"/>
        <v>0</v>
      </c>
    </row>
    <row r="859" spans="1:8" x14ac:dyDescent="0.25">
      <c r="A859" s="1">
        <v>44685</v>
      </c>
      <c r="B859" t="s">
        <v>5</v>
      </c>
      <c r="C859" t="s">
        <v>17</v>
      </c>
      <c r="D859" t="s">
        <v>36</v>
      </c>
      <c r="E859">
        <v>143</v>
      </c>
      <c r="F859">
        <f t="shared" si="26"/>
        <v>486.2</v>
      </c>
      <c r="G859">
        <f>SUMIF($D$2:$D859,$D859,$E$2:$E859)</f>
        <v>6900</v>
      </c>
      <c r="H859">
        <f t="shared" si="27"/>
        <v>0</v>
      </c>
    </row>
    <row r="860" spans="1:8" x14ac:dyDescent="0.25">
      <c r="A860" s="1">
        <v>44685</v>
      </c>
      <c r="B860" t="s">
        <v>4</v>
      </c>
      <c r="C860" t="s">
        <v>17</v>
      </c>
      <c r="D860" t="s">
        <v>58</v>
      </c>
      <c r="E860">
        <v>745</v>
      </c>
      <c r="F860">
        <f t="shared" si="26"/>
        <v>2533</v>
      </c>
      <c r="G860">
        <f>SUMIF($D$2:$D860,$D860,$E$2:$E860)</f>
        <v>6590</v>
      </c>
      <c r="H860">
        <f t="shared" si="27"/>
        <v>0</v>
      </c>
    </row>
    <row r="861" spans="1:8" x14ac:dyDescent="0.25">
      <c r="A861" s="1">
        <v>44685</v>
      </c>
      <c r="B861" t="s">
        <v>7</v>
      </c>
      <c r="C861" t="s">
        <v>17</v>
      </c>
      <c r="D861" t="s">
        <v>31</v>
      </c>
      <c r="E861">
        <v>266</v>
      </c>
      <c r="F861">
        <f t="shared" si="26"/>
        <v>904.4</v>
      </c>
      <c r="G861">
        <f>SUMIF($D$2:$D861,$D861,$E$2:$E861)</f>
        <v>6098</v>
      </c>
      <c r="H861">
        <f t="shared" si="27"/>
        <v>0</v>
      </c>
    </row>
    <row r="862" spans="1:8" x14ac:dyDescent="0.25">
      <c r="A862" s="1">
        <v>44685</v>
      </c>
      <c r="B862" t="s">
        <v>8</v>
      </c>
      <c r="C862" t="s">
        <v>17</v>
      </c>
      <c r="D862" t="s">
        <v>45</v>
      </c>
      <c r="E862">
        <v>504</v>
      </c>
      <c r="F862">
        <f t="shared" si="26"/>
        <v>1764</v>
      </c>
      <c r="G862">
        <f>SUMIF($D$2:$D862,$D862,$E$2:$E862)</f>
        <v>5972</v>
      </c>
      <c r="H862">
        <f t="shared" si="27"/>
        <v>0</v>
      </c>
    </row>
    <row r="863" spans="1:8" x14ac:dyDescent="0.25">
      <c r="A863" s="1">
        <v>44686</v>
      </c>
      <c r="B863" t="s">
        <v>0</v>
      </c>
      <c r="C863" t="s">
        <v>17</v>
      </c>
      <c r="D863" t="s">
        <v>62</v>
      </c>
      <c r="E863">
        <v>53</v>
      </c>
      <c r="F863">
        <f t="shared" si="26"/>
        <v>153.69999999999999</v>
      </c>
      <c r="G863">
        <f>SUMIF($D$2:$D863,$D863,$E$2:$E863)</f>
        <v>4729</v>
      </c>
      <c r="H863">
        <f t="shared" si="27"/>
        <v>0</v>
      </c>
    </row>
    <row r="864" spans="1:8" x14ac:dyDescent="0.25">
      <c r="A864" s="1">
        <v>44686</v>
      </c>
      <c r="B864" t="s">
        <v>10</v>
      </c>
      <c r="C864" t="s">
        <v>17</v>
      </c>
      <c r="D864" t="s">
        <v>28</v>
      </c>
      <c r="E864">
        <v>87</v>
      </c>
      <c r="F864">
        <f t="shared" si="26"/>
        <v>295.8</v>
      </c>
      <c r="G864">
        <f>SUMIF($D$2:$D864,$D864,$E$2:$E864)</f>
        <v>6276</v>
      </c>
      <c r="H864">
        <f t="shared" si="27"/>
        <v>0</v>
      </c>
    </row>
    <row r="865" spans="1:8" x14ac:dyDescent="0.25">
      <c r="A865" s="1">
        <v>44686</v>
      </c>
      <c r="B865" t="s">
        <v>0</v>
      </c>
      <c r="C865" t="s">
        <v>17</v>
      </c>
      <c r="D865" t="s">
        <v>46</v>
      </c>
      <c r="E865">
        <v>423</v>
      </c>
      <c r="F865">
        <f t="shared" si="26"/>
        <v>1226.7</v>
      </c>
      <c r="G865">
        <f>SUMIF($D$2:$D865,$D865,$E$2:$E865)</f>
        <v>6236</v>
      </c>
      <c r="H865">
        <f t="shared" si="27"/>
        <v>0</v>
      </c>
    </row>
    <row r="866" spans="1:8" x14ac:dyDescent="0.25">
      <c r="A866" s="1">
        <v>44686</v>
      </c>
      <c r="B866" t="s">
        <v>15</v>
      </c>
      <c r="C866" t="s">
        <v>17</v>
      </c>
      <c r="D866" t="s">
        <v>63</v>
      </c>
      <c r="E866">
        <v>252</v>
      </c>
      <c r="F866">
        <f t="shared" si="26"/>
        <v>604.79999999999995</v>
      </c>
      <c r="G866">
        <f>SUMIF($D$2:$D866,$D866,$E$2:$E866)</f>
        <v>5451</v>
      </c>
      <c r="H866">
        <f t="shared" si="27"/>
        <v>0</v>
      </c>
    </row>
    <row r="867" spans="1:8" x14ac:dyDescent="0.25">
      <c r="A867" s="1">
        <v>44686</v>
      </c>
      <c r="B867" t="s">
        <v>10</v>
      </c>
      <c r="C867" t="s">
        <v>17</v>
      </c>
      <c r="D867" t="s">
        <v>35</v>
      </c>
      <c r="E867">
        <v>438</v>
      </c>
      <c r="F867">
        <f t="shared" si="26"/>
        <v>1489.2</v>
      </c>
      <c r="G867">
        <f>SUMIF($D$2:$D867,$D867,$E$2:$E867)</f>
        <v>5281</v>
      </c>
      <c r="H867">
        <f t="shared" si="27"/>
        <v>0</v>
      </c>
    </row>
    <row r="868" spans="1:8" x14ac:dyDescent="0.25">
      <c r="A868" s="1">
        <v>44686</v>
      </c>
      <c r="B868" t="s">
        <v>7</v>
      </c>
      <c r="C868" t="s">
        <v>17</v>
      </c>
      <c r="D868" t="s">
        <v>38</v>
      </c>
      <c r="E868">
        <v>623</v>
      </c>
      <c r="F868">
        <f t="shared" si="26"/>
        <v>2118.1999999999998</v>
      </c>
      <c r="G868">
        <f>SUMIF($D$2:$D868,$D868,$E$2:$E868)</f>
        <v>8190</v>
      </c>
      <c r="H868">
        <f t="shared" si="27"/>
        <v>0</v>
      </c>
    </row>
    <row r="869" spans="1:8" x14ac:dyDescent="0.25">
      <c r="A869" s="1">
        <v>44686</v>
      </c>
      <c r="B869" t="s">
        <v>4</v>
      </c>
      <c r="C869" t="s">
        <v>17</v>
      </c>
      <c r="D869" t="s">
        <v>18</v>
      </c>
      <c r="E869">
        <v>548</v>
      </c>
      <c r="F869">
        <f t="shared" si="26"/>
        <v>1863.2</v>
      </c>
      <c r="G869">
        <f>SUMIF($D$2:$D869,$D869,$E$2:$E869)</f>
        <v>7049</v>
      </c>
      <c r="H869">
        <f t="shared" si="27"/>
        <v>0</v>
      </c>
    </row>
    <row r="870" spans="1:8" x14ac:dyDescent="0.25">
      <c r="A870" s="1">
        <v>44687</v>
      </c>
      <c r="B870" t="s">
        <v>6</v>
      </c>
      <c r="C870" t="s">
        <v>17</v>
      </c>
      <c r="D870" t="s">
        <v>59</v>
      </c>
      <c r="E870">
        <v>47</v>
      </c>
      <c r="F870">
        <f t="shared" si="26"/>
        <v>159.79999999999998</v>
      </c>
      <c r="G870">
        <f>SUMIF($D$2:$D870,$D870,$E$2:$E870)</f>
        <v>2372</v>
      </c>
      <c r="H870">
        <f t="shared" si="27"/>
        <v>0</v>
      </c>
    </row>
    <row r="871" spans="1:8" x14ac:dyDescent="0.25">
      <c r="A871" s="1">
        <v>44687</v>
      </c>
      <c r="B871" t="s">
        <v>15</v>
      </c>
      <c r="C871" t="s">
        <v>17</v>
      </c>
      <c r="D871" t="s">
        <v>38</v>
      </c>
      <c r="E871">
        <v>233</v>
      </c>
      <c r="F871">
        <f t="shared" si="26"/>
        <v>559.19999999999993</v>
      </c>
      <c r="G871">
        <f>SUMIF($D$2:$D871,$D871,$E$2:$E871)</f>
        <v>8423</v>
      </c>
      <c r="H871">
        <f t="shared" si="27"/>
        <v>0</v>
      </c>
    </row>
    <row r="872" spans="1:8" x14ac:dyDescent="0.25">
      <c r="A872" s="1">
        <v>44687</v>
      </c>
      <c r="B872" t="s">
        <v>2</v>
      </c>
      <c r="C872" t="s">
        <v>17</v>
      </c>
      <c r="D872" t="s">
        <v>29</v>
      </c>
      <c r="E872">
        <v>398</v>
      </c>
      <c r="F872">
        <f t="shared" si="26"/>
        <v>1273.6000000000001</v>
      </c>
      <c r="G872">
        <f>SUMIF($D$2:$D872,$D872,$E$2:$E872)</f>
        <v>9166</v>
      </c>
      <c r="H872">
        <f t="shared" si="27"/>
        <v>0</v>
      </c>
    </row>
    <row r="873" spans="1:8" x14ac:dyDescent="0.25">
      <c r="A873" s="1">
        <v>44687</v>
      </c>
      <c r="B873" t="s">
        <v>10</v>
      </c>
      <c r="C873" t="s">
        <v>17</v>
      </c>
      <c r="D873" t="s">
        <v>32</v>
      </c>
      <c r="E873">
        <v>120</v>
      </c>
      <c r="F873">
        <f t="shared" si="26"/>
        <v>408</v>
      </c>
      <c r="G873">
        <f>SUMIF($D$2:$D873,$D873,$E$2:$E873)</f>
        <v>6811</v>
      </c>
      <c r="H873">
        <f t="shared" si="27"/>
        <v>0</v>
      </c>
    </row>
    <row r="874" spans="1:8" x14ac:dyDescent="0.25">
      <c r="A874" s="1">
        <v>44688</v>
      </c>
      <c r="B874" t="s">
        <v>6</v>
      </c>
      <c r="C874" t="s">
        <v>17</v>
      </c>
      <c r="D874" t="s">
        <v>42</v>
      </c>
      <c r="E874">
        <v>129</v>
      </c>
      <c r="F874">
        <f t="shared" si="26"/>
        <v>438.59999999999997</v>
      </c>
      <c r="G874">
        <f>SUMIF($D$2:$D874,$D874,$E$2:$E874)</f>
        <v>4374</v>
      </c>
      <c r="H874">
        <f t="shared" si="27"/>
        <v>0</v>
      </c>
    </row>
    <row r="875" spans="1:8" x14ac:dyDescent="0.25">
      <c r="A875" s="1">
        <v>44688</v>
      </c>
      <c r="B875" t="s">
        <v>10</v>
      </c>
      <c r="C875" t="s">
        <v>17</v>
      </c>
      <c r="D875" t="s">
        <v>50</v>
      </c>
      <c r="E875">
        <v>73</v>
      </c>
      <c r="F875">
        <f t="shared" si="26"/>
        <v>248.2</v>
      </c>
      <c r="G875">
        <f>SUMIF($D$2:$D875,$D875,$E$2:$E875)</f>
        <v>2450</v>
      </c>
      <c r="H875">
        <f t="shared" si="27"/>
        <v>0</v>
      </c>
    </row>
    <row r="876" spans="1:8" x14ac:dyDescent="0.25">
      <c r="A876" s="1">
        <v>44688</v>
      </c>
      <c r="B876" t="s">
        <v>5</v>
      </c>
      <c r="C876" t="s">
        <v>17</v>
      </c>
      <c r="D876" t="s">
        <v>24</v>
      </c>
      <c r="E876">
        <v>12</v>
      </c>
      <c r="F876">
        <f t="shared" si="26"/>
        <v>40.799999999999997</v>
      </c>
      <c r="G876">
        <f>SUMIF($D$2:$D876,$D876,$E$2:$E876)</f>
        <v>5006</v>
      </c>
      <c r="H876">
        <f t="shared" si="27"/>
        <v>0</v>
      </c>
    </row>
    <row r="877" spans="1:8" x14ac:dyDescent="0.25">
      <c r="A877" s="1">
        <v>44688</v>
      </c>
      <c r="B877" t="s">
        <v>0</v>
      </c>
      <c r="C877" t="s">
        <v>17</v>
      </c>
      <c r="D877" t="s">
        <v>18</v>
      </c>
      <c r="E877">
        <v>120</v>
      </c>
      <c r="F877">
        <f t="shared" si="26"/>
        <v>348</v>
      </c>
      <c r="G877">
        <f>SUMIF($D$2:$D877,$D877,$E$2:$E877)</f>
        <v>7169</v>
      </c>
      <c r="H877">
        <f t="shared" si="27"/>
        <v>0</v>
      </c>
    </row>
    <row r="878" spans="1:8" x14ac:dyDescent="0.25">
      <c r="A878" s="1">
        <v>44690</v>
      </c>
      <c r="B878" t="s">
        <v>5</v>
      </c>
      <c r="C878" t="s">
        <v>17</v>
      </c>
      <c r="D878" t="s">
        <v>44</v>
      </c>
      <c r="E878">
        <v>44</v>
      </c>
      <c r="F878">
        <f t="shared" si="26"/>
        <v>149.6</v>
      </c>
      <c r="G878">
        <f>SUMIF($D$2:$D878,$D878,$E$2:$E878)</f>
        <v>6962</v>
      </c>
      <c r="H878">
        <f t="shared" si="27"/>
        <v>0</v>
      </c>
    </row>
    <row r="879" spans="1:8" x14ac:dyDescent="0.25">
      <c r="A879" s="1">
        <v>44690</v>
      </c>
      <c r="B879" t="s">
        <v>6</v>
      </c>
      <c r="C879" t="s">
        <v>17</v>
      </c>
      <c r="D879" t="s">
        <v>61</v>
      </c>
      <c r="E879">
        <v>80</v>
      </c>
      <c r="F879">
        <f t="shared" si="26"/>
        <v>272</v>
      </c>
      <c r="G879">
        <f>SUMIF($D$2:$D879,$D879,$E$2:$E879)</f>
        <v>6224</v>
      </c>
      <c r="H879">
        <f t="shared" si="27"/>
        <v>0</v>
      </c>
    </row>
    <row r="880" spans="1:8" x14ac:dyDescent="0.25">
      <c r="A880" s="1">
        <v>44690</v>
      </c>
      <c r="B880" t="s">
        <v>10</v>
      </c>
      <c r="C880" t="s">
        <v>17</v>
      </c>
      <c r="D880" t="s">
        <v>36</v>
      </c>
      <c r="E880">
        <v>171</v>
      </c>
      <c r="F880">
        <f t="shared" si="26"/>
        <v>581.4</v>
      </c>
      <c r="G880">
        <f>SUMIF($D$2:$D880,$D880,$E$2:$E880)</f>
        <v>7071</v>
      </c>
      <c r="H880">
        <f t="shared" si="27"/>
        <v>0</v>
      </c>
    </row>
    <row r="881" spans="1:8" x14ac:dyDescent="0.25">
      <c r="A881" s="1">
        <v>44690</v>
      </c>
      <c r="B881" t="s">
        <v>2</v>
      </c>
      <c r="C881" t="s">
        <v>17</v>
      </c>
      <c r="D881" t="s">
        <v>49</v>
      </c>
      <c r="E881">
        <v>132</v>
      </c>
      <c r="F881">
        <f t="shared" si="26"/>
        <v>422.40000000000003</v>
      </c>
      <c r="G881">
        <f>SUMIF($D$2:$D881,$D881,$E$2:$E881)</f>
        <v>6781</v>
      </c>
      <c r="H881">
        <f t="shared" si="27"/>
        <v>0</v>
      </c>
    </row>
    <row r="882" spans="1:8" x14ac:dyDescent="0.25">
      <c r="A882" s="1">
        <v>44690</v>
      </c>
      <c r="B882" t="s">
        <v>2</v>
      </c>
      <c r="C882" t="s">
        <v>17</v>
      </c>
      <c r="D882" t="s">
        <v>33</v>
      </c>
      <c r="E882">
        <v>171</v>
      </c>
      <c r="F882">
        <f t="shared" si="26"/>
        <v>547.20000000000005</v>
      </c>
      <c r="G882">
        <f>SUMIF($D$2:$D882,$D882,$E$2:$E882)</f>
        <v>7399</v>
      </c>
      <c r="H882">
        <f t="shared" si="27"/>
        <v>0</v>
      </c>
    </row>
    <row r="883" spans="1:8" x14ac:dyDescent="0.25">
      <c r="A883" s="1">
        <v>44690</v>
      </c>
      <c r="B883" t="s">
        <v>7</v>
      </c>
      <c r="C883" t="s">
        <v>17</v>
      </c>
      <c r="D883" t="s">
        <v>32</v>
      </c>
      <c r="E883">
        <v>527</v>
      </c>
      <c r="F883">
        <f t="shared" si="26"/>
        <v>1791.8</v>
      </c>
      <c r="G883">
        <f>SUMIF($D$2:$D883,$D883,$E$2:$E883)</f>
        <v>7338</v>
      </c>
      <c r="H883">
        <f t="shared" si="27"/>
        <v>0</v>
      </c>
    </row>
    <row r="884" spans="1:8" x14ac:dyDescent="0.25">
      <c r="A884" s="1">
        <v>44690</v>
      </c>
      <c r="B884" t="s">
        <v>8</v>
      </c>
      <c r="C884" t="s">
        <v>17</v>
      </c>
      <c r="D884" t="s">
        <v>67</v>
      </c>
      <c r="E884">
        <v>533</v>
      </c>
      <c r="F884">
        <f t="shared" si="26"/>
        <v>1865.5</v>
      </c>
      <c r="G884">
        <f>SUMIF($D$2:$D884,$D884,$E$2:$E884)</f>
        <v>7125</v>
      </c>
      <c r="H884">
        <f t="shared" si="27"/>
        <v>0</v>
      </c>
    </row>
    <row r="885" spans="1:8" x14ac:dyDescent="0.25">
      <c r="A885" s="1">
        <v>44690</v>
      </c>
      <c r="B885" t="s">
        <v>10</v>
      </c>
      <c r="C885" t="s">
        <v>17</v>
      </c>
      <c r="D885" t="s">
        <v>50</v>
      </c>
      <c r="E885">
        <v>401</v>
      </c>
      <c r="F885">
        <f t="shared" si="26"/>
        <v>1363.3999999999999</v>
      </c>
      <c r="G885">
        <f>SUMIF($D$2:$D885,$D885,$E$2:$E885)</f>
        <v>2851</v>
      </c>
      <c r="H885">
        <f t="shared" si="27"/>
        <v>0</v>
      </c>
    </row>
    <row r="886" spans="1:8" x14ac:dyDescent="0.25">
      <c r="A886" s="1">
        <v>44690</v>
      </c>
      <c r="B886" t="s">
        <v>8</v>
      </c>
      <c r="C886" t="s">
        <v>17</v>
      </c>
      <c r="D886" t="s">
        <v>33</v>
      </c>
      <c r="E886">
        <v>625</v>
      </c>
      <c r="F886">
        <f t="shared" si="26"/>
        <v>2187.5</v>
      </c>
      <c r="G886">
        <f>SUMIF($D$2:$D886,$D886,$E$2:$E886)</f>
        <v>8024</v>
      </c>
      <c r="H886">
        <f t="shared" si="27"/>
        <v>0</v>
      </c>
    </row>
    <row r="887" spans="1:8" x14ac:dyDescent="0.25">
      <c r="A887" s="1">
        <v>44690</v>
      </c>
      <c r="B887" t="s">
        <v>2</v>
      </c>
      <c r="C887" t="s">
        <v>17</v>
      </c>
      <c r="D887" t="s">
        <v>59</v>
      </c>
      <c r="E887">
        <v>195</v>
      </c>
      <c r="F887">
        <f t="shared" si="26"/>
        <v>624</v>
      </c>
      <c r="G887">
        <f>SUMIF($D$2:$D887,$D887,$E$2:$E887)</f>
        <v>2567</v>
      </c>
      <c r="H887">
        <f t="shared" si="27"/>
        <v>0</v>
      </c>
    </row>
    <row r="888" spans="1:8" x14ac:dyDescent="0.25">
      <c r="A888" s="1">
        <v>44690</v>
      </c>
      <c r="B888" t="s">
        <v>8</v>
      </c>
      <c r="C888" t="s">
        <v>17</v>
      </c>
      <c r="D888" t="s">
        <v>46</v>
      </c>
      <c r="E888">
        <v>376</v>
      </c>
      <c r="F888">
        <f t="shared" si="26"/>
        <v>1316</v>
      </c>
      <c r="G888">
        <f>SUMIF($D$2:$D888,$D888,$E$2:$E888)</f>
        <v>6612</v>
      </c>
      <c r="H888">
        <f t="shared" si="27"/>
        <v>0</v>
      </c>
    </row>
    <row r="889" spans="1:8" x14ac:dyDescent="0.25">
      <c r="A889" s="1">
        <v>44690</v>
      </c>
      <c r="B889" t="s">
        <v>15</v>
      </c>
      <c r="C889" t="s">
        <v>17</v>
      </c>
      <c r="D889" t="s">
        <v>24</v>
      </c>
      <c r="E889">
        <v>525</v>
      </c>
      <c r="F889">
        <f t="shared" si="26"/>
        <v>1260</v>
      </c>
      <c r="G889">
        <f>SUMIF($D$2:$D889,$D889,$E$2:$E889)</f>
        <v>5531</v>
      </c>
      <c r="H889">
        <f t="shared" si="27"/>
        <v>0</v>
      </c>
    </row>
    <row r="890" spans="1:8" x14ac:dyDescent="0.25">
      <c r="A890" s="1">
        <v>44690</v>
      </c>
      <c r="B890" t="s">
        <v>8</v>
      </c>
      <c r="C890" t="s">
        <v>17</v>
      </c>
      <c r="D890" t="s">
        <v>31</v>
      </c>
      <c r="E890">
        <v>641</v>
      </c>
      <c r="F890">
        <f t="shared" si="26"/>
        <v>2243.5</v>
      </c>
      <c r="G890">
        <f>SUMIF($D$2:$D890,$D890,$E$2:$E890)</f>
        <v>6739</v>
      </c>
      <c r="H890">
        <f t="shared" si="27"/>
        <v>0</v>
      </c>
    </row>
    <row r="891" spans="1:8" x14ac:dyDescent="0.25">
      <c r="A891" s="1">
        <v>44690</v>
      </c>
      <c r="B891" t="s">
        <v>4</v>
      </c>
      <c r="C891" t="s">
        <v>17</v>
      </c>
      <c r="D891" t="s">
        <v>31</v>
      </c>
      <c r="E891">
        <v>533</v>
      </c>
      <c r="F891">
        <f t="shared" si="26"/>
        <v>1812.2</v>
      </c>
      <c r="G891">
        <f>SUMIF($D$2:$D891,$D891,$E$2:$E891)</f>
        <v>7272</v>
      </c>
      <c r="H891">
        <f t="shared" si="27"/>
        <v>0</v>
      </c>
    </row>
    <row r="892" spans="1:8" x14ac:dyDescent="0.25">
      <c r="A892" s="1">
        <v>44690</v>
      </c>
      <c r="B892" t="s">
        <v>4</v>
      </c>
      <c r="C892" t="s">
        <v>17</v>
      </c>
      <c r="D892" t="s">
        <v>62</v>
      </c>
      <c r="E892">
        <v>558</v>
      </c>
      <c r="F892">
        <f t="shared" si="26"/>
        <v>1897.2</v>
      </c>
      <c r="G892">
        <f>SUMIF($D$2:$D892,$D892,$E$2:$E892)</f>
        <v>5287</v>
      </c>
      <c r="H892">
        <f t="shared" si="27"/>
        <v>0</v>
      </c>
    </row>
    <row r="893" spans="1:8" x14ac:dyDescent="0.25">
      <c r="A893" s="1">
        <v>44690</v>
      </c>
      <c r="B893" t="s">
        <v>2</v>
      </c>
      <c r="C893" t="s">
        <v>17</v>
      </c>
      <c r="D893" t="s">
        <v>56</v>
      </c>
      <c r="E893">
        <v>165</v>
      </c>
      <c r="F893">
        <f t="shared" si="26"/>
        <v>528</v>
      </c>
      <c r="G893">
        <f>SUMIF($D$2:$D893,$D893,$E$2:$E893)</f>
        <v>6526</v>
      </c>
      <c r="H893">
        <f t="shared" si="27"/>
        <v>0</v>
      </c>
    </row>
    <row r="894" spans="1:8" x14ac:dyDescent="0.25">
      <c r="A894" s="1">
        <v>44690</v>
      </c>
      <c r="B894" t="s">
        <v>6</v>
      </c>
      <c r="C894" t="s">
        <v>17</v>
      </c>
      <c r="D894" t="s">
        <v>37</v>
      </c>
      <c r="E894">
        <v>45</v>
      </c>
      <c r="F894">
        <f t="shared" si="26"/>
        <v>153</v>
      </c>
      <c r="G894">
        <f>SUMIF($D$2:$D894,$D894,$E$2:$E894)</f>
        <v>6180</v>
      </c>
      <c r="H894">
        <f t="shared" si="27"/>
        <v>0</v>
      </c>
    </row>
    <row r="895" spans="1:8" x14ac:dyDescent="0.25">
      <c r="A895" s="1">
        <v>44690</v>
      </c>
      <c r="B895" t="s">
        <v>5</v>
      </c>
      <c r="C895" t="s">
        <v>17</v>
      </c>
      <c r="D895" t="s">
        <v>16</v>
      </c>
      <c r="E895">
        <v>55</v>
      </c>
      <c r="F895">
        <f t="shared" si="26"/>
        <v>187</v>
      </c>
      <c r="G895">
        <f>SUMIF($D$2:$D895,$D895,$E$2:$E895)</f>
        <v>7072</v>
      </c>
      <c r="H895">
        <f t="shared" si="27"/>
        <v>0</v>
      </c>
    </row>
    <row r="896" spans="1:8" x14ac:dyDescent="0.25">
      <c r="A896" s="1">
        <v>44690</v>
      </c>
      <c r="B896" t="s">
        <v>10</v>
      </c>
      <c r="C896" t="s">
        <v>17</v>
      </c>
      <c r="D896" t="s">
        <v>25</v>
      </c>
      <c r="E896">
        <v>47</v>
      </c>
      <c r="F896">
        <f t="shared" si="26"/>
        <v>159.79999999999998</v>
      </c>
      <c r="G896">
        <f>SUMIF($D$2:$D896,$D896,$E$2:$E896)</f>
        <v>6115</v>
      </c>
      <c r="H896">
        <f t="shared" si="27"/>
        <v>0</v>
      </c>
    </row>
    <row r="897" spans="1:8" x14ac:dyDescent="0.25">
      <c r="A897" s="1">
        <v>44691</v>
      </c>
      <c r="B897" t="s">
        <v>4</v>
      </c>
      <c r="C897" t="s">
        <v>17</v>
      </c>
      <c r="D897" t="s">
        <v>34</v>
      </c>
      <c r="E897">
        <v>329</v>
      </c>
      <c r="F897">
        <f t="shared" si="26"/>
        <v>1118.5999999999999</v>
      </c>
      <c r="G897">
        <f>SUMIF($D$2:$D897,$D897,$E$2:$E897)</f>
        <v>5055</v>
      </c>
      <c r="H897">
        <f t="shared" si="27"/>
        <v>0</v>
      </c>
    </row>
    <row r="898" spans="1:8" x14ac:dyDescent="0.25">
      <c r="A898" s="1">
        <v>44691</v>
      </c>
      <c r="B898" t="s">
        <v>10</v>
      </c>
      <c r="C898" t="s">
        <v>17</v>
      </c>
      <c r="D898" t="s">
        <v>50</v>
      </c>
      <c r="E898">
        <v>347</v>
      </c>
      <c r="F898">
        <f t="shared" si="26"/>
        <v>1179.8</v>
      </c>
      <c r="G898">
        <f>SUMIF($D$2:$D898,$D898,$E$2:$E898)</f>
        <v>3198</v>
      </c>
      <c r="H898">
        <f t="shared" si="27"/>
        <v>0</v>
      </c>
    </row>
    <row r="899" spans="1:8" x14ac:dyDescent="0.25">
      <c r="A899" s="1">
        <v>44691</v>
      </c>
      <c r="B899" t="s">
        <v>8</v>
      </c>
      <c r="C899" t="s">
        <v>17</v>
      </c>
      <c r="D899" t="s">
        <v>46</v>
      </c>
      <c r="E899">
        <v>521</v>
      </c>
      <c r="F899">
        <f t="shared" ref="F899:F962" si="28">E899* _xlfn.XLOOKUP(B899,$I$2:$I$17,$J$2:$J$17,"0",0,1)</f>
        <v>1823.5</v>
      </c>
      <c r="G899">
        <f>SUMIF($D$2:$D899,$D899,$E$2:$E899)</f>
        <v>7133</v>
      </c>
      <c r="H899">
        <f t="shared" ref="H899:H962" si="29">IF(AND($G899 &gt; 15000,$G899 &lt; 20000),5*$E899,IF($G899 &gt;= 20000,10*$E899,0))</f>
        <v>0</v>
      </c>
    </row>
    <row r="900" spans="1:8" x14ac:dyDescent="0.25">
      <c r="A900" s="1">
        <v>44691</v>
      </c>
      <c r="B900" t="s">
        <v>15</v>
      </c>
      <c r="C900" t="s">
        <v>17</v>
      </c>
      <c r="D900" t="s">
        <v>25</v>
      </c>
      <c r="E900">
        <v>172</v>
      </c>
      <c r="F900">
        <f t="shared" si="28"/>
        <v>412.8</v>
      </c>
      <c r="G900">
        <f>SUMIF($D$2:$D900,$D900,$E$2:$E900)</f>
        <v>6287</v>
      </c>
      <c r="H900">
        <f t="shared" si="29"/>
        <v>0</v>
      </c>
    </row>
    <row r="901" spans="1:8" x14ac:dyDescent="0.25">
      <c r="A901" s="1">
        <v>44691</v>
      </c>
      <c r="B901" t="s">
        <v>7</v>
      </c>
      <c r="C901" t="s">
        <v>17</v>
      </c>
      <c r="D901" t="s">
        <v>37</v>
      </c>
      <c r="E901">
        <v>410</v>
      </c>
      <c r="F901">
        <f t="shared" si="28"/>
        <v>1394</v>
      </c>
      <c r="G901">
        <f>SUMIF($D$2:$D901,$D901,$E$2:$E901)</f>
        <v>6590</v>
      </c>
      <c r="H901">
        <f t="shared" si="29"/>
        <v>0</v>
      </c>
    </row>
    <row r="902" spans="1:8" x14ac:dyDescent="0.25">
      <c r="A902" s="1">
        <v>44692</v>
      </c>
      <c r="B902" t="s">
        <v>4</v>
      </c>
      <c r="C902" t="s">
        <v>17</v>
      </c>
      <c r="D902" t="s">
        <v>59</v>
      </c>
      <c r="E902">
        <v>437</v>
      </c>
      <c r="F902">
        <f t="shared" si="28"/>
        <v>1485.8</v>
      </c>
      <c r="G902">
        <f>SUMIF($D$2:$D902,$D902,$E$2:$E902)</f>
        <v>3004</v>
      </c>
      <c r="H902">
        <f t="shared" si="29"/>
        <v>0</v>
      </c>
    </row>
    <row r="903" spans="1:8" x14ac:dyDescent="0.25">
      <c r="A903" s="1">
        <v>44692</v>
      </c>
      <c r="B903" t="s">
        <v>6</v>
      </c>
      <c r="C903" t="s">
        <v>17</v>
      </c>
      <c r="D903" t="s">
        <v>66</v>
      </c>
      <c r="E903">
        <v>446</v>
      </c>
      <c r="F903">
        <f t="shared" si="28"/>
        <v>1516.3999999999999</v>
      </c>
      <c r="G903">
        <f>SUMIF($D$2:$D903,$D903,$E$2:$E903)</f>
        <v>6188</v>
      </c>
      <c r="H903">
        <f t="shared" si="29"/>
        <v>0</v>
      </c>
    </row>
    <row r="904" spans="1:8" x14ac:dyDescent="0.25">
      <c r="A904" s="1">
        <v>44692</v>
      </c>
      <c r="B904" t="s">
        <v>0</v>
      </c>
      <c r="C904" t="s">
        <v>17</v>
      </c>
      <c r="D904" t="s">
        <v>31</v>
      </c>
      <c r="E904">
        <v>224</v>
      </c>
      <c r="F904">
        <f t="shared" si="28"/>
        <v>649.6</v>
      </c>
      <c r="G904">
        <f>SUMIF($D$2:$D904,$D904,$E$2:$E904)</f>
        <v>7496</v>
      </c>
      <c r="H904">
        <f t="shared" si="29"/>
        <v>0</v>
      </c>
    </row>
    <row r="905" spans="1:8" x14ac:dyDescent="0.25">
      <c r="A905" s="1">
        <v>44692</v>
      </c>
      <c r="B905" t="s">
        <v>7</v>
      </c>
      <c r="C905" t="s">
        <v>17</v>
      </c>
      <c r="D905" t="s">
        <v>61</v>
      </c>
      <c r="E905">
        <v>402</v>
      </c>
      <c r="F905">
        <f t="shared" si="28"/>
        <v>1366.8</v>
      </c>
      <c r="G905">
        <f>SUMIF($D$2:$D905,$D905,$E$2:$E905)</f>
        <v>6626</v>
      </c>
      <c r="H905">
        <f t="shared" si="29"/>
        <v>0</v>
      </c>
    </row>
    <row r="906" spans="1:8" x14ac:dyDescent="0.25">
      <c r="A906" s="1">
        <v>44692</v>
      </c>
      <c r="B906" t="s">
        <v>15</v>
      </c>
      <c r="C906" t="s">
        <v>17</v>
      </c>
      <c r="D906" t="s">
        <v>35</v>
      </c>
      <c r="E906">
        <v>259</v>
      </c>
      <c r="F906">
        <f t="shared" si="28"/>
        <v>621.6</v>
      </c>
      <c r="G906">
        <f>SUMIF($D$2:$D906,$D906,$E$2:$E906)</f>
        <v>5540</v>
      </c>
      <c r="H906">
        <f t="shared" si="29"/>
        <v>0</v>
      </c>
    </row>
    <row r="907" spans="1:8" x14ac:dyDescent="0.25">
      <c r="A907" s="1">
        <v>44692</v>
      </c>
      <c r="B907" t="s">
        <v>10</v>
      </c>
      <c r="C907" t="s">
        <v>17</v>
      </c>
      <c r="D907" t="s">
        <v>61</v>
      </c>
      <c r="E907">
        <v>393</v>
      </c>
      <c r="F907">
        <f t="shared" si="28"/>
        <v>1336.2</v>
      </c>
      <c r="G907">
        <f>SUMIF($D$2:$D907,$D907,$E$2:$E907)</f>
        <v>7019</v>
      </c>
      <c r="H907">
        <f t="shared" si="29"/>
        <v>0</v>
      </c>
    </row>
    <row r="908" spans="1:8" x14ac:dyDescent="0.25">
      <c r="A908" s="1">
        <v>44692</v>
      </c>
      <c r="B908" t="s">
        <v>4</v>
      </c>
      <c r="C908" t="s">
        <v>17</v>
      </c>
      <c r="D908" t="s">
        <v>66</v>
      </c>
      <c r="E908">
        <v>447</v>
      </c>
      <c r="F908">
        <f t="shared" si="28"/>
        <v>1519.8</v>
      </c>
      <c r="G908">
        <f>SUMIF($D$2:$D908,$D908,$E$2:$E908)</f>
        <v>6635</v>
      </c>
      <c r="H908">
        <f t="shared" si="29"/>
        <v>0</v>
      </c>
    </row>
    <row r="909" spans="1:8" x14ac:dyDescent="0.25">
      <c r="A909" s="1">
        <v>44693</v>
      </c>
      <c r="B909" t="s">
        <v>5</v>
      </c>
      <c r="C909" t="s">
        <v>17</v>
      </c>
      <c r="D909" t="s">
        <v>59</v>
      </c>
      <c r="E909">
        <v>171</v>
      </c>
      <c r="F909">
        <f t="shared" si="28"/>
        <v>581.4</v>
      </c>
      <c r="G909">
        <f>SUMIF($D$2:$D909,$D909,$E$2:$E909)</f>
        <v>3175</v>
      </c>
      <c r="H909">
        <f t="shared" si="29"/>
        <v>0</v>
      </c>
    </row>
    <row r="910" spans="1:8" x14ac:dyDescent="0.25">
      <c r="A910" s="1">
        <v>44693</v>
      </c>
      <c r="B910" t="s">
        <v>6</v>
      </c>
      <c r="C910" t="s">
        <v>17</v>
      </c>
      <c r="D910" t="s">
        <v>42</v>
      </c>
      <c r="E910">
        <v>340</v>
      </c>
      <c r="F910">
        <f t="shared" si="28"/>
        <v>1156</v>
      </c>
      <c r="G910">
        <f>SUMIF($D$2:$D910,$D910,$E$2:$E910)</f>
        <v>4714</v>
      </c>
      <c r="H910">
        <f t="shared" si="29"/>
        <v>0</v>
      </c>
    </row>
    <row r="911" spans="1:8" x14ac:dyDescent="0.25">
      <c r="A911" s="1">
        <v>44693</v>
      </c>
      <c r="B911" t="s">
        <v>2</v>
      </c>
      <c r="C911" t="s">
        <v>17</v>
      </c>
      <c r="D911" t="s">
        <v>29</v>
      </c>
      <c r="E911">
        <v>237</v>
      </c>
      <c r="F911">
        <f t="shared" si="28"/>
        <v>758.40000000000009</v>
      </c>
      <c r="G911">
        <f>SUMIF($D$2:$D911,$D911,$E$2:$E911)</f>
        <v>9403</v>
      </c>
      <c r="H911">
        <f t="shared" si="29"/>
        <v>0</v>
      </c>
    </row>
    <row r="912" spans="1:8" x14ac:dyDescent="0.25">
      <c r="A912" s="1">
        <v>44693</v>
      </c>
      <c r="B912" t="s">
        <v>4</v>
      </c>
      <c r="C912" t="s">
        <v>17</v>
      </c>
      <c r="D912" t="s">
        <v>42</v>
      </c>
      <c r="E912">
        <v>794</v>
      </c>
      <c r="F912">
        <f t="shared" si="28"/>
        <v>2699.6</v>
      </c>
      <c r="G912">
        <f>SUMIF($D$2:$D912,$D912,$E$2:$E912)</f>
        <v>5508</v>
      </c>
      <c r="H912">
        <f t="shared" si="29"/>
        <v>0</v>
      </c>
    </row>
    <row r="913" spans="1:8" x14ac:dyDescent="0.25">
      <c r="A913" s="1">
        <v>44694</v>
      </c>
      <c r="B913" t="s">
        <v>8</v>
      </c>
      <c r="C913" t="s">
        <v>17</v>
      </c>
      <c r="D913" t="s">
        <v>48</v>
      </c>
      <c r="E913">
        <v>237</v>
      </c>
      <c r="F913">
        <f t="shared" si="28"/>
        <v>829.5</v>
      </c>
      <c r="G913">
        <f>SUMIF($D$2:$D913,$D913,$E$2:$E913)</f>
        <v>2669</v>
      </c>
      <c r="H913">
        <f t="shared" si="29"/>
        <v>0</v>
      </c>
    </row>
    <row r="914" spans="1:8" x14ac:dyDescent="0.25">
      <c r="A914" s="1">
        <v>44694</v>
      </c>
      <c r="B914" t="s">
        <v>8</v>
      </c>
      <c r="C914" t="s">
        <v>17</v>
      </c>
      <c r="D914" t="s">
        <v>59</v>
      </c>
      <c r="E914">
        <v>555</v>
      </c>
      <c r="F914">
        <f t="shared" si="28"/>
        <v>1942.5</v>
      </c>
      <c r="G914">
        <f>SUMIF($D$2:$D914,$D914,$E$2:$E914)</f>
        <v>3730</v>
      </c>
      <c r="H914">
        <f t="shared" si="29"/>
        <v>0</v>
      </c>
    </row>
    <row r="915" spans="1:8" x14ac:dyDescent="0.25">
      <c r="A915" s="1">
        <v>44694</v>
      </c>
      <c r="B915" t="s">
        <v>0</v>
      </c>
      <c r="C915" t="s">
        <v>17</v>
      </c>
      <c r="D915" t="s">
        <v>16</v>
      </c>
      <c r="E915">
        <v>303</v>
      </c>
      <c r="F915">
        <f t="shared" si="28"/>
        <v>878.69999999999993</v>
      </c>
      <c r="G915">
        <f>SUMIF($D$2:$D915,$D915,$E$2:$E915)</f>
        <v>7375</v>
      </c>
      <c r="H915">
        <f t="shared" si="29"/>
        <v>0</v>
      </c>
    </row>
    <row r="916" spans="1:8" x14ac:dyDescent="0.25">
      <c r="A916" s="1">
        <v>44694</v>
      </c>
      <c r="B916" t="s">
        <v>7</v>
      </c>
      <c r="C916" t="s">
        <v>17</v>
      </c>
      <c r="D916" t="s">
        <v>64</v>
      </c>
      <c r="E916">
        <v>394</v>
      </c>
      <c r="F916">
        <f t="shared" si="28"/>
        <v>1339.6</v>
      </c>
      <c r="G916">
        <f>SUMIF($D$2:$D916,$D916,$E$2:$E916)</f>
        <v>6990</v>
      </c>
      <c r="H916">
        <f t="shared" si="29"/>
        <v>0</v>
      </c>
    </row>
    <row r="917" spans="1:8" x14ac:dyDescent="0.25">
      <c r="A917" s="1">
        <v>44694</v>
      </c>
      <c r="B917" t="s">
        <v>6</v>
      </c>
      <c r="C917" t="s">
        <v>17</v>
      </c>
      <c r="D917" t="s">
        <v>24</v>
      </c>
      <c r="E917">
        <v>391</v>
      </c>
      <c r="F917">
        <f t="shared" si="28"/>
        <v>1329.3999999999999</v>
      </c>
      <c r="G917">
        <f>SUMIF($D$2:$D917,$D917,$E$2:$E917)</f>
        <v>5922</v>
      </c>
      <c r="H917">
        <f t="shared" si="29"/>
        <v>0</v>
      </c>
    </row>
    <row r="918" spans="1:8" x14ac:dyDescent="0.25">
      <c r="A918" s="1">
        <v>44694</v>
      </c>
      <c r="B918" t="s">
        <v>6</v>
      </c>
      <c r="C918" t="s">
        <v>17</v>
      </c>
      <c r="D918" t="s">
        <v>37</v>
      </c>
      <c r="E918">
        <v>91</v>
      </c>
      <c r="F918">
        <f t="shared" si="28"/>
        <v>309.39999999999998</v>
      </c>
      <c r="G918">
        <f>SUMIF($D$2:$D918,$D918,$E$2:$E918)</f>
        <v>6681</v>
      </c>
      <c r="H918">
        <f t="shared" si="29"/>
        <v>0</v>
      </c>
    </row>
    <row r="919" spans="1:8" x14ac:dyDescent="0.25">
      <c r="A919" s="1">
        <v>44694</v>
      </c>
      <c r="B919" t="s">
        <v>2</v>
      </c>
      <c r="C919" t="s">
        <v>17</v>
      </c>
      <c r="D919" t="s">
        <v>40</v>
      </c>
      <c r="E919">
        <v>223</v>
      </c>
      <c r="F919">
        <f t="shared" si="28"/>
        <v>713.6</v>
      </c>
      <c r="G919">
        <f>SUMIF($D$2:$D919,$D919,$E$2:$E919)</f>
        <v>4872</v>
      </c>
      <c r="H919">
        <f t="shared" si="29"/>
        <v>0</v>
      </c>
    </row>
    <row r="920" spans="1:8" x14ac:dyDescent="0.25">
      <c r="A920" s="1">
        <v>44695</v>
      </c>
      <c r="B920" t="s">
        <v>7</v>
      </c>
      <c r="C920" t="s">
        <v>17</v>
      </c>
      <c r="D920" t="s">
        <v>58</v>
      </c>
      <c r="E920">
        <v>550</v>
      </c>
      <c r="F920">
        <f t="shared" si="28"/>
        <v>1870</v>
      </c>
      <c r="G920">
        <f>SUMIF($D$2:$D920,$D920,$E$2:$E920)</f>
        <v>7140</v>
      </c>
      <c r="H920">
        <f t="shared" si="29"/>
        <v>0</v>
      </c>
    </row>
    <row r="921" spans="1:8" x14ac:dyDescent="0.25">
      <c r="A921" s="1">
        <v>44695</v>
      </c>
      <c r="B921" t="s">
        <v>6</v>
      </c>
      <c r="C921" t="s">
        <v>17</v>
      </c>
      <c r="D921" t="s">
        <v>40</v>
      </c>
      <c r="E921">
        <v>97</v>
      </c>
      <c r="F921">
        <f t="shared" si="28"/>
        <v>329.8</v>
      </c>
      <c r="G921">
        <f>SUMIF($D$2:$D921,$D921,$E$2:$E921)</f>
        <v>4969</v>
      </c>
      <c r="H921">
        <f t="shared" si="29"/>
        <v>0</v>
      </c>
    </row>
    <row r="922" spans="1:8" x14ac:dyDescent="0.25">
      <c r="A922" s="1">
        <v>44695</v>
      </c>
      <c r="B922" t="s">
        <v>2</v>
      </c>
      <c r="C922" t="s">
        <v>17</v>
      </c>
      <c r="D922" t="s">
        <v>64</v>
      </c>
      <c r="E922">
        <v>190</v>
      </c>
      <c r="F922">
        <f t="shared" si="28"/>
        <v>608</v>
      </c>
      <c r="G922">
        <f>SUMIF($D$2:$D922,$D922,$E$2:$E922)</f>
        <v>7180</v>
      </c>
      <c r="H922">
        <f t="shared" si="29"/>
        <v>0</v>
      </c>
    </row>
    <row r="923" spans="1:8" x14ac:dyDescent="0.25">
      <c r="A923" s="1">
        <v>44695</v>
      </c>
      <c r="B923" t="s">
        <v>4</v>
      </c>
      <c r="C923" t="s">
        <v>17</v>
      </c>
      <c r="D923" t="s">
        <v>41</v>
      </c>
      <c r="E923">
        <v>650</v>
      </c>
      <c r="F923">
        <f t="shared" si="28"/>
        <v>2210</v>
      </c>
      <c r="G923">
        <f>SUMIF($D$2:$D923,$D923,$E$2:$E923)</f>
        <v>5558</v>
      </c>
      <c r="H923">
        <f t="shared" si="29"/>
        <v>0</v>
      </c>
    </row>
    <row r="924" spans="1:8" x14ac:dyDescent="0.25">
      <c r="A924" s="1">
        <v>44695</v>
      </c>
      <c r="B924" t="s">
        <v>15</v>
      </c>
      <c r="C924" t="s">
        <v>17</v>
      </c>
      <c r="D924" t="s">
        <v>20</v>
      </c>
      <c r="E924">
        <v>323</v>
      </c>
      <c r="F924">
        <f t="shared" si="28"/>
        <v>775.19999999999993</v>
      </c>
      <c r="G924">
        <f>SUMIF($D$2:$D924,$D924,$E$2:$E924)</f>
        <v>4382</v>
      </c>
      <c r="H924">
        <f t="shared" si="29"/>
        <v>0</v>
      </c>
    </row>
    <row r="925" spans="1:8" x14ac:dyDescent="0.25">
      <c r="A925" s="1">
        <v>44695</v>
      </c>
      <c r="B925" t="s">
        <v>5</v>
      </c>
      <c r="C925" t="s">
        <v>17</v>
      </c>
      <c r="D925" t="s">
        <v>26</v>
      </c>
      <c r="E925">
        <v>279</v>
      </c>
      <c r="F925">
        <f t="shared" si="28"/>
        <v>948.6</v>
      </c>
      <c r="G925">
        <f>SUMIF($D$2:$D925,$D925,$E$2:$E925)</f>
        <v>9598</v>
      </c>
      <c r="H925">
        <f t="shared" si="29"/>
        <v>0</v>
      </c>
    </row>
    <row r="926" spans="1:8" x14ac:dyDescent="0.25">
      <c r="A926" s="1">
        <v>44695</v>
      </c>
      <c r="B926" t="s">
        <v>8</v>
      </c>
      <c r="C926" t="s">
        <v>17</v>
      </c>
      <c r="D926" t="s">
        <v>54</v>
      </c>
      <c r="E926">
        <v>346</v>
      </c>
      <c r="F926">
        <f t="shared" si="28"/>
        <v>1211</v>
      </c>
      <c r="G926">
        <f>SUMIF($D$2:$D926,$D926,$E$2:$E926)</f>
        <v>7120</v>
      </c>
      <c r="H926">
        <f t="shared" si="29"/>
        <v>0</v>
      </c>
    </row>
    <row r="927" spans="1:8" x14ac:dyDescent="0.25">
      <c r="A927" s="1">
        <v>44695</v>
      </c>
      <c r="B927" t="s">
        <v>2</v>
      </c>
      <c r="C927" t="s">
        <v>17</v>
      </c>
      <c r="D927" t="s">
        <v>32</v>
      </c>
      <c r="E927">
        <v>358</v>
      </c>
      <c r="F927">
        <f t="shared" si="28"/>
        <v>1145.6000000000001</v>
      </c>
      <c r="G927">
        <f>SUMIF($D$2:$D927,$D927,$E$2:$E927)</f>
        <v>7696</v>
      </c>
      <c r="H927">
        <f t="shared" si="29"/>
        <v>0</v>
      </c>
    </row>
    <row r="928" spans="1:8" x14ac:dyDescent="0.25">
      <c r="A928" s="1">
        <v>44695</v>
      </c>
      <c r="B928" t="s">
        <v>6</v>
      </c>
      <c r="C928" t="s">
        <v>17</v>
      </c>
      <c r="D928" t="s">
        <v>26</v>
      </c>
      <c r="E928">
        <v>17</v>
      </c>
      <c r="F928">
        <f t="shared" si="28"/>
        <v>57.8</v>
      </c>
      <c r="G928">
        <f>SUMIF($D$2:$D928,$D928,$E$2:$E928)</f>
        <v>9615</v>
      </c>
      <c r="H928">
        <f t="shared" si="29"/>
        <v>0</v>
      </c>
    </row>
    <row r="929" spans="1:8" x14ac:dyDescent="0.25">
      <c r="A929" s="1">
        <v>44697</v>
      </c>
      <c r="B929" t="s">
        <v>7</v>
      </c>
      <c r="C929" t="s">
        <v>17</v>
      </c>
      <c r="D929" t="s">
        <v>29</v>
      </c>
      <c r="E929">
        <v>594</v>
      </c>
      <c r="F929">
        <f t="shared" si="28"/>
        <v>2019.6</v>
      </c>
      <c r="G929">
        <f>SUMIF($D$2:$D929,$D929,$E$2:$E929)</f>
        <v>9997</v>
      </c>
      <c r="H929">
        <f t="shared" si="29"/>
        <v>0</v>
      </c>
    </row>
    <row r="930" spans="1:8" x14ac:dyDescent="0.25">
      <c r="A930" s="1">
        <v>44697</v>
      </c>
      <c r="B930" t="s">
        <v>4</v>
      </c>
      <c r="C930" t="s">
        <v>17</v>
      </c>
      <c r="D930" t="s">
        <v>34</v>
      </c>
      <c r="E930">
        <v>770</v>
      </c>
      <c r="F930">
        <f t="shared" si="28"/>
        <v>2618</v>
      </c>
      <c r="G930">
        <f>SUMIF($D$2:$D930,$D930,$E$2:$E930)</f>
        <v>5825</v>
      </c>
      <c r="H930">
        <f t="shared" si="29"/>
        <v>0</v>
      </c>
    </row>
    <row r="931" spans="1:8" x14ac:dyDescent="0.25">
      <c r="A931" s="1">
        <v>44697</v>
      </c>
      <c r="B931" t="s">
        <v>4</v>
      </c>
      <c r="C931" t="s">
        <v>17</v>
      </c>
      <c r="D931" t="s">
        <v>50</v>
      </c>
      <c r="E931">
        <v>397</v>
      </c>
      <c r="F931">
        <f t="shared" si="28"/>
        <v>1349.8</v>
      </c>
      <c r="G931">
        <f>SUMIF($D$2:$D931,$D931,$E$2:$E931)</f>
        <v>3595</v>
      </c>
      <c r="H931">
        <f t="shared" si="29"/>
        <v>0</v>
      </c>
    </row>
    <row r="932" spans="1:8" x14ac:dyDescent="0.25">
      <c r="A932" s="1">
        <v>44697</v>
      </c>
      <c r="B932" t="s">
        <v>2</v>
      </c>
      <c r="C932" t="s">
        <v>17</v>
      </c>
      <c r="D932" t="s">
        <v>38</v>
      </c>
      <c r="E932">
        <v>193</v>
      </c>
      <c r="F932">
        <f t="shared" si="28"/>
        <v>617.6</v>
      </c>
      <c r="G932">
        <f>SUMIF($D$2:$D932,$D932,$E$2:$E932)</f>
        <v>8616</v>
      </c>
      <c r="H932">
        <f t="shared" si="29"/>
        <v>0</v>
      </c>
    </row>
    <row r="933" spans="1:8" x14ac:dyDescent="0.25">
      <c r="A933" s="1">
        <v>44697</v>
      </c>
      <c r="B933" t="s">
        <v>10</v>
      </c>
      <c r="C933" t="s">
        <v>17</v>
      </c>
      <c r="D933" t="s">
        <v>57</v>
      </c>
      <c r="E933">
        <v>381</v>
      </c>
      <c r="F933">
        <f t="shared" si="28"/>
        <v>1295.3999999999999</v>
      </c>
      <c r="G933">
        <f>SUMIF($D$2:$D933,$D933,$E$2:$E933)</f>
        <v>7532</v>
      </c>
      <c r="H933">
        <f t="shared" si="29"/>
        <v>0</v>
      </c>
    </row>
    <row r="934" spans="1:8" x14ac:dyDescent="0.25">
      <c r="A934" s="1">
        <v>44697</v>
      </c>
      <c r="B934" t="s">
        <v>5</v>
      </c>
      <c r="C934" t="s">
        <v>17</v>
      </c>
      <c r="D934" t="s">
        <v>20</v>
      </c>
      <c r="E934">
        <v>74</v>
      </c>
      <c r="F934">
        <f t="shared" si="28"/>
        <v>251.6</v>
      </c>
      <c r="G934">
        <f>SUMIF($D$2:$D934,$D934,$E$2:$E934)</f>
        <v>4456</v>
      </c>
      <c r="H934">
        <f t="shared" si="29"/>
        <v>0</v>
      </c>
    </row>
    <row r="935" spans="1:8" x14ac:dyDescent="0.25">
      <c r="A935" s="1">
        <v>44697</v>
      </c>
      <c r="B935" t="s">
        <v>5</v>
      </c>
      <c r="C935" t="s">
        <v>17</v>
      </c>
      <c r="D935" t="s">
        <v>25</v>
      </c>
      <c r="E935">
        <v>458</v>
      </c>
      <c r="F935">
        <f t="shared" si="28"/>
        <v>1557.2</v>
      </c>
      <c r="G935">
        <f>SUMIF($D$2:$D935,$D935,$E$2:$E935)</f>
        <v>6745</v>
      </c>
      <c r="H935">
        <f t="shared" si="29"/>
        <v>0</v>
      </c>
    </row>
    <row r="936" spans="1:8" x14ac:dyDescent="0.25">
      <c r="A936" s="1">
        <v>44697</v>
      </c>
      <c r="B936" t="s">
        <v>15</v>
      </c>
      <c r="C936" t="s">
        <v>17</v>
      </c>
      <c r="D936" t="s">
        <v>45</v>
      </c>
      <c r="E936">
        <v>126</v>
      </c>
      <c r="F936">
        <f t="shared" si="28"/>
        <v>302.39999999999998</v>
      </c>
      <c r="G936">
        <f>SUMIF($D$2:$D936,$D936,$E$2:$E936)</f>
        <v>6098</v>
      </c>
      <c r="H936">
        <f t="shared" si="29"/>
        <v>0</v>
      </c>
    </row>
    <row r="937" spans="1:8" x14ac:dyDescent="0.25">
      <c r="A937" s="1">
        <v>44697</v>
      </c>
      <c r="B937" t="s">
        <v>6</v>
      </c>
      <c r="C937" t="s">
        <v>17</v>
      </c>
      <c r="D937" t="s">
        <v>28</v>
      </c>
      <c r="E937">
        <v>58</v>
      </c>
      <c r="F937">
        <f t="shared" si="28"/>
        <v>197.2</v>
      </c>
      <c r="G937">
        <f>SUMIF($D$2:$D937,$D937,$E$2:$E937)</f>
        <v>6334</v>
      </c>
      <c r="H937">
        <f t="shared" si="29"/>
        <v>0</v>
      </c>
    </row>
    <row r="938" spans="1:8" x14ac:dyDescent="0.25">
      <c r="A938" s="1">
        <v>44697</v>
      </c>
      <c r="B938" t="s">
        <v>15</v>
      </c>
      <c r="C938" t="s">
        <v>17</v>
      </c>
      <c r="D938" t="s">
        <v>51</v>
      </c>
      <c r="E938">
        <v>206</v>
      </c>
      <c r="F938">
        <f t="shared" si="28"/>
        <v>494.4</v>
      </c>
      <c r="G938">
        <f>SUMIF($D$2:$D938,$D938,$E$2:$E938)</f>
        <v>7836</v>
      </c>
      <c r="H938">
        <f t="shared" si="29"/>
        <v>0</v>
      </c>
    </row>
    <row r="939" spans="1:8" x14ac:dyDescent="0.25">
      <c r="A939" s="1">
        <v>44697</v>
      </c>
      <c r="B939" t="s">
        <v>8</v>
      </c>
      <c r="C939" t="s">
        <v>17</v>
      </c>
      <c r="D939" t="s">
        <v>56</v>
      </c>
      <c r="E939">
        <v>380</v>
      </c>
      <c r="F939">
        <f t="shared" si="28"/>
        <v>1330</v>
      </c>
      <c r="G939">
        <f>SUMIF($D$2:$D939,$D939,$E$2:$E939)</f>
        <v>6906</v>
      </c>
      <c r="H939">
        <f t="shared" si="29"/>
        <v>0</v>
      </c>
    </row>
    <row r="940" spans="1:8" x14ac:dyDescent="0.25">
      <c r="A940" s="1">
        <v>44697</v>
      </c>
      <c r="B940" t="s">
        <v>6</v>
      </c>
      <c r="C940" t="s">
        <v>17</v>
      </c>
      <c r="D940" t="s">
        <v>28</v>
      </c>
      <c r="E940">
        <v>428</v>
      </c>
      <c r="F940">
        <f t="shared" si="28"/>
        <v>1455.2</v>
      </c>
      <c r="G940">
        <f>SUMIF($D$2:$D940,$D940,$E$2:$E940)</f>
        <v>6762</v>
      </c>
      <c r="H940">
        <f t="shared" si="29"/>
        <v>0</v>
      </c>
    </row>
    <row r="941" spans="1:8" x14ac:dyDescent="0.25">
      <c r="A941" s="1">
        <v>44698</v>
      </c>
      <c r="B941" t="s">
        <v>5</v>
      </c>
      <c r="C941" t="s">
        <v>17</v>
      </c>
      <c r="D941" t="s">
        <v>47</v>
      </c>
      <c r="E941">
        <v>43</v>
      </c>
      <c r="F941">
        <f t="shared" si="28"/>
        <v>146.19999999999999</v>
      </c>
      <c r="G941">
        <f>SUMIF($D$2:$D941,$D941,$E$2:$E941)</f>
        <v>4927</v>
      </c>
      <c r="H941">
        <f t="shared" si="29"/>
        <v>0</v>
      </c>
    </row>
    <row r="942" spans="1:8" x14ac:dyDescent="0.25">
      <c r="A942" s="1">
        <v>44698</v>
      </c>
      <c r="B942" t="s">
        <v>7</v>
      </c>
      <c r="C942" t="s">
        <v>17</v>
      </c>
      <c r="D942" t="s">
        <v>31</v>
      </c>
      <c r="E942">
        <v>357</v>
      </c>
      <c r="F942">
        <f t="shared" si="28"/>
        <v>1213.8</v>
      </c>
      <c r="G942">
        <f>SUMIF($D$2:$D942,$D942,$E$2:$E942)</f>
        <v>7853</v>
      </c>
      <c r="H942">
        <f t="shared" si="29"/>
        <v>0</v>
      </c>
    </row>
    <row r="943" spans="1:8" x14ac:dyDescent="0.25">
      <c r="A943" s="1">
        <v>44698</v>
      </c>
      <c r="B943" t="s">
        <v>7</v>
      </c>
      <c r="C943" t="s">
        <v>17</v>
      </c>
      <c r="D943" t="s">
        <v>35</v>
      </c>
      <c r="E943">
        <v>490</v>
      </c>
      <c r="F943">
        <f t="shared" si="28"/>
        <v>1666</v>
      </c>
      <c r="G943">
        <f>SUMIF($D$2:$D943,$D943,$E$2:$E943)</f>
        <v>6030</v>
      </c>
      <c r="H943">
        <f t="shared" si="29"/>
        <v>0</v>
      </c>
    </row>
    <row r="944" spans="1:8" x14ac:dyDescent="0.25">
      <c r="A944" s="1">
        <v>44698</v>
      </c>
      <c r="B944" t="s">
        <v>4</v>
      </c>
      <c r="C944" t="s">
        <v>17</v>
      </c>
      <c r="D944" t="s">
        <v>31</v>
      </c>
      <c r="E944">
        <v>592</v>
      </c>
      <c r="F944">
        <f t="shared" si="28"/>
        <v>2012.8</v>
      </c>
      <c r="G944">
        <f>SUMIF($D$2:$D944,$D944,$E$2:$E944)</f>
        <v>8445</v>
      </c>
      <c r="H944">
        <f t="shared" si="29"/>
        <v>0</v>
      </c>
    </row>
    <row r="945" spans="1:8" x14ac:dyDescent="0.25">
      <c r="A945" s="1">
        <v>44699</v>
      </c>
      <c r="B945" t="s">
        <v>4</v>
      </c>
      <c r="C945" t="s">
        <v>17</v>
      </c>
      <c r="D945" t="s">
        <v>44</v>
      </c>
      <c r="E945">
        <v>685</v>
      </c>
      <c r="F945">
        <f t="shared" si="28"/>
        <v>2329</v>
      </c>
      <c r="G945">
        <f>SUMIF($D$2:$D945,$D945,$E$2:$E945)</f>
        <v>7647</v>
      </c>
      <c r="H945">
        <f t="shared" si="29"/>
        <v>0</v>
      </c>
    </row>
    <row r="946" spans="1:8" x14ac:dyDescent="0.25">
      <c r="A946" s="1">
        <v>44699</v>
      </c>
      <c r="B946" t="s">
        <v>2</v>
      </c>
      <c r="C946" t="s">
        <v>17</v>
      </c>
      <c r="D946" t="s">
        <v>26</v>
      </c>
      <c r="E946">
        <v>404</v>
      </c>
      <c r="F946">
        <f t="shared" si="28"/>
        <v>1292.8000000000002</v>
      </c>
      <c r="G946">
        <f>SUMIF($D$2:$D946,$D946,$E$2:$E946)</f>
        <v>10019</v>
      </c>
      <c r="H946">
        <f t="shared" si="29"/>
        <v>0</v>
      </c>
    </row>
    <row r="947" spans="1:8" x14ac:dyDescent="0.25">
      <c r="A947" s="1">
        <v>44699</v>
      </c>
      <c r="B947" t="s">
        <v>2</v>
      </c>
      <c r="C947" t="s">
        <v>17</v>
      </c>
      <c r="D947" t="s">
        <v>45</v>
      </c>
      <c r="E947">
        <v>109</v>
      </c>
      <c r="F947">
        <f t="shared" si="28"/>
        <v>348.8</v>
      </c>
      <c r="G947">
        <f>SUMIF($D$2:$D947,$D947,$E$2:$E947)</f>
        <v>6207</v>
      </c>
      <c r="H947">
        <f t="shared" si="29"/>
        <v>0</v>
      </c>
    </row>
    <row r="948" spans="1:8" x14ac:dyDescent="0.25">
      <c r="A948" s="1">
        <v>44699</v>
      </c>
      <c r="B948" t="s">
        <v>6</v>
      </c>
      <c r="C948" t="s">
        <v>17</v>
      </c>
      <c r="D948" t="s">
        <v>40</v>
      </c>
      <c r="E948">
        <v>454</v>
      </c>
      <c r="F948">
        <f t="shared" si="28"/>
        <v>1543.6</v>
      </c>
      <c r="G948">
        <f>SUMIF($D$2:$D948,$D948,$E$2:$E948)</f>
        <v>5423</v>
      </c>
      <c r="H948">
        <f t="shared" si="29"/>
        <v>0</v>
      </c>
    </row>
    <row r="949" spans="1:8" x14ac:dyDescent="0.25">
      <c r="A949" s="1">
        <v>44699</v>
      </c>
      <c r="B949" t="s">
        <v>10</v>
      </c>
      <c r="C949" t="s">
        <v>17</v>
      </c>
      <c r="D949" t="s">
        <v>67</v>
      </c>
      <c r="E949">
        <v>206</v>
      </c>
      <c r="F949">
        <f t="shared" si="28"/>
        <v>700.4</v>
      </c>
      <c r="G949">
        <f>SUMIF($D$2:$D949,$D949,$E$2:$E949)</f>
        <v>7331</v>
      </c>
      <c r="H949">
        <f t="shared" si="29"/>
        <v>0</v>
      </c>
    </row>
    <row r="950" spans="1:8" x14ac:dyDescent="0.25">
      <c r="A950" s="1">
        <v>44699</v>
      </c>
      <c r="B950" t="s">
        <v>15</v>
      </c>
      <c r="C950" t="s">
        <v>17</v>
      </c>
      <c r="D950" t="s">
        <v>35</v>
      </c>
      <c r="E950">
        <v>585</v>
      </c>
      <c r="F950">
        <f t="shared" si="28"/>
        <v>1404</v>
      </c>
      <c r="G950">
        <f>SUMIF($D$2:$D950,$D950,$E$2:$E950)</f>
        <v>6615</v>
      </c>
      <c r="H950">
        <f t="shared" si="29"/>
        <v>0</v>
      </c>
    </row>
    <row r="951" spans="1:8" x14ac:dyDescent="0.25">
      <c r="A951" s="1">
        <v>44699</v>
      </c>
      <c r="B951" t="s">
        <v>4</v>
      </c>
      <c r="C951" t="s">
        <v>17</v>
      </c>
      <c r="D951" t="s">
        <v>60</v>
      </c>
      <c r="E951">
        <v>697</v>
      </c>
      <c r="F951">
        <f t="shared" si="28"/>
        <v>2369.7999999999997</v>
      </c>
      <c r="G951">
        <f>SUMIF($D$2:$D951,$D951,$E$2:$E951)</f>
        <v>8473</v>
      </c>
      <c r="H951">
        <f t="shared" si="29"/>
        <v>0</v>
      </c>
    </row>
    <row r="952" spans="1:8" x14ac:dyDescent="0.25">
      <c r="A952" s="1">
        <v>44699</v>
      </c>
      <c r="B952" t="s">
        <v>5</v>
      </c>
      <c r="C952" t="s">
        <v>17</v>
      </c>
      <c r="D952" t="s">
        <v>54</v>
      </c>
      <c r="E952">
        <v>176</v>
      </c>
      <c r="F952">
        <f t="shared" si="28"/>
        <v>598.4</v>
      </c>
      <c r="G952">
        <f>SUMIF($D$2:$D952,$D952,$E$2:$E952)</f>
        <v>7296</v>
      </c>
      <c r="H952">
        <f t="shared" si="29"/>
        <v>0</v>
      </c>
    </row>
    <row r="953" spans="1:8" x14ac:dyDescent="0.25">
      <c r="A953" s="1">
        <v>44700</v>
      </c>
      <c r="B953" t="s">
        <v>7</v>
      </c>
      <c r="C953" t="s">
        <v>17</v>
      </c>
      <c r="D953" t="s">
        <v>41</v>
      </c>
      <c r="E953">
        <v>383</v>
      </c>
      <c r="F953">
        <f t="shared" si="28"/>
        <v>1302.2</v>
      </c>
      <c r="G953">
        <f>SUMIF($D$2:$D953,$D953,$E$2:$E953)</f>
        <v>5941</v>
      </c>
      <c r="H953">
        <f t="shared" si="29"/>
        <v>0</v>
      </c>
    </row>
    <row r="954" spans="1:8" x14ac:dyDescent="0.25">
      <c r="A954" s="1">
        <v>44700</v>
      </c>
      <c r="B954" t="s">
        <v>6</v>
      </c>
      <c r="C954" t="s">
        <v>17</v>
      </c>
      <c r="D954" t="s">
        <v>22</v>
      </c>
      <c r="E954">
        <v>225</v>
      </c>
      <c r="F954">
        <f t="shared" si="28"/>
        <v>765</v>
      </c>
      <c r="G954">
        <f>SUMIF($D$2:$D954,$D954,$E$2:$E954)</f>
        <v>7635</v>
      </c>
      <c r="H954">
        <f t="shared" si="29"/>
        <v>0</v>
      </c>
    </row>
    <row r="955" spans="1:8" x14ac:dyDescent="0.25">
      <c r="A955" s="1">
        <v>44700</v>
      </c>
      <c r="B955" t="s">
        <v>15</v>
      </c>
      <c r="C955" t="s">
        <v>17</v>
      </c>
      <c r="D955" t="s">
        <v>47</v>
      </c>
      <c r="E955">
        <v>562</v>
      </c>
      <c r="F955">
        <f t="shared" si="28"/>
        <v>1348.8</v>
      </c>
      <c r="G955">
        <f>SUMIF($D$2:$D955,$D955,$E$2:$E955)</f>
        <v>5489</v>
      </c>
      <c r="H955">
        <f t="shared" si="29"/>
        <v>0</v>
      </c>
    </row>
    <row r="956" spans="1:8" x14ac:dyDescent="0.25">
      <c r="A956" s="1">
        <v>44700</v>
      </c>
      <c r="B956" t="s">
        <v>4</v>
      </c>
      <c r="C956" t="s">
        <v>17</v>
      </c>
      <c r="D956" t="s">
        <v>55</v>
      </c>
      <c r="E956">
        <v>387</v>
      </c>
      <c r="F956">
        <f t="shared" si="28"/>
        <v>1315.8</v>
      </c>
      <c r="G956">
        <f>SUMIF($D$2:$D956,$D956,$E$2:$E956)</f>
        <v>6500</v>
      </c>
      <c r="H956">
        <f t="shared" si="29"/>
        <v>0</v>
      </c>
    </row>
    <row r="957" spans="1:8" x14ac:dyDescent="0.25">
      <c r="A957" s="1">
        <v>44701</v>
      </c>
      <c r="B957" t="s">
        <v>7</v>
      </c>
      <c r="C957" t="s">
        <v>17</v>
      </c>
      <c r="D957" t="s">
        <v>50</v>
      </c>
      <c r="E957">
        <v>339</v>
      </c>
      <c r="F957">
        <f t="shared" si="28"/>
        <v>1152.5999999999999</v>
      </c>
      <c r="G957">
        <f>SUMIF($D$2:$D957,$D957,$E$2:$E957)</f>
        <v>3934</v>
      </c>
      <c r="H957">
        <f t="shared" si="29"/>
        <v>0</v>
      </c>
    </row>
    <row r="958" spans="1:8" x14ac:dyDescent="0.25">
      <c r="A958" s="1">
        <v>44701</v>
      </c>
      <c r="B958" t="s">
        <v>5</v>
      </c>
      <c r="C958" t="s">
        <v>17</v>
      </c>
      <c r="D958" t="s">
        <v>55</v>
      </c>
      <c r="E958">
        <v>456</v>
      </c>
      <c r="F958">
        <f t="shared" si="28"/>
        <v>1550.3999999999999</v>
      </c>
      <c r="G958">
        <f>SUMIF($D$2:$D958,$D958,$E$2:$E958)</f>
        <v>6956</v>
      </c>
      <c r="H958">
        <f t="shared" si="29"/>
        <v>0</v>
      </c>
    </row>
    <row r="959" spans="1:8" x14ac:dyDescent="0.25">
      <c r="A959" s="1">
        <v>44701</v>
      </c>
      <c r="B959" t="s">
        <v>4</v>
      </c>
      <c r="C959" t="s">
        <v>17</v>
      </c>
      <c r="D959" t="s">
        <v>36</v>
      </c>
      <c r="E959">
        <v>490</v>
      </c>
      <c r="F959">
        <f t="shared" si="28"/>
        <v>1666</v>
      </c>
      <c r="G959">
        <f>SUMIF($D$2:$D959,$D959,$E$2:$E959)</f>
        <v>7561</v>
      </c>
      <c r="H959">
        <f t="shared" si="29"/>
        <v>0</v>
      </c>
    </row>
    <row r="960" spans="1:8" x14ac:dyDescent="0.25">
      <c r="A960" s="1">
        <v>44701</v>
      </c>
      <c r="B960" t="s">
        <v>8</v>
      </c>
      <c r="C960" t="s">
        <v>17</v>
      </c>
      <c r="D960" t="s">
        <v>19</v>
      </c>
      <c r="E960">
        <v>599</v>
      </c>
      <c r="F960">
        <f t="shared" si="28"/>
        <v>2096.5</v>
      </c>
      <c r="G960">
        <f>SUMIF($D$2:$D960,$D960,$E$2:$E960)</f>
        <v>2444</v>
      </c>
      <c r="H960">
        <f t="shared" si="29"/>
        <v>0</v>
      </c>
    </row>
    <row r="961" spans="1:8" x14ac:dyDescent="0.25">
      <c r="A961" s="1">
        <v>44701</v>
      </c>
      <c r="B961" t="s">
        <v>5</v>
      </c>
      <c r="C961" t="s">
        <v>17</v>
      </c>
      <c r="D961" t="s">
        <v>31</v>
      </c>
      <c r="E961">
        <v>185</v>
      </c>
      <c r="F961">
        <f t="shared" si="28"/>
        <v>629</v>
      </c>
      <c r="G961">
        <f>SUMIF($D$2:$D961,$D961,$E$2:$E961)</f>
        <v>8630</v>
      </c>
      <c r="H961">
        <f t="shared" si="29"/>
        <v>0</v>
      </c>
    </row>
    <row r="962" spans="1:8" x14ac:dyDescent="0.25">
      <c r="A962" s="1">
        <v>44701</v>
      </c>
      <c r="B962" t="s">
        <v>4</v>
      </c>
      <c r="C962" t="s">
        <v>17</v>
      </c>
      <c r="D962" t="s">
        <v>24</v>
      </c>
      <c r="E962">
        <v>670</v>
      </c>
      <c r="F962">
        <f t="shared" si="28"/>
        <v>2278</v>
      </c>
      <c r="G962">
        <f>SUMIF($D$2:$D962,$D962,$E$2:$E962)</f>
        <v>6592</v>
      </c>
      <c r="H962">
        <f t="shared" si="29"/>
        <v>0</v>
      </c>
    </row>
    <row r="963" spans="1:8" x14ac:dyDescent="0.25">
      <c r="A963" s="1">
        <v>44701</v>
      </c>
      <c r="B963" t="s">
        <v>10</v>
      </c>
      <c r="C963" t="s">
        <v>17</v>
      </c>
      <c r="D963" t="s">
        <v>42</v>
      </c>
      <c r="E963">
        <v>280</v>
      </c>
      <c r="F963">
        <f t="shared" ref="F963:F1026" si="30">E963* _xlfn.XLOOKUP(B963,$I$2:$I$17,$J$2:$J$17,"0",0,1)</f>
        <v>952</v>
      </c>
      <c r="G963">
        <f>SUMIF($D$2:$D963,$D963,$E$2:$E963)</f>
        <v>5788</v>
      </c>
      <c r="H963">
        <f t="shared" ref="H963:H1026" si="31">IF(AND($G963 &gt; 15000,$G963 &lt; 20000),5*$E963,IF($G963 &gt;= 20000,10*$E963,0))</f>
        <v>0</v>
      </c>
    </row>
    <row r="964" spans="1:8" x14ac:dyDescent="0.25">
      <c r="A964" s="1">
        <v>44701</v>
      </c>
      <c r="B964" t="s">
        <v>5</v>
      </c>
      <c r="C964" t="s">
        <v>17</v>
      </c>
      <c r="D964" t="s">
        <v>32</v>
      </c>
      <c r="E964">
        <v>211</v>
      </c>
      <c r="F964">
        <f t="shared" si="30"/>
        <v>717.4</v>
      </c>
      <c r="G964">
        <f>SUMIF($D$2:$D964,$D964,$E$2:$E964)</f>
        <v>7907</v>
      </c>
      <c r="H964">
        <f t="shared" si="31"/>
        <v>0</v>
      </c>
    </row>
    <row r="965" spans="1:8" x14ac:dyDescent="0.25">
      <c r="A965" s="1">
        <v>44702</v>
      </c>
      <c r="B965" t="s">
        <v>15</v>
      </c>
      <c r="C965" t="s">
        <v>17</v>
      </c>
      <c r="D965" t="s">
        <v>37</v>
      </c>
      <c r="E965">
        <v>136</v>
      </c>
      <c r="F965">
        <f t="shared" si="30"/>
        <v>326.39999999999998</v>
      </c>
      <c r="G965">
        <f>SUMIF($D$2:$D965,$D965,$E$2:$E965)</f>
        <v>6817</v>
      </c>
      <c r="H965">
        <f t="shared" si="31"/>
        <v>0</v>
      </c>
    </row>
    <row r="966" spans="1:8" x14ac:dyDescent="0.25">
      <c r="A966" s="1">
        <v>44702</v>
      </c>
      <c r="B966" t="s">
        <v>4</v>
      </c>
      <c r="C966" t="s">
        <v>17</v>
      </c>
      <c r="D966" t="s">
        <v>20</v>
      </c>
      <c r="E966">
        <v>417</v>
      </c>
      <c r="F966">
        <f t="shared" si="30"/>
        <v>1417.8</v>
      </c>
      <c r="G966">
        <f>SUMIF($D$2:$D966,$D966,$E$2:$E966)</f>
        <v>4873</v>
      </c>
      <c r="H966">
        <f t="shared" si="31"/>
        <v>0</v>
      </c>
    </row>
    <row r="967" spans="1:8" x14ac:dyDescent="0.25">
      <c r="A967" s="1">
        <v>44702</v>
      </c>
      <c r="B967" t="s">
        <v>15</v>
      </c>
      <c r="C967" t="s">
        <v>17</v>
      </c>
      <c r="D967" t="s">
        <v>25</v>
      </c>
      <c r="E967">
        <v>381</v>
      </c>
      <c r="F967">
        <f t="shared" si="30"/>
        <v>914.4</v>
      </c>
      <c r="G967">
        <f>SUMIF($D$2:$D967,$D967,$E$2:$E967)</f>
        <v>7126</v>
      </c>
      <c r="H967">
        <f t="shared" si="31"/>
        <v>0</v>
      </c>
    </row>
    <row r="968" spans="1:8" x14ac:dyDescent="0.25">
      <c r="A968" s="1">
        <v>44702</v>
      </c>
      <c r="B968" t="s">
        <v>4</v>
      </c>
      <c r="C968" t="s">
        <v>17</v>
      </c>
      <c r="D968" t="s">
        <v>33</v>
      </c>
      <c r="E968">
        <v>546</v>
      </c>
      <c r="F968">
        <f t="shared" si="30"/>
        <v>1856.3999999999999</v>
      </c>
      <c r="G968">
        <f>SUMIF($D$2:$D968,$D968,$E$2:$E968)</f>
        <v>8570</v>
      </c>
      <c r="H968">
        <f t="shared" si="31"/>
        <v>0</v>
      </c>
    </row>
    <row r="969" spans="1:8" x14ac:dyDescent="0.25">
      <c r="A969" s="1">
        <v>44702</v>
      </c>
      <c r="B969" t="s">
        <v>0</v>
      </c>
      <c r="C969" t="s">
        <v>17</v>
      </c>
      <c r="D969" t="s">
        <v>52</v>
      </c>
      <c r="E969">
        <v>355</v>
      </c>
      <c r="F969">
        <f t="shared" si="30"/>
        <v>1029.5</v>
      </c>
      <c r="G969">
        <f>SUMIF($D$2:$D969,$D969,$E$2:$E969)</f>
        <v>7080</v>
      </c>
      <c r="H969">
        <f t="shared" si="31"/>
        <v>0</v>
      </c>
    </row>
    <row r="970" spans="1:8" x14ac:dyDescent="0.25">
      <c r="A970" s="1">
        <v>44704</v>
      </c>
      <c r="B970" t="s">
        <v>4</v>
      </c>
      <c r="C970" t="s">
        <v>17</v>
      </c>
      <c r="D970" t="s">
        <v>59</v>
      </c>
      <c r="E970">
        <v>592</v>
      </c>
      <c r="F970">
        <f t="shared" si="30"/>
        <v>2012.8</v>
      </c>
      <c r="G970">
        <f>SUMIF($D$2:$D970,$D970,$E$2:$E970)</f>
        <v>4322</v>
      </c>
      <c r="H970">
        <f t="shared" si="31"/>
        <v>0</v>
      </c>
    </row>
    <row r="971" spans="1:8" x14ac:dyDescent="0.25">
      <c r="A971" s="1">
        <v>44704</v>
      </c>
      <c r="B971" t="s">
        <v>4</v>
      </c>
      <c r="C971" t="s">
        <v>17</v>
      </c>
      <c r="D971" t="s">
        <v>59</v>
      </c>
      <c r="E971">
        <v>519</v>
      </c>
      <c r="F971">
        <f t="shared" si="30"/>
        <v>1764.6</v>
      </c>
      <c r="G971">
        <f>SUMIF($D$2:$D971,$D971,$E$2:$E971)</f>
        <v>4841</v>
      </c>
      <c r="H971">
        <f t="shared" si="31"/>
        <v>0</v>
      </c>
    </row>
    <row r="972" spans="1:8" x14ac:dyDescent="0.25">
      <c r="A972" s="1">
        <v>44704</v>
      </c>
      <c r="B972" t="s">
        <v>8</v>
      </c>
      <c r="C972" t="s">
        <v>17</v>
      </c>
      <c r="D972" t="s">
        <v>52</v>
      </c>
      <c r="E972">
        <v>441</v>
      </c>
      <c r="F972">
        <f t="shared" si="30"/>
        <v>1543.5</v>
      </c>
      <c r="G972">
        <f>SUMIF($D$2:$D972,$D972,$E$2:$E972)</f>
        <v>7521</v>
      </c>
      <c r="H972">
        <f t="shared" si="31"/>
        <v>0</v>
      </c>
    </row>
    <row r="973" spans="1:8" x14ac:dyDescent="0.25">
      <c r="A973" s="1">
        <v>44704</v>
      </c>
      <c r="B973" t="s">
        <v>15</v>
      </c>
      <c r="C973" t="s">
        <v>17</v>
      </c>
      <c r="D973" t="s">
        <v>29</v>
      </c>
      <c r="E973">
        <v>360</v>
      </c>
      <c r="F973">
        <f t="shared" si="30"/>
        <v>864</v>
      </c>
      <c r="G973">
        <f>SUMIF($D$2:$D973,$D973,$E$2:$E973)</f>
        <v>10357</v>
      </c>
      <c r="H973">
        <f t="shared" si="31"/>
        <v>0</v>
      </c>
    </row>
    <row r="974" spans="1:8" x14ac:dyDescent="0.25">
      <c r="A974" s="1">
        <v>44704</v>
      </c>
      <c r="B974" t="s">
        <v>8</v>
      </c>
      <c r="C974" t="s">
        <v>17</v>
      </c>
      <c r="D974" t="s">
        <v>51</v>
      </c>
      <c r="E974">
        <v>675</v>
      </c>
      <c r="F974">
        <f t="shared" si="30"/>
        <v>2362.5</v>
      </c>
      <c r="G974">
        <f>SUMIF($D$2:$D974,$D974,$E$2:$E974)</f>
        <v>8511</v>
      </c>
      <c r="H974">
        <f t="shared" si="31"/>
        <v>0</v>
      </c>
    </row>
    <row r="975" spans="1:8" x14ac:dyDescent="0.25">
      <c r="A975" s="1">
        <v>44704</v>
      </c>
      <c r="B975" t="s">
        <v>8</v>
      </c>
      <c r="C975" t="s">
        <v>17</v>
      </c>
      <c r="D975" t="s">
        <v>57</v>
      </c>
      <c r="E975">
        <v>567</v>
      </c>
      <c r="F975">
        <f t="shared" si="30"/>
        <v>1984.5</v>
      </c>
      <c r="G975">
        <f>SUMIF($D$2:$D975,$D975,$E$2:$E975)</f>
        <v>8099</v>
      </c>
      <c r="H975">
        <f t="shared" si="31"/>
        <v>0</v>
      </c>
    </row>
    <row r="976" spans="1:8" x14ac:dyDescent="0.25">
      <c r="A976" s="1">
        <v>44704</v>
      </c>
      <c r="B976" t="s">
        <v>15</v>
      </c>
      <c r="C976" t="s">
        <v>17</v>
      </c>
      <c r="D976" t="s">
        <v>36</v>
      </c>
      <c r="E976">
        <v>350</v>
      </c>
      <c r="F976">
        <f t="shared" si="30"/>
        <v>840</v>
      </c>
      <c r="G976">
        <f>SUMIF($D$2:$D976,$D976,$E$2:$E976)</f>
        <v>7911</v>
      </c>
      <c r="H976">
        <f t="shared" si="31"/>
        <v>0</v>
      </c>
    </row>
    <row r="977" spans="1:8" x14ac:dyDescent="0.25">
      <c r="A977" s="1">
        <v>44704</v>
      </c>
      <c r="B977" t="s">
        <v>4</v>
      </c>
      <c r="C977" t="s">
        <v>17</v>
      </c>
      <c r="D977" t="s">
        <v>27</v>
      </c>
      <c r="E977">
        <v>379</v>
      </c>
      <c r="F977">
        <f t="shared" si="30"/>
        <v>1288.5999999999999</v>
      </c>
      <c r="G977">
        <f>SUMIF($D$2:$D977,$D977,$E$2:$E977)</f>
        <v>7077</v>
      </c>
      <c r="H977">
        <f t="shared" si="31"/>
        <v>0</v>
      </c>
    </row>
    <row r="978" spans="1:8" x14ac:dyDescent="0.25">
      <c r="A978" s="1">
        <v>44704</v>
      </c>
      <c r="B978" t="s">
        <v>6</v>
      </c>
      <c r="C978" t="s">
        <v>17</v>
      </c>
      <c r="D978" t="s">
        <v>18</v>
      </c>
      <c r="E978">
        <v>135</v>
      </c>
      <c r="F978">
        <f t="shared" si="30"/>
        <v>459</v>
      </c>
      <c r="G978">
        <f>SUMIF($D$2:$D978,$D978,$E$2:$E978)</f>
        <v>7304</v>
      </c>
      <c r="H978">
        <f t="shared" si="31"/>
        <v>0</v>
      </c>
    </row>
    <row r="979" spans="1:8" x14ac:dyDescent="0.25">
      <c r="A979" s="1">
        <v>44704</v>
      </c>
      <c r="B979" t="s">
        <v>15</v>
      </c>
      <c r="C979" t="s">
        <v>17</v>
      </c>
      <c r="D979" t="s">
        <v>63</v>
      </c>
      <c r="E979">
        <v>502</v>
      </c>
      <c r="F979">
        <f t="shared" si="30"/>
        <v>1204.8</v>
      </c>
      <c r="G979">
        <f>SUMIF($D$2:$D979,$D979,$E$2:$E979)</f>
        <v>5953</v>
      </c>
      <c r="H979">
        <f t="shared" si="31"/>
        <v>0</v>
      </c>
    </row>
    <row r="980" spans="1:8" x14ac:dyDescent="0.25">
      <c r="A980" s="1">
        <v>44705</v>
      </c>
      <c r="B980" t="s">
        <v>0</v>
      </c>
      <c r="C980" t="s">
        <v>17</v>
      </c>
      <c r="D980" t="s">
        <v>42</v>
      </c>
      <c r="E980">
        <v>220</v>
      </c>
      <c r="F980">
        <f t="shared" si="30"/>
        <v>638</v>
      </c>
      <c r="G980">
        <f>SUMIF($D$2:$D980,$D980,$E$2:$E980)</f>
        <v>6008</v>
      </c>
      <c r="H980">
        <f t="shared" si="31"/>
        <v>0</v>
      </c>
    </row>
    <row r="981" spans="1:8" x14ac:dyDescent="0.25">
      <c r="A981" s="1">
        <v>44705</v>
      </c>
      <c r="B981" t="s">
        <v>2</v>
      </c>
      <c r="C981" t="s">
        <v>17</v>
      </c>
      <c r="D981" t="s">
        <v>49</v>
      </c>
      <c r="E981">
        <v>487</v>
      </c>
      <c r="F981">
        <f t="shared" si="30"/>
        <v>1558.4</v>
      </c>
      <c r="G981">
        <f>SUMIF($D$2:$D981,$D981,$E$2:$E981)</f>
        <v>7268</v>
      </c>
      <c r="H981">
        <f t="shared" si="31"/>
        <v>0</v>
      </c>
    </row>
    <row r="982" spans="1:8" x14ac:dyDescent="0.25">
      <c r="A982" s="1">
        <v>44705</v>
      </c>
      <c r="B982" t="s">
        <v>4</v>
      </c>
      <c r="C982" t="s">
        <v>17</v>
      </c>
      <c r="D982" t="s">
        <v>55</v>
      </c>
      <c r="E982">
        <v>578</v>
      </c>
      <c r="F982">
        <f t="shared" si="30"/>
        <v>1965.2</v>
      </c>
      <c r="G982">
        <f>SUMIF($D$2:$D982,$D982,$E$2:$E982)</f>
        <v>7534</v>
      </c>
      <c r="H982">
        <f t="shared" si="31"/>
        <v>0</v>
      </c>
    </row>
    <row r="983" spans="1:8" x14ac:dyDescent="0.25">
      <c r="A983" s="1">
        <v>44705</v>
      </c>
      <c r="B983" t="s">
        <v>8</v>
      </c>
      <c r="C983" t="s">
        <v>17</v>
      </c>
      <c r="D983" t="s">
        <v>63</v>
      </c>
      <c r="E983">
        <v>260</v>
      </c>
      <c r="F983">
        <f t="shared" si="30"/>
        <v>910</v>
      </c>
      <c r="G983">
        <f>SUMIF($D$2:$D983,$D983,$E$2:$E983)</f>
        <v>6213</v>
      </c>
      <c r="H983">
        <f t="shared" si="31"/>
        <v>0</v>
      </c>
    </row>
    <row r="984" spans="1:8" x14ac:dyDescent="0.25">
      <c r="A984" s="1">
        <v>44706</v>
      </c>
      <c r="B984" t="s">
        <v>0</v>
      </c>
      <c r="C984" t="s">
        <v>17</v>
      </c>
      <c r="D984" t="s">
        <v>26</v>
      </c>
      <c r="E984">
        <v>159</v>
      </c>
      <c r="F984">
        <f t="shared" si="30"/>
        <v>461.09999999999997</v>
      </c>
      <c r="G984">
        <f>SUMIF($D$2:$D984,$D984,$E$2:$E984)</f>
        <v>10178</v>
      </c>
      <c r="H984">
        <f t="shared" si="31"/>
        <v>0</v>
      </c>
    </row>
    <row r="985" spans="1:8" x14ac:dyDescent="0.25">
      <c r="A985" s="1">
        <v>44706</v>
      </c>
      <c r="B985" t="s">
        <v>6</v>
      </c>
      <c r="C985" t="s">
        <v>17</v>
      </c>
      <c r="D985" t="s">
        <v>67</v>
      </c>
      <c r="E985">
        <v>446</v>
      </c>
      <c r="F985">
        <f t="shared" si="30"/>
        <v>1516.3999999999999</v>
      </c>
      <c r="G985">
        <f>SUMIF($D$2:$D985,$D985,$E$2:$E985)</f>
        <v>7777</v>
      </c>
      <c r="H985">
        <f t="shared" si="31"/>
        <v>0</v>
      </c>
    </row>
    <row r="986" spans="1:8" x14ac:dyDescent="0.25">
      <c r="A986" s="1">
        <v>44706</v>
      </c>
      <c r="B986" t="s">
        <v>10</v>
      </c>
      <c r="C986" t="s">
        <v>17</v>
      </c>
      <c r="D986" t="s">
        <v>64</v>
      </c>
      <c r="E986">
        <v>313</v>
      </c>
      <c r="F986">
        <f t="shared" si="30"/>
        <v>1064.2</v>
      </c>
      <c r="G986">
        <f>SUMIF($D$2:$D986,$D986,$E$2:$E986)</f>
        <v>7493</v>
      </c>
      <c r="H986">
        <f t="shared" si="31"/>
        <v>0</v>
      </c>
    </row>
    <row r="987" spans="1:8" x14ac:dyDescent="0.25">
      <c r="A987" s="1">
        <v>44706</v>
      </c>
      <c r="B987" t="s">
        <v>5</v>
      </c>
      <c r="C987" t="s">
        <v>17</v>
      </c>
      <c r="D987" t="s">
        <v>37</v>
      </c>
      <c r="E987">
        <v>81</v>
      </c>
      <c r="F987">
        <f t="shared" si="30"/>
        <v>275.39999999999998</v>
      </c>
      <c r="G987">
        <f>SUMIF($D$2:$D987,$D987,$E$2:$E987)</f>
        <v>6898</v>
      </c>
      <c r="H987">
        <f t="shared" si="31"/>
        <v>0</v>
      </c>
    </row>
    <row r="988" spans="1:8" x14ac:dyDescent="0.25">
      <c r="A988" s="1">
        <v>44706</v>
      </c>
      <c r="B988" t="s">
        <v>8</v>
      </c>
      <c r="C988" t="s">
        <v>17</v>
      </c>
      <c r="D988" t="s">
        <v>63</v>
      </c>
      <c r="E988">
        <v>226</v>
      </c>
      <c r="F988">
        <f t="shared" si="30"/>
        <v>791</v>
      </c>
      <c r="G988">
        <f>SUMIF($D$2:$D988,$D988,$E$2:$E988)</f>
        <v>6439</v>
      </c>
      <c r="H988">
        <f t="shared" si="31"/>
        <v>0</v>
      </c>
    </row>
    <row r="989" spans="1:8" x14ac:dyDescent="0.25">
      <c r="A989" s="1">
        <v>44707</v>
      </c>
      <c r="B989" t="s">
        <v>4</v>
      </c>
      <c r="C989" t="s">
        <v>17</v>
      </c>
      <c r="D989" t="s">
        <v>56</v>
      </c>
      <c r="E989">
        <v>385</v>
      </c>
      <c r="F989">
        <f t="shared" si="30"/>
        <v>1309</v>
      </c>
      <c r="G989">
        <f>SUMIF($D$2:$D989,$D989,$E$2:$E989)</f>
        <v>7291</v>
      </c>
      <c r="H989">
        <f t="shared" si="31"/>
        <v>0</v>
      </c>
    </row>
    <row r="990" spans="1:8" x14ac:dyDescent="0.25">
      <c r="A990" s="1">
        <v>44707</v>
      </c>
      <c r="B990" t="s">
        <v>6</v>
      </c>
      <c r="C990" t="s">
        <v>17</v>
      </c>
      <c r="D990" t="s">
        <v>30</v>
      </c>
      <c r="E990">
        <v>308</v>
      </c>
      <c r="F990">
        <f t="shared" si="30"/>
        <v>1047.2</v>
      </c>
      <c r="G990">
        <f>SUMIF($D$2:$D990,$D990,$E$2:$E990)</f>
        <v>8050</v>
      </c>
      <c r="H990">
        <f t="shared" si="31"/>
        <v>0</v>
      </c>
    </row>
    <row r="991" spans="1:8" x14ac:dyDescent="0.25">
      <c r="A991" s="1">
        <v>44707</v>
      </c>
      <c r="B991" t="s">
        <v>5</v>
      </c>
      <c r="C991" t="s">
        <v>17</v>
      </c>
      <c r="D991" t="s">
        <v>33</v>
      </c>
      <c r="E991">
        <v>68</v>
      </c>
      <c r="F991">
        <f t="shared" si="30"/>
        <v>231.2</v>
      </c>
      <c r="G991">
        <f>SUMIF($D$2:$D991,$D991,$E$2:$E991)</f>
        <v>8638</v>
      </c>
      <c r="H991">
        <f t="shared" si="31"/>
        <v>0</v>
      </c>
    </row>
    <row r="992" spans="1:8" x14ac:dyDescent="0.25">
      <c r="A992" s="1">
        <v>44707</v>
      </c>
      <c r="B992" t="s">
        <v>8</v>
      </c>
      <c r="C992" t="s">
        <v>17</v>
      </c>
      <c r="D992" t="s">
        <v>44</v>
      </c>
      <c r="E992">
        <v>467</v>
      </c>
      <c r="F992">
        <f t="shared" si="30"/>
        <v>1634.5</v>
      </c>
      <c r="G992">
        <f>SUMIF($D$2:$D992,$D992,$E$2:$E992)</f>
        <v>8114</v>
      </c>
      <c r="H992">
        <f t="shared" si="31"/>
        <v>0</v>
      </c>
    </row>
    <row r="993" spans="1:8" x14ac:dyDescent="0.25">
      <c r="A993" s="1">
        <v>44707</v>
      </c>
      <c r="B993" t="s">
        <v>0</v>
      </c>
      <c r="C993" t="s">
        <v>17</v>
      </c>
      <c r="D993" t="s">
        <v>26</v>
      </c>
      <c r="E993">
        <v>465</v>
      </c>
      <c r="F993">
        <f t="shared" si="30"/>
        <v>1348.5</v>
      </c>
      <c r="G993">
        <f>SUMIF($D$2:$D993,$D993,$E$2:$E993)</f>
        <v>10643</v>
      </c>
      <c r="H993">
        <f t="shared" si="31"/>
        <v>0</v>
      </c>
    </row>
    <row r="994" spans="1:8" x14ac:dyDescent="0.25">
      <c r="A994" s="1">
        <v>44707</v>
      </c>
      <c r="B994" t="s">
        <v>0</v>
      </c>
      <c r="C994" t="s">
        <v>17</v>
      </c>
      <c r="D994" t="s">
        <v>31</v>
      </c>
      <c r="E994">
        <v>484</v>
      </c>
      <c r="F994">
        <f t="shared" si="30"/>
        <v>1403.6</v>
      </c>
      <c r="G994">
        <f>SUMIF($D$2:$D994,$D994,$E$2:$E994)</f>
        <v>9114</v>
      </c>
      <c r="H994">
        <f t="shared" si="31"/>
        <v>0</v>
      </c>
    </row>
    <row r="995" spans="1:8" x14ac:dyDescent="0.25">
      <c r="A995" s="1">
        <v>44708</v>
      </c>
      <c r="B995" t="s">
        <v>15</v>
      </c>
      <c r="C995" t="s">
        <v>17</v>
      </c>
      <c r="D995" t="s">
        <v>48</v>
      </c>
      <c r="E995">
        <v>384</v>
      </c>
      <c r="F995">
        <f t="shared" si="30"/>
        <v>921.59999999999991</v>
      </c>
      <c r="G995">
        <f>SUMIF($D$2:$D995,$D995,$E$2:$E995)</f>
        <v>3053</v>
      </c>
      <c r="H995">
        <f t="shared" si="31"/>
        <v>0</v>
      </c>
    </row>
    <row r="996" spans="1:8" x14ac:dyDescent="0.25">
      <c r="A996" s="1">
        <v>44708</v>
      </c>
      <c r="B996" t="s">
        <v>8</v>
      </c>
      <c r="C996" t="s">
        <v>17</v>
      </c>
      <c r="D996" t="s">
        <v>56</v>
      </c>
      <c r="E996">
        <v>296</v>
      </c>
      <c r="F996">
        <f t="shared" si="30"/>
        <v>1036</v>
      </c>
      <c r="G996">
        <f>SUMIF($D$2:$D996,$D996,$E$2:$E996)</f>
        <v>7587</v>
      </c>
      <c r="H996">
        <f t="shared" si="31"/>
        <v>0</v>
      </c>
    </row>
    <row r="997" spans="1:8" x14ac:dyDescent="0.25">
      <c r="A997" s="1">
        <v>44708</v>
      </c>
      <c r="B997" t="s">
        <v>8</v>
      </c>
      <c r="C997" t="s">
        <v>17</v>
      </c>
      <c r="D997" t="s">
        <v>24</v>
      </c>
      <c r="E997">
        <v>396</v>
      </c>
      <c r="F997">
        <f t="shared" si="30"/>
        <v>1386</v>
      </c>
      <c r="G997">
        <f>SUMIF($D$2:$D997,$D997,$E$2:$E997)</f>
        <v>6988</v>
      </c>
      <c r="H997">
        <f t="shared" si="31"/>
        <v>0</v>
      </c>
    </row>
    <row r="998" spans="1:8" x14ac:dyDescent="0.25">
      <c r="A998" s="1">
        <v>44708</v>
      </c>
      <c r="B998" t="s">
        <v>10</v>
      </c>
      <c r="C998" t="s">
        <v>17</v>
      </c>
      <c r="D998" t="s">
        <v>21</v>
      </c>
      <c r="E998">
        <v>37</v>
      </c>
      <c r="F998">
        <f t="shared" si="30"/>
        <v>125.8</v>
      </c>
      <c r="G998">
        <f>SUMIF($D$2:$D998,$D998,$E$2:$E998)</f>
        <v>4961</v>
      </c>
      <c r="H998">
        <f t="shared" si="31"/>
        <v>0</v>
      </c>
    </row>
    <row r="999" spans="1:8" x14ac:dyDescent="0.25">
      <c r="A999" s="1">
        <v>44708</v>
      </c>
      <c r="B999" t="s">
        <v>7</v>
      </c>
      <c r="C999" t="s">
        <v>17</v>
      </c>
      <c r="D999" t="s">
        <v>49</v>
      </c>
      <c r="E999">
        <v>315</v>
      </c>
      <c r="F999">
        <f t="shared" si="30"/>
        <v>1071</v>
      </c>
      <c r="G999">
        <f>SUMIF($D$2:$D999,$D999,$E$2:$E999)</f>
        <v>7583</v>
      </c>
      <c r="H999">
        <f t="shared" si="31"/>
        <v>0</v>
      </c>
    </row>
    <row r="1000" spans="1:8" x14ac:dyDescent="0.25">
      <c r="A1000" s="1">
        <v>44708</v>
      </c>
      <c r="B1000" t="s">
        <v>15</v>
      </c>
      <c r="C1000" t="s">
        <v>17</v>
      </c>
      <c r="D1000" t="s">
        <v>32</v>
      </c>
      <c r="E1000">
        <v>526</v>
      </c>
      <c r="F1000">
        <f t="shared" si="30"/>
        <v>1262.3999999999999</v>
      </c>
      <c r="G1000">
        <f>SUMIF($D$2:$D1000,$D1000,$E$2:$E1000)</f>
        <v>8433</v>
      </c>
      <c r="H1000">
        <f t="shared" si="31"/>
        <v>0</v>
      </c>
    </row>
    <row r="1001" spans="1:8" x14ac:dyDescent="0.25">
      <c r="A1001" s="1">
        <v>44708</v>
      </c>
      <c r="B1001" t="s">
        <v>6</v>
      </c>
      <c r="C1001" t="s">
        <v>17</v>
      </c>
      <c r="D1001" t="s">
        <v>61</v>
      </c>
      <c r="E1001">
        <v>433</v>
      </c>
      <c r="F1001">
        <f t="shared" si="30"/>
        <v>1472.2</v>
      </c>
      <c r="G1001">
        <f>SUMIF($D$2:$D1001,$D1001,$E$2:$E1001)</f>
        <v>7452</v>
      </c>
      <c r="H1001">
        <f t="shared" si="31"/>
        <v>0</v>
      </c>
    </row>
    <row r="1002" spans="1:8" x14ac:dyDescent="0.25">
      <c r="A1002" s="1">
        <v>44708</v>
      </c>
      <c r="B1002" t="s">
        <v>0</v>
      </c>
      <c r="C1002" t="s">
        <v>17</v>
      </c>
      <c r="D1002" t="s">
        <v>34</v>
      </c>
      <c r="E1002">
        <v>452</v>
      </c>
      <c r="F1002">
        <f t="shared" si="30"/>
        <v>1310.8</v>
      </c>
      <c r="G1002">
        <f>SUMIF($D$2:$D1002,$D1002,$E$2:$E1002)</f>
        <v>6277</v>
      </c>
      <c r="H1002">
        <f t="shared" si="31"/>
        <v>0</v>
      </c>
    </row>
    <row r="1003" spans="1:8" x14ac:dyDescent="0.25">
      <c r="A1003" s="1">
        <v>44708</v>
      </c>
      <c r="B1003" t="s">
        <v>10</v>
      </c>
      <c r="C1003" t="s">
        <v>17</v>
      </c>
      <c r="D1003" t="s">
        <v>37</v>
      </c>
      <c r="E1003">
        <v>117</v>
      </c>
      <c r="F1003">
        <f t="shared" si="30"/>
        <v>397.8</v>
      </c>
      <c r="G1003">
        <f>SUMIF($D$2:$D1003,$D1003,$E$2:$E1003)</f>
        <v>7015</v>
      </c>
      <c r="H1003">
        <f t="shared" si="31"/>
        <v>0</v>
      </c>
    </row>
    <row r="1004" spans="1:8" x14ac:dyDescent="0.25">
      <c r="A1004" s="1">
        <v>44708</v>
      </c>
      <c r="B1004" t="s">
        <v>8</v>
      </c>
      <c r="C1004" t="s">
        <v>17</v>
      </c>
      <c r="D1004" t="s">
        <v>49</v>
      </c>
      <c r="E1004">
        <v>355</v>
      </c>
      <c r="F1004">
        <f t="shared" si="30"/>
        <v>1242.5</v>
      </c>
      <c r="G1004">
        <f>SUMIF($D$2:$D1004,$D1004,$E$2:$E1004)</f>
        <v>7938</v>
      </c>
      <c r="H1004">
        <f t="shared" si="31"/>
        <v>0</v>
      </c>
    </row>
    <row r="1005" spans="1:8" x14ac:dyDescent="0.25">
      <c r="A1005" s="1">
        <v>44709</v>
      </c>
      <c r="B1005" t="s">
        <v>6</v>
      </c>
      <c r="C1005" t="s">
        <v>17</v>
      </c>
      <c r="D1005" t="s">
        <v>57</v>
      </c>
      <c r="E1005">
        <v>228</v>
      </c>
      <c r="F1005">
        <f t="shared" si="30"/>
        <v>775.19999999999993</v>
      </c>
      <c r="G1005">
        <f>SUMIF($D$2:$D1005,$D1005,$E$2:$E1005)</f>
        <v>8327</v>
      </c>
      <c r="H1005">
        <f t="shared" si="31"/>
        <v>0</v>
      </c>
    </row>
    <row r="1006" spans="1:8" x14ac:dyDescent="0.25">
      <c r="A1006" s="1">
        <v>44709</v>
      </c>
      <c r="B1006" t="s">
        <v>15</v>
      </c>
      <c r="C1006" t="s">
        <v>17</v>
      </c>
      <c r="D1006" t="s">
        <v>51</v>
      </c>
      <c r="E1006">
        <v>477</v>
      </c>
      <c r="F1006">
        <f t="shared" si="30"/>
        <v>1144.8</v>
      </c>
      <c r="G1006">
        <f>SUMIF($D$2:$D1006,$D1006,$E$2:$E1006)</f>
        <v>8988</v>
      </c>
      <c r="H1006">
        <f t="shared" si="31"/>
        <v>0</v>
      </c>
    </row>
    <row r="1007" spans="1:8" x14ac:dyDescent="0.25">
      <c r="A1007" s="1">
        <v>44709</v>
      </c>
      <c r="B1007" t="s">
        <v>8</v>
      </c>
      <c r="C1007" t="s">
        <v>17</v>
      </c>
      <c r="D1007" t="s">
        <v>34</v>
      </c>
      <c r="E1007">
        <v>636</v>
      </c>
      <c r="F1007">
        <f t="shared" si="30"/>
        <v>2226</v>
      </c>
      <c r="G1007">
        <f>SUMIF($D$2:$D1007,$D1007,$E$2:$E1007)</f>
        <v>6913</v>
      </c>
      <c r="H1007">
        <f t="shared" si="31"/>
        <v>0</v>
      </c>
    </row>
    <row r="1008" spans="1:8" x14ac:dyDescent="0.25">
      <c r="A1008" s="1">
        <v>44709</v>
      </c>
      <c r="B1008" t="s">
        <v>8</v>
      </c>
      <c r="C1008" t="s">
        <v>17</v>
      </c>
      <c r="D1008" t="s">
        <v>58</v>
      </c>
      <c r="E1008">
        <v>319</v>
      </c>
      <c r="F1008">
        <f t="shared" si="30"/>
        <v>1116.5</v>
      </c>
      <c r="G1008">
        <f>SUMIF($D$2:$D1008,$D1008,$E$2:$E1008)</f>
        <v>7459</v>
      </c>
      <c r="H1008">
        <f t="shared" si="31"/>
        <v>0</v>
      </c>
    </row>
    <row r="1009" spans="1:8" x14ac:dyDescent="0.25">
      <c r="A1009" s="1">
        <v>44709</v>
      </c>
      <c r="B1009" t="s">
        <v>2</v>
      </c>
      <c r="C1009" t="s">
        <v>17</v>
      </c>
      <c r="D1009" t="s">
        <v>34</v>
      </c>
      <c r="E1009">
        <v>18</v>
      </c>
      <c r="F1009">
        <f t="shared" si="30"/>
        <v>57.6</v>
      </c>
      <c r="G1009">
        <f>SUMIF($D$2:$D1009,$D1009,$E$2:$E1009)</f>
        <v>6931</v>
      </c>
      <c r="H1009">
        <f t="shared" si="31"/>
        <v>0</v>
      </c>
    </row>
    <row r="1010" spans="1:8" x14ac:dyDescent="0.25">
      <c r="A1010" s="1">
        <v>44709</v>
      </c>
      <c r="B1010" t="s">
        <v>15</v>
      </c>
      <c r="C1010" t="s">
        <v>17</v>
      </c>
      <c r="D1010" t="s">
        <v>44</v>
      </c>
      <c r="E1010">
        <v>542</v>
      </c>
      <c r="F1010">
        <f t="shared" si="30"/>
        <v>1300.8</v>
      </c>
      <c r="G1010">
        <f>SUMIF($D$2:$D1010,$D1010,$E$2:$E1010)</f>
        <v>8656</v>
      </c>
      <c r="H1010">
        <f t="shared" si="31"/>
        <v>0</v>
      </c>
    </row>
    <row r="1011" spans="1:8" x14ac:dyDescent="0.25">
      <c r="A1011" s="1">
        <v>44711</v>
      </c>
      <c r="B1011" t="s">
        <v>6</v>
      </c>
      <c r="C1011" t="s">
        <v>17</v>
      </c>
      <c r="D1011" t="s">
        <v>41</v>
      </c>
      <c r="E1011">
        <v>321</v>
      </c>
      <c r="F1011">
        <f t="shared" si="30"/>
        <v>1091.3999999999999</v>
      </c>
      <c r="G1011">
        <f>SUMIF($D$2:$D1011,$D1011,$E$2:$E1011)</f>
        <v>6262</v>
      </c>
      <c r="H1011">
        <f t="shared" si="31"/>
        <v>0</v>
      </c>
    </row>
    <row r="1012" spans="1:8" x14ac:dyDescent="0.25">
      <c r="A1012" s="1">
        <v>44711</v>
      </c>
      <c r="B1012" t="s">
        <v>4</v>
      </c>
      <c r="C1012" t="s">
        <v>17</v>
      </c>
      <c r="D1012" t="s">
        <v>53</v>
      </c>
      <c r="E1012">
        <v>359</v>
      </c>
      <c r="F1012">
        <f t="shared" si="30"/>
        <v>1220.5999999999999</v>
      </c>
      <c r="G1012">
        <f>SUMIF($D$2:$D1012,$D1012,$E$2:$E1012)</f>
        <v>8144</v>
      </c>
      <c r="H1012">
        <f t="shared" si="31"/>
        <v>0</v>
      </c>
    </row>
    <row r="1013" spans="1:8" x14ac:dyDescent="0.25">
      <c r="A1013" s="1">
        <v>44711</v>
      </c>
      <c r="B1013" t="s">
        <v>15</v>
      </c>
      <c r="C1013" t="s">
        <v>17</v>
      </c>
      <c r="D1013" t="s">
        <v>55</v>
      </c>
      <c r="E1013">
        <v>164</v>
      </c>
      <c r="F1013">
        <f t="shared" si="30"/>
        <v>393.59999999999997</v>
      </c>
      <c r="G1013">
        <f>SUMIF($D$2:$D1013,$D1013,$E$2:$E1013)</f>
        <v>7698</v>
      </c>
      <c r="H1013">
        <f t="shared" si="31"/>
        <v>0</v>
      </c>
    </row>
    <row r="1014" spans="1:8" x14ac:dyDescent="0.25">
      <c r="A1014" s="1">
        <v>44711</v>
      </c>
      <c r="B1014" t="s">
        <v>6</v>
      </c>
      <c r="C1014" t="s">
        <v>17</v>
      </c>
      <c r="D1014" t="s">
        <v>51</v>
      </c>
      <c r="E1014">
        <v>461</v>
      </c>
      <c r="F1014">
        <f t="shared" si="30"/>
        <v>1567.3999999999999</v>
      </c>
      <c r="G1014">
        <f>SUMIF($D$2:$D1014,$D1014,$E$2:$E1014)</f>
        <v>9449</v>
      </c>
      <c r="H1014">
        <f t="shared" si="31"/>
        <v>0</v>
      </c>
    </row>
    <row r="1015" spans="1:8" x14ac:dyDescent="0.25">
      <c r="A1015" s="1">
        <v>44711</v>
      </c>
      <c r="B1015" t="s">
        <v>2</v>
      </c>
      <c r="C1015" t="s">
        <v>17</v>
      </c>
      <c r="D1015" t="s">
        <v>39</v>
      </c>
      <c r="E1015">
        <v>173</v>
      </c>
      <c r="F1015">
        <f t="shared" si="30"/>
        <v>553.6</v>
      </c>
      <c r="G1015">
        <f>SUMIF($D$2:$D1015,$D1015,$E$2:$E1015)</f>
        <v>5859</v>
      </c>
      <c r="H1015">
        <f t="shared" si="31"/>
        <v>0</v>
      </c>
    </row>
    <row r="1016" spans="1:8" x14ac:dyDescent="0.25">
      <c r="A1016" s="1">
        <v>44711</v>
      </c>
      <c r="B1016" t="s">
        <v>5</v>
      </c>
      <c r="C1016" t="s">
        <v>17</v>
      </c>
      <c r="D1016" t="s">
        <v>34</v>
      </c>
      <c r="E1016">
        <v>463</v>
      </c>
      <c r="F1016">
        <f t="shared" si="30"/>
        <v>1574.2</v>
      </c>
      <c r="G1016">
        <f>SUMIF($D$2:$D1016,$D1016,$E$2:$E1016)</f>
        <v>7394</v>
      </c>
      <c r="H1016">
        <f t="shared" si="31"/>
        <v>0</v>
      </c>
    </row>
    <row r="1017" spans="1:8" x14ac:dyDescent="0.25">
      <c r="A1017" s="1">
        <v>44711</v>
      </c>
      <c r="B1017" t="s">
        <v>2</v>
      </c>
      <c r="C1017" t="s">
        <v>17</v>
      </c>
      <c r="D1017" t="s">
        <v>57</v>
      </c>
      <c r="E1017">
        <v>143</v>
      </c>
      <c r="F1017">
        <f t="shared" si="30"/>
        <v>457.6</v>
      </c>
      <c r="G1017">
        <f>SUMIF($D$2:$D1017,$D1017,$E$2:$E1017)</f>
        <v>8470</v>
      </c>
      <c r="H1017">
        <f t="shared" si="31"/>
        <v>0</v>
      </c>
    </row>
    <row r="1018" spans="1:8" x14ac:dyDescent="0.25">
      <c r="A1018" s="1">
        <v>44711</v>
      </c>
      <c r="B1018" t="s">
        <v>6</v>
      </c>
      <c r="C1018" t="s">
        <v>17</v>
      </c>
      <c r="D1018" t="s">
        <v>31</v>
      </c>
      <c r="E1018">
        <v>405</v>
      </c>
      <c r="F1018">
        <f t="shared" si="30"/>
        <v>1377</v>
      </c>
      <c r="G1018">
        <f>SUMIF($D$2:$D1018,$D1018,$E$2:$E1018)</f>
        <v>9519</v>
      </c>
      <c r="H1018">
        <f t="shared" si="31"/>
        <v>0</v>
      </c>
    </row>
    <row r="1019" spans="1:8" x14ac:dyDescent="0.25">
      <c r="A1019" s="1">
        <v>44711</v>
      </c>
      <c r="B1019" t="s">
        <v>0</v>
      </c>
      <c r="C1019" t="s">
        <v>17</v>
      </c>
      <c r="D1019" t="s">
        <v>29</v>
      </c>
      <c r="E1019">
        <v>99</v>
      </c>
      <c r="F1019">
        <f t="shared" si="30"/>
        <v>287.09999999999997</v>
      </c>
      <c r="G1019">
        <f>SUMIF($D$2:$D1019,$D1019,$E$2:$E1019)</f>
        <v>10456</v>
      </c>
      <c r="H1019">
        <f t="shared" si="31"/>
        <v>0</v>
      </c>
    </row>
    <row r="1020" spans="1:8" x14ac:dyDescent="0.25">
      <c r="A1020" s="1">
        <v>44711</v>
      </c>
      <c r="B1020" t="s">
        <v>15</v>
      </c>
      <c r="C1020" t="s">
        <v>17</v>
      </c>
      <c r="D1020" t="s">
        <v>34</v>
      </c>
      <c r="E1020">
        <v>234</v>
      </c>
      <c r="F1020">
        <f t="shared" si="30"/>
        <v>561.6</v>
      </c>
      <c r="G1020">
        <f>SUMIF($D$2:$D1020,$D1020,$E$2:$E1020)</f>
        <v>7628</v>
      </c>
      <c r="H1020">
        <f t="shared" si="31"/>
        <v>0</v>
      </c>
    </row>
    <row r="1021" spans="1:8" x14ac:dyDescent="0.25">
      <c r="A1021" s="1">
        <v>44711</v>
      </c>
      <c r="B1021" t="s">
        <v>7</v>
      </c>
      <c r="C1021" t="s">
        <v>17</v>
      </c>
      <c r="D1021" t="s">
        <v>20</v>
      </c>
      <c r="E1021">
        <v>532</v>
      </c>
      <c r="F1021">
        <f t="shared" si="30"/>
        <v>1808.8</v>
      </c>
      <c r="G1021">
        <f>SUMIF($D$2:$D1021,$D1021,$E$2:$E1021)</f>
        <v>5405</v>
      </c>
      <c r="H1021">
        <f t="shared" si="31"/>
        <v>0</v>
      </c>
    </row>
    <row r="1022" spans="1:8" x14ac:dyDescent="0.25">
      <c r="A1022" s="1">
        <v>44711</v>
      </c>
      <c r="B1022" t="s">
        <v>6</v>
      </c>
      <c r="C1022" t="s">
        <v>17</v>
      </c>
      <c r="D1022" t="s">
        <v>61</v>
      </c>
      <c r="E1022">
        <v>294</v>
      </c>
      <c r="F1022">
        <f t="shared" si="30"/>
        <v>999.6</v>
      </c>
      <c r="G1022">
        <f>SUMIF($D$2:$D1022,$D1022,$E$2:$E1022)</f>
        <v>7746</v>
      </c>
      <c r="H1022">
        <f t="shared" si="31"/>
        <v>0</v>
      </c>
    </row>
    <row r="1023" spans="1:8" x14ac:dyDescent="0.25">
      <c r="A1023" s="1">
        <v>44711</v>
      </c>
      <c r="B1023" t="s">
        <v>7</v>
      </c>
      <c r="C1023" t="s">
        <v>17</v>
      </c>
      <c r="D1023" t="s">
        <v>62</v>
      </c>
      <c r="E1023">
        <v>637</v>
      </c>
      <c r="F1023">
        <f t="shared" si="30"/>
        <v>2165.7999999999997</v>
      </c>
      <c r="G1023">
        <f>SUMIF($D$2:$D1023,$D1023,$E$2:$E1023)</f>
        <v>5924</v>
      </c>
      <c r="H1023">
        <f t="shared" si="31"/>
        <v>0</v>
      </c>
    </row>
    <row r="1024" spans="1:8" x14ac:dyDescent="0.25">
      <c r="A1024" s="1">
        <v>44711</v>
      </c>
      <c r="B1024" t="s">
        <v>10</v>
      </c>
      <c r="C1024" t="s">
        <v>17</v>
      </c>
      <c r="D1024" t="s">
        <v>55</v>
      </c>
      <c r="E1024">
        <v>258</v>
      </c>
      <c r="F1024">
        <f t="shared" si="30"/>
        <v>877.19999999999993</v>
      </c>
      <c r="G1024">
        <f>SUMIF($D$2:$D1024,$D1024,$E$2:$E1024)</f>
        <v>7956</v>
      </c>
      <c r="H1024">
        <f t="shared" si="31"/>
        <v>0</v>
      </c>
    </row>
    <row r="1025" spans="1:8" x14ac:dyDescent="0.25">
      <c r="A1025" s="1">
        <v>44711</v>
      </c>
      <c r="B1025" t="s">
        <v>8</v>
      </c>
      <c r="C1025" t="s">
        <v>17</v>
      </c>
      <c r="D1025" t="s">
        <v>19</v>
      </c>
      <c r="E1025">
        <v>674</v>
      </c>
      <c r="F1025">
        <f t="shared" si="30"/>
        <v>2359</v>
      </c>
      <c r="G1025">
        <f>SUMIF($D$2:$D1025,$D1025,$E$2:$E1025)</f>
        <v>3118</v>
      </c>
      <c r="H1025">
        <f t="shared" si="31"/>
        <v>0</v>
      </c>
    </row>
    <row r="1026" spans="1:8" x14ac:dyDescent="0.25">
      <c r="A1026" s="1">
        <v>44711</v>
      </c>
      <c r="B1026" t="s">
        <v>8</v>
      </c>
      <c r="C1026" t="s">
        <v>17</v>
      </c>
      <c r="D1026" t="s">
        <v>33</v>
      </c>
      <c r="E1026">
        <v>449</v>
      </c>
      <c r="F1026">
        <f t="shared" si="30"/>
        <v>1571.5</v>
      </c>
      <c r="G1026">
        <f>SUMIF($D$2:$D1026,$D1026,$E$2:$E1026)</f>
        <v>9087</v>
      </c>
      <c r="H1026">
        <f t="shared" si="31"/>
        <v>0</v>
      </c>
    </row>
    <row r="1027" spans="1:8" x14ac:dyDescent="0.25">
      <c r="A1027" s="1">
        <v>44712</v>
      </c>
      <c r="B1027" t="s">
        <v>8</v>
      </c>
      <c r="C1027" t="s">
        <v>17</v>
      </c>
      <c r="D1027" t="s">
        <v>42</v>
      </c>
      <c r="E1027">
        <v>413</v>
      </c>
      <c r="F1027">
        <f t="shared" ref="F1027:F1090" si="32">E1027* _xlfn.XLOOKUP(B1027,$I$2:$I$17,$J$2:$J$17,"0",0,1)</f>
        <v>1445.5</v>
      </c>
      <c r="G1027">
        <f>SUMIF($D$2:$D1027,$D1027,$E$2:$E1027)</f>
        <v>6421</v>
      </c>
      <c r="H1027">
        <f t="shared" ref="H1027:H1090" si="33">IF(AND($G1027 &gt; 15000,$G1027 &lt; 20000),5*$E1027,IF($G1027 &gt;= 20000,10*$E1027,0))</f>
        <v>0</v>
      </c>
    </row>
    <row r="1028" spans="1:8" x14ac:dyDescent="0.25">
      <c r="A1028" s="1">
        <v>44712</v>
      </c>
      <c r="B1028" t="s">
        <v>8</v>
      </c>
      <c r="C1028" t="s">
        <v>17</v>
      </c>
      <c r="D1028" t="s">
        <v>31</v>
      </c>
      <c r="E1028">
        <v>676</v>
      </c>
      <c r="F1028">
        <f t="shared" si="32"/>
        <v>2366</v>
      </c>
      <c r="G1028">
        <f>SUMIF($D$2:$D1028,$D1028,$E$2:$E1028)</f>
        <v>10195</v>
      </c>
      <c r="H1028">
        <f t="shared" si="33"/>
        <v>0</v>
      </c>
    </row>
    <row r="1029" spans="1:8" x14ac:dyDescent="0.25">
      <c r="A1029" s="1">
        <v>44712</v>
      </c>
      <c r="B1029" t="s">
        <v>4</v>
      </c>
      <c r="C1029" t="s">
        <v>17</v>
      </c>
      <c r="D1029" t="s">
        <v>27</v>
      </c>
      <c r="E1029">
        <v>409</v>
      </c>
      <c r="F1029">
        <f t="shared" si="32"/>
        <v>1390.6</v>
      </c>
      <c r="G1029">
        <f>SUMIF($D$2:$D1029,$D1029,$E$2:$E1029)</f>
        <v>7486</v>
      </c>
      <c r="H1029">
        <f t="shared" si="33"/>
        <v>0</v>
      </c>
    </row>
    <row r="1030" spans="1:8" x14ac:dyDescent="0.25">
      <c r="A1030" s="1">
        <v>44712</v>
      </c>
      <c r="B1030" t="s">
        <v>4</v>
      </c>
      <c r="C1030" t="s">
        <v>17</v>
      </c>
      <c r="D1030" t="s">
        <v>40</v>
      </c>
      <c r="E1030">
        <v>777</v>
      </c>
      <c r="F1030">
        <f t="shared" si="32"/>
        <v>2641.7999999999997</v>
      </c>
      <c r="G1030">
        <f>SUMIF($D$2:$D1030,$D1030,$E$2:$E1030)</f>
        <v>6200</v>
      </c>
      <c r="H1030">
        <f t="shared" si="33"/>
        <v>0</v>
      </c>
    </row>
    <row r="1031" spans="1:8" x14ac:dyDescent="0.25">
      <c r="A1031" s="1">
        <v>44712</v>
      </c>
      <c r="B1031" t="s">
        <v>2</v>
      </c>
      <c r="C1031" t="s">
        <v>17</v>
      </c>
      <c r="D1031" t="s">
        <v>47</v>
      </c>
      <c r="E1031">
        <v>49</v>
      </c>
      <c r="F1031">
        <f t="shared" si="32"/>
        <v>156.80000000000001</v>
      </c>
      <c r="G1031">
        <f>SUMIF($D$2:$D1031,$D1031,$E$2:$E1031)</f>
        <v>5538</v>
      </c>
      <c r="H1031">
        <f t="shared" si="33"/>
        <v>0</v>
      </c>
    </row>
    <row r="1032" spans="1:8" x14ac:dyDescent="0.25">
      <c r="A1032" s="1">
        <v>44712</v>
      </c>
      <c r="B1032" t="s">
        <v>4</v>
      </c>
      <c r="C1032" t="s">
        <v>17</v>
      </c>
      <c r="D1032" t="s">
        <v>32</v>
      </c>
      <c r="E1032">
        <v>575</v>
      </c>
      <c r="F1032">
        <f t="shared" si="32"/>
        <v>1955</v>
      </c>
      <c r="G1032">
        <f>SUMIF($D$2:$D1032,$D1032,$E$2:$E1032)</f>
        <v>9008</v>
      </c>
      <c r="H1032">
        <f t="shared" si="33"/>
        <v>0</v>
      </c>
    </row>
    <row r="1033" spans="1:8" x14ac:dyDescent="0.25">
      <c r="A1033" s="1">
        <v>44712</v>
      </c>
      <c r="B1033" t="s">
        <v>0</v>
      </c>
      <c r="C1033" t="s">
        <v>17</v>
      </c>
      <c r="D1033" t="s">
        <v>49</v>
      </c>
      <c r="E1033">
        <v>219</v>
      </c>
      <c r="F1033">
        <f t="shared" si="32"/>
        <v>635.1</v>
      </c>
      <c r="G1033">
        <f>SUMIF($D$2:$D1033,$D1033,$E$2:$E1033)</f>
        <v>8157</v>
      </c>
      <c r="H1033">
        <f t="shared" si="33"/>
        <v>0</v>
      </c>
    </row>
    <row r="1034" spans="1:8" x14ac:dyDescent="0.25">
      <c r="A1034" s="1">
        <v>44713</v>
      </c>
      <c r="B1034" t="s">
        <v>14</v>
      </c>
      <c r="C1034" t="s">
        <v>65</v>
      </c>
      <c r="D1034" t="s">
        <v>61</v>
      </c>
      <c r="E1034">
        <v>342</v>
      </c>
      <c r="F1034">
        <f t="shared" si="32"/>
        <v>1197</v>
      </c>
      <c r="G1034">
        <f>SUMIF($D$2:$D1034,$D1034,$E$2:$E1034)</f>
        <v>8088</v>
      </c>
      <c r="H1034">
        <f t="shared" si="33"/>
        <v>0</v>
      </c>
    </row>
    <row r="1035" spans="1:8" x14ac:dyDescent="0.25">
      <c r="A1035" s="1">
        <v>44713</v>
      </c>
      <c r="B1035" t="s">
        <v>12</v>
      </c>
      <c r="C1035" t="s">
        <v>68</v>
      </c>
      <c r="D1035" t="s">
        <v>63</v>
      </c>
      <c r="E1035">
        <v>447</v>
      </c>
      <c r="F1035">
        <f t="shared" si="32"/>
        <v>1206.9000000000001</v>
      </c>
      <c r="G1035">
        <f>SUMIF($D$2:$D1035,$D1035,$E$2:$E1035)</f>
        <v>6886</v>
      </c>
      <c r="H1035">
        <f t="shared" si="33"/>
        <v>0</v>
      </c>
    </row>
    <row r="1036" spans="1:8" x14ac:dyDescent="0.25">
      <c r="A1036" s="1">
        <v>44713</v>
      </c>
      <c r="B1036" t="s">
        <v>13</v>
      </c>
      <c r="C1036" t="s">
        <v>68</v>
      </c>
      <c r="D1036" t="s">
        <v>28</v>
      </c>
      <c r="E1036">
        <v>234</v>
      </c>
      <c r="F1036">
        <f t="shared" si="32"/>
        <v>748.80000000000007</v>
      </c>
      <c r="G1036">
        <f>SUMIF($D$2:$D1036,$D1036,$E$2:$E1036)</f>
        <v>6996</v>
      </c>
      <c r="H1036">
        <f t="shared" si="33"/>
        <v>0</v>
      </c>
    </row>
    <row r="1037" spans="1:8" x14ac:dyDescent="0.25">
      <c r="A1037" s="1">
        <v>44713</v>
      </c>
      <c r="B1037" t="s">
        <v>13</v>
      </c>
      <c r="C1037" t="s">
        <v>68</v>
      </c>
      <c r="D1037" t="s">
        <v>16</v>
      </c>
      <c r="E1037">
        <v>434</v>
      </c>
      <c r="F1037">
        <f t="shared" si="32"/>
        <v>1388.8000000000002</v>
      </c>
      <c r="G1037">
        <f>SUMIF($D$2:$D1037,$D1037,$E$2:$E1037)</f>
        <v>7809</v>
      </c>
      <c r="H1037">
        <f t="shared" si="33"/>
        <v>0</v>
      </c>
    </row>
    <row r="1038" spans="1:8" x14ac:dyDescent="0.25">
      <c r="A1038" s="1">
        <v>44713</v>
      </c>
      <c r="B1038" t="s">
        <v>13</v>
      </c>
      <c r="C1038" t="s">
        <v>68</v>
      </c>
      <c r="D1038" t="s">
        <v>57</v>
      </c>
      <c r="E1038">
        <v>428</v>
      </c>
      <c r="F1038">
        <f t="shared" si="32"/>
        <v>1369.6000000000001</v>
      </c>
      <c r="G1038">
        <f>SUMIF($D$2:$D1038,$D1038,$E$2:$E1038)</f>
        <v>8898</v>
      </c>
      <c r="H1038">
        <f t="shared" si="33"/>
        <v>0</v>
      </c>
    </row>
    <row r="1039" spans="1:8" x14ac:dyDescent="0.25">
      <c r="A1039" s="1">
        <v>44713</v>
      </c>
      <c r="B1039" t="s">
        <v>14</v>
      </c>
      <c r="C1039" t="s">
        <v>65</v>
      </c>
      <c r="D1039" t="s">
        <v>48</v>
      </c>
      <c r="E1039">
        <v>380</v>
      </c>
      <c r="F1039">
        <f t="shared" si="32"/>
        <v>1330</v>
      </c>
      <c r="G1039">
        <f>SUMIF($D$2:$D1039,$D1039,$E$2:$E1039)</f>
        <v>3433</v>
      </c>
      <c r="H1039">
        <f t="shared" si="33"/>
        <v>0</v>
      </c>
    </row>
    <row r="1040" spans="1:8" x14ac:dyDescent="0.25">
      <c r="A1040" s="1">
        <v>44713</v>
      </c>
      <c r="B1040" t="s">
        <v>13</v>
      </c>
      <c r="C1040" t="s">
        <v>68</v>
      </c>
      <c r="D1040" t="s">
        <v>46</v>
      </c>
      <c r="E1040">
        <v>354</v>
      </c>
      <c r="F1040">
        <f t="shared" si="32"/>
        <v>1132.8</v>
      </c>
      <c r="G1040">
        <f>SUMIF($D$2:$D1040,$D1040,$E$2:$E1040)</f>
        <v>7487</v>
      </c>
      <c r="H1040">
        <f t="shared" si="33"/>
        <v>0</v>
      </c>
    </row>
    <row r="1041" spans="1:8" x14ac:dyDescent="0.25">
      <c r="A1041" s="1">
        <v>44713</v>
      </c>
      <c r="B1041" t="s">
        <v>14</v>
      </c>
      <c r="C1041" t="s">
        <v>65</v>
      </c>
      <c r="D1041" t="s">
        <v>63</v>
      </c>
      <c r="E1041">
        <v>31</v>
      </c>
      <c r="F1041">
        <f t="shared" si="32"/>
        <v>108.5</v>
      </c>
      <c r="G1041">
        <f>SUMIF($D$2:$D1041,$D1041,$E$2:$E1041)</f>
        <v>6917</v>
      </c>
      <c r="H1041">
        <f t="shared" si="33"/>
        <v>0</v>
      </c>
    </row>
    <row r="1042" spans="1:8" x14ac:dyDescent="0.25">
      <c r="A1042" s="1">
        <v>44713</v>
      </c>
      <c r="B1042" t="s">
        <v>12</v>
      </c>
      <c r="C1042" t="s">
        <v>68</v>
      </c>
      <c r="D1042" t="s">
        <v>29</v>
      </c>
      <c r="E1042">
        <v>37</v>
      </c>
      <c r="F1042">
        <f t="shared" si="32"/>
        <v>99.9</v>
      </c>
      <c r="G1042">
        <f>SUMIF($D$2:$D1042,$D1042,$E$2:$E1042)</f>
        <v>10493</v>
      </c>
      <c r="H1042">
        <f t="shared" si="33"/>
        <v>0</v>
      </c>
    </row>
    <row r="1043" spans="1:8" x14ac:dyDescent="0.25">
      <c r="A1043" s="1">
        <v>44713</v>
      </c>
      <c r="B1043" t="s">
        <v>12</v>
      </c>
      <c r="C1043" t="s">
        <v>68</v>
      </c>
      <c r="D1043" t="s">
        <v>67</v>
      </c>
      <c r="E1043">
        <v>463</v>
      </c>
      <c r="F1043">
        <f t="shared" si="32"/>
        <v>1250.1000000000001</v>
      </c>
      <c r="G1043">
        <f>SUMIF($D$2:$D1043,$D1043,$E$2:$E1043)</f>
        <v>8240</v>
      </c>
      <c r="H1043">
        <f t="shared" si="33"/>
        <v>0</v>
      </c>
    </row>
    <row r="1044" spans="1:8" x14ac:dyDescent="0.25">
      <c r="A1044" s="1">
        <v>44714</v>
      </c>
      <c r="B1044" t="s">
        <v>12</v>
      </c>
      <c r="C1044" t="s">
        <v>68</v>
      </c>
      <c r="D1044" t="s">
        <v>53</v>
      </c>
      <c r="E1044">
        <v>499</v>
      </c>
      <c r="F1044">
        <f t="shared" si="32"/>
        <v>1347.3000000000002</v>
      </c>
      <c r="G1044">
        <f>SUMIF($D$2:$D1044,$D1044,$E$2:$E1044)</f>
        <v>8643</v>
      </c>
      <c r="H1044">
        <f t="shared" si="33"/>
        <v>0</v>
      </c>
    </row>
    <row r="1045" spans="1:8" x14ac:dyDescent="0.25">
      <c r="A1045" s="1">
        <v>44714</v>
      </c>
      <c r="B1045" t="s">
        <v>13</v>
      </c>
      <c r="C1045" t="s">
        <v>68</v>
      </c>
      <c r="D1045" t="s">
        <v>20</v>
      </c>
      <c r="E1045">
        <v>481</v>
      </c>
      <c r="F1045">
        <f t="shared" si="32"/>
        <v>1539.2</v>
      </c>
      <c r="G1045">
        <f>SUMIF($D$2:$D1045,$D1045,$E$2:$E1045)</f>
        <v>5886</v>
      </c>
      <c r="H1045">
        <f t="shared" si="33"/>
        <v>0</v>
      </c>
    </row>
    <row r="1046" spans="1:8" x14ac:dyDescent="0.25">
      <c r="A1046" s="1">
        <v>44714</v>
      </c>
      <c r="B1046" t="s">
        <v>12</v>
      </c>
      <c r="C1046" t="s">
        <v>68</v>
      </c>
      <c r="D1046" t="s">
        <v>16</v>
      </c>
      <c r="E1046">
        <v>174</v>
      </c>
      <c r="F1046">
        <f t="shared" si="32"/>
        <v>469.8</v>
      </c>
      <c r="G1046">
        <f>SUMIF($D$2:$D1046,$D1046,$E$2:$E1046)</f>
        <v>7983</v>
      </c>
      <c r="H1046">
        <f t="shared" si="33"/>
        <v>0</v>
      </c>
    </row>
    <row r="1047" spans="1:8" x14ac:dyDescent="0.25">
      <c r="A1047" s="1">
        <v>44714</v>
      </c>
      <c r="B1047" t="s">
        <v>14</v>
      </c>
      <c r="C1047" t="s">
        <v>65</v>
      </c>
      <c r="D1047" t="s">
        <v>33</v>
      </c>
      <c r="E1047">
        <v>45</v>
      </c>
      <c r="F1047">
        <f t="shared" si="32"/>
        <v>157.5</v>
      </c>
      <c r="G1047">
        <f>SUMIF($D$2:$D1047,$D1047,$E$2:$E1047)</f>
        <v>9132</v>
      </c>
      <c r="H1047">
        <f t="shared" si="33"/>
        <v>0</v>
      </c>
    </row>
    <row r="1048" spans="1:8" x14ac:dyDescent="0.25">
      <c r="A1048" s="1">
        <v>44714</v>
      </c>
      <c r="B1048" t="s">
        <v>12</v>
      </c>
      <c r="C1048" t="s">
        <v>68</v>
      </c>
      <c r="D1048" t="s">
        <v>48</v>
      </c>
      <c r="E1048">
        <v>324</v>
      </c>
      <c r="F1048">
        <f t="shared" si="32"/>
        <v>874.80000000000007</v>
      </c>
      <c r="G1048">
        <f>SUMIF($D$2:$D1048,$D1048,$E$2:$E1048)</f>
        <v>3757</v>
      </c>
      <c r="H1048">
        <f t="shared" si="33"/>
        <v>0</v>
      </c>
    </row>
    <row r="1049" spans="1:8" x14ac:dyDescent="0.25">
      <c r="A1049" s="1">
        <v>44714</v>
      </c>
      <c r="B1049" t="s">
        <v>12</v>
      </c>
      <c r="C1049" t="s">
        <v>68</v>
      </c>
      <c r="D1049" t="s">
        <v>39</v>
      </c>
      <c r="E1049">
        <v>94</v>
      </c>
      <c r="F1049">
        <f t="shared" si="32"/>
        <v>253.8</v>
      </c>
      <c r="G1049">
        <f>SUMIF($D$2:$D1049,$D1049,$E$2:$E1049)</f>
        <v>5953</v>
      </c>
      <c r="H1049">
        <f t="shared" si="33"/>
        <v>0</v>
      </c>
    </row>
    <row r="1050" spans="1:8" x14ac:dyDescent="0.25">
      <c r="A1050" s="1">
        <v>44714</v>
      </c>
      <c r="B1050" t="s">
        <v>14</v>
      </c>
      <c r="C1050" t="s">
        <v>65</v>
      </c>
      <c r="D1050" t="s">
        <v>38</v>
      </c>
      <c r="E1050">
        <v>453</v>
      </c>
      <c r="F1050">
        <f t="shared" si="32"/>
        <v>1585.5</v>
      </c>
      <c r="G1050">
        <f>SUMIF($D$2:$D1050,$D1050,$E$2:$E1050)</f>
        <v>9069</v>
      </c>
      <c r="H1050">
        <f t="shared" si="33"/>
        <v>0</v>
      </c>
    </row>
    <row r="1051" spans="1:8" x14ac:dyDescent="0.25">
      <c r="A1051" s="1">
        <v>44714</v>
      </c>
      <c r="B1051" t="s">
        <v>13</v>
      </c>
      <c r="C1051" t="s">
        <v>68</v>
      </c>
      <c r="D1051" t="s">
        <v>26</v>
      </c>
      <c r="E1051">
        <v>410</v>
      </c>
      <c r="F1051">
        <f t="shared" si="32"/>
        <v>1312</v>
      </c>
      <c r="G1051">
        <f>SUMIF($D$2:$D1051,$D1051,$E$2:$E1051)</f>
        <v>11053</v>
      </c>
      <c r="H1051">
        <f t="shared" si="33"/>
        <v>0</v>
      </c>
    </row>
    <row r="1052" spans="1:8" x14ac:dyDescent="0.25">
      <c r="A1052" s="1">
        <v>44715</v>
      </c>
      <c r="B1052" t="s">
        <v>14</v>
      </c>
      <c r="C1052" t="s">
        <v>65</v>
      </c>
      <c r="D1052" t="s">
        <v>51</v>
      </c>
      <c r="E1052">
        <v>181</v>
      </c>
      <c r="F1052">
        <f t="shared" si="32"/>
        <v>633.5</v>
      </c>
      <c r="G1052">
        <f>SUMIF($D$2:$D1052,$D1052,$E$2:$E1052)</f>
        <v>9630</v>
      </c>
      <c r="H1052">
        <f t="shared" si="33"/>
        <v>0</v>
      </c>
    </row>
    <row r="1053" spans="1:8" x14ac:dyDescent="0.25">
      <c r="A1053" s="1">
        <v>44715</v>
      </c>
      <c r="B1053" t="s">
        <v>13</v>
      </c>
      <c r="C1053" t="s">
        <v>68</v>
      </c>
      <c r="D1053" t="s">
        <v>35</v>
      </c>
      <c r="E1053">
        <v>303</v>
      </c>
      <c r="F1053">
        <f t="shared" si="32"/>
        <v>969.6</v>
      </c>
      <c r="G1053">
        <f>SUMIF($D$2:$D1053,$D1053,$E$2:$E1053)</f>
        <v>6918</v>
      </c>
      <c r="H1053">
        <f t="shared" si="33"/>
        <v>0</v>
      </c>
    </row>
    <row r="1054" spans="1:8" x14ac:dyDescent="0.25">
      <c r="A1054" s="1">
        <v>44715</v>
      </c>
      <c r="B1054" t="s">
        <v>13</v>
      </c>
      <c r="C1054" t="s">
        <v>68</v>
      </c>
      <c r="D1054" t="s">
        <v>43</v>
      </c>
      <c r="E1054">
        <v>256</v>
      </c>
      <c r="F1054">
        <f t="shared" si="32"/>
        <v>819.2</v>
      </c>
      <c r="G1054">
        <f>SUMIF($D$2:$D1054,$D1054,$E$2:$E1054)</f>
        <v>6827</v>
      </c>
      <c r="H1054">
        <f t="shared" si="33"/>
        <v>0</v>
      </c>
    </row>
    <row r="1055" spans="1:8" x14ac:dyDescent="0.25">
      <c r="A1055" s="1">
        <v>44715</v>
      </c>
      <c r="B1055" t="s">
        <v>13</v>
      </c>
      <c r="C1055" t="s">
        <v>68</v>
      </c>
      <c r="D1055" t="s">
        <v>26</v>
      </c>
      <c r="E1055">
        <v>201</v>
      </c>
      <c r="F1055">
        <f t="shared" si="32"/>
        <v>643.20000000000005</v>
      </c>
      <c r="G1055">
        <f>SUMIF($D$2:$D1055,$D1055,$E$2:$E1055)</f>
        <v>11254</v>
      </c>
      <c r="H1055">
        <f t="shared" si="33"/>
        <v>0</v>
      </c>
    </row>
    <row r="1056" spans="1:8" x14ac:dyDescent="0.25">
      <c r="A1056" s="1">
        <v>44715</v>
      </c>
      <c r="B1056" t="s">
        <v>14</v>
      </c>
      <c r="C1056" t="s">
        <v>65</v>
      </c>
      <c r="D1056" t="s">
        <v>45</v>
      </c>
      <c r="E1056">
        <v>473</v>
      </c>
      <c r="F1056">
        <f t="shared" si="32"/>
        <v>1655.5</v>
      </c>
      <c r="G1056">
        <f>SUMIF($D$2:$D1056,$D1056,$E$2:$E1056)</f>
        <v>6680</v>
      </c>
      <c r="H1056">
        <f t="shared" si="33"/>
        <v>0</v>
      </c>
    </row>
    <row r="1057" spans="1:8" x14ac:dyDescent="0.25">
      <c r="A1057" s="1">
        <v>44715</v>
      </c>
      <c r="B1057" t="s">
        <v>12</v>
      </c>
      <c r="C1057" t="s">
        <v>68</v>
      </c>
      <c r="D1057" t="s">
        <v>16</v>
      </c>
      <c r="E1057">
        <v>289</v>
      </c>
      <c r="F1057">
        <f t="shared" si="32"/>
        <v>780.30000000000007</v>
      </c>
      <c r="G1057">
        <f>SUMIF($D$2:$D1057,$D1057,$E$2:$E1057)</f>
        <v>8272</v>
      </c>
      <c r="H1057">
        <f t="shared" si="33"/>
        <v>0</v>
      </c>
    </row>
    <row r="1058" spans="1:8" x14ac:dyDescent="0.25">
      <c r="A1058" s="1">
        <v>44716</v>
      </c>
      <c r="B1058" t="s">
        <v>13</v>
      </c>
      <c r="C1058" t="s">
        <v>68</v>
      </c>
      <c r="D1058" t="s">
        <v>36</v>
      </c>
      <c r="E1058">
        <v>377</v>
      </c>
      <c r="F1058">
        <f t="shared" si="32"/>
        <v>1206.4000000000001</v>
      </c>
      <c r="G1058">
        <f>SUMIF($D$2:$D1058,$D1058,$E$2:$E1058)</f>
        <v>8288</v>
      </c>
      <c r="H1058">
        <f t="shared" si="33"/>
        <v>0</v>
      </c>
    </row>
    <row r="1059" spans="1:8" x14ac:dyDescent="0.25">
      <c r="A1059" s="1">
        <v>44716</v>
      </c>
      <c r="B1059" t="s">
        <v>12</v>
      </c>
      <c r="C1059" t="s">
        <v>68</v>
      </c>
      <c r="D1059" t="s">
        <v>25</v>
      </c>
      <c r="E1059">
        <v>300</v>
      </c>
      <c r="F1059">
        <f t="shared" si="32"/>
        <v>810</v>
      </c>
      <c r="G1059">
        <f>SUMIF($D$2:$D1059,$D1059,$E$2:$E1059)</f>
        <v>7426</v>
      </c>
      <c r="H1059">
        <f t="shared" si="33"/>
        <v>0</v>
      </c>
    </row>
    <row r="1060" spans="1:8" x14ac:dyDescent="0.25">
      <c r="A1060" s="1">
        <v>44716</v>
      </c>
      <c r="B1060" t="s">
        <v>12</v>
      </c>
      <c r="C1060" t="s">
        <v>68</v>
      </c>
      <c r="D1060" t="s">
        <v>48</v>
      </c>
      <c r="E1060">
        <v>198</v>
      </c>
      <c r="F1060">
        <f t="shared" si="32"/>
        <v>534.6</v>
      </c>
      <c r="G1060">
        <f>SUMIF($D$2:$D1060,$D1060,$E$2:$E1060)</f>
        <v>3955</v>
      </c>
      <c r="H1060">
        <f t="shared" si="33"/>
        <v>0</v>
      </c>
    </row>
    <row r="1061" spans="1:8" x14ac:dyDescent="0.25">
      <c r="A1061" s="1">
        <v>44716</v>
      </c>
      <c r="B1061" t="s">
        <v>12</v>
      </c>
      <c r="C1061" t="s">
        <v>68</v>
      </c>
      <c r="D1061" t="s">
        <v>39</v>
      </c>
      <c r="E1061">
        <v>86</v>
      </c>
      <c r="F1061">
        <f t="shared" si="32"/>
        <v>232.20000000000002</v>
      </c>
      <c r="G1061">
        <f>SUMIF($D$2:$D1061,$D1061,$E$2:$E1061)</f>
        <v>6039</v>
      </c>
      <c r="H1061">
        <f t="shared" si="33"/>
        <v>0</v>
      </c>
    </row>
    <row r="1062" spans="1:8" x14ac:dyDescent="0.25">
      <c r="A1062" s="1">
        <v>44716</v>
      </c>
      <c r="B1062" t="s">
        <v>12</v>
      </c>
      <c r="C1062" t="s">
        <v>68</v>
      </c>
      <c r="D1062" t="s">
        <v>64</v>
      </c>
      <c r="E1062">
        <v>101</v>
      </c>
      <c r="F1062">
        <f t="shared" si="32"/>
        <v>272.70000000000005</v>
      </c>
      <c r="G1062">
        <f>SUMIF($D$2:$D1062,$D1062,$E$2:$E1062)</f>
        <v>7594</v>
      </c>
      <c r="H1062">
        <f t="shared" si="33"/>
        <v>0</v>
      </c>
    </row>
    <row r="1063" spans="1:8" x14ac:dyDescent="0.25">
      <c r="A1063" s="1">
        <v>44716</v>
      </c>
      <c r="B1063" t="s">
        <v>12</v>
      </c>
      <c r="C1063" t="s">
        <v>68</v>
      </c>
      <c r="D1063" t="s">
        <v>60</v>
      </c>
      <c r="E1063">
        <v>235</v>
      </c>
      <c r="F1063">
        <f t="shared" si="32"/>
        <v>634.5</v>
      </c>
      <c r="G1063">
        <f>SUMIF($D$2:$D1063,$D1063,$E$2:$E1063)</f>
        <v>8708</v>
      </c>
      <c r="H1063">
        <f t="shared" si="33"/>
        <v>0</v>
      </c>
    </row>
    <row r="1064" spans="1:8" x14ac:dyDescent="0.25">
      <c r="A1064" s="1">
        <v>44718</v>
      </c>
      <c r="B1064" t="s">
        <v>12</v>
      </c>
      <c r="C1064" t="s">
        <v>68</v>
      </c>
      <c r="D1064" t="s">
        <v>61</v>
      </c>
      <c r="E1064">
        <v>245</v>
      </c>
      <c r="F1064">
        <f t="shared" si="32"/>
        <v>661.5</v>
      </c>
      <c r="G1064">
        <f>SUMIF($D$2:$D1064,$D1064,$E$2:$E1064)</f>
        <v>8333</v>
      </c>
      <c r="H1064">
        <f t="shared" si="33"/>
        <v>0</v>
      </c>
    </row>
    <row r="1065" spans="1:8" x14ac:dyDescent="0.25">
      <c r="A1065" s="1">
        <v>44718</v>
      </c>
      <c r="B1065" t="s">
        <v>14</v>
      </c>
      <c r="C1065" t="s">
        <v>65</v>
      </c>
      <c r="D1065" t="s">
        <v>27</v>
      </c>
      <c r="E1065">
        <v>204</v>
      </c>
      <c r="F1065">
        <f t="shared" si="32"/>
        <v>714</v>
      </c>
      <c r="G1065">
        <f>SUMIF($D$2:$D1065,$D1065,$E$2:$E1065)</f>
        <v>7690</v>
      </c>
      <c r="H1065">
        <f t="shared" si="33"/>
        <v>0</v>
      </c>
    </row>
    <row r="1066" spans="1:8" x14ac:dyDescent="0.25">
      <c r="A1066" s="1">
        <v>44718</v>
      </c>
      <c r="B1066" t="s">
        <v>14</v>
      </c>
      <c r="C1066" t="s">
        <v>65</v>
      </c>
      <c r="D1066" t="s">
        <v>53</v>
      </c>
      <c r="E1066">
        <v>30</v>
      </c>
      <c r="F1066">
        <f t="shared" si="32"/>
        <v>105</v>
      </c>
      <c r="G1066">
        <f>SUMIF($D$2:$D1066,$D1066,$E$2:$E1066)</f>
        <v>8673</v>
      </c>
      <c r="H1066">
        <f t="shared" si="33"/>
        <v>0</v>
      </c>
    </row>
    <row r="1067" spans="1:8" x14ac:dyDescent="0.25">
      <c r="A1067" s="1">
        <v>44718</v>
      </c>
      <c r="B1067" t="s">
        <v>12</v>
      </c>
      <c r="C1067" t="s">
        <v>68</v>
      </c>
      <c r="D1067" t="s">
        <v>58</v>
      </c>
      <c r="E1067">
        <v>50</v>
      </c>
      <c r="F1067">
        <f t="shared" si="32"/>
        <v>135</v>
      </c>
      <c r="G1067">
        <f>SUMIF($D$2:$D1067,$D1067,$E$2:$E1067)</f>
        <v>7509</v>
      </c>
      <c r="H1067">
        <f t="shared" si="33"/>
        <v>0</v>
      </c>
    </row>
    <row r="1068" spans="1:8" x14ac:dyDescent="0.25">
      <c r="A1068" s="1">
        <v>44718</v>
      </c>
      <c r="B1068" t="s">
        <v>13</v>
      </c>
      <c r="C1068" t="s">
        <v>68</v>
      </c>
      <c r="D1068" t="s">
        <v>21</v>
      </c>
      <c r="E1068">
        <v>58</v>
      </c>
      <c r="F1068">
        <f t="shared" si="32"/>
        <v>185.60000000000002</v>
      </c>
      <c r="G1068">
        <f>SUMIF($D$2:$D1068,$D1068,$E$2:$E1068)</f>
        <v>5019</v>
      </c>
      <c r="H1068">
        <f t="shared" si="33"/>
        <v>0</v>
      </c>
    </row>
    <row r="1069" spans="1:8" x14ac:dyDescent="0.25">
      <c r="A1069" s="1">
        <v>44718</v>
      </c>
      <c r="B1069" t="s">
        <v>13</v>
      </c>
      <c r="C1069" t="s">
        <v>68</v>
      </c>
      <c r="D1069" t="s">
        <v>57</v>
      </c>
      <c r="E1069">
        <v>290</v>
      </c>
      <c r="F1069">
        <f t="shared" si="32"/>
        <v>928</v>
      </c>
      <c r="G1069">
        <f>SUMIF($D$2:$D1069,$D1069,$E$2:$E1069)</f>
        <v>9188</v>
      </c>
      <c r="H1069">
        <f t="shared" si="33"/>
        <v>0</v>
      </c>
    </row>
    <row r="1070" spans="1:8" x14ac:dyDescent="0.25">
      <c r="A1070" s="1">
        <v>44718</v>
      </c>
      <c r="B1070" t="s">
        <v>14</v>
      </c>
      <c r="C1070" t="s">
        <v>65</v>
      </c>
      <c r="D1070" t="s">
        <v>19</v>
      </c>
      <c r="E1070">
        <v>426</v>
      </c>
      <c r="F1070">
        <f t="shared" si="32"/>
        <v>1491</v>
      </c>
      <c r="G1070">
        <f>SUMIF($D$2:$D1070,$D1070,$E$2:$E1070)</f>
        <v>3544</v>
      </c>
      <c r="H1070">
        <f t="shared" si="33"/>
        <v>0</v>
      </c>
    </row>
    <row r="1071" spans="1:8" x14ac:dyDescent="0.25">
      <c r="A1071" s="1">
        <v>44718</v>
      </c>
      <c r="B1071" t="s">
        <v>12</v>
      </c>
      <c r="C1071" t="s">
        <v>68</v>
      </c>
      <c r="D1071" t="s">
        <v>54</v>
      </c>
      <c r="E1071">
        <v>384</v>
      </c>
      <c r="F1071">
        <f t="shared" si="32"/>
        <v>1036.8000000000002</v>
      </c>
      <c r="G1071">
        <f>SUMIF($D$2:$D1071,$D1071,$E$2:$E1071)</f>
        <v>7680</v>
      </c>
      <c r="H1071">
        <f t="shared" si="33"/>
        <v>0</v>
      </c>
    </row>
    <row r="1072" spans="1:8" x14ac:dyDescent="0.25">
      <c r="A1072" s="1">
        <v>44718</v>
      </c>
      <c r="B1072" t="s">
        <v>12</v>
      </c>
      <c r="C1072" t="s">
        <v>68</v>
      </c>
      <c r="D1072" t="s">
        <v>24</v>
      </c>
      <c r="E1072">
        <v>102</v>
      </c>
      <c r="F1072">
        <f t="shared" si="32"/>
        <v>275.40000000000003</v>
      </c>
      <c r="G1072">
        <f>SUMIF($D$2:$D1072,$D1072,$E$2:$E1072)</f>
        <v>7090</v>
      </c>
      <c r="H1072">
        <f t="shared" si="33"/>
        <v>0</v>
      </c>
    </row>
    <row r="1073" spans="1:8" x14ac:dyDescent="0.25">
      <c r="A1073" s="1">
        <v>44718</v>
      </c>
      <c r="B1073" t="s">
        <v>12</v>
      </c>
      <c r="C1073" t="s">
        <v>68</v>
      </c>
      <c r="D1073" t="s">
        <v>42</v>
      </c>
      <c r="E1073">
        <v>448</v>
      </c>
      <c r="F1073">
        <f t="shared" si="32"/>
        <v>1209.6000000000001</v>
      </c>
      <c r="G1073">
        <f>SUMIF($D$2:$D1073,$D1073,$E$2:$E1073)</f>
        <v>6869</v>
      </c>
      <c r="H1073">
        <f t="shared" si="33"/>
        <v>0</v>
      </c>
    </row>
    <row r="1074" spans="1:8" x14ac:dyDescent="0.25">
      <c r="A1074" s="1">
        <v>44718</v>
      </c>
      <c r="B1074" t="s">
        <v>13</v>
      </c>
      <c r="C1074" t="s">
        <v>68</v>
      </c>
      <c r="D1074" t="s">
        <v>23</v>
      </c>
      <c r="E1074">
        <v>476</v>
      </c>
      <c r="F1074">
        <f t="shared" si="32"/>
        <v>1523.2</v>
      </c>
      <c r="G1074">
        <f>SUMIF($D$2:$D1074,$D1074,$E$2:$E1074)</f>
        <v>6267</v>
      </c>
      <c r="H1074">
        <f t="shared" si="33"/>
        <v>0</v>
      </c>
    </row>
    <row r="1075" spans="1:8" x14ac:dyDescent="0.25">
      <c r="A1075" s="1">
        <v>44718</v>
      </c>
      <c r="B1075" t="s">
        <v>12</v>
      </c>
      <c r="C1075" t="s">
        <v>68</v>
      </c>
      <c r="D1075" t="s">
        <v>33</v>
      </c>
      <c r="E1075">
        <v>287</v>
      </c>
      <c r="F1075">
        <f t="shared" si="32"/>
        <v>774.90000000000009</v>
      </c>
      <c r="G1075">
        <f>SUMIF($D$2:$D1075,$D1075,$E$2:$E1075)</f>
        <v>9419</v>
      </c>
      <c r="H1075">
        <f t="shared" si="33"/>
        <v>0</v>
      </c>
    </row>
    <row r="1076" spans="1:8" x14ac:dyDescent="0.25">
      <c r="A1076" s="1">
        <v>44718</v>
      </c>
      <c r="B1076" t="s">
        <v>14</v>
      </c>
      <c r="C1076" t="s">
        <v>65</v>
      </c>
      <c r="D1076" t="s">
        <v>67</v>
      </c>
      <c r="E1076">
        <v>482</v>
      </c>
      <c r="F1076">
        <f t="shared" si="32"/>
        <v>1687</v>
      </c>
      <c r="G1076">
        <f>SUMIF($D$2:$D1076,$D1076,$E$2:$E1076)</f>
        <v>8722</v>
      </c>
      <c r="H1076">
        <f t="shared" si="33"/>
        <v>0</v>
      </c>
    </row>
    <row r="1077" spans="1:8" x14ac:dyDescent="0.25">
      <c r="A1077" s="1">
        <v>44718</v>
      </c>
      <c r="B1077" t="s">
        <v>12</v>
      </c>
      <c r="C1077" t="s">
        <v>68</v>
      </c>
      <c r="D1077" t="s">
        <v>35</v>
      </c>
      <c r="E1077">
        <v>258</v>
      </c>
      <c r="F1077">
        <f t="shared" si="32"/>
        <v>696.6</v>
      </c>
      <c r="G1077">
        <f>SUMIF($D$2:$D1077,$D1077,$E$2:$E1077)</f>
        <v>7176</v>
      </c>
      <c r="H1077">
        <f t="shared" si="33"/>
        <v>0</v>
      </c>
    </row>
    <row r="1078" spans="1:8" x14ac:dyDescent="0.25">
      <c r="A1078" s="1">
        <v>44718</v>
      </c>
      <c r="B1078" t="s">
        <v>12</v>
      </c>
      <c r="C1078" t="s">
        <v>68</v>
      </c>
      <c r="D1078" t="s">
        <v>37</v>
      </c>
      <c r="E1078">
        <v>321</v>
      </c>
      <c r="F1078">
        <f t="shared" si="32"/>
        <v>866.7</v>
      </c>
      <c r="G1078">
        <f>SUMIF($D$2:$D1078,$D1078,$E$2:$E1078)</f>
        <v>7336</v>
      </c>
      <c r="H1078">
        <f t="shared" si="33"/>
        <v>0</v>
      </c>
    </row>
    <row r="1079" spans="1:8" x14ac:dyDescent="0.25">
      <c r="A1079" s="1">
        <v>44718</v>
      </c>
      <c r="B1079" t="s">
        <v>13</v>
      </c>
      <c r="C1079" t="s">
        <v>68</v>
      </c>
      <c r="D1079" t="s">
        <v>51</v>
      </c>
      <c r="E1079">
        <v>339</v>
      </c>
      <c r="F1079">
        <f t="shared" si="32"/>
        <v>1084.8</v>
      </c>
      <c r="G1079">
        <f>SUMIF($D$2:$D1079,$D1079,$E$2:$E1079)</f>
        <v>9969</v>
      </c>
      <c r="H1079">
        <f t="shared" si="33"/>
        <v>0</v>
      </c>
    </row>
    <row r="1080" spans="1:8" x14ac:dyDescent="0.25">
      <c r="A1080" s="1">
        <v>44719</v>
      </c>
      <c r="B1080" t="s">
        <v>14</v>
      </c>
      <c r="C1080" t="s">
        <v>65</v>
      </c>
      <c r="D1080" t="s">
        <v>18</v>
      </c>
      <c r="E1080">
        <v>466</v>
      </c>
      <c r="F1080">
        <f t="shared" si="32"/>
        <v>1631</v>
      </c>
      <c r="G1080">
        <f>SUMIF($D$2:$D1080,$D1080,$E$2:$E1080)</f>
        <v>7770</v>
      </c>
      <c r="H1080">
        <f t="shared" si="33"/>
        <v>0</v>
      </c>
    </row>
    <row r="1081" spans="1:8" x14ac:dyDescent="0.25">
      <c r="A1081" s="1">
        <v>44720</v>
      </c>
      <c r="B1081" t="s">
        <v>13</v>
      </c>
      <c r="C1081" t="s">
        <v>68</v>
      </c>
      <c r="D1081" t="s">
        <v>48</v>
      </c>
      <c r="E1081">
        <v>377</v>
      </c>
      <c r="F1081">
        <f t="shared" si="32"/>
        <v>1206.4000000000001</v>
      </c>
      <c r="G1081">
        <f>SUMIF($D$2:$D1081,$D1081,$E$2:$E1081)</f>
        <v>4332</v>
      </c>
      <c r="H1081">
        <f t="shared" si="33"/>
        <v>0</v>
      </c>
    </row>
    <row r="1082" spans="1:8" x14ac:dyDescent="0.25">
      <c r="A1082" s="1">
        <v>44720</v>
      </c>
      <c r="B1082" t="s">
        <v>13</v>
      </c>
      <c r="C1082" t="s">
        <v>68</v>
      </c>
      <c r="D1082" t="s">
        <v>50</v>
      </c>
      <c r="E1082">
        <v>201</v>
      </c>
      <c r="F1082">
        <f t="shared" si="32"/>
        <v>643.20000000000005</v>
      </c>
      <c r="G1082">
        <f>SUMIF($D$2:$D1082,$D1082,$E$2:$E1082)</f>
        <v>4135</v>
      </c>
      <c r="H1082">
        <f t="shared" si="33"/>
        <v>0</v>
      </c>
    </row>
    <row r="1083" spans="1:8" x14ac:dyDescent="0.25">
      <c r="A1083" s="1">
        <v>44720</v>
      </c>
      <c r="B1083" t="s">
        <v>14</v>
      </c>
      <c r="C1083" t="s">
        <v>65</v>
      </c>
      <c r="D1083" t="s">
        <v>34</v>
      </c>
      <c r="E1083">
        <v>97</v>
      </c>
      <c r="F1083">
        <f t="shared" si="32"/>
        <v>339.5</v>
      </c>
      <c r="G1083">
        <f>SUMIF($D$2:$D1083,$D1083,$E$2:$E1083)</f>
        <v>7725</v>
      </c>
      <c r="H1083">
        <f t="shared" si="33"/>
        <v>0</v>
      </c>
    </row>
    <row r="1084" spans="1:8" x14ac:dyDescent="0.25">
      <c r="A1084" s="1">
        <v>44720</v>
      </c>
      <c r="B1084" t="s">
        <v>13</v>
      </c>
      <c r="C1084" t="s">
        <v>68</v>
      </c>
      <c r="D1084" t="s">
        <v>51</v>
      </c>
      <c r="E1084">
        <v>256</v>
      </c>
      <c r="F1084">
        <f t="shared" si="32"/>
        <v>819.2</v>
      </c>
      <c r="G1084">
        <f>SUMIF($D$2:$D1084,$D1084,$E$2:$E1084)</f>
        <v>10225</v>
      </c>
      <c r="H1084">
        <f t="shared" si="33"/>
        <v>0</v>
      </c>
    </row>
    <row r="1085" spans="1:8" x14ac:dyDescent="0.25">
      <c r="A1085" s="1">
        <v>44720</v>
      </c>
      <c r="B1085" t="s">
        <v>14</v>
      </c>
      <c r="C1085" t="s">
        <v>65</v>
      </c>
      <c r="D1085" t="s">
        <v>49</v>
      </c>
      <c r="E1085">
        <v>402</v>
      </c>
      <c r="F1085">
        <f t="shared" si="32"/>
        <v>1407</v>
      </c>
      <c r="G1085">
        <f>SUMIF($D$2:$D1085,$D1085,$E$2:$E1085)</f>
        <v>8559</v>
      </c>
      <c r="H1085">
        <f t="shared" si="33"/>
        <v>0</v>
      </c>
    </row>
    <row r="1086" spans="1:8" x14ac:dyDescent="0.25">
      <c r="A1086" s="1">
        <v>44720</v>
      </c>
      <c r="B1086" t="s">
        <v>12</v>
      </c>
      <c r="C1086" t="s">
        <v>68</v>
      </c>
      <c r="D1086" t="s">
        <v>50</v>
      </c>
      <c r="E1086">
        <v>169</v>
      </c>
      <c r="F1086">
        <f t="shared" si="32"/>
        <v>456.3</v>
      </c>
      <c r="G1086">
        <f>SUMIF($D$2:$D1086,$D1086,$E$2:$E1086)</f>
        <v>4304</v>
      </c>
      <c r="H1086">
        <f t="shared" si="33"/>
        <v>0</v>
      </c>
    </row>
    <row r="1087" spans="1:8" x14ac:dyDescent="0.25">
      <c r="A1087" s="1">
        <v>44720</v>
      </c>
      <c r="B1087" t="s">
        <v>12</v>
      </c>
      <c r="C1087" t="s">
        <v>68</v>
      </c>
      <c r="D1087" t="s">
        <v>59</v>
      </c>
      <c r="E1087">
        <v>183</v>
      </c>
      <c r="F1087">
        <f t="shared" si="32"/>
        <v>494.1</v>
      </c>
      <c r="G1087">
        <f>SUMIF($D$2:$D1087,$D1087,$E$2:$E1087)</f>
        <v>5024</v>
      </c>
      <c r="H1087">
        <f t="shared" si="33"/>
        <v>0</v>
      </c>
    </row>
    <row r="1088" spans="1:8" x14ac:dyDescent="0.25">
      <c r="A1088" s="1">
        <v>44720</v>
      </c>
      <c r="B1088" t="s">
        <v>13</v>
      </c>
      <c r="C1088" t="s">
        <v>68</v>
      </c>
      <c r="D1088" t="s">
        <v>66</v>
      </c>
      <c r="E1088">
        <v>200</v>
      </c>
      <c r="F1088">
        <f t="shared" si="32"/>
        <v>640</v>
      </c>
      <c r="G1088">
        <f>SUMIF($D$2:$D1088,$D1088,$E$2:$E1088)</f>
        <v>6835</v>
      </c>
      <c r="H1088">
        <f t="shared" si="33"/>
        <v>0</v>
      </c>
    </row>
    <row r="1089" spans="1:8" x14ac:dyDescent="0.25">
      <c r="A1089" s="1">
        <v>44720</v>
      </c>
      <c r="B1089" t="s">
        <v>13</v>
      </c>
      <c r="C1089" t="s">
        <v>68</v>
      </c>
      <c r="D1089" t="s">
        <v>22</v>
      </c>
      <c r="E1089">
        <v>325</v>
      </c>
      <c r="F1089">
        <f t="shared" si="32"/>
        <v>1040</v>
      </c>
      <c r="G1089">
        <f>SUMIF($D$2:$D1089,$D1089,$E$2:$E1089)</f>
        <v>7960</v>
      </c>
      <c r="H1089">
        <f t="shared" si="33"/>
        <v>0</v>
      </c>
    </row>
    <row r="1090" spans="1:8" x14ac:dyDescent="0.25">
      <c r="A1090" s="1">
        <v>44721</v>
      </c>
      <c r="B1090" t="s">
        <v>14</v>
      </c>
      <c r="C1090" t="s">
        <v>65</v>
      </c>
      <c r="D1090" t="s">
        <v>48</v>
      </c>
      <c r="E1090">
        <v>286</v>
      </c>
      <c r="F1090">
        <f t="shared" si="32"/>
        <v>1001</v>
      </c>
      <c r="G1090">
        <f>SUMIF($D$2:$D1090,$D1090,$E$2:$E1090)</f>
        <v>4618</v>
      </c>
      <c r="H1090">
        <f t="shared" si="33"/>
        <v>0</v>
      </c>
    </row>
    <row r="1091" spans="1:8" x14ac:dyDescent="0.25">
      <c r="A1091" s="1">
        <v>44721</v>
      </c>
      <c r="B1091" t="s">
        <v>14</v>
      </c>
      <c r="C1091" t="s">
        <v>65</v>
      </c>
      <c r="D1091" t="s">
        <v>30</v>
      </c>
      <c r="E1091">
        <v>366</v>
      </c>
      <c r="F1091">
        <f t="shared" ref="F1091:F1154" si="34">E1091* _xlfn.XLOOKUP(B1091,$I$2:$I$17,$J$2:$J$17,"0",0,1)</f>
        <v>1281</v>
      </c>
      <c r="G1091">
        <f>SUMIF($D$2:$D1091,$D1091,$E$2:$E1091)</f>
        <v>8416</v>
      </c>
      <c r="H1091">
        <f t="shared" ref="H1091:H1154" si="35">IF(AND($G1091 &gt; 15000,$G1091 &lt; 20000),5*$E1091,IF($G1091 &gt;= 20000,10*$E1091,0))</f>
        <v>0</v>
      </c>
    </row>
    <row r="1092" spans="1:8" x14ac:dyDescent="0.25">
      <c r="A1092" s="1">
        <v>44721</v>
      </c>
      <c r="B1092" t="s">
        <v>14</v>
      </c>
      <c r="C1092" t="s">
        <v>65</v>
      </c>
      <c r="D1092" t="s">
        <v>50</v>
      </c>
      <c r="E1092">
        <v>483</v>
      </c>
      <c r="F1092">
        <f t="shared" si="34"/>
        <v>1690.5</v>
      </c>
      <c r="G1092">
        <f>SUMIF($D$2:$D1092,$D1092,$E$2:$E1092)</f>
        <v>4787</v>
      </c>
      <c r="H1092">
        <f t="shared" si="35"/>
        <v>0</v>
      </c>
    </row>
    <row r="1093" spans="1:8" x14ac:dyDescent="0.25">
      <c r="A1093" s="1">
        <v>44721</v>
      </c>
      <c r="B1093" t="s">
        <v>14</v>
      </c>
      <c r="C1093" t="s">
        <v>65</v>
      </c>
      <c r="D1093" t="s">
        <v>22</v>
      </c>
      <c r="E1093">
        <v>52</v>
      </c>
      <c r="F1093">
        <f t="shared" si="34"/>
        <v>182</v>
      </c>
      <c r="G1093">
        <f>SUMIF($D$2:$D1093,$D1093,$E$2:$E1093)</f>
        <v>8012</v>
      </c>
      <c r="H1093">
        <f t="shared" si="35"/>
        <v>0</v>
      </c>
    </row>
    <row r="1094" spans="1:8" x14ac:dyDescent="0.25">
      <c r="A1094" s="1">
        <v>44721</v>
      </c>
      <c r="B1094" t="s">
        <v>13</v>
      </c>
      <c r="C1094" t="s">
        <v>68</v>
      </c>
      <c r="D1094" t="s">
        <v>62</v>
      </c>
      <c r="E1094">
        <v>454</v>
      </c>
      <c r="F1094">
        <f t="shared" si="34"/>
        <v>1452.8000000000002</v>
      </c>
      <c r="G1094">
        <f>SUMIF($D$2:$D1094,$D1094,$E$2:$E1094)</f>
        <v>6378</v>
      </c>
      <c r="H1094">
        <f t="shared" si="35"/>
        <v>0</v>
      </c>
    </row>
    <row r="1095" spans="1:8" x14ac:dyDescent="0.25">
      <c r="A1095" s="1">
        <v>44722</v>
      </c>
      <c r="B1095" t="s">
        <v>12</v>
      </c>
      <c r="C1095" t="s">
        <v>68</v>
      </c>
      <c r="D1095" t="s">
        <v>29</v>
      </c>
      <c r="E1095">
        <v>483</v>
      </c>
      <c r="F1095">
        <f t="shared" si="34"/>
        <v>1304.1000000000001</v>
      </c>
      <c r="G1095">
        <f>SUMIF($D$2:$D1095,$D1095,$E$2:$E1095)</f>
        <v>10976</v>
      </c>
      <c r="H1095">
        <f t="shared" si="35"/>
        <v>0</v>
      </c>
    </row>
    <row r="1096" spans="1:8" x14ac:dyDescent="0.25">
      <c r="A1096" s="1">
        <v>44722</v>
      </c>
      <c r="B1096" t="s">
        <v>12</v>
      </c>
      <c r="C1096" t="s">
        <v>68</v>
      </c>
      <c r="D1096" t="s">
        <v>24</v>
      </c>
      <c r="E1096">
        <v>55</v>
      </c>
      <c r="F1096">
        <f t="shared" si="34"/>
        <v>148.5</v>
      </c>
      <c r="G1096">
        <f>SUMIF($D$2:$D1096,$D1096,$E$2:$E1096)</f>
        <v>7145</v>
      </c>
      <c r="H1096">
        <f t="shared" si="35"/>
        <v>0</v>
      </c>
    </row>
    <row r="1097" spans="1:8" x14ac:dyDescent="0.25">
      <c r="A1097" s="1">
        <v>44722</v>
      </c>
      <c r="B1097" t="s">
        <v>13</v>
      </c>
      <c r="C1097" t="s">
        <v>68</v>
      </c>
      <c r="D1097" t="s">
        <v>42</v>
      </c>
      <c r="E1097">
        <v>113</v>
      </c>
      <c r="F1097">
        <f t="shared" si="34"/>
        <v>361.6</v>
      </c>
      <c r="G1097">
        <f>SUMIF($D$2:$D1097,$D1097,$E$2:$E1097)</f>
        <v>6982</v>
      </c>
      <c r="H1097">
        <f t="shared" si="35"/>
        <v>0</v>
      </c>
    </row>
    <row r="1098" spans="1:8" x14ac:dyDescent="0.25">
      <c r="A1098" s="1">
        <v>44722</v>
      </c>
      <c r="B1098" t="s">
        <v>12</v>
      </c>
      <c r="C1098" t="s">
        <v>68</v>
      </c>
      <c r="D1098" t="s">
        <v>60</v>
      </c>
      <c r="E1098">
        <v>321</v>
      </c>
      <c r="F1098">
        <f t="shared" si="34"/>
        <v>866.7</v>
      </c>
      <c r="G1098">
        <f>SUMIF($D$2:$D1098,$D1098,$E$2:$E1098)</f>
        <v>9029</v>
      </c>
      <c r="H1098">
        <f t="shared" si="35"/>
        <v>0</v>
      </c>
    </row>
    <row r="1099" spans="1:8" x14ac:dyDescent="0.25">
      <c r="A1099" s="1">
        <v>44722</v>
      </c>
      <c r="B1099" t="s">
        <v>13</v>
      </c>
      <c r="C1099" t="s">
        <v>68</v>
      </c>
      <c r="D1099" t="s">
        <v>60</v>
      </c>
      <c r="E1099">
        <v>437</v>
      </c>
      <c r="F1099">
        <f t="shared" si="34"/>
        <v>1398.4</v>
      </c>
      <c r="G1099">
        <f>SUMIF($D$2:$D1099,$D1099,$E$2:$E1099)</f>
        <v>9466</v>
      </c>
      <c r="H1099">
        <f t="shared" si="35"/>
        <v>0</v>
      </c>
    </row>
    <row r="1100" spans="1:8" x14ac:dyDescent="0.25">
      <c r="A1100" s="1">
        <v>44723</v>
      </c>
      <c r="B1100" t="s">
        <v>12</v>
      </c>
      <c r="C1100" t="s">
        <v>68</v>
      </c>
      <c r="D1100" t="s">
        <v>21</v>
      </c>
      <c r="E1100">
        <v>363</v>
      </c>
      <c r="F1100">
        <f t="shared" si="34"/>
        <v>980.1</v>
      </c>
      <c r="G1100">
        <f>SUMIF($D$2:$D1100,$D1100,$E$2:$E1100)</f>
        <v>5382</v>
      </c>
      <c r="H1100">
        <f t="shared" si="35"/>
        <v>0</v>
      </c>
    </row>
    <row r="1101" spans="1:8" x14ac:dyDescent="0.25">
      <c r="A1101" s="1">
        <v>44723</v>
      </c>
      <c r="B1101" t="s">
        <v>14</v>
      </c>
      <c r="C1101" t="s">
        <v>65</v>
      </c>
      <c r="D1101" t="s">
        <v>28</v>
      </c>
      <c r="E1101">
        <v>39</v>
      </c>
      <c r="F1101">
        <f t="shared" si="34"/>
        <v>136.5</v>
      </c>
      <c r="G1101">
        <f>SUMIF($D$2:$D1101,$D1101,$E$2:$E1101)</f>
        <v>7035</v>
      </c>
      <c r="H1101">
        <f t="shared" si="35"/>
        <v>0</v>
      </c>
    </row>
    <row r="1102" spans="1:8" x14ac:dyDescent="0.25">
      <c r="A1102" s="1">
        <v>44723</v>
      </c>
      <c r="B1102" t="s">
        <v>14</v>
      </c>
      <c r="C1102" t="s">
        <v>65</v>
      </c>
      <c r="D1102" t="s">
        <v>35</v>
      </c>
      <c r="E1102">
        <v>221</v>
      </c>
      <c r="F1102">
        <f t="shared" si="34"/>
        <v>773.5</v>
      </c>
      <c r="G1102">
        <f>SUMIF($D$2:$D1102,$D1102,$E$2:$E1102)</f>
        <v>7397</v>
      </c>
      <c r="H1102">
        <f t="shared" si="35"/>
        <v>0</v>
      </c>
    </row>
    <row r="1103" spans="1:8" x14ac:dyDescent="0.25">
      <c r="A1103" s="1">
        <v>44725</v>
      </c>
      <c r="B1103" t="s">
        <v>13</v>
      </c>
      <c r="C1103" t="s">
        <v>68</v>
      </c>
      <c r="D1103" t="s">
        <v>47</v>
      </c>
      <c r="E1103">
        <v>27</v>
      </c>
      <c r="F1103">
        <f t="shared" si="34"/>
        <v>86.4</v>
      </c>
      <c r="G1103">
        <f>SUMIF($D$2:$D1103,$D1103,$E$2:$E1103)</f>
        <v>5565</v>
      </c>
      <c r="H1103">
        <f t="shared" si="35"/>
        <v>0</v>
      </c>
    </row>
    <row r="1104" spans="1:8" x14ac:dyDescent="0.25">
      <c r="A1104" s="1">
        <v>44725</v>
      </c>
      <c r="B1104" t="s">
        <v>13</v>
      </c>
      <c r="C1104" t="s">
        <v>68</v>
      </c>
      <c r="D1104" t="s">
        <v>63</v>
      </c>
      <c r="E1104">
        <v>466</v>
      </c>
      <c r="F1104">
        <f t="shared" si="34"/>
        <v>1491.2</v>
      </c>
      <c r="G1104">
        <f>SUMIF($D$2:$D1104,$D1104,$E$2:$E1104)</f>
        <v>7383</v>
      </c>
      <c r="H1104">
        <f t="shared" si="35"/>
        <v>0</v>
      </c>
    </row>
    <row r="1105" spans="1:8" x14ac:dyDescent="0.25">
      <c r="A1105" s="1">
        <v>44725</v>
      </c>
      <c r="B1105" t="s">
        <v>14</v>
      </c>
      <c r="C1105" t="s">
        <v>65</v>
      </c>
      <c r="D1105" t="s">
        <v>28</v>
      </c>
      <c r="E1105">
        <v>89</v>
      </c>
      <c r="F1105">
        <f t="shared" si="34"/>
        <v>311.5</v>
      </c>
      <c r="G1105">
        <f>SUMIF($D$2:$D1105,$D1105,$E$2:$E1105)</f>
        <v>7124</v>
      </c>
      <c r="H1105">
        <f t="shared" si="35"/>
        <v>0</v>
      </c>
    </row>
    <row r="1106" spans="1:8" x14ac:dyDescent="0.25">
      <c r="A1106" s="1">
        <v>44725</v>
      </c>
      <c r="B1106" t="s">
        <v>12</v>
      </c>
      <c r="C1106" t="s">
        <v>68</v>
      </c>
      <c r="D1106" t="s">
        <v>16</v>
      </c>
      <c r="E1106">
        <v>182</v>
      </c>
      <c r="F1106">
        <f t="shared" si="34"/>
        <v>491.40000000000003</v>
      </c>
      <c r="G1106">
        <f>SUMIF($D$2:$D1106,$D1106,$E$2:$E1106)</f>
        <v>8454</v>
      </c>
      <c r="H1106">
        <f t="shared" si="35"/>
        <v>0</v>
      </c>
    </row>
    <row r="1107" spans="1:8" x14ac:dyDescent="0.25">
      <c r="A1107" s="1">
        <v>44725</v>
      </c>
      <c r="B1107" t="s">
        <v>12</v>
      </c>
      <c r="C1107" t="s">
        <v>68</v>
      </c>
      <c r="D1107" t="s">
        <v>60</v>
      </c>
      <c r="E1107">
        <v>140</v>
      </c>
      <c r="F1107">
        <f t="shared" si="34"/>
        <v>378</v>
      </c>
      <c r="G1107">
        <f>SUMIF($D$2:$D1107,$D1107,$E$2:$E1107)</f>
        <v>9606</v>
      </c>
      <c r="H1107">
        <f t="shared" si="35"/>
        <v>0</v>
      </c>
    </row>
    <row r="1108" spans="1:8" x14ac:dyDescent="0.25">
      <c r="A1108" s="1">
        <v>44725</v>
      </c>
      <c r="B1108" t="s">
        <v>14</v>
      </c>
      <c r="C1108" t="s">
        <v>65</v>
      </c>
      <c r="D1108" t="s">
        <v>49</v>
      </c>
      <c r="E1108">
        <v>107</v>
      </c>
      <c r="F1108">
        <f t="shared" si="34"/>
        <v>374.5</v>
      </c>
      <c r="G1108">
        <f>SUMIF($D$2:$D1108,$D1108,$E$2:$E1108)</f>
        <v>8666</v>
      </c>
      <c r="H1108">
        <f t="shared" si="35"/>
        <v>0</v>
      </c>
    </row>
    <row r="1109" spans="1:8" x14ac:dyDescent="0.25">
      <c r="A1109" s="1">
        <v>44725</v>
      </c>
      <c r="B1109" t="s">
        <v>12</v>
      </c>
      <c r="C1109" t="s">
        <v>68</v>
      </c>
      <c r="D1109" t="s">
        <v>52</v>
      </c>
      <c r="E1109">
        <v>392</v>
      </c>
      <c r="F1109">
        <f t="shared" si="34"/>
        <v>1058.4000000000001</v>
      </c>
      <c r="G1109">
        <f>SUMIF($D$2:$D1109,$D1109,$E$2:$E1109)</f>
        <v>7913</v>
      </c>
      <c r="H1109">
        <f t="shared" si="35"/>
        <v>0</v>
      </c>
    </row>
    <row r="1110" spans="1:8" x14ac:dyDescent="0.25">
      <c r="A1110" s="1">
        <v>44725</v>
      </c>
      <c r="B1110" t="s">
        <v>14</v>
      </c>
      <c r="C1110" t="s">
        <v>65</v>
      </c>
      <c r="D1110" t="s">
        <v>29</v>
      </c>
      <c r="E1110">
        <v>221</v>
      </c>
      <c r="F1110">
        <f t="shared" si="34"/>
        <v>773.5</v>
      </c>
      <c r="G1110">
        <f>SUMIF($D$2:$D1110,$D1110,$E$2:$E1110)</f>
        <v>11197</v>
      </c>
      <c r="H1110">
        <f t="shared" si="35"/>
        <v>0</v>
      </c>
    </row>
    <row r="1111" spans="1:8" x14ac:dyDescent="0.25">
      <c r="A1111" s="1">
        <v>44725</v>
      </c>
      <c r="B1111" t="s">
        <v>13</v>
      </c>
      <c r="C1111" t="s">
        <v>68</v>
      </c>
      <c r="D1111" t="s">
        <v>53</v>
      </c>
      <c r="E1111">
        <v>230</v>
      </c>
      <c r="F1111">
        <f t="shared" si="34"/>
        <v>736</v>
      </c>
      <c r="G1111">
        <f>SUMIF($D$2:$D1111,$D1111,$E$2:$E1111)</f>
        <v>8903</v>
      </c>
      <c r="H1111">
        <f t="shared" si="35"/>
        <v>0</v>
      </c>
    </row>
    <row r="1112" spans="1:8" x14ac:dyDescent="0.25">
      <c r="A1112" s="1">
        <v>44725</v>
      </c>
      <c r="B1112" t="s">
        <v>13</v>
      </c>
      <c r="C1112" t="s">
        <v>68</v>
      </c>
      <c r="D1112" t="s">
        <v>26</v>
      </c>
      <c r="E1112">
        <v>301</v>
      </c>
      <c r="F1112">
        <f t="shared" si="34"/>
        <v>963.2</v>
      </c>
      <c r="G1112">
        <f>SUMIF($D$2:$D1112,$D1112,$E$2:$E1112)</f>
        <v>11555</v>
      </c>
      <c r="H1112">
        <f t="shared" si="35"/>
        <v>0</v>
      </c>
    </row>
    <row r="1113" spans="1:8" x14ac:dyDescent="0.25">
      <c r="A1113" s="1">
        <v>44725</v>
      </c>
      <c r="B1113" t="s">
        <v>12</v>
      </c>
      <c r="C1113" t="s">
        <v>68</v>
      </c>
      <c r="D1113" t="s">
        <v>38</v>
      </c>
      <c r="E1113">
        <v>366</v>
      </c>
      <c r="F1113">
        <f t="shared" si="34"/>
        <v>988.2</v>
      </c>
      <c r="G1113">
        <f>SUMIF($D$2:$D1113,$D1113,$E$2:$E1113)</f>
        <v>9435</v>
      </c>
      <c r="H1113">
        <f t="shared" si="35"/>
        <v>0</v>
      </c>
    </row>
    <row r="1114" spans="1:8" x14ac:dyDescent="0.25">
      <c r="A1114" s="1">
        <v>44725</v>
      </c>
      <c r="B1114" t="s">
        <v>14</v>
      </c>
      <c r="C1114" t="s">
        <v>65</v>
      </c>
      <c r="D1114" t="s">
        <v>46</v>
      </c>
      <c r="E1114">
        <v>73</v>
      </c>
      <c r="F1114">
        <f t="shared" si="34"/>
        <v>255.5</v>
      </c>
      <c r="G1114">
        <f>SUMIF($D$2:$D1114,$D1114,$E$2:$E1114)</f>
        <v>7560</v>
      </c>
      <c r="H1114">
        <f t="shared" si="35"/>
        <v>0</v>
      </c>
    </row>
    <row r="1115" spans="1:8" x14ac:dyDescent="0.25">
      <c r="A1115" s="1">
        <v>44725</v>
      </c>
      <c r="B1115" t="s">
        <v>12</v>
      </c>
      <c r="C1115" t="s">
        <v>68</v>
      </c>
      <c r="D1115" t="s">
        <v>46</v>
      </c>
      <c r="E1115">
        <v>302</v>
      </c>
      <c r="F1115">
        <f t="shared" si="34"/>
        <v>815.40000000000009</v>
      </c>
      <c r="G1115">
        <f>SUMIF($D$2:$D1115,$D1115,$E$2:$E1115)</f>
        <v>7862</v>
      </c>
      <c r="H1115">
        <f t="shared" si="35"/>
        <v>0</v>
      </c>
    </row>
    <row r="1116" spans="1:8" x14ac:dyDescent="0.25">
      <c r="A1116" s="1">
        <v>44725</v>
      </c>
      <c r="B1116" t="s">
        <v>12</v>
      </c>
      <c r="C1116" t="s">
        <v>68</v>
      </c>
      <c r="D1116" t="s">
        <v>56</v>
      </c>
      <c r="E1116">
        <v>449</v>
      </c>
      <c r="F1116">
        <f t="shared" si="34"/>
        <v>1212.3000000000002</v>
      </c>
      <c r="G1116">
        <f>SUMIF($D$2:$D1116,$D1116,$E$2:$E1116)</f>
        <v>8036</v>
      </c>
      <c r="H1116">
        <f t="shared" si="35"/>
        <v>0</v>
      </c>
    </row>
    <row r="1117" spans="1:8" x14ac:dyDescent="0.25">
      <c r="A1117" s="1">
        <v>44726</v>
      </c>
      <c r="B1117" t="s">
        <v>14</v>
      </c>
      <c r="C1117" t="s">
        <v>65</v>
      </c>
      <c r="D1117" t="s">
        <v>62</v>
      </c>
      <c r="E1117">
        <v>428</v>
      </c>
      <c r="F1117">
        <f t="shared" si="34"/>
        <v>1498</v>
      </c>
      <c r="G1117">
        <f>SUMIF($D$2:$D1117,$D1117,$E$2:$E1117)</f>
        <v>6806</v>
      </c>
      <c r="H1117">
        <f t="shared" si="35"/>
        <v>0</v>
      </c>
    </row>
    <row r="1118" spans="1:8" x14ac:dyDescent="0.25">
      <c r="A1118" s="1">
        <v>44726</v>
      </c>
      <c r="B1118" t="s">
        <v>12</v>
      </c>
      <c r="C1118" t="s">
        <v>68</v>
      </c>
      <c r="D1118" t="s">
        <v>31</v>
      </c>
      <c r="E1118">
        <v>285</v>
      </c>
      <c r="F1118">
        <f t="shared" si="34"/>
        <v>769.5</v>
      </c>
      <c r="G1118">
        <f>SUMIF($D$2:$D1118,$D1118,$E$2:$E1118)</f>
        <v>10480</v>
      </c>
      <c r="H1118">
        <f t="shared" si="35"/>
        <v>0</v>
      </c>
    </row>
    <row r="1119" spans="1:8" x14ac:dyDescent="0.25">
      <c r="A1119" s="1">
        <v>44726</v>
      </c>
      <c r="B1119" t="s">
        <v>14</v>
      </c>
      <c r="C1119" t="s">
        <v>65</v>
      </c>
      <c r="D1119" t="s">
        <v>31</v>
      </c>
      <c r="E1119">
        <v>400</v>
      </c>
      <c r="F1119">
        <f t="shared" si="34"/>
        <v>1400</v>
      </c>
      <c r="G1119">
        <f>SUMIF($D$2:$D1119,$D1119,$E$2:$E1119)</f>
        <v>10880</v>
      </c>
      <c r="H1119">
        <f t="shared" si="35"/>
        <v>0</v>
      </c>
    </row>
    <row r="1120" spans="1:8" x14ac:dyDescent="0.25">
      <c r="A1120" s="1">
        <v>44726</v>
      </c>
      <c r="B1120" t="s">
        <v>12</v>
      </c>
      <c r="C1120" t="s">
        <v>68</v>
      </c>
      <c r="D1120" t="s">
        <v>36</v>
      </c>
      <c r="E1120">
        <v>86</v>
      </c>
      <c r="F1120">
        <f t="shared" si="34"/>
        <v>232.20000000000002</v>
      </c>
      <c r="G1120">
        <f>SUMIF($D$2:$D1120,$D1120,$E$2:$E1120)</f>
        <v>8374</v>
      </c>
      <c r="H1120">
        <f t="shared" si="35"/>
        <v>0</v>
      </c>
    </row>
    <row r="1121" spans="1:8" x14ac:dyDescent="0.25">
      <c r="A1121" s="1">
        <v>44726</v>
      </c>
      <c r="B1121" t="s">
        <v>14</v>
      </c>
      <c r="C1121" t="s">
        <v>65</v>
      </c>
      <c r="D1121" t="s">
        <v>40</v>
      </c>
      <c r="E1121">
        <v>441</v>
      </c>
      <c r="F1121">
        <f t="shared" si="34"/>
        <v>1543.5</v>
      </c>
      <c r="G1121">
        <f>SUMIF($D$2:$D1121,$D1121,$E$2:$E1121)</f>
        <v>6641</v>
      </c>
      <c r="H1121">
        <f t="shared" si="35"/>
        <v>0</v>
      </c>
    </row>
    <row r="1122" spans="1:8" x14ac:dyDescent="0.25">
      <c r="A1122" s="1">
        <v>44727</v>
      </c>
      <c r="B1122" t="s">
        <v>13</v>
      </c>
      <c r="C1122" t="s">
        <v>68</v>
      </c>
      <c r="D1122" t="s">
        <v>33</v>
      </c>
      <c r="E1122">
        <v>73</v>
      </c>
      <c r="F1122">
        <f t="shared" si="34"/>
        <v>233.60000000000002</v>
      </c>
      <c r="G1122">
        <f>SUMIF($D$2:$D1122,$D1122,$E$2:$E1122)</f>
        <v>9492</v>
      </c>
      <c r="H1122">
        <f t="shared" si="35"/>
        <v>0</v>
      </c>
    </row>
    <row r="1123" spans="1:8" x14ac:dyDescent="0.25">
      <c r="A1123" s="1">
        <v>44727</v>
      </c>
      <c r="B1123" t="s">
        <v>13</v>
      </c>
      <c r="C1123" t="s">
        <v>68</v>
      </c>
      <c r="D1123" t="s">
        <v>27</v>
      </c>
      <c r="E1123">
        <v>35</v>
      </c>
      <c r="F1123">
        <f t="shared" si="34"/>
        <v>112</v>
      </c>
      <c r="G1123">
        <f>SUMIF($D$2:$D1123,$D1123,$E$2:$E1123)</f>
        <v>7725</v>
      </c>
      <c r="H1123">
        <f t="shared" si="35"/>
        <v>0</v>
      </c>
    </row>
    <row r="1124" spans="1:8" x14ac:dyDescent="0.25">
      <c r="A1124" s="1">
        <v>44727</v>
      </c>
      <c r="B1124" t="s">
        <v>13</v>
      </c>
      <c r="C1124" t="s">
        <v>68</v>
      </c>
      <c r="D1124" t="s">
        <v>42</v>
      </c>
      <c r="E1124">
        <v>206</v>
      </c>
      <c r="F1124">
        <f t="shared" si="34"/>
        <v>659.2</v>
      </c>
      <c r="G1124">
        <f>SUMIF($D$2:$D1124,$D1124,$E$2:$E1124)</f>
        <v>7188</v>
      </c>
      <c r="H1124">
        <f t="shared" si="35"/>
        <v>0</v>
      </c>
    </row>
    <row r="1125" spans="1:8" x14ac:dyDescent="0.25">
      <c r="A1125" s="1">
        <v>44727</v>
      </c>
      <c r="B1125" t="s">
        <v>12</v>
      </c>
      <c r="C1125" t="s">
        <v>68</v>
      </c>
      <c r="D1125" t="s">
        <v>40</v>
      </c>
      <c r="E1125">
        <v>100</v>
      </c>
      <c r="F1125">
        <f t="shared" si="34"/>
        <v>270</v>
      </c>
      <c r="G1125">
        <f>SUMIF($D$2:$D1125,$D1125,$E$2:$E1125)</f>
        <v>6741</v>
      </c>
      <c r="H1125">
        <f t="shared" si="35"/>
        <v>0</v>
      </c>
    </row>
    <row r="1126" spans="1:8" x14ac:dyDescent="0.25">
      <c r="A1126" s="1">
        <v>44727</v>
      </c>
      <c r="B1126" t="s">
        <v>14</v>
      </c>
      <c r="C1126" t="s">
        <v>65</v>
      </c>
      <c r="D1126" t="s">
        <v>47</v>
      </c>
      <c r="E1126">
        <v>69</v>
      </c>
      <c r="F1126">
        <f t="shared" si="34"/>
        <v>241.5</v>
      </c>
      <c r="G1126">
        <f>SUMIF($D$2:$D1126,$D1126,$E$2:$E1126)</f>
        <v>5634</v>
      </c>
      <c r="H1126">
        <f t="shared" si="35"/>
        <v>0</v>
      </c>
    </row>
    <row r="1127" spans="1:8" x14ac:dyDescent="0.25">
      <c r="A1127" s="1">
        <v>44727</v>
      </c>
      <c r="B1127" t="s">
        <v>14</v>
      </c>
      <c r="C1127" t="s">
        <v>65</v>
      </c>
      <c r="D1127" t="s">
        <v>23</v>
      </c>
      <c r="E1127">
        <v>372</v>
      </c>
      <c r="F1127">
        <f t="shared" si="34"/>
        <v>1302</v>
      </c>
      <c r="G1127">
        <f>SUMIF($D$2:$D1127,$D1127,$E$2:$E1127)</f>
        <v>6639</v>
      </c>
      <c r="H1127">
        <f t="shared" si="35"/>
        <v>0</v>
      </c>
    </row>
    <row r="1128" spans="1:8" x14ac:dyDescent="0.25">
      <c r="A1128" s="1">
        <v>44727</v>
      </c>
      <c r="B1128" t="s">
        <v>14</v>
      </c>
      <c r="C1128" t="s">
        <v>65</v>
      </c>
      <c r="D1128" t="s">
        <v>61</v>
      </c>
      <c r="E1128">
        <v>59</v>
      </c>
      <c r="F1128">
        <f t="shared" si="34"/>
        <v>206.5</v>
      </c>
      <c r="G1128">
        <f>SUMIF($D$2:$D1128,$D1128,$E$2:$E1128)</f>
        <v>8392</v>
      </c>
      <c r="H1128">
        <f t="shared" si="35"/>
        <v>0</v>
      </c>
    </row>
    <row r="1129" spans="1:8" x14ac:dyDescent="0.25">
      <c r="A1129" s="1">
        <v>44728</v>
      </c>
      <c r="B1129" t="s">
        <v>13</v>
      </c>
      <c r="C1129" t="s">
        <v>68</v>
      </c>
      <c r="D1129" t="s">
        <v>59</v>
      </c>
      <c r="E1129">
        <v>345</v>
      </c>
      <c r="F1129">
        <f t="shared" si="34"/>
        <v>1104</v>
      </c>
      <c r="G1129">
        <f>SUMIF($D$2:$D1129,$D1129,$E$2:$E1129)</f>
        <v>5369</v>
      </c>
      <c r="H1129">
        <f t="shared" si="35"/>
        <v>0</v>
      </c>
    </row>
    <row r="1130" spans="1:8" x14ac:dyDescent="0.25">
      <c r="A1130" s="1">
        <v>44728</v>
      </c>
      <c r="B1130" t="s">
        <v>12</v>
      </c>
      <c r="C1130" t="s">
        <v>68</v>
      </c>
      <c r="D1130" t="s">
        <v>41</v>
      </c>
      <c r="E1130">
        <v>28</v>
      </c>
      <c r="F1130">
        <f t="shared" si="34"/>
        <v>75.600000000000009</v>
      </c>
      <c r="G1130">
        <f>SUMIF($D$2:$D1130,$D1130,$E$2:$E1130)</f>
        <v>6290</v>
      </c>
      <c r="H1130">
        <f t="shared" si="35"/>
        <v>0</v>
      </c>
    </row>
    <row r="1131" spans="1:8" x14ac:dyDescent="0.25">
      <c r="A1131" s="1">
        <v>44728</v>
      </c>
      <c r="B1131" t="s">
        <v>13</v>
      </c>
      <c r="C1131" t="s">
        <v>68</v>
      </c>
      <c r="D1131" t="s">
        <v>20</v>
      </c>
      <c r="E1131">
        <v>343</v>
      </c>
      <c r="F1131">
        <f t="shared" si="34"/>
        <v>1097.6000000000001</v>
      </c>
      <c r="G1131">
        <f>SUMIF($D$2:$D1131,$D1131,$E$2:$E1131)</f>
        <v>6229</v>
      </c>
      <c r="H1131">
        <f t="shared" si="35"/>
        <v>0</v>
      </c>
    </row>
    <row r="1132" spans="1:8" x14ac:dyDescent="0.25">
      <c r="A1132" s="1">
        <v>44728</v>
      </c>
      <c r="B1132" t="s">
        <v>14</v>
      </c>
      <c r="C1132" t="s">
        <v>65</v>
      </c>
      <c r="D1132" t="s">
        <v>53</v>
      </c>
      <c r="E1132">
        <v>498</v>
      </c>
      <c r="F1132">
        <f t="shared" si="34"/>
        <v>1743</v>
      </c>
      <c r="G1132">
        <f>SUMIF($D$2:$D1132,$D1132,$E$2:$E1132)</f>
        <v>9401</v>
      </c>
      <c r="H1132">
        <f t="shared" si="35"/>
        <v>0</v>
      </c>
    </row>
    <row r="1133" spans="1:8" x14ac:dyDescent="0.25">
      <c r="A1133" s="1">
        <v>44729</v>
      </c>
      <c r="B1133" t="s">
        <v>13</v>
      </c>
      <c r="C1133" t="s">
        <v>68</v>
      </c>
      <c r="D1133" t="s">
        <v>47</v>
      </c>
      <c r="E1133">
        <v>160</v>
      </c>
      <c r="F1133">
        <f t="shared" si="34"/>
        <v>512</v>
      </c>
      <c r="G1133">
        <f>SUMIF($D$2:$D1133,$D1133,$E$2:$E1133)</f>
        <v>5794</v>
      </c>
      <c r="H1133">
        <f t="shared" si="35"/>
        <v>0</v>
      </c>
    </row>
    <row r="1134" spans="1:8" x14ac:dyDescent="0.25">
      <c r="A1134" s="1">
        <v>44729</v>
      </c>
      <c r="B1134" t="s">
        <v>12</v>
      </c>
      <c r="C1134" t="s">
        <v>68</v>
      </c>
      <c r="D1134" t="s">
        <v>31</v>
      </c>
      <c r="E1134">
        <v>269</v>
      </c>
      <c r="F1134">
        <f t="shared" si="34"/>
        <v>726.30000000000007</v>
      </c>
      <c r="G1134">
        <f>SUMIF($D$2:$D1134,$D1134,$E$2:$E1134)</f>
        <v>11149</v>
      </c>
      <c r="H1134">
        <f t="shared" si="35"/>
        <v>0</v>
      </c>
    </row>
    <row r="1135" spans="1:8" x14ac:dyDescent="0.25">
      <c r="A1135" s="1">
        <v>44729</v>
      </c>
      <c r="B1135" t="s">
        <v>13</v>
      </c>
      <c r="C1135" t="s">
        <v>68</v>
      </c>
      <c r="D1135" t="s">
        <v>32</v>
      </c>
      <c r="E1135">
        <v>314</v>
      </c>
      <c r="F1135">
        <f t="shared" si="34"/>
        <v>1004.8000000000001</v>
      </c>
      <c r="G1135">
        <f>SUMIF($D$2:$D1135,$D1135,$E$2:$E1135)</f>
        <v>9322</v>
      </c>
      <c r="H1135">
        <f t="shared" si="35"/>
        <v>0</v>
      </c>
    </row>
    <row r="1136" spans="1:8" x14ac:dyDescent="0.25">
      <c r="A1136" s="1">
        <v>44729</v>
      </c>
      <c r="B1136" t="s">
        <v>13</v>
      </c>
      <c r="C1136" t="s">
        <v>68</v>
      </c>
      <c r="D1136" t="s">
        <v>44</v>
      </c>
      <c r="E1136">
        <v>451</v>
      </c>
      <c r="F1136">
        <f t="shared" si="34"/>
        <v>1443.2</v>
      </c>
      <c r="G1136">
        <f>SUMIF($D$2:$D1136,$D1136,$E$2:$E1136)</f>
        <v>9107</v>
      </c>
      <c r="H1136">
        <f t="shared" si="35"/>
        <v>0</v>
      </c>
    </row>
    <row r="1137" spans="1:8" x14ac:dyDescent="0.25">
      <c r="A1137" s="1">
        <v>44729</v>
      </c>
      <c r="B1137" t="s">
        <v>14</v>
      </c>
      <c r="C1137" t="s">
        <v>65</v>
      </c>
      <c r="D1137" t="s">
        <v>44</v>
      </c>
      <c r="E1137">
        <v>414</v>
      </c>
      <c r="F1137">
        <f t="shared" si="34"/>
        <v>1449</v>
      </c>
      <c r="G1137">
        <f>SUMIF($D$2:$D1137,$D1137,$E$2:$E1137)</f>
        <v>9521</v>
      </c>
      <c r="H1137">
        <f t="shared" si="35"/>
        <v>0</v>
      </c>
    </row>
    <row r="1138" spans="1:8" x14ac:dyDescent="0.25">
      <c r="A1138" s="1">
        <v>44729</v>
      </c>
      <c r="B1138" t="s">
        <v>12</v>
      </c>
      <c r="C1138" t="s">
        <v>68</v>
      </c>
      <c r="D1138" t="s">
        <v>49</v>
      </c>
      <c r="E1138">
        <v>93</v>
      </c>
      <c r="F1138">
        <f t="shared" si="34"/>
        <v>251.10000000000002</v>
      </c>
      <c r="G1138">
        <f>SUMIF($D$2:$D1138,$D1138,$E$2:$E1138)</f>
        <v>8759</v>
      </c>
      <c r="H1138">
        <f t="shared" si="35"/>
        <v>0</v>
      </c>
    </row>
    <row r="1139" spans="1:8" x14ac:dyDescent="0.25">
      <c r="A1139" s="1">
        <v>44729</v>
      </c>
      <c r="B1139" t="s">
        <v>12</v>
      </c>
      <c r="C1139" t="s">
        <v>68</v>
      </c>
      <c r="D1139" t="s">
        <v>43</v>
      </c>
      <c r="E1139">
        <v>282</v>
      </c>
      <c r="F1139">
        <f t="shared" si="34"/>
        <v>761.40000000000009</v>
      </c>
      <c r="G1139">
        <f>SUMIF($D$2:$D1139,$D1139,$E$2:$E1139)</f>
        <v>7109</v>
      </c>
      <c r="H1139">
        <f t="shared" si="35"/>
        <v>0</v>
      </c>
    </row>
    <row r="1140" spans="1:8" x14ac:dyDescent="0.25">
      <c r="A1140" s="1">
        <v>44729</v>
      </c>
      <c r="B1140" t="s">
        <v>13</v>
      </c>
      <c r="C1140" t="s">
        <v>68</v>
      </c>
      <c r="D1140" t="s">
        <v>20</v>
      </c>
      <c r="E1140">
        <v>137</v>
      </c>
      <c r="F1140">
        <f t="shared" si="34"/>
        <v>438.40000000000003</v>
      </c>
      <c r="G1140">
        <f>SUMIF($D$2:$D1140,$D1140,$E$2:$E1140)</f>
        <v>6366</v>
      </c>
      <c r="H1140">
        <f t="shared" si="35"/>
        <v>0</v>
      </c>
    </row>
    <row r="1141" spans="1:8" x14ac:dyDescent="0.25">
      <c r="A1141" s="1">
        <v>44729</v>
      </c>
      <c r="B1141" t="s">
        <v>14</v>
      </c>
      <c r="C1141" t="s">
        <v>65</v>
      </c>
      <c r="D1141" t="s">
        <v>37</v>
      </c>
      <c r="E1141">
        <v>491</v>
      </c>
      <c r="F1141">
        <f t="shared" si="34"/>
        <v>1718.5</v>
      </c>
      <c r="G1141">
        <f>SUMIF($D$2:$D1141,$D1141,$E$2:$E1141)</f>
        <v>7827</v>
      </c>
      <c r="H1141">
        <f t="shared" si="35"/>
        <v>0</v>
      </c>
    </row>
    <row r="1142" spans="1:8" x14ac:dyDescent="0.25">
      <c r="A1142" s="1">
        <v>44729</v>
      </c>
      <c r="B1142" t="s">
        <v>14</v>
      </c>
      <c r="C1142" t="s">
        <v>65</v>
      </c>
      <c r="D1142" t="s">
        <v>45</v>
      </c>
      <c r="E1142">
        <v>32</v>
      </c>
      <c r="F1142">
        <f t="shared" si="34"/>
        <v>112</v>
      </c>
      <c r="G1142">
        <f>SUMIF($D$2:$D1142,$D1142,$E$2:$E1142)</f>
        <v>6712</v>
      </c>
      <c r="H1142">
        <f t="shared" si="35"/>
        <v>0</v>
      </c>
    </row>
    <row r="1143" spans="1:8" x14ac:dyDescent="0.25">
      <c r="A1143" s="1">
        <v>44730</v>
      </c>
      <c r="B1143" t="s">
        <v>13</v>
      </c>
      <c r="C1143" t="s">
        <v>68</v>
      </c>
      <c r="D1143" t="s">
        <v>37</v>
      </c>
      <c r="E1143">
        <v>315</v>
      </c>
      <c r="F1143">
        <f t="shared" si="34"/>
        <v>1008</v>
      </c>
      <c r="G1143">
        <f>SUMIF($D$2:$D1143,$D1143,$E$2:$E1143)</f>
        <v>8142</v>
      </c>
      <c r="H1143">
        <f t="shared" si="35"/>
        <v>0</v>
      </c>
    </row>
    <row r="1144" spans="1:8" x14ac:dyDescent="0.25">
      <c r="A1144" s="1">
        <v>44730</v>
      </c>
      <c r="B1144" t="s">
        <v>12</v>
      </c>
      <c r="C1144" t="s">
        <v>68</v>
      </c>
      <c r="D1144" t="s">
        <v>66</v>
      </c>
      <c r="E1144">
        <v>43</v>
      </c>
      <c r="F1144">
        <f t="shared" si="34"/>
        <v>116.10000000000001</v>
      </c>
      <c r="G1144">
        <f>SUMIF($D$2:$D1144,$D1144,$E$2:$E1144)</f>
        <v>6878</v>
      </c>
      <c r="H1144">
        <f t="shared" si="35"/>
        <v>0</v>
      </c>
    </row>
    <row r="1145" spans="1:8" x14ac:dyDescent="0.25">
      <c r="A1145" s="1">
        <v>44730</v>
      </c>
      <c r="B1145" t="s">
        <v>13</v>
      </c>
      <c r="C1145" t="s">
        <v>68</v>
      </c>
      <c r="D1145" t="s">
        <v>60</v>
      </c>
      <c r="E1145">
        <v>256</v>
      </c>
      <c r="F1145">
        <f t="shared" si="34"/>
        <v>819.2</v>
      </c>
      <c r="G1145">
        <f>SUMIF($D$2:$D1145,$D1145,$E$2:$E1145)</f>
        <v>9862</v>
      </c>
      <c r="H1145">
        <f t="shared" si="35"/>
        <v>0</v>
      </c>
    </row>
    <row r="1146" spans="1:8" x14ac:dyDescent="0.25">
      <c r="A1146" s="1">
        <v>44730</v>
      </c>
      <c r="B1146" t="s">
        <v>13</v>
      </c>
      <c r="C1146" t="s">
        <v>68</v>
      </c>
      <c r="D1146" t="s">
        <v>41</v>
      </c>
      <c r="E1146">
        <v>38</v>
      </c>
      <c r="F1146">
        <f t="shared" si="34"/>
        <v>121.60000000000001</v>
      </c>
      <c r="G1146">
        <f>SUMIF($D$2:$D1146,$D1146,$E$2:$E1146)</f>
        <v>6328</v>
      </c>
      <c r="H1146">
        <f t="shared" si="35"/>
        <v>0</v>
      </c>
    </row>
    <row r="1147" spans="1:8" x14ac:dyDescent="0.25">
      <c r="A1147" s="1">
        <v>44730</v>
      </c>
      <c r="B1147" t="s">
        <v>12</v>
      </c>
      <c r="C1147" t="s">
        <v>68</v>
      </c>
      <c r="D1147" t="s">
        <v>51</v>
      </c>
      <c r="E1147">
        <v>492</v>
      </c>
      <c r="F1147">
        <f t="shared" si="34"/>
        <v>1328.4</v>
      </c>
      <c r="G1147">
        <f>SUMIF($D$2:$D1147,$D1147,$E$2:$E1147)</f>
        <v>10717</v>
      </c>
      <c r="H1147">
        <f t="shared" si="35"/>
        <v>0</v>
      </c>
    </row>
    <row r="1148" spans="1:8" x14ac:dyDescent="0.25">
      <c r="A1148" s="1">
        <v>44730</v>
      </c>
      <c r="B1148" t="s">
        <v>14</v>
      </c>
      <c r="C1148" t="s">
        <v>65</v>
      </c>
      <c r="D1148" t="s">
        <v>66</v>
      </c>
      <c r="E1148">
        <v>206</v>
      </c>
      <c r="F1148">
        <f t="shared" si="34"/>
        <v>721</v>
      </c>
      <c r="G1148">
        <f>SUMIF($D$2:$D1148,$D1148,$E$2:$E1148)</f>
        <v>7084</v>
      </c>
      <c r="H1148">
        <f t="shared" si="35"/>
        <v>0</v>
      </c>
    </row>
    <row r="1149" spans="1:8" x14ac:dyDescent="0.25">
      <c r="A1149" s="1">
        <v>44730</v>
      </c>
      <c r="B1149" t="s">
        <v>14</v>
      </c>
      <c r="C1149" t="s">
        <v>65</v>
      </c>
      <c r="D1149" t="s">
        <v>41</v>
      </c>
      <c r="E1149">
        <v>252</v>
      </c>
      <c r="F1149">
        <f t="shared" si="34"/>
        <v>882</v>
      </c>
      <c r="G1149">
        <f>SUMIF($D$2:$D1149,$D1149,$E$2:$E1149)</f>
        <v>6580</v>
      </c>
      <c r="H1149">
        <f t="shared" si="35"/>
        <v>0</v>
      </c>
    </row>
    <row r="1150" spans="1:8" x14ac:dyDescent="0.25">
      <c r="A1150" s="1">
        <v>44730</v>
      </c>
      <c r="B1150" t="s">
        <v>14</v>
      </c>
      <c r="C1150" t="s">
        <v>65</v>
      </c>
      <c r="D1150" t="s">
        <v>41</v>
      </c>
      <c r="E1150">
        <v>397</v>
      </c>
      <c r="F1150">
        <f t="shared" si="34"/>
        <v>1389.5</v>
      </c>
      <c r="G1150">
        <f>SUMIF($D$2:$D1150,$D1150,$E$2:$E1150)</f>
        <v>6977</v>
      </c>
      <c r="H1150">
        <f t="shared" si="35"/>
        <v>0</v>
      </c>
    </row>
    <row r="1151" spans="1:8" x14ac:dyDescent="0.25">
      <c r="A1151" s="1">
        <v>44730</v>
      </c>
      <c r="B1151" t="s">
        <v>12</v>
      </c>
      <c r="C1151" t="s">
        <v>68</v>
      </c>
      <c r="D1151" t="s">
        <v>41</v>
      </c>
      <c r="E1151">
        <v>295</v>
      </c>
      <c r="F1151">
        <f t="shared" si="34"/>
        <v>796.5</v>
      </c>
      <c r="G1151">
        <f>SUMIF($D$2:$D1151,$D1151,$E$2:$E1151)</f>
        <v>7272</v>
      </c>
      <c r="H1151">
        <f t="shared" si="35"/>
        <v>0</v>
      </c>
    </row>
    <row r="1152" spans="1:8" x14ac:dyDescent="0.25">
      <c r="A1152" s="1">
        <v>44732</v>
      </c>
      <c r="B1152" t="s">
        <v>12</v>
      </c>
      <c r="C1152" t="s">
        <v>68</v>
      </c>
      <c r="D1152" t="s">
        <v>41</v>
      </c>
      <c r="E1152">
        <v>12</v>
      </c>
      <c r="F1152">
        <f t="shared" si="34"/>
        <v>32.400000000000006</v>
      </c>
      <c r="G1152">
        <f>SUMIF($D$2:$D1152,$D1152,$E$2:$E1152)</f>
        <v>7284</v>
      </c>
      <c r="H1152">
        <f t="shared" si="35"/>
        <v>0</v>
      </c>
    </row>
    <row r="1153" spans="1:8" x14ac:dyDescent="0.25">
      <c r="A1153" s="1">
        <v>44732</v>
      </c>
      <c r="B1153" t="s">
        <v>12</v>
      </c>
      <c r="C1153" t="s">
        <v>68</v>
      </c>
      <c r="D1153" t="s">
        <v>50</v>
      </c>
      <c r="E1153">
        <v>14</v>
      </c>
      <c r="F1153">
        <f t="shared" si="34"/>
        <v>37.800000000000004</v>
      </c>
      <c r="G1153">
        <f>SUMIF($D$2:$D1153,$D1153,$E$2:$E1153)</f>
        <v>4801</v>
      </c>
      <c r="H1153">
        <f t="shared" si="35"/>
        <v>0</v>
      </c>
    </row>
    <row r="1154" spans="1:8" x14ac:dyDescent="0.25">
      <c r="A1154" s="1">
        <v>44732</v>
      </c>
      <c r="B1154" t="s">
        <v>13</v>
      </c>
      <c r="C1154" t="s">
        <v>68</v>
      </c>
      <c r="D1154" t="s">
        <v>32</v>
      </c>
      <c r="E1154">
        <v>177</v>
      </c>
      <c r="F1154">
        <f t="shared" si="34"/>
        <v>566.4</v>
      </c>
      <c r="G1154">
        <f>SUMIF($D$2:$D1154,$D1154,$E$2:$E1154)</f>
        <v>9499</v>
      </c>
      <c r="H1154">
        <f t="shared" si="35"/>
        <v>0</v>
      </c>
    </row>
    <row r="1155" spans="1:8" x14ac:dyDescent="0.25">
      <c r="A1155" s="1">
        <v>44732</v>
      </c>
      <c r="B1155" t="s">
        <v>13</v>
      </c>
      <c r="C1155" t="s">
        <v>68</v>
      </c>
      <c r="D1155" t="s">
        <v>33</v>
      </c>
      <c r="E1155">
        <v>103</v>
      </c>
      <c r="F1155">
        <f t="shared" ref="F1155:F1218" si="36">E1155* _xlfn.XLOOKUP(B1155,$I$2:$I$17,$J$2:$J$17,"0",0,1)</f>
        <v>329.6</v>
      </c>
      <c r="G1155">
        <f>SUMIF($D$2:$D1155,$D1155,$E$2:$E1155)</f>
        <v>9595</v>
      </c>
      <c r="H1155">
        <f t="shared" ref="H1155:H1218" si="37">IF(AND($G1155 &gt; 15000,$G1155 &lt; 20000),5*$E1155,IF($G1155 &gt;= 20000,10*$E1155,0))</f>
        <v>0</v>
      </c>
    </row>
    <row r="1156" spans="1:8" x14ac:dyDescent="0.25">
      <c r="A1156" s="1">
        <v>44733</v>
      </c>
      <c r="B1156" t="s">
        <v>14</v>
      </c>
      <c r="C1156" t="s">
        <v>65</v>
      </c>
      <c r="D1156" t="s">
        <v>57</v>
      </c>
      <c r="E1156">
        <v>440</v>
      </c>
      <c r="F1156">
        <f t="shared" si="36"/>
        <v>1540</v>
      </c>
      <c r="G1156">
        <f>SUMIF($D$2:$D1156,$D1156,$E$2:$E1156)</f>
        <v>9628</v>
      </c>
      <c r="H1156">
        <f t="shared" si="37"/>
        <v>0</v>
      </c>
    </row>
    <row r="1157" spans="1:8" x14ac:dyDescent="0.25">
      <c r="A1157" s="1">
        <v>44733</v>
      </c>
      <c r="B1157" t="s">
        <v>14</v>
      </c>
      <c r="C1157" t="s">
        <v>65</v>
      </c>
      <c r="D1157" t="s">
        <v>51</v>
      </c>
      <c r="E1157">
        <v>287</v>
      </c>
      <c r="F1157">
        <f t="shared" si="36"/>
        <v>1004.5</v>
      </c>
      <c r="G1157">
        <f>SUMIF($D$2:$D1157,$D1157,$E$2:$E1157)</f>
        <v>11004</v>
      </c>
      <c r="H1157">
        <f t="shared" si="37"/>
        <v>0</v>
      </c>
    </row>
    <row r="1158" spans="1:8" x14ac:dyDescent="0.25">
      <c r="A1158" s="1">
        <v>44733</v>
      </c>
      <c r="B1158" t="s">
        <v>13</v>
      </c>
      <c r="C1158" t="s">
        <v>68</v>
      </c>
      <c r="D1158" t="s">
        <v>46</v>
      </c>
      <c r="E1158">
        <v>55</v>
      </c>
      <c r="F1158">
        <f t="shared" si="36"/>
        <v>176</v>
      </c>
      <c r="G1158">
        <f>SUMIF($D$2:$D1158,$D1158,$E$2:$E1158)</f>
        <v>7917</v>
      </c>
      <c r="H1158">
        <f t="shared" si="37"/>
        <v>0</v>
      </c>
    </row>
    <row r="1159" spans="1:8" x14ac:dyDescent="0.25">
      <c r="A1159" s="1">
        <v>44733</v>
      </c>
      <c r="B1159" t="s">
        <v>13</v>
      </c>
      <c r="C1159" t="s">
        <v>68</v>
      </c>
      <c r="D1159" t="s">
        <v>55</v>
      </c>
      <c r="E1159">
        <v>83</v>
      </c>
      <c r="F1159">
        <f t="shared" si="36"/>
        <v>265.60000000000002</v>
      </c>
      <c r="G1159">
        <f>SUMIF($D$2:$D1159,$D1159,$E$2:$E1159)</f>
        <v>8039</v>
      </c>
      <c r="H1159">
        <f t="shared" si="37"/>
        <v>0</v>
      </c>
    </row>
    <row r="1160" spans="1:8" x14ac:dyDescent="0.25">
      <c r="A1160" s="1">
        <v>44733</v>
      </c>
      <c r="B1160" t="s">
        <v>13</v>
      </c>
      <c r="C1160" t="s">
        <v>68</v>
      </c>
      <c r="D1160" t="s">
        <v>20</v>
      </c>
      <c r="E1160">
        <v>75</v>
      </c>
      <c r="F1160">
        <f t="shared" si="36"/>
        <v>240</v>
      </c>
      <c r="G1160">
        <f>SUMIF($D$2:$D1160,$D1160,$E$2:$E1160)</f>
        <v>6441</v>
      </c>
      <c r="H1160">
        <f t="shared" si="37"/>
        <v>0</v>
      </c>
    </row>
    <row r="1161" spans="1:8" x14ac:dyDescent="0.25">
      <c r="A1161" s="1">
        <v>44733</v>
      </c>
      <c r="B1161" t="s">
        <v>13</v>
      </c>
      <c r="C1161" t="s">
        <v>68</v>
      </c>
      <c r="D1161" t="s">
        <v>62</v>
      </c>
      <c r="E1161">
        <v>358</v>
      </c>
      <c r="F1161">
        <f t="shared" si="36"/>
        <v>1145.6000000000001</v>
      </c>
      <c r="G1161">
        <f>SUMIF($D$2:$D1161,$D1161,$E$2:$E1161)</f>
        <v>7164</v>
      </c>
      <c r="H1161">
        <f t="shared" si="37"/>
        <v>0</v>
      </c>
    </row>
    <row r="1162" spans="1:8" x14ac:dyDescent="0.25">
      <c r="A1162" s="1">
        <v>44734</v>
      </c>
      <c r="B1162" t="s">
        <v>12</v>
      </c>
      <c r="C1162" t="s">
        <v>68</v>
      </c>
      <c r="D1162" t="s">
        <v>21</v>
      </c>
      <c r="E1162">
        <v>288</v>
      </c>
      <c r="F1162">
        <f t="shared" si="36"/>
        <v>777.6</v>
      </c>
      <c r="G1162">
        <f>SUMIF($D$2:$D1162,$D1162,$E$2:$E1162)</f>
        <v>5670</v>
      </c>
      <c r="H1162">
        <f t="shared" si="37"/>
        <v>0</v>
      </c>
    </row>
    <row r="1163" spans="1:8" x14ac:dyDescent="0.25">
      <c r="A1163" s="1">
        <v>44734</v>
      </c>
      <c r="B1163" t="s">
        <v>13</v>
      </c>
      <c r="C1163" t="s">
        <v>68</v>
      </c>
      <c r="D1163" t="s">
        <v>19</v>
      </c>
      <c r="E1163">
        <v>266</v>
      </c>
      <c r="F1163">
        <f t="shared" si="36"/>
        <v>851.2</v>
      </c>
      <c r="G1163">
        <f>SUMIF($D$2:$D1163,$D1163,$E$2:$E1163)</f>
        <v>3810</v>
      </c>
      <c r="H1163">
        <f t="shared" si="37"/>
        <v>0</v>
      </c>
    </row>
    <row r="1164" spans="1:8" x14ac:dyDescent="0.25">
      <c r="A1164" s="1">
        <v>44734</v>
      </c>
      <c r="B1164" t="s">
        <v>14</v>
      </c>
      <c r="C1164" t="s">
        <v>65</v>
      </c>
      <c r="D1164" t="s">
        <v>33</v>
      </c>
      <c r="E1164">
        <v>480</v>
      </c>
      <c r="F1164">
        <f t="shared" si="36"/>
        <v>1680</v>
      </c>
      <c r="G1164">
        <f>SUMIF($D$2:$D1164,$D1164,$E$2:$E1164)</f>
        <v>10075</v>
      </c>
      <c r="H1164">
        <f t="shared" si="37"/>
        <v>0</v>
      </c>
    </row>
    <row r="1165" spans="1:8" x14ac:dyDescent="0.25">
      <c r="A1165" s="1">
        <v>44734</v>
      </c>
      <c r="B1165" t="s">
        <v>14</v>
      </c>
      <c r="C1165" t="s">
        <v>65</v>
      </c>
      <c r="D1165" t="s">
        <v>54</v>
      </c>
      <c r="E1165">
        <v>174</v>
      </c>
      <c r="F1165">
        <f t="shared" si="36"/>
        <v>609</v>
      </c>
      <c r="G1165">
        <f>SUMIF($D$2:$D1165,$D1165,$E$2:$E1165)</f>
        <v>7854</v>
      </c>
      <c r="H1165">
        <f t="shared" si="37"/>
        <v>0</v>
      </c>
    </row>
    <row r="1166" spans="1:8" x14ac:dyDescent="0.25">
      <c r="A1166" s="1">
        <v>44734</v>
      </c>
      <c r="B1166" t="s">
        <v>14</v>
      </c>
      <c r="C1166" t="s">
        <v>65</v>
      </c>
      <c r="D1166" t="s">
        <v>56</v>
      </c>
      <c r="E1166">
        <v>247</v>
      </c>
      <c r="F1166">
        <f t="shared" si="36"/>
        <v>864.5</v>
      </c>
      <c r="G1166">
        <f>SUMIF($D$2:$D1166,$D1166,$E$2:$E1166)</f>
        <v>8283</v>
      </c>
      <c r="H1166">
        <f t="shared" si="37"/>
        <v>0</v>
      </c>
    </row>
    <row r="1167" spans="1:8" x14ac:dyDescent="0.25">
      <c r="A1167" s="1">
        <v>44735</v>
      </c>
      <c r="B1167" t="s">
        <v>13</v>
      </c>
      <c r="C1167" t="s">
        <v>68</v>
      </c>
      <c r="D1167" t="s">
        <v>29</v>
      </c>
      <c r="E1167">
        <v>461</v>
      </c>
      <c r="F1167">
        <f t="shared" si="36"/>
        <v>1475.2</v>
      </c>
      <c r="G1167">
        <f>SUMIF($D$2:$D1167,$D1167,$E$2:$E1167)</f>
        <v>11658</v>
      </c>
      <c r="H1167">
        <f t="shared" si="37"/>
        <v>0</v>
      </c>
    </row>
    <row r="1168" spans="1:8" x14ac:dyDescent="0.25">
      <c r="A1168" s="1">
        <v>44735</v>
      </c>
      <c r="B1168" t="s">
        <v>12</v>
      </c>
      <c r="C1168" t="s">
        <v>68</v>
      </c>
      <c r="D1168" t="s">
        <v>56</v>
      </c>
      <c r="E1168">
        <v>230</v>
      </c>
      <c r="F1168">
        <f t="shared" si="36"/>
        <v>621</v>
      </c>
      <c r="G1168">
        <f>SUMIF($D$2:$D1168,$D1168,$E$2:$E1168)</f>
        <v>8513</v>
      </c>
      <c r="H1168">
        <f t="shared" si="37"/>
        <v>0</v>
      </c>
    </row>
    <row r="1169" spans="1:8" x14ac:dyDescent="0.25">
      <c r="A1169" s="1">
        <v>44735</v>
      </c>
      <c r="B1169" t="s">
        <v>14</v>
      </c>
      <c r="C1169" t="s">
        <v>65</v>
      </c>
      <c r="D1169" t="s">
        <v>63</v>
      </c>
      <c r="E1169">
        <v>339</v>
      </c>
      <c r="F1169">
        <f t="shared" si="36"/>
        <v>1186.5</v>
      </c>
      <c r="G1169">
        <f>SUMIF($D$2:$D1169,$D1169,$E$2:$E1169)</f>
        <v>7722</v>
      </c>
      <c r="H1169">
        <f t="shared" si="37"/>
        <v>0</v>
      </c>
    </row>
    <row r="1170" spans="1:8" x14ac:dyDescent="0.25">
      <c r="A1170" s="1">
        <v>44735</v>
      </c>
      <c r="B1170" t="s">
        <v>13</v>
      </c>
      <c r="C1170" t="s">
        <v>68</v>
      </c>
      <c r="D1170" t="s">
        <v>32</v>
      </c>
      <c r="E1170">
        <v>435</v>
      </c>
      <c r="F1170">
        <f t="shared" si="36"/>
        <v>1392</v>
      </c>
      <c r="G1170">
        <f>SUMIF($D$2:$D1170,$D1170,$E$2:$E1170)</f>
        <v>9934</v>
      </c>
      <c r="H1170">
        <f t="shared" si="37"/>
        <v>0</v>
      </c>
    </row>
    <row r="1171" spans="1:8" x14ac:dyDescent="0.25">
      <c r="A1171" s="1">
        <v>44735</v>
      </c>
      <c r="B1171" t="s">
        <v>14</v>
      </c>
      <c r="C1171" t="s">
        <v>65</v>
      </c>
      <c r="D1171" t="s">
        <v>59</v>
      </c>
      <c r="E1171">
        <v>352</v>
      </c>
      <c r="F1171">
        <f t="shared" si="36"/>
        <v>1232</v>
      </c>
      <c r="G1171">
        <f>SUMIF($D$2:$D1171,$D1171,$E$2:$E1171)</f>
        <v>5721</v>
      </c>
      <c r="H1171">
        <f t="shared" si="37"/>
        <v>0</v>
      </c>
    </row>
    <row r="1172" spans="1:8" x14ac:dyDescent="0.25">
      <c r="A1172" s="1">
        <v>44735</v>
      </c>
      <c r="B1172" t="s">
        <v>12</v>
      </c>
      <c r="C1172" t="s">
        <v>68</v>
      </c>
      <c r="D1172" t="s">
        <v>25</v>
      </c>
      <c r="E1172">
        <v>345</v>
      </c>
      <c r="F1172">
        <f t="shared" si="36"/>
        <v>931.50000000000011</v>
      </c>
      <c r="G1172">
        <f>SUMIF($D$2:$D1172,$D1172,$E$2:$E1172)</f>
        <v>7771</v>
      </c>
      <c r="H1172">
        <f t="shared" si="37"/>
        <v>0</v>
      </c>
    </row>
    <row r="1173" spans="1:8" x14ac:dyDescent="0.25">
      <c r="A1173" s="1">
        <v>44735</v>
      </c>
      <c r="B1173" t="s">
        <v>12</v>
      </c>
      <c r="C1173" t="s">
        <v>68</v>
      </c>
      <c r="D1173" t="s">
        <v>33</v>
      </c>
      <c r="E1173">
        <v>124</v>
      </c>
      <c r="F1173">
        <f t="shared" si="36"/>
        <v>334.8</v>
      </c>
      <c r="G1173">
        <f>SUMIF($D$2:$D1173,$D1173,$E$2:$E1173)</f>
        <v>10199</v>
      </c>
      <c r="H1173">
        <f t="shared" si="37"/>
        <v>0</v>
      </c>
    </row>
    <row r="1174" spans="1:8" x14ac:dyDescent="0.25">
      <c r="A1174" s="1">
        <v>44735</v>
      </c>
      <c r="B1174" t="s">
        <v>14</v>
      </c>
      <c r="C1174" t="s">
        <v>65</v>
      </c>
      <c r="D1174" t="s">
        <v>41</v>
      </c>
      <c r="E1174">
        <v>189</v>
      </c>
      <c r="F1174">
        <f t="shared" si="36"/>
        <v>661.5</v>
      </c>
      <c r="G1174">
        <f>SUMIF($D$2:$D1174,$D1174,$E$2:$E1174)</f>
        <v>7473</v>
      </c>
      <c r="H1174">
        <f t="shared" si="37"/>
        <v>0</v>
      </c>
    </row>
    <row r="1175" spans="1:8" x14ac:dyDescent="0.25">
      <c r="A1175" s="1">
        <v>44735</v>
      </c>
      <c r="B1175" t="s">
        <v>13</v>
      </c>
      <c r="C1175" t="s">
        <v>68</v>
      </c>
      <c r="D1175" t="s">
        <v>28</v>
      </c>
      <c r="E1175">
        <v>115</v>
      </c>
      <c r="F1175">
        <f t="shared" si="36"/>
        <v>368</v>
      </c>
      <c r="G1175">
        <f>SUMIF($D$2:$D1175,$D1175,$E$2:$E1175)</f>
        <v>7239</v>
      </c>
      <c r="H1175">
        <f t="shared" si="37"/>
        <v>0</v>
      </c>
    </row>
    <row r="1176" spans="1:8" x14ac:dyDescent="0.25">
      <c r="A1176" s="1">
        <v>44736</v>
      </c>
      <c r="B1176" t="s">
        <v>14</v>
      </c>
      <c r="C1176" t="s">
        <v>65</v>
      </c>
      <c r="D1176" t="s">
        <v>34</v>
      </c>
      <c r="E1176">
        <v>485</v>
      </c>
      <c r="F1176">
        <f t="shared" si="36"/>
        <v>1697.5</v>
      </c>
      <c r="G1176">
        <f>SUMIF($D$2:$D1176,$D1176,$E$2:$E1176)</f>
        <v>8210</v>
      </c>
      <c r="H1176">
        <f t="shared" si="37"/>
        <v>0</v>
      </c>
    </row>
    <row r="1177" spans="1:8" x14ac:dyDescent="0.25">
      <c r="A1177" s="1">
        <v>44736</v>
      </c>
      <c r="B1177" t="s">
        <v>14</v>
      </c>
      <c r="C1177" t="s">
        <v>65</v>
      </c>
      <c r="D1177" t="s">
        <v>29</v>
      </c>
      <c r="E1177">
        <v>330</v>
      </c>
      <c r="F1177">
        <f t="shared" si="36"/>
        <v>1155</v>
      </c>
      <c r="G1177">
        <f>SUMIF($D$2:$D1177,$D1177,$E$2:$E1177)</f>
        <v>11988</v>
      </c>
      <c r="H1177">
        <f t="shared" si="37"/>
        <v>0</v>
      </c>
    </row>
    <row r="1178" spans="1:8" x14ac:dyDescent="0.25">
      <c r="A1178" s="1">
        <v>44736</v>
      </c>
      <c r="B1178" t="s">
        <v>13</v>
      </c>
      <c r="C1178" t="s">
        <v>68</v>
      </c>
      <c r="D1178" t="s">
        <v>58</v>
      </c>
      <c r="E1178">
        <v>53</v>
      </c>
      <c r="F1178">
        <f t="shared" si="36"/>
        <v>169.60000000000002</v>
      </c>
      <c r="G1178">
        <f>SUMIF($D$2:$D1178,$D1178,$E$2:$E1178)</f>
        <v>7562</v>
      </c>
      <c r="H1178">
        <f t="shared" si="37"/>
        <v>0</v>
      </c>
    </row>
    <row r="1179" spans="1:8" x14ac:dyDescent="0.25">
      <c r="A1179" s="1">
        <v>44736</v>
      </c>
      <c r="B1179" t="s">
        <v>12</v>
      </c>
      <c r="C1179" t="s">
        <v>68</v>
      </c>
      <c r="D1179" t="s">
        <v>38</v>
      </c>
      <c r="E1179">
        <v>264</v>
      </c>
      <c r="F1179">
        <f t="shared" si="36"/>
        <v>712.80000000000007</v>
      </c>
      <c r="G1179">
        <f>SUMIF($D$2:$D1179,$D1179,$E$2:$E1179)</f>
        <v>9699</v>
      </c>
      <c r="H1179">
        <f t="shared" si="37"/>
        <v>0</v>
      </c>
    </row>
    <row r="1180" spans="1:8" x14ac:dyDescent="0.25">
      <c r="A1180" s="1">
        <v>44736</v>
      </c>
      <c r="B1180" t="s">
        <v>14</v>
      </c>
      <c r="C1180" t="s">
        <v>65</v>
      </c>
      <c r="D1180" t="s">
        <v>51</v>
      </c>
      <c r="E1180">
        <v>166</v>
      </c>
      <c r="F1180">
        <f t="shared" si="36"/>
        <v>581</v>
      </c>
      <c r="G1180">
        <f>SUMIF($D$2:$D1180,$D1180,$E$2:$E1180)</f>
        <v>11170</v>
      </c>
      <c r="H1180">
        <f t="shared" si="37"/>
        <v>0</v>
      </c>
    </row>
    <row r="1181" spans="1:8" x14ac:dyDescent="0.25">
      <c r="A1181" s="1">
        <v>44736</v>
      </c>
      <c r="B1181" t="s">
        <v>12</v>
      </c>
      <c r="C1181" t="s">
        <v>68</v>
      </c>
      <c r="D1181" t="s">
        <v>54</v>
      </c>
      <c r="E1181">
        <v>277</v>
      </c>
      <c r="F1181">
        <f t="shared" si="36"/>
        <v>747.90000000000009</v>
      </c>
      <c r="G1181">
        <f>SUMIF($D$2:$D1181,$D1181,$E$2:$E1181)</f>
        <v>8131</v>
      </c>
      <c r="H1181">
        <f t="shared" si="37"/>
        <v>0</v>
      </c>
    </row>
    <row r="1182" spans="1:8" x14ac:dyDescent="0.25">
      <c r="A1182" s="1">
        <v>44736</v>
      </c>
      <c r="B1182" t="s">
        <v>14</v>
      </c>
      <c r="C1182" t="s">
        <v>65</v>
      </c>
      <c r="D1182" t="s">
        <v>19</v>
      </c>
      <c r="E1182">
        <v>249</v>
      </c>
      <c r="F1182">
        <f t="shared" si="36"/>
        <v>871.5</v>
      </c>
      <c r="G1182">
        <f>SUMIF($D$2:$D1182,$D1182,$E$2:$E1182)</f>
        <v>4059</v>
      </c>
      <c r="H1182">
        <f t="shared" si="37"/>
        <v>0</v>
      </c>
    </row>
    <row r="1183" spans="1:8" x14ac:dyDescent="0.25">
      <c r="A1183" s="1">
        <v>44736</v>
      </c>
      <c r="B1183" t="s">
        <v>14</v>
      </c>
      <c r="C1183" t="s">
        <v>65</v>
      </c>
      <c r="D1183" t="s">
        <v>39</v>
      </c>
      <c r="E1183">
        <v>109</v>
      </c>
      <c r="F1183">
        <f t="shared" si="36"/>
        <v>381.5</v>
      </c>
      <c r="G1183">
        <f>SUMIF($D$2:$D1183,$D1183,$E$2:$E1183)</f>
        <v>6148</v>
      </c>
      <c r="H1183">
        <f t="shared" si="37"/>
        <v>0</v>
      </c>
    </row>
    <row r="1184" spans="1:8" x14ac:dyDescent="0.25">
      <c r="A1184" s="1">
        <v>44736</v>
      </c>
      <c r="B1184" t="s">
        <v>14</v>
      </c>
      <c r="C1184" t="s">
        <v>65</v>
      </c>
      <c r="D1184" t="s">
        <v>21</v>
      </c>
      <c r="E1184">
        <v>337</v>
      </c>
      <c r="F1184">
        <f t="shared" si="36"/>
        <v>1179.5</v>
      </c>
      <c r="G1184">
        <f>SUMIF($D$2:$D1184,$D1184,$E$2:$E1184)</f>
        <v>6007</v>
      </c>
      <c r="H1184">
        <f t="shared" si="37"/>
        <v>0</v>
      </c>
    </row>
    <row r="1185" spans="1:8" x14ac:dyDescent="0.25">
      <c r="A1185" s="1">
        <v>44736</v>
      </c>
      <c r="B1185" t="s">
        <v>12</v>
      </c>
      <c r="C1185" t="s">
        <v>68</v>
      </c>
      <c r="D1185" t="s">
        <v>16</v>
      </c>
      <c r="E1185">
        <v>58</v>
      </c>
      <c r="F1185">
        <f t="shared" si="36"/>
        <v>156.60000000000002</v>
      </c>
      <c r="G1185">
        <f>SUMIF($D$2:$D1185,$D1185,$E$2:$E1185)</f>
        <v>8512</v>
      </c>
      <c r="H1185">
        <f t="shared" si="37"/>
        <v>0</v>
      </c>
    </row>
    <row r="1186" spans="1:8" x14ac:dyDescent="0.25">
      <c r="A1186" s="1">
        <v>44736</v>
      </c>
      <c r="B1186" t="s">
        <v>12</v>
      </c>
      <c r="C1186" t="s">
        <v>68</v>
      </c>
      <c r="D1186" t="s">
        <v>50</v>
      </c>
      <c r="E1186">
        <v>473</v>
      </c>
      <c r="F1186">
        <f t="shared" si="36"/>
        <v>1277.1000000000001</v>
      </c>
      <c r="G1186">
        <f>SUMIF($D$2:$D1186,$D1186,$E$2:$E1186)</f>
        <v>5274</v>
      </c>
      <c r="H1186">
        <f t="shared" si="37"/>
        <v>0</v>
      </c>
    </row>
    <row r="1187" spans="1:8" x14ac:dyDescent="0.25">
      <c r="A1187" s="1">
        <v>44736</v>
      </c>
      <c r="B1187" t="s">
        <v>12</v>
      </c>
      <c r="C1187" t="s">
        <v>68</v>
      </c>
      <c r="D1187" t="s">
        <v>21</v>
      </c>
      <c r="E1187">
        <v>269</v>
      </c>
      <c r="F1187">
        <f t="shared" si="36"/>
        <v>726.30000000000007</v>
      </c>
      <c r="G1187">
        <f>SUMIF($D$2:$D1187,$D1187,$E$2:$E1187)</f>
        <v>6276</v>
      </c>
      <c r="H1187">
        <f t="shared" si="37"/>
        <v>0</v>
      </c>
    </row>
    <row r="1188" spans="1:8" x14ac:dyDescent="0.25">
      <c r="A1188" s="1">
        <v>44736</v>
      </c>
      <c r="B1188" t="s">
        <v>13</v>
      </c>
      <c r="C1188" t="s">
        <v>68</v>
      </c>
      <c r="D1188" t="s">
        <v>51</v>
      </c>
      <c r="E1188">
        <v>52</v>
      </c>
      <c r="F1188">
        <f t="shared" si="36"/>
        <v>166.4</v>
      </c>
      <c r="G1188">
        <f>SUMIF($D$2:$D1188,$D1188,$E$2:$E1188)</f>
        <v>11222</v>
      </c>
      <c r="H1188">
        <f t="shared" si="37"/>
        <v>0</v>
      </c>
    </row>
    <row r="1189" spans="1:8" x14ac:dyDescent="0.25">
      <c r="A1189" s="1">
        <v>44736</v>
      </c>
      <c r="B1189" t="s">
        <v>13</v>
      </c>
      <c r="C1189" t="s">
        <v>68</v>
      </c>
      <c r="D1189" t="s">
        <v>44</v>
      </c>
      <c r="E1189">
        <v>384</v>
      </c>
      <c r="F1189">
        <f t="shared" si="36"/>
        <v>1228.8000000000002</v>
      </c>
      <c r="G1189">
        <f>SUMIF($D$2:$D1189,$D1189,$E$2:$E1189)</f>
        <v>9905</v>
      </c>
      <c r="H1189">
        <f t="shared" si="37"/>
        <v>0</v>
      </c>
    </row>
    <row r="1190" spans="1:8" x14ac:dyDescent="0.25">
      <c r="A1190" s="1">
        <v>44737</v>
      </c>
      <c r="B1190" t="s">
        <v>13</v>
      </c>
      <c r="C1190" t="s">
        <v>68</v>
      </c>
      <c r="D1190" t="s">
        <v>24</v>
      </c>
      <c r="E1190">
        <v>320</v>
      </c>
      <c r="F1190">
        <f t="shared" si="36"/>
        <v>1024</v>
      </c>
      <c r="G1190">
        <f>SUMIF($D$2:$D1190,$D1190,$E$2:$E1190)</f>
        <v>7465</v>
      </c>
      <c r="H1190">
        <f t="shared" si="37"/>
        <v>0</v>
      </c>
    </row>
    <row r="1191" spans="1:8" x14ac:dyDescent="0.25">
      <c r="A1191" s="1">
        <v>44737</v>
      </c>
      <c r="B1191" t="s">
        <v>14</v>
      </c>
      <c r="C1191" t="s">
        <v>65</v>
      </c>
      <c r="D1191" t="s">
        <v>40</v>
      </c>
      <c r="E1191">
        <v>269</v>
      </c>
      <c r="F1191">
        <f t="shared" si="36"/>
        <v>941.5</v>
      </c>
      <c r="G1191">
        <f>SUMIF($D$2:$D1191,$D1191,$E$2:$E1191)</f>
        <v>7010</v>
      </c>
      <c r="H1191">
        <f t="shared" si="37"/>
        <v>0</v>
      </c>
    </row>
    <row r="1192" spans="1:8" x14ac:dyDescent="0.25">
      <c r="A1192" s="1">
        <v>44737</v>
      </c>
      <c r="B1192" t="s">
        <v>14</v>
      </c>
      <c r="C1192" t="s">
        <v>65</v>
      </c>
      <c r="D1192" t="s">
        <v>50</v>
      </c>
      <c r="E1192">
        <v>387</v>
      </c>
      <c r="F1192">
        <f t="shared" si="36"/>
        <v>1354.5</v>
      </c>
      <c r="G1192">
        <f>SUMIF($D$2:$D1192,$D1192,$E$2:$E1192)</f>
        <v>5661</v>
      </c>
      <c r="H1192">
        <f t="shared" si="37"/>
        <v>0</v>
      </c>
    </row>
    <row r="1193" spans="1:8" x14ac:dyDescent="0.25">
      <c r="A1193" s="1">
        <v>44737</v>
      </c>
      <c r="B1193" t="s">
        <v>13</v>
      </c>
      <c r="C1193" t="s">
        <v>68</v>
      </c>
      <c r="D1193" t="s">
        <v>38</v>
      </c>
      <c r="E1193">
        <v>452</v>
      </c>
      <c r="F1193">
        <f t="shared" si="36"/>
        <v>1446.4</v>
      </c>
      <c r="G1193">
        <f>SUMIF($D$2:$D1193,$D1193,$E$2:$E1193)</f>
        <v>10151</v>
      </c>
      <c r="H1193">
        <f t="shared" si="37"/>
        <v>0</v>
      </c>
    </row>
    <row r="1194" spans="1:8" x14ac:dyDescent="0.25">
      <c r="A1194" s="1">
        <v>44737</v>
      </c>
      <c r="B1194" t="s">
        <v>12</v>
      </c>
      <c r="C1194" t="s">
        <v>68</v>
      </c>
      <c r="D1194" t="s">
        <v>42</v>
      </c>
      <c r="E1194">
        <v>61</v>
      </c>
      <c r="F1194">
        <f t="shared" si="36"/>
        <v>164.70000000000002</v>
      </c>
      <c r="G1194">
        <f>SUMIF($D$2:$D1194,$D1194,$E$2:$E1194)</f>
        <v>7249</v>
      </c>
      <c r="H1194">
        <f t="shared" si="37"/>
        <v>0</v>
      </c>
    </row>
    <row r="1195" spans="1:8" x14ac:dyDescent="0.25">
      <c r="A1195" s="1">
        <v>44737</v>
      </c>
      <c r="B1195" t="s">
        <v>14</v>
      </c>
      <c r="C1195" t="s">
        <v>65</v>
      </c>
      <c r="D1195" t="s">
        <v>60</v>
      </c>
      <c r="E1195">
        <v>52</v>
      </c>
      <c r="F1195">
        <f t="shared" si="36"/>
        <v>182</v>
      </c>
      <c r="G1195">
        <f>SUMIF($D$2:$D1195,$D1195,$E$2:$E1195)</f>
        <v>9914</v>
      </c>
      <c r="H1195">
        <f t="shared" si="37"/>
        <v>0</v>
      </c>
    </row>
    <row r="1196" spans="1:8" x14ac:dyDescent="0.25">
      <c r="A1196" s="1">
        <v>44737</v>
      </c>
      <c r="B1196" t="s">
        <v>13</v>
      </c>
      <c r="C1196" t="s">
        <v>68</v>
      </c>
      <c r="D1196" t="s">
        <v>53</v>
      </c>
      <c r="E1196">
        <v>182</v>
      </c>
      <c r="F1196">
        <f t="shared" si="36"/>
        <v>582.4</v>
      </c>
      <c r="G1196">
        <f>SUMIF($D$2:$D1196,$D1196,$E$2:$E1196)</f>
        <v>9583</v>
      </c>
      <c r="H1196">
        <f t="shared" si="37"/>
        <v>0</v>
      </c>
    </row>
    <row r="1197" spans="1:8" x14ac:dyDescent="0.25">
      <c r="A1197" s="1">
        <v>44737</v>
      </c>
      <c r="B1197" t="s">
        <v>13</v>
      </c>
      <c r="C1197" t="s">
        <v>68</v>
      </c>
      <c r="D1197" t="s">
        <v>26</v>
      </c>
      <c r="E1197">
        <v>50</v>
      </c>
      <c r="F1197">
        <f t="shared" si="36"/>
        <v>160</v>
      </c>
      <c r="G1197">
        <f>SUMIF($D$2:$D1197,$D1197,$E$2:$E1197)</f>
        <v>11605</v>
      </c>
      <c r="H1197">
        <f t="shared" si="37"/>
        <v>0</v>
      </c>
    </row>
    <row r="1198" spans="1:8" x14ac:dyDescent="0.25">
      <c r="A1198" s="1">
        <v>44739</v>
      </c>
      <c r="B1198" t="s">
        <v>12</v>
      </c>
      <c r="C1198" t="s">
        <v>68</v>
      </c>
      <c r="D1198" t="s">
        <v>62</v>
      </c>
      <c r="E1198">
        <v>200</v>
      </c>
      <c r="F1198">
        <f t="shared" si="36"/>
        <v>540</v>
      </c>
      <c r="G1198">
        <f>SUMIF($D$2:$D1198,$D1198,$E$2:$E1198)</f>
        <v>7364</v>
      </c>
      <c r="H1198">
        <f t="shared" si="37"/>
        <v>0</v>
      </c>
    </row>
    <row r="1199" spans="1:8" x14ac:dyDescent="0.25">
      <c r="A1199" s="1">
        <v>44739</v>
      </c>
      <c r="B1199" t="s">
        <v>13</v>
      </c>
      <c r="C1199" t="s">
        <v>68</v>
      </c>
      <c r="D1199" t="s">
        <v>63</v>
      </c>
      <c r="E1199">
        <v>132</v>
      </c>
      <c r="F1199">
        <f t="shared" si="36"/>
        <v>422.40000000000003</v>
      </c>
      <c r="G1199">
        <f>SUMIF($D$2:$D1199,$D1199,$E$2:$E1199)</f>
        <v>7854</v>
      </c>
      <c r="H1199">
        <f t="shared" si="37"/>
        <v>0</v>
      </c>
    </row>
    <row r="1200" spans="1:8" x14ac:dyDescent="0.25">
      <c r="A1200" s="1">
        <v>44739</v>
      </c>
      <c r="B1200" t="s">
        <v>14</v>
      </c>
      <c r="C1200" t="s">
        <v>65</v>
      </c>
      <c r="D1200" t="s">
        <v>26</v>
      </c>
      <c r="E1200">
        <v>44</v>
      </c>
      <c r="F1200">
        <f t="shared" si="36"/>
        <v>154</v>
      </c>
      <c r="G1200">
        <f>SUMIF($D$2:$D1200,$D1200,$E$2:$E1200)</f>
        <v>11649</v>
      </c>
      <c r="H1200">
        <f t="shared" si="37"/>
        <v>0</v>
      </c>
    </row>
    <row r="1201" spans="1:8" x14ac:dyDescent="0.25">
      <c r="A1201" s="1">
        <v>44739</v>
      </c>
      <c r="B1201" t="s">
        <v>12</v>
      </c>
      <c r="C1201" t="s">
        <v>68</v>
      </c>
      <c r="D1201" t="s">
        <v>41</v>
      </c>
      <c r="E1201">
        <v>65</v>
      </c>
      <c r="F1201">
        <f t="shared" si="36"/>
        <v>175.5</v>
      </c>
      <c r="G1201">
        <f>SUMIF($D$2:$D1201,$D1201,$E$2:$E1201)</f>
        <v>7538</v>
      </c>
      <c r="H1201">
        <f t="shared" si="37"/>
        <v>0</v>
      </c>
    </row>
    <row r="1202" spans="1:8" x14ac:dyDescent="0.25">
      <c r="A1202" s="1">
        <v>44739</v>
      </c>
      <c r="B1202" t="s">
        <v>12</v>
      </c>
      <c r="C1202" t="s">
        <v>68</v>
      </c>
      <c r="D1202" t="s">
        <v>20</v>
      </c>
      <c r="E1202">
        <v>183</v>
      </c>
      <c r="F1202">
        <f t="shared" si="36"/>
        <v>494.1</v>
      </c>
      <c r="G1202">
        <f>SUMIF($D$2:$D1202,$D1202,$E$2:$E1202)</f>
        <v>6624</v>
      </c>
      <c r="H1202">
        <f t="shared" si="37"/>
        <v>0</v>
      </c>
    </row>
    <row r="1203" spans="1:8" x14ac:dyDescent="0.25">
      <c r="A1203" s="1">
        <v>44739</v>
      </c>
      <c r="B1203" t="s">
        <v>12</v>
      </c>
      <c r="C1203" t="s">
        <v>68</v>
      </c>
      <c r="D1203" t="s">
        <v>63</v>
      </c>
      <c r="E1203">
        <v>403</v>
      </c>
      <c r="F1203">
        <f t="shared" si="36"/>
        <v>1088.1000000000001</v>
      </c>
      <c r="G1203">
        <f>SUMIF($D$2:$D1203,$D1203,$E$2:$E1203)</f>
        <v>8257</v>
      </c>
      <c r="H1203">
        <f t="shared" si="37"/>
        <v>0</v>
      </c>
    </row>
    <row r="1204" spans="1:8" x14ac:dyDescent="0.25">
      <c r="A1204" s="1">
        <v>44739</v>
      </c>
      <c r="B1204" t="s">
        <v>13</v>
      </c>
      <c r="C1204" t="s">
        <v>68</v>
      </c>
      <c r="D1204" t="s">
        <v>64</v>
      </c>
      <c r="E1204">
        <v>132</v>
      </c>
      <c r="F1204">
        <f t="shared" si="36"/>
        <v>422.40000000000003</v>
      </c>
      <c r="G1204">
        <f>SUMIF($D$2:$D1204,$D1204,$E$2:$E1204)</f>
        <v>7726</v>
      </c>
      <c r="H1204">
        <f t="shared" si="37"/>
        <v>0</v>
      </c>
    </row>
    <row r="1205" spans="1:8" x14ac:dyDescent="0.25">
      <c r="A1205" s="1">
        <v>44739</v>
      </c>
      <c r="B1205" t="s">
        <v>12</v>
      </c>
      <c r="C1205" t="s">
        <v>68</v>
      </c>
      <c r="D1205" t="s">
        <v>32</v>
      </c>
      <c r="E1205">
        <v>177</v>
      </c>
      <c r="F1205">
        <f t="shared" si="36"/>
        <v>477.90000000000003</v>
      </c>
      <c r="G1205">
        <f>SUMIF($D$2:$D1205,$D1205,$E$2:$E1205)</f>
        <v>10111</v>
      </c>
      <c r="H1205">
        <f t="shared" si="37"/>
        <v>0</v>
      </c>
    </row>
    <row r="1206" spans="1:8" x14ac:dyDescent="0.25">
      <c r="A1206" s="1">
        <v>44739</v>
      </c>
      <c r="B1206" t="s">
        <v>13</v>
      </c>
      <c r="C1206" t="s">
        <v>68</v>
      </c>
      <c r="D1206" t="s">
        <v>37</v>
      </c>
      <c r="E1206">
        <v>499</v>
      </c>
      <c r="F1206">
        <f t="shared" si="36"/>
        <v>1596.8000000000002</v>
      </c>
      <c r="G1206">
        <f>SUMIF($D$2:$D1206,$D1206,$E$2:$E1206)</f>
        <v>8641</v>
      </c>
      <c r="H1206">
        <f t="shared" si="37"/>
        <v>0</v>
      </c>
    </row>
    <row r="1207" spans="1:8" x14ac:dyDescent="0.25">
      <c r="A1207" s="1">
        <v>44739</v>
      </c>
      <c r="B1207" t="s">
        <v>12</v>
      </c>
      <c r="C1207" t="s">
        <v>68</v>
      </c>
      <c r="D1207" t="s">
        <v>27</v>
      </c>
      <c r="E1207">
        <v>20</v>
      </c>
      <c r="F1207">
        <f t="shared" si="36"/>
        <v>54</v>
      </c>
      <c r="G1207">
        <f>SUMIF($D$2:$D1207,$D1207,$E$2:$E1207)</f>
        <v>7745</v>
      </c>
      <c r="H1207">
        <f t="shared" si="37"/>
        <v>0</v>
      </c>
    </row>
    <row r="1208" spans="1:8" x14ac:dyDescent="0.25">
      <c r="A1208" s="1">
        <v>44739</v>
      </c>
      <c r="B1208" t="s">
        <v>14</v>
      </c>
      <c r="C1208" t="s">
        <v>65</v>
      </c>
      <c r="D1208" t="s">
        <v>64</v>
      </c>
      <c r="E1208">
        <v>181</v>
      </c>
      <c r="F1208">
        <f t="shared" si="36"/>
        <v>633.5</v>
      </c>
      <c r="G1208">
        <f>SUMIF($D$2:$D1208,$D1208,$E$2:$E1208)</f>
        <v>7907</v>
      </c>
      <c r="H1208">
        <f t="shared" si="37"/>
        <v>0</v>
      </c>
    </row>
    <row r="1209" spans="1:8" x14ac:dyDescent="0.25">
      <c r="A1209" s="1">
        <v>44739</v>
      </c>
      <c r="B1209" t="s">
        <v>14</v>
      </c>
      <c r="C1209" t="s">
        <v>65</v>
      </c>
      <c r="D1209" t="s">
        <v>40</v>
      </c>
      <c r="E1209">
        <v>315</v>
      </c>
      <c r="F1209">
        <f t="shared" si="36"/>
        <v>1102.5</v>
      </c>
      <c r="G1209">
        <f>SUMIF($D$2:$D1209,$D1209,$E$2:$E1209)</f>
        <v>7325</v>
      </c>
      <c r="H1209">
        <f t="shared" si="37"/>
        <v>0</v>
      </c>
    </row>
    <row r="1210" spans="1:8" x14ac:dyDescent="0.25">
      <c r="A1210" s="1">
        <v>44739</v>
      </c>
      <c r="B1210" t="s">
        <v>12</v>
      </c>
      <c r="C1210" t="s">
        <v>68</v>
      </c>
      <c r="D1210" t="s">
        <v>20</v>
      </c>
      <c r="E1210">
        <v>126</v>
      </c>
      <c r="F1210">
        <f t="shared" si="36"/>
        <v>340.20000000000005</v>
      </c>
      <c r="G1210">
        <f>SUMIF($D$2:$D1210,$D1210,$E$2:$E1210)</f>
        <v>6750</v>
      </c>
      <c r="H1210">
        <f t="shared" si="37"/>
        <v>0</v>
      </c>
    </row>
    <row r="1211" spans="1:8" x14ac:dyDescent="0.25">
      <c r="A1211" s="1">
        <v>44740</v>
      </c>
      <c r="B1211" t="s">
        <v>14</v>
      </c>
      <c r="C1211" t="s">
        <v>65</v>
      </c>
      <c r="D1211" t="s">
        <v>48</v>
      </c>
      <c r="E1211">
        <v>317</v>
      </c>
      <c r="F1211">
        <f t="shared" si="36"/>
        <v>1109.5</v>
      </c>
      <c r="G1211">
        <f>SUMIF($D$2:$D1211,$D1211,$E$2:$E1211)</f>
        <v>4935</v>
      </c>
      <c r="H1211">
        <f t="shared" si="37"/>
        <v>0</v>
      </c>
    </row>
    <row r="1212" spans="1:8" x14ac:dyDescent="0.25">
      <c r="A1212" s="1">
        <v>44740</v>
      </c>
      <c r="B1212" t="s">
        <v>14</v>
      </c>
      <c r="C1212" t="s">
        <v>65</v>
      </c>
      <c r="D1212" t="s">
        <v>46</v>
      </c>
      <c r="E1212">
        <v>495</v>
      </c>
      <c r="F1212">
        <f t="shared" si="36"/>
        <v>1732.5</v>
      </c>
      <c r="G1212">
        <f>SUMIF($D$2:$D1212,$D1212,$E$2:$E1212)</f>
        <v>8412</v>
      </c>
      <c r="H1212">
        <f t="shared" si="37"/>
        <v>0</v>
      </c>
    </row>
    <row r="1213" spans="1:8" x14ac:dyDescent="0.25">
      <c r="A1213" s="1">
        <v>44740</v>
      </c>
      <c r="B1213" t="s">
        <v>13</v>
      </c>
      <c r="C1213" t="s">
        <v>68</v>
      </c>
      <c r="D1213" t="s">
        <v>26</v>
      </c>
      <c r="E1213">
        <v>87</v>
      </c>
      <c r="F1213">
        <f t="shared" si="36"/>
        <v>278.40000000000003</v>
      </c>
      <c r="G1213">
        <f>SUMIF($D$2:$D1213,$D1213,$E$2:$E1213)</f>
        <v>11736</v>
      </c>
      <c r="H1213">
        <f t="shared" si="37"/>
        <v>0</v>
      </c>
    </row>
    <row r="1214" spans="1:8" x14ac:dyDescent="0.25">
      <c r="A1214" s="1">
        <v>44740</v>
      </c>
      <c r="B1214" t="s">
        <v>14</v>
      </c>
      <c r="C1214" t="s">
        <v>65</v>
      </c>
      <c r="D1214" t="s">
        <v>48</v>
      </c>
      <c r="E1214">
        <v>126</v>
      </c>
      <c r="F1214">
        <f t="shared" si="36"/>
        <v>441</v>
      </c>
      <c r="G1214">
        <f>SUMIF($D$2:$D1214,$D1214,$E$2:$E1214)</f>
        <v>5061</v>
      </c>
      <c r="H1214">
        <f t="shared" si="37"/>
        <v>0</v>
      </c>
    </row>
    <row r="1215" spans="1:8" x14ac:dyDescent="0.25">
      <c r="A1215" s="1">
        <v>44740</v>
      </c>
      <c r="B1215" t="s">
        <v>12</v>
      </c>
      <c r="C1215" t="s">
        <v>68</v>
      </c>
      <c r="D1215" t="s">
        <v>29</v>
      </c>
      <c r="E1215">
        <v>177</v>
      </c>
      <c r="F1215">
        <f t="shared" si="36"/>
        <v>477.90000000000003</v>
      </c>
      <c r="G1215">
        <f>SUMIF($D$2:$D1215,$D1215,$E$2:$E1215)</f>
        <v>12165</v>
      </c>
      <c r="H1215">
        <f t="shared" si="37"/>
        <v>0</v>
      </c>
    </row>
    <row r="1216" spans="1:8" x14ac:dyDescent="0.25">
      <c r="A1216" s="1">
        <v>44740</v>
      </c>
      <c r="B1216" t="s">
        <v>13</v>
      </c>
      <c r="C1216" t="s">
        <v>68</v>
      </c>
      <c r="D1216" t="s">
        <v>21</v>
      </c>
      <c r="E1216">
        <v>439</v>
      </c>
      <c r="F1216">
        <f t="shared" si="36"/>
        <v>1404.8000000000002</v>
      </c>
      <c r="G1216">
        <f>SUMIF($D$2:$D1216,$D1216,$E$2:$E1216)</f>
        <v>6715</v>
      </c>
      <c r="H1216">
        <f t="shared" si="37"/>
        <v>0</v>
      </c>
    </row>
    <row r="1217" spans="1:8" x14ac:dyDescent="0.25">
      <c r="A1217" s="1">
        <v>44740</v>
      </c>
      <c r="B1217" t="s">
        <v>14</v>
      </c>
      <c r="C1217" t="s">
        <v>65</v>
      </c>
      <c r="D1217" t="s">
        <v>46</v>
      </c>
      <c r="E1217">
        <v>266</v>
      </c>
      <c r="F1217">
        <f t="shared" si="36"/>
        <v>931</v>
      </c>
      <c r="G1217">
        <f>SUMIF($D$2:$D1217,$D1217,$E$2:$E1217)</f>
        <v>8678</v>
      </c>
      <c r="H1217">
        <f t="shared" si="37"/>
        <v>0</v>
      </c>
    </row>
    <row r="1218" spans="1:8" x14ac:dyDescent="0.25">
      <c r="A1218" s="1">
        <v>44740</v>
      </c>
      <c r="B1218" t="s">
        <v>13</v>
      </c>
      <c r="C1218" t="s">
        <v>68</v>
      </c>
      <c r="D1218" t="s">
        <v>40</v>
      </c>
      <c r="E1218">
        <v>330</v>
      </c>
      <c r="F1218">
        <f t="shared" si="36"/>
        <v>1056</v>
      </c>
      <c r="G1218">
        <f>SUMIF($D$2:$D1218,$D1218,$E$2:$E1218)</f>
        <v>7655</v>
      </c>
      <c r="H1218">
        <f t="shared" si="37"/>
        <v>0</v>
      </c>
    </row>
    <row r="1219" spans="1:8" x14ac:dyDescent="0.25">
      <c r="A1219" s="1">
        <v>44740</v>
      </c>
      <c r="B1219" t="s">
        <v>12</v>
      </c>
      <c r="C1219" t="s">
        <v>68</v>
      </c>
      <c r="D1219" t="s">
        <v>58</v>
      </c>
      <c r="E1219">
        <v>29</v>
      </c>
      <c r="F1219">
        <f t="shared" ref="F1219:F1282" si="38">E1219* _xlfn.XLOOKUP(B1219,$I$2:$I$17,$J$2:$J$17,"0",0,1)</f>
        <v>78.300000000000011</v>
      </c>
      <c r="G1219">
        <f>SUMIF($D$2:$D1219,$D1219,$E$2:$E1219)</f>
        <v>7591</v>
      </c>
      <c r="H1219">
        <f t="shared" ref="H1219:H1282" si="39">IF(AND($G1219 &gt; 15000,$G1219 &lt; 20000),5*$E1219,IF($G1219 &gt;= 20000,10*$E1219,0))</f>
        <v>0</v>
      </c>
    </row>
    <row r="1220" spans="1:8" x14ac:dyDescent="0.25">
      <c r="A1220" s="1">
        <v>44740</v>
      </c>
      <c r="B1220" t="s">
        <v>12</v>
      </c>
      <c r="C1220" t="s">
        <v>68</v>
      </c>
      <c r="D1220" t="s">
        <v>20</v>
      </c>
      <c r="E1220">
        <v>249</v>
      </c>
      <c r="F1220">
        <f t="shared" si="38"/>
        <v>672.30000000000007</v>
      </c>
      <c r="G1220">
        <f>SUMIF($D$2:$D1220,$D1220,$E$2:$E1220)</f>
        <v>6999</v>
      </c>
      <c r="H1220">
        <f t="shared" si="39"/>
        <v>0</v>
      </c>
    </row>
    <row r="1221" spans="1:8" x14ac:dyDescent="0.25">
      <c r="A1221" s="1">
        <v>44740</v>
      </c>
      <c r="B1221" t="s">
        <v>14</v>
      </c>
      <c r="C1221" t="s">
        <v>65</v>
      </c>
      <c r="D1221" t="s">
        <v>56</v>
      </c>
      <c r="E1221">
        <v>364</v>
      </c>
      <c r="F1221">
        <f t="shared" si="38"/>
        <v>1274</v>
      </c>
      <c r="G1221">
        <f>SUMIF($D$2:$D1221,$D1221,$E$2:$E1221)</f>
        <v>8877</v>
      </c>
      <c r="H1221">
        <f t="shared" si="39"/>
        <v>0</v>
      </c>
    </row>
    <row r="1222" spans="1:8" x14ac:dyDescent="0.25">
      <c r="A1222" s="1">
        <v>44740</v>
      </c>
      <c r="B1222" t="s">
        <v>14</v>
      </c>
      <c r="C1222" t="s">
        <v>65</v>
      </c>
      <c r="D1222" t="s">
        <v>34</v>
      </c>
      <c r="E1222">
        <v>208</v>
      </c>
      <c r="F1222">
        <f t="shared" si="38"/>
        <v>728</v>
      </c>
      <c r="G1222">
        <f>SUMIF($D$2:$D1222,$D1222,$E$2:$E1222)</f>
        <v>8418</v>
      </c>
      <c r="H1222">
        <f t="shared" si="39"/>
        <v>0</v>
      </c>
    </row>
    <row r="1223" spans="1:8" x14ac:dyDescent="0.25">
      <c r="A1223" s="1">
        <v>44740</v>
      </c>
      <c r="B1223" t="s">
        <v>13</v>
      </c>
      <c r="C1223" t="s">
        <v>68</v>
      </c>
      <c r="D1223" t="s">
        <v>37</v>
      </c>
      <c r="E1223">
        <v>139</v>
      </c>
      <c r="F1223">
        <f t="shared" si="38"/>
        <v>444.8</v>
      </c>
      <c r="G1223">
        <f>SUMIF($D$2:$D1223,$D1223,$E$2:$E1223)</f>
        <v>8780</v>
      </c>
      <c r="H1223">
        <f t="shared" si="39"/>
        <v>0</v>
      </c>
    </row>
    <row r="1224" spans="1:8" x14ac:dyDescent="0.25">
      <c r="A1224" s="1">
        <v>44740</v>
      </c>
      <c r="B1224" t="s">
        <v>14</v>
      </c>
      <c r="C1224" t="s">
        <v>65</v>
      </c>
      <c r="D1224" t="s">
        <v>28</v>
      </c>
      <c r="E1224">
        <v>377</v>
      </c>
      <c r="F1224">
        <f t="shared" si="38"/>
        <v>1319.5</v>
      </c>
      <c r="G1224">
        <f>SUMIF($D$2:$D1224,$D1224,$E$2:$E1224)</f>
        <v>7616</v>
      </c>
      <c r="H1224">
        <f t="shared" si="39"/>
        <v>0</v>
      </c>
    </row>
    <row r="1225" spans="1:8" x14ac:dyDescent="0.25">
      <c r="A1225" s="1">
        <v>44741</v>
      </c>
      <c r="B1225" t="s">
        <v>14</v>
      </c>
      <c r="C1225" t="s">
        <v>65</v>
      </c>
      <c r="D1225" t="s">
        <v>24</v>
      </c>
      <c r="E1225">
        <v>25</v>
      </c>
      <c r="F1225">
        <f t="shared" si="38"/>
        <v>87.5</v>
      </c>
      <c r="G1225">
        <f>SUMIF($D$2:$D1225,$D1225,$E$2:$E1225)</f>
        <v>7490</v>
      </c>
      <c r="H1225">
        <f t="shared" si="39"/>
        <v>0</v>
      </c>
    </row>
    <row r="1226" spans="1:8" x14ac:dyDescent="0.25">
      <c r="A1226" s="1">
        <v>44741</v>
      </c>
      <c r="B1226" t="s">
        <v>12</v>
      </c>
      <c r="C1226" t="s">
        <v>68</v>
      </c>
      <c r="D1226" t="s">
        <v>48</v>
      </c>
      <c r="E1226">
        <v>246</v>
      </c>
      <c r="F1226">
        <f t="shared" si="38"/>
        <v>664.2</v>
      </c>
      <c r="G1226">
        <f>SUMIF($D$2:$D1226,$D1226,$E$2:$E1226)</f>
        <v>5307</v>
      </c>
      <c r="H1226">
        <f t="shared" si="39"/>
        <v>0</v>
      </c>
    </row>
    <row r="1227" spans="1:8" x14ac:dyDescent="0.25">
      <c r="A1227" s="1">
        <v>44741</v>
      </c>
      <c r="B1227" t="s">
        <v>13</v>
      </c>
      <c r="C1227" t="s">
        <v>68</v>
      </c>
      <c r="D1227" t="s">
        <v>61</v>
      </c>
      <c r="E1227">
        <v>210</v>
      </c>
      <c r="F1227">
        <f t="shared" si="38"/>
        <v>672</v>
      </c>
      <c r="G1227">
        <f>SUMIF($D$2:$D1227,$D1227,$E$2:$E1227)</f>
        <v>8602</v>
      </c>
      <c r="H1227">
        <f t="shared" si="39"/>
        <v>0</v>
      </c>
    </row>
    <row r="1228" spans="1:8" x14ac:dyDescent="0.25">
      <c r="A1228" s="1">
        <v>44741</v>
      </c>
      <c r="B1228" t="s">
        <v>12</v>
      </c>
      <c r="C1228" t="s">
        <v>68</v>
      </c>
      <c r="D1228" t="s">
        <v>27</v>
      </c>
      <c r="E1228">
        <v>330</v>
      </c>
      <c r="F1228">
        <f t="shared" si="38"/>
        <v>891.00000000000011</v>
      </c>
      <c r="G1228">
        <f>SUMIF($D$2:$D1228,$D1228,$E$2:$E1228)</f>
        <v>8075</v>
      </c>
      <c r="H1228">
        <f t="shared" si="39"/>
        <v>0</v>
      </c>
    </row>
    <row r="1229" spans="1:8" x14ac:dyDescent="0.25">
      <c r="A1229" s="1">
        <v>44741</v>
      </c>
      <c r="B1229" t="s">
        <v>13</v>
      </c>
      <c r="C1229" t="s">
        <v>68</v>
      </c>
      <c r="D1229" t="s">
        <v>48</v>
      </c>
      <c r="E1229">
        <v>493</v>
      </c>
      <c r="F1229">
        <f t="shared" si="38"/>
        <v>1577.6000000000001</v>
      </c>
      <c r="G1229">
        <f>SUMIF($D$2:$D1229,$D1229,$E$2:$E1229)</f>
        <v>5800</v>
      </c>
      <c r="H1229">
        <f t="shared" si="39"/>
        <v>0</v>
      </c>
    </row>
    <row r="1230" spans="1:8" x14ac:dyDescent="0.25">
      <c r="A1230" s="1">
        <v>44741</v>
      </c>
      <c r="B1230" t="s">
        <v>14</v>
      </c>
      <c r="C1230" t="s">
        <v>65</v>
      </c>
      <c r="D1230" t="s">
        <v>21</v>
      </c>
      <c r="E1230">
        <v>461</v>
      </c>
      <c r="F1230">
        <f t="shared" si="38"/>
        <v>1613.5</v>
      </c>
      <c r="G1230">
        <f>SUMIF($D$2:$D1230,$D1230,$E$2:$E1230)</f>
        <v>7176</v>
      </c>
      <c r="H1230">
        <f t="shared" si="39"/>
        <v>0</v>
      </c>
    </row>
    <row r="1231" spans="1:8" x14ac:dyDescent="0.25">
      <c r="A1231" s="1">
        <v>44741</v>
      </c>
      <c r="B1231" t="s">
        <v>13</v>
      </c>
      <c r="C1231" t="s">
        <v>68</v>
      </c>
      <c r="D1231" t="s">
        <v>28</v>
      </c>
      <c r="E1231">
        <v>148</v>
      </c>
      <c r="F1231">
        <f t="shared" si="38"/>
        <v>473.6</v>
      </c>
      <c r="G1231">
        <f>SUMIF($D$2:$D1231,$D1231,$E$2:$E1231)</f>
        <v>7764</v>
      </c>
      <c r="H1231">
        <f t="shared" si="39"/>
        <v>0</v>
      </c>
    </row>
    <row r="1232" spans="1:8" x14ac:dyDescent="0.25">
      <c r="A1232" s="1">
        <v>44741</v>
      </c>
      <c r="B1232" t="s">
        <v>13</v>
      </c>
      <c r="C1232" t="s">
        <v>68</v>
      </c>
      <c r="D1232" t="s">
        <v>59</v>
      </c>
      <c r="E1232">
        <v>19</v>
      </c>
      <c r="F1232">
        <f t="shared" si="38"/>
        <v>60.800000000000004</v>
      </c>
      <c r="G1232">
        <f>SUMIF($D$2:$D1232,$D1232,$E$2:$E1232)</f>
        <v>5740</v>
      </c>
      <c r="H1232">
        <f t="shared" si="39"/>
        <v>0</v>
      </c>
    </row>
    <row r="1233" spans="1:8" x14ac:dyDescent="0.25">
      <c r="A1233" s="1">
        <v>44741</v>
      </c>
      <c r="B1233" t="s">
        <v>14</v>
      </c>
      <c r="C1233" t="s">
        <v>65</v>
      </c>
      <c r="D1233" t="s">
        <v>23</v>
      </c>
      <c r="E1233">
        <v>456</v>
      </c>
      <c r="F1233">
        <f t="shared" si="38"/>
        <v>1596</v>
      </c>
      <c r="G1233">
        <f>SUMIF($D$2:$D1233,$D1233,$E$2:$E1233)</f>
        <v>7095</v>
      </c>
      <c r="H1233">
        <f t="shared" si="39"/>
        <v>0</v>
      </c>
    </row>
    <row r="1234" spans="1:8" x14ac:dyDescent="0.25">
      <c r="A1234" s="1">
        <v>44742</v>
      </c>
      <c r="B1234" t="s">
        <v>13</v>
      </c>
      <c r="C1234" t="s">
        <v>68</v>
      </c>
      <c r="D1234" t="s">
        <v>43</v>
      </c>
      <c r="E1234">
        <v>201</v>
      </c>
      <c r="F1234">
        <f t="shared" si="38"/>
        <v>643.20000000000005</v>
      </c>
      <c r="G1234">
        <f>SUMIF($D$2:$D1234,$D1234,$E$2:$E1234)</f>
        <v>7310</v>
      </c>
      <c r="H1234">
        <f t="shared" si="39"/>
        <v>0</v>
      </c>
    </row>
    <row r="1235" spans="1:8" x14ac:dyDescent="0.25">
      <c r="A1235" s="1">
        <v>44742</v>
      </c>
      <c r="B1235" t="s">
        <v>12</v>
      </c>
      <c r="C1235" t="s">
        <v>68</v>
      </c>
      <c r="D1235" t="s">
        <v>38</v>
      </c>
      <c r="E1235">
        <v>276</v>
      </c>
      <c r="F1235">
        <f t="shared" si="38"/>
        <v>745.2</v>
      </c>
      <c r="G1235">
        <f>SUMIF($D$2:$D1235,$D1235,$E$2:$E1235)</f>
        <v>10427</v>
      </c>
      <c r="H1235">
        <f t="shared" si="39"/>
        <v>0</v>
      </c>
    </row>
    <row r="1236" spans="1:8" x14ac:dyDescent="0.25">
      <c r="A1236" s="1">
        <v>44742</v>
      </c>
      <c r="B1236" t="s">
        <v>14</v>
      </c>
      <c r="C1236" t="s">
        <v>65</v>
      </c>
      <c r="D1236" t="s">
        <v>38</v>
      </c>
      <c r="E1236">
        <v>126</v>
      </c>
      <c r="F1236">
        <f t="shared" si="38"/>
        <v>441</v>
      </c>
      <c r="G1236">
        <f>SUMIF($D$2:$D1236,$D1236,$E$2:$E1236)</f>
        <v>10553</v>
      </c>
      <c r="H1236">
        <f t="shared" si="39"/>
        <v>0</v>
      </c>
    </row>
    <row r="1237" spans="1:8" x14ac:dyDescent="0.25">
      <c r="A1237" s="1">
        <v>44742</v>
      </c>
      <c r="B1237" t="s">
        <v>12</v>
      </c>
      <c r="C1237" t="s">
        <v>68</v>
      </c>
      <c r="D1237" t="s">
        <v>67</v>
      </c>
      <c r="E1237">
        <v>25</v>
      </c>
      <c r="F1237">
        <f t="shared" si="38"/>
        <v>67.5</v>
      </c>
      <c r="G1237">
        <f>SUMIF($D$2:$D1237,$D1237,$E$2:$E1237)</f>
        <v>8747</v>
      </c>
      <c r="H1237">
        <f t="shared" si="39"/>
        <v>0</v>
      </c>
    </row>
    <row r="1238" spans="1:8" x14ac:dyDescent="0.25">
      <c r="A1238" s="1">
        <v>44742</v>
      </c>
      <c r="B1238" t="s">
        <v>12</v>
      </c>
      <c r="C1238" t="s">
        <v>68</v>
      </c>
      <c r="D1238" t="s">
        <v>48</v>
      </c>
      <c r="E1238">
        <v>280</v>
      </c>
      <c r="F1238">
        <f t="shared" si="38"/>
        <v>756</v>
      </c>
      <c r="G1238">
        <f>SUMIF($D$2:$D1238,$D1238,$E$2:$E1238)</f>
        <v>6080</v>
      </c>
      <c r="H1238">
        <f t="shared" si="39"/>
        <v>0</v>
      </c>
    </row>
    <row r="1239" spans="1:8" x14ac:dyDescent="0.25">
      <c r="A1239" s="1">
        <v>44742</v>
      </c>
      <c r="B1239" t="s">
        <v>12</v>
      </c>
      <c r="C1239" t="s">
        <v>68</v>
      </c>
      <c r="D1239" t="s">
        <v>46</v>
      </c>
      <c r="E1239">
        <v>66</v>
      </c>
      <c r="F1239">
        <f t="shared" si="38"/>
        <v>178.20000000000002</v>
      </c>
      <c r="G1239">
        <f>SUMIF($D$2:$D1239,$D1239,$E$2:$E1239)</f>
        <v>8744</v>
      </c>
      <c r="H1239">
        <f t="shared" si="39"/>
        <v>0</v>
      </c>
    </row>
    <row r="1240" spans="1:8" x14ac:dyDescent="0.25">
      <c r="A1240" s="1">
        <v>44742</v>
      </c>
      <c r="B1240" t="s">
        <v>13</v>
      </c>
      <c r="C1240" t="s">
        <v>68</v>
      </c>
      <c r="D1240" t="s">
        <v>21</v>
      </c>
      <c r="E1240">
        <v>314</v>
      </c>
      <c r="F1240">
        <f t="shared" si="38"/>
        <v>1004.8000000000001</v>
      </c>
      <c r="G1240">
        <f>SUMIF($D$2:$D1240,$D1240,$E$2:$E1240)</f>
        <v>7490</v>
      </c>
      <c r="H1240">
        <f t="shared" si="39"/>
        <v>0</v>
      </c>
    </row>
    <row r="1241" spans="1:8" x14ac:dyDescent="0.25">
      <c r="A1241" s="1">
        <v>44743</v>
      </c>
      <c r="B1241" t="s">
        <v>12</v>
      </c>
      <c r="C1241" t="s">
        <v>68</v>
      </c>
      <c r="D1241" t="s">
        <v>36</v>
      </c>
      <c r="E1241">
        <v>298</v>
      </c>
      <c r="F1241">
        <f t="shared" si="38"/>
        <v>804.6</v>
      </c>
      <c r="G1241">
        <f>SUMIF($D$2:$D1241,$D1241,$E$2:$E1241)</f>
        <v>8672</v>
      </c>
      <c r="H1241">
        <f t="shared" si="39"/>
        <v>0</v>
      </c>
    </row>
    <row r="1242" spans="1:8" x14ac:dyDescent="0.25">
      <c r="A1242" s="1">
        <v>44743</v>
      </c>
      <c r="B1242" t="s">
        <v>14</v>
      </c>
      <c r="C1242" t="s">
        <v>65</v>
      </c>
      <c r="D1242" t="s">
        <v>23</v>
      </c>
      <c r="E1242">
        <v>191</v>
      </c>
      <c r="F1242">
        <f t="shared" si="38"/>
        <v>668.5</v>
      </c>
      <c r="G1242">
        <f>SUMIF($D$2:$D1242,$D1242,$E$2:$E1242)</f>
        <v>7286</v>
      </c>
      <c r="H1242">
        <f t="shared" si="39"/>
        <v>0</v>
      </c>
    </row>
    <row r="1243" spans="1:8" x14ac:dyDescent="0.25">
      <c r="A1243" s="1">
        <v>44743</v>
      </c>
      <c r="B1243" t="s">
        <v>12</v>
      </c>
      <c r="C1243" t="s">
        <v>68</v>
      </c>
      <c r="D1243" t="s">
        <v>18</v>
      </c>
      <c r="E1243">
        <v>412</v>
      </c>
      <c r="F1243">
        <f t="shared" si="38"/>
        <v>1112.4000000000001</v>
      </c>
      <c r="G1243">
        <f>SUMIF($D$2:$D1243,$D1243,$E$2:$E1243)</f>
        <v>8182</v>
      </c>
      <c r="H1243">
        <f t="shared" si="39"/>
        <v>0</v>
      </c>
    </row>
    <row r="1244" spans="1:8" x14ac:dyDescent="0.25">
      <c r="A1244" s="1">
        <v>44743</v>
      </c>
      <c r="B1244" t="s">
        <v>12</v>
      </c>
      <c r="C1244" t="s">
        <v>68</v>
      </c>
      <c r="D1244" t="s">
        <v>54</v>
      </c>
      <c r="E1244">
        <v>126</v>
      </c>
      <c r="F1244">
        <f t="shared" si="38"/>
        <v>340.20000000000005</v>
      </c>
      <c r="G1244">
        <f>SUMIF($D$2:$D1244,$D1244,$E$2:$E1244)</f>
        <v>8257</v>
      </c>
      <c r="H1244">
        <f t="shared" si="39"/>
        <v>0</v>
      </c>
    </row>
    <row r="1245" spans="1:8" x14ac:dyDescent="0.25">
      <c r="A1245" s="1">
        <v>44743</v>
      </c>
      <c r="B1245" t="s">
        <v>14</v>
      </c>
      <c r="C1245" t="s">
        <v>65</v>
      </c>
      <c r="D1245" t="s">
        <v>20</v>
      </c>
      <c r="E1245">
        <v>466</v>
      </c>
      <c r="F1245">
        <f t="shared" si="38"/>
        <v>1631</v>
      </c>
      <c r="G1245">
        <f>SUMIF($D$2:$D1245,$D1245,$E$2:$E1245)</f>
        <v>7465</v>
      </c>
      <c r="H1245">
        <f t="shared" si="39"/>
        <v>0</v>
      </c>
    </row>
    <row r="1246" spans="1:8" x14ac:dyDescent="0.25">
      <c r="A1246" s="1">
        <v>44743</v>
      </c>
      <c r="B1246" t="s">
        <v>13</v>
      </c>
      <c r="C1246" t="s">
        <v>68</v>
      </c>
      <c r="D1246" t="s">
        <v>40</v>
      </c>
      <c r="E1246">
        <v>117</v>
      </c>
      <c r="F1246">
        <f t="shared" si="38"/>
        <v>374.40000000000003</v>
      </c>
      <c r="G1246">
        <f>SUMIF($D$2:$D1246,$D1246,$E$2:$E1246)</f>
        <v>7772</v>
      </c>
      <c r="H1246">
        <f t="shared" si="39"/>
        <v>0</v>
      </c>
    </row>
    <row r="1247" spans="1:8" x14ac:dyDescent="0.25">
      <c r="A1247" s="1">
        <v>44743</v>
      </c>
      <c r="B1247" t="s">
        <v>14</v>
      </c>
      <c r="C1247" t="s">
        <v>65</v>
      </c>
      <c r="D1247" t="s">
        <v>24</v>
      </c>
      <c r="E1247">
        <v>16</v>
      </c>
      <c r="F1247">
        <f t="shared" si="38"/>
        <v>56</v>
      </c>
      <c r="G1247">
        <f>SUMIF($D$2:$D1247,$D1247,$E$2:$E1247)</f>
        <v>7506</v>
      </c>
      <c r="H1247">
        <f t="shared" si="39"/>
        <v>0</v>
      </c>
    </row>
    <row r="1248" spans="1:8" x14ac:dyDescent="0.25">
      <c r="A1248" s="1">
        <v>44743</v>
      </c>
      <c r="B1248" t="s">
        <v>12</v>
      </c>
      <c r="C1248" t="s">
        <v>68</v>
      </c>
      <c r="D1248" t="s">
        <v>56</v>
      </c>
      <c r="E1248">
        <v>52</v>
      </c>
      <c r="F1248">
        <f t="shared" si="38"/>
        <v>140.4</v>
      </c>
      <c r="G1248">
        <f>SUMIF($D$2:$D1248,$D1248,$E$2:$E1248)</f>
        <v>8929</v>
      </c>
      <c r="H1248">
        <f t="shared" si="39"/>
        <v>0</v>
      </c>
    </row>
    <row r="1249" spans="1:8" x14ac:dyDescent="0.25">
      <c r="A1249" s="1">
        <v>44743</v>
      </c>
      <c r="B1249" t="s">
        <v>14</v>
      </c>
      <c r="C1249" t="s">
        <v>65</v>
      </c>
      <c r="D1249" t="s">
        <v>52</v>
      </c>
      <c r="E1249">
        <v>338</v>
      </c>
      <c r="F1249">
        <f t="shared" si="38"/>
        <v>1183</v>
      </c>
      <c r="G1249">
        <f>SUMIF($D$2:$D1249,$D1249,$E$2:$E1249)</f>
        <v>8251</v>
      </c>
      <c r="H1249">
        <f t="shared" si="39"/>
        <v>0</v>
      </c>
    </row>
    <row r="1250" spans="1:8" x14ac:dyDescent="0.25">
      <c r="A1250" s="1">
        <v>44743</v>
      </c>
      <c r="B1250" t="s">
        <v>14</v>
      </c>
      <c r="C1250" t="s">
        <v>65</v>
      </c>
      <c r="D1250" t="s">
        <v>57</v>
      </c>
      <c r="E1250">
        <v>472</v>
      </c>
      <c r="F1250">
        <f t="shared" si="38"/>
        <v>1652</v>
      </c>
      <c r="G1250">
        <f>SUMIF($D$2:$D1250,$D1250,$E$2:$E1250)</f>
        <v>10100</v>
      </c>
      <c r="H1250">
        <f t="shared" si="39"/>
        <v>0</v>
      </c>
    </row>
    <row r="1251" spans="1:8" x14ac:dyDescent="0.25">
      <c r="A1251" s="1">
        <v>44743</v>
      </c>
      <c r="B1251" t="s">
        <v>13</v>
      </c>
      <c r="C1251" t="s">
        <v>68</v>
      </c>
      <c r="D1251" t="s">
        <v>51</v>
      </c>
      <c r="E1251">
        <v>438</v>
      </c>
      <c r="F1251">
        <f t="shared" si="38"/>
        <v>1401.6000000000001</v>
      </c>
      <c r="G1251">
        <f>SUMIF($D$2:$D1251,$D1251,$E$2:$E1251)</f>
        <v>11660</v>
      </c>
      <c r="H1251">
        <f t="shared" si="39"/>
        <v>0</v>
      </c>
    </row>
    <row r="1252" spans="1:8" x14ac:dyDescent="0.25">
      <c r="A1252" s="1">
        <v>44744</v>
      </c>
      <c r="B1252" t="s">
        <v>12</v>
      </c>
      <c r="C1252" t="s">
        <v>68</v>
      </c>
      <c r="D1252" t="s">
        <v>42</v>
      </c>
      <c r="E1252">
        <v>392</v>
      </c>
      <c r="F1252">
        <f t="shared" si="38"/>
        <v>1058.4000000000001</v>
      </c>
      <c r="G1252">
        <f>SUMIF($D$2:$D1252,$D1252,$E$2:$E1252)</f>
        <v>7641</v>
      </c>
      <c r="H1252">
        <f t="shared" si="39"/>
        <v>0</v>
      </c>
    </row>
    <row r="1253" spans="1:8" x14ac:dyDescent="0.25">
      <c r="A1253" s="1">
        <v>44744</v>
      </c>
      <c r="B1253" t="s">
        <v>13</v>
      </c>
      <c r="C1253" t="s">
        <v>68</v>
      </c>
      <c r="D1253" t="s">
        <v>54</v>
      </c>
      <c r="E1253">
        <v>128</v>
      </c>
      <c r="F1253">
        <f t="shared" si="38"/>
        <v>409.6</v>
      </c>
      <c r="G1253">
        <f>SUMIF($D$2:$D1253,$D1253,$E$2:$E1253)</f>
        <v>8385</v>
      </c>
      <c r="H1253">
        <f t="shared" si="39"/>
        <v>0</v>
      </c>
    </row>
    <row r="1254" spans="1:8" x14ac:dyDescent="0.25">
      <c r="A1254" s="1">
        <v>44744</v>
      </c>
      <c r="B1254" t="s">
        <v>14</v>
      </c>
      <c r="C1254" t="s">
        <v>65</v>
      </c>
      <c r="D1254" t="s">
        <v>54</v>
      </c>
      <c r="E1254">
        <v>27</v>
      </c>
      <c r="F1254">
        <f t="shared" si="38"/>
        <v>94.5</v>
      </c>
      <c r="G1254">
        <f>SUMIF($D$2:$D1254,$D1254,$E$2:$E1254)</f>
        <v>8412</v>
      </c>
      <c r="H1254">
        <f t="shared" si="39"/>
        <v>0</v>
      </c>
    </row>
    <row r="1255" spans="1:8" x14ac:dyDescent="0.25">
      <c r="A1255" s="1">
        <v>44744</v>
      </c>
      <c r="B1255" t="s">
        <v>13</v>
      </c>
      <c r="C1255" t="s">
        <v>68</v>
      </c>
      <c r="D1255" t="s">
        <v>54</v>
      </c>
      <c r="E1255">
        <v>363</v>
      </c>
      <c r="F1255">
        <f t="shared" si="38"/>
        <v>1161.6000000000001</v>
      </c>
      <c r="G1255">
        <f>SUMIF($D$2:$D1255,$D1255,$E$2:$E1255)</f>
        <v>8775</v>
      </c>
      <c r="H1255">
        <f t="shared" si="39"/>
        <v>0</v>
      </c>
    </row>
    <row r="1256" spans="1:8" x14ac:dyDescent="0.25">
      <c r="A1256" s="1">
        <v>44744</v>
      </c>
      <c r="B1256" t="s">
        <v>12</v>
      </c>
      <c r="C1256" t="s">
        <v>68</v>
      </c>
      <c r="D1256" t="s">
        <v>34</v>
      </c>
      <c r="E1256">
        <v>105</v>
      </c>
      <c r="F1256">
        <f t="shared" si="38"/>
        <v>283.5</v>
      </c>
      <c r="G1256">
        <f>SUMIF($D$2:$D1256,$D1256,$E$2:$E1256)</f>
        <v>8523</v>
      </c>
      <c r="H1256">
        <f t="shared" si="39"/>
        <v>0</v>
      </c>
    </row>
    <row r="1257" spans="1:8" x14ac:dyDescent="0.25">
      <c r="A1257" s="1">
        <v>44744</v>
      </c>
      <c r="B1257" t="s">
        <v>14</v>
      </c>
      <c r="C1257" t="s">
        <v>65</v>
      </c>
      <c r="D1257" t="s">
        <v>41</v>
      </c>
      <c r="E1257">
        <v>377</v>
      </c>
      <c r="F1257">
        <f t="shared" si="38"/>
        <v>1319.5</v>
      </c>
      <c r="G1257">
        <f>SUMIF($D$2:$D1257,$D1257,$E$2:$E1257)</f>
        <v>7915</v>
      </c>
      <c r="H1257">
        <f t="shared" si="39"/>
        <v>0</v>
      </c>
    </row>
    <row r="1258" spans="1:8" x14ac:dyDescent="0.25">
      <c r="A1258" s="1">
        <v>44744</v>
      </c>
      <c r="B1258" t="s">
        <v>13</v>
      </c>
      <c r="C1258" t="s">
        <v>68</v>
      </c>
      <c r="D1258" t="s">
        <v>39</v>
      </c>
      <c r="E1258">
        <v>277</v>
      </c>
      <c r="F1258">
        <f t="shared" si="38"/>
        <v>886.40000000000009</v>
      </c>
      <c r="G1258">
        <f>SUMIF($D$2:$D1258,$D1258,$E$2:$E1258)</f>
        <v>6425</v>
      </c>
      <c r="H1258">
        <f t="shared" si="39"/>
        <v>0</v>
      </c>
    </row>
    <row r="1259" spans="1:8" x14ac:dyDescent="0.25">
      <c r="A1259" s="1">
        <v>44746</v>
      </c>
      <c r="B1259" t="s">
        <v>12</v>
      </c>
      <c r="C1259" t="s">
        <v>68</v>
      </c>
      <c r="D1259" t="s">
        <v>37</v>
      </c>
      <c r="E1259">
        <v>453</v>
      </c>
      <c r="F1259">
        <f t="shared" si="38"/>
        <v>1223.1000000000001</v>
      </c>
      <c r="G1259">
        <f>SUMIF($D$2:$D1259,$D1259,$E$2:$E1259)</f>
        <v>9233</v>
      </c>
      <c r="H1259">
        <f t="shared" si="39"/>
        <v>0</v>
      </c>
    </row>
    <row r="1260" spans="1:8" x14ac:dyDescent="0.25">
      <c r="A1260" s="1">
        <v>44746</v>
      </c>
      <c r="B1260" t="s">
        <v>12</v>
      </c>
      <c r="C1260" t="s">
        <v>68</v>
      </c>
      <c r="D1260" t="s">
        <v>29</v>
      </c>
      <c r="E1260">
        <v>33</v>
      </c>
      <c r="F1260">
        <f t="shared" si="38"/>
        <v>89.100000000000009</v>
      </c>
      <c r="G1260">
        <f>SUMIF($D$2:$D1260,$D1260,$E$2:$E1260)</f>
        <v>12198</v>
      </c>
      <c r="H1260">
        <f t="shared" si="39"/>
        <v>0</v>
      </c>
    </row>
    <row r="1261" spans="1:8" x14ac:dyDescent="0.25">
      <c r="A1261" s="1">
        <v>44746</v>
      </c>
      <c r="B1261" t="s">
        <v>13</v>
      </c>
      <c r="C1261" t="s">
        <v>68</v>
      </c>
      <c r="D1261" t="s">
        <v>39</v>
      </c>
      <c r="E1261">
        <v>165</v>
      </c>
      <c r="F1261">
        <f t="shared" si="38"/>
        <v>528</v>
      </c>
      <c r="G1261">
        <f>SUMIF($D$2:$D1261,$D1261,$E$2:$E1261)</f>
        <v>6590</v>
      </c>
      <c r="H1261">
        <f t="shared" si="39"/>
        <v>0</v>
      </c>
    </row>
    <row r="1262" spans="1:8" x14ac:dyDescent="0.25">
      <c r="A1262" s="1">
        <v>44746</v>
      </c>
      <c r="B1262" t="s">
        <v>13</v>
      </c>
      <c r="C1262" t="s">
        <v>68</v>
      </c>
      <c r="D1262" t="s">
        <v>21</v>
      </c>
      <c r="E1262">
        <v>265</v>
      </c>
      <c r="F1262">
        <f t="shared" si="38"/>
        <v>848</v>
      </c>
      <c r="G1262">
        <f>SUMIF($D$2:$D1262,$D1262,$E$2:$E1262)</f>
        <v>7755</v>
      </c>
      <c r="H1262">
        <f t="shared" si="39"/>
        <v>0</v>
      </c>
    </row>
    <row r="1263" spans="1:8" x14ac:dyDescent="0.25">
      <c r="A1263" s="1">
        <v>44746</v>
      </c>
      <c r="B1263" t="s">
        <v>14</v>
      </c>
      <c r="C1263" t="s">
        <v>65</v>
      </c>
      <c r="D1263" t="s">
        <v>39</v>
      </c>
      <c r="E1263">
        <v>179</v>
      </c>
      <c r="F1263">
        <f t="shared" si="38"/>
        <v>626.5</v>
      </c>
      <c r="G1263">
        <f>SUMIF($D$2:$D1263,$D1263,$E$2:$E1263)</f>
        <v>6769</v>
      </c>
      <c r="H1263">
        <f t="shared" si="39"/>
        <v>0</v>
      </c>
    </row>
    <row r="1264" spans="1:8" x14ac:dyDescent="0.25">
      <c r="A1264" s="1">
        <v>44746</v>
      </c>
      <c r="B1264" t="s">
        <v>13</v>
      </c>
      <c r="C1264" t="s">
        <v>68</v>
      </c>
      <c r="D1264" t="s">
        <v>33</v>
      </c>
      <c r="E1264">
        <v>178</v>
      </c>
      <c r="F1264">
        <f t="shared" si="38"/>
        <v>569.6</v>
      </c>
      <c r="G1264">
        <f>SUMIF($D$2:$D1264,$D1264,$E$2:$E1264)</f>
        <v>10377</v>
      </c>
      <c r="H1264">
        <f t="shared" si="39"/>
        <v>0</v>
      </c>
    </row>
    <row r="1265" spans="1:8" x14ac:dyDescent="0.25">
      <c r="A1265" s="1">
        <v>44746</v>
      </c>
      <c r="B1265" t="s">
        <v>12</v>
      </c>
      <c r="C1265" t="s">
        <v>68</v>
      </c>
      <c r="D1265" t="s">
        <v>33</v>
      </c>
      <c r="E1265">
        <v>326</v>
      </c>
      <c r="F1265">
        <f t="shared" si="38"/>
        <v>880.2</v>
      </c>
      <c r="G1265">
        <f>SUMIF($D$2:$D1265,$D1265,$E$2:$E1265)</f>
        <v>10703</v>
      </c>
      <c r="H1265">
        <f t="shared" si="39"/>
        <v>0</v>
      </c>
    </row>
    <row r="1266" spans="1:8" x14ac:dyDescent="0.25">
      <c r="A1266" s="1">
        <v>44746</v>
      </c>
      <c r="B1266" t="s">
        <v>14</v>
      </c>
      <c r="C1266" t="s">
        <v>65</v>
      </c>
      <c r="D1266" t="s">
        <v>19</v>
      </c>
      <c r="E1266">
        <v>239</v>
      </c>
      <c r="F1266">
        <f t="shared" si="38"/>
        <v>836.5</v>
      </c>
      <c r="G1266">
        <f>SUMIF($D$2:$D1266,$D1266,$E$2:$E1266)</f>
        <v>4298</v>
      </c>
      <c r="H1266">
        <f t="shared" si="39"/>
        <v>0</v>
      </c>
    </row>
    <row r="1267" spans="1:8" x14ac:dyDescent="0.25">
      <c r="A1267" s="1">
        <v>44746</v>
      </c>
      <c r="B1267" t="s">
        <v>14</v>
      </c>
      <c r="C1267" t="s">
        <v>65</v>
      </c>
      <c r="D1267" t="s">
        <v>54</v>
      </c>
      <c r="E1267">
        <v>183</v>
      </c>
      <c r="F1267">
        <f t="shared" si="38"/>
        <v>640.5</v>
      </c>
      <c r="G1267">
        <f>SUMIF($D$2:$D1267,$D1267,$E$2:$E1267)</f>
        <v>8958</v>
      </c>
      <c r="H1267">
        <f t="shared" si="39"/>
        <v>0</v>
      </c>
    </row>
    <row r="1268" spans="1:8" x14ac:dyDescent="0.25">
      <c r="A1268" s="1">
        <v>44746</v>
      </c>
      <c r="B1268" t="s">
        <v>14</v>
      </c>
      <c r="C1268" t="s">
        <v>65</v>
      </c>
      <c r="D1268" t="s">
        <v>18</v>
      </c>
      <c r="E1268">
        <v>124</v>
      </c>
      <c r="F1268">
        <f t="shared" si="38"/>
        <v>434</v>
      </c>
      <c r="G1268">
        <f>SUMIF($D$2:$D1268,$D1268,$E$2:$E1268)</f>
        <v>8306</v>
      </c>
      <c r="H1268">
        <f t="shared" si="39"/>
        <v>0</v>
      </c>
    </row>
    <row r="1269" spans="1:8" x14ac:dyDescent="0.25">
      <c r="A1269" s="1">
        <v>44746</v>
      </c>
      <c r="B1269" t="s">
        <v>12</v>
      </c>
      <c r="C1269" t="s">
        <v>68</v>
      </c>
      <c r="D1269" t="s">
        <v>49</v>
      </c>
      <c r="E1269">
        <v>227</v>
      </c>
      <c r="F1269">
        <f t="shared" si="38"/>
        <v>612.90000000000009</v>
      </c>
      <c r="G1269">
        <f>SUMIF($D$2:$D1269,$D1269,$E$2:$E1269)</f>
        <v>8986</v>
      </c>
      <c r="H1269">
        <f t="shared" si="39"/>
        <v>0</v>
      </c>
    </row>
    <row r="1270" spans="1:8" x14ac:dyDescent="0.25">
      <c r="A1270" s="1">
        <v>44746</v>
      </c>
      <c r="B1270" t="s">
        <v>12</v>
      </c>
      <c r="C1270" t="s">
        <v>68</v>
      </c>
      <c r="D1270" t="s">
        <v>40</v>
      </c>
      <c r="E1270">
        <v>445</v>
      </c>
      <c r="F1270">
        <f t="shared" si="38"/>
        <v>1201.5</v>
      </c>
      <c r="G1270">
        <f>SUMIF($D$2:$D1270,$D1270,$E$2:$E1270)</f>
        <v>8217</v>
      </c>
      <c r="H1270">
        <f t="shared" si="39"/>
        <v>0</v>
      </c>
    </row>
    <row r="1271" spans="1:8" x14ac:dyDescent="0.25">
      <c r="A1271" s="1">
        <v>44746</v>
      </c>
      <c r="B1271" t="s">
        <v>12</v>
      </c>
      <c r="C1271" t="s">
        <v>68</v>
      </c>
      <c r="D1271" t="s">
        <v>18</v>
      </c>
      <c r="E1271">
        <v>407</v>
      </c>
      <c r="F1271">
        <f t="shared" si="38"/>
        <v>1098.9000000000001</v>
      </c>
      <c r="G1271">
        <f>SUMIF($D$2:$D1271,$D1271,$E$2:$E1271)</f>
        <v>8713</v>
      </c>
      <c r="H1271">
        <f t="shared" si="39"/>
        <v>0</v>
      </c>
    </row>
    <row r="1272" spans="1:8" x14ac:dyDescent="0.25">
      <c r="A1272" s="1">
        <v>44746</v>
      </c>
      <c r="B1272" t="s">
        <v>14</v>
      </c>
      <c r="C1272" t="s">
        <v>65</v>
      </c>
      <c r="D1272" t="s">
        <v>53</v>
      </c>
      <c r="E1272">
        <v>307</v>
      </c>
      <c r="F1272">
        <f t="shared" si="38"/>
        <v>1074.5</v>
      </c>
      <c r="G1272">
        <f>SUMIF($D$2:$D1272,$D1272,$E$2:$E1272)</f>
        <v>9890</v>
      </c>
      <c r="H1272">
        <f t="shared" si="39"/>
        <v>0</v>
      </c>
    </row>
    <row r="1273" spans="1:8" x14ac:dyDescent="0.25">
      <c r="A1273" s="1">
        <v>44747</v>
      </c>
      <c r="B1273" t="s">
        <v>13</v>
      </c>
      <c r="C1273" t="s">
        <v>68</v>
      </c>
      <c r="D1273" t="s">
        <v>54</v>
      </c>
      <c r="E1273">
        <v>83</v>
      </c>
      <c r="F1273">
        <f t="shared" si="38"/>
        <v>265.60000000000002</v>
      </c>
      <c r="G1273">
        <f>SUMIF($D$2:$D1273,$D1273,$E$2:$E1273)</f>
        <v>9041</v>
      </c>
      <c r="H1273">
        <f t="shared" si="39"/>
        <v>0</v>
      </c>
    </row>
    <row r="1274" spans="1:8" x14ac:dyDescent="0.25">
      <c r="A1274" s="1">
        <v>44747</v>
      </c>
      <c r="B1274" t="s">
        <v>12</v>
      </c>
      <c r="C1274" t="s">
        <v>68</v>
      </c>
      <c r="D1274" t="s">
        <v>27</v>
      </c>
      <c r="E1274">
        <v>151</v>
      </c>
      <c r="F1274">
        <f t="shared" si="38"/>
        <v>407.70000000000005</v>
      </c>
      <c r="G1274">
        <f>SUMIF($D$2:$D1274,$D1274,$E$2:$E1274)</f>
        <v>8226</v>
      </c>
      <c r="H1274">
        <f t="shared" si="39"/>
        <v>0</v>
      </c>
    </row>
    <row r="1275" spans="1:8" x14ac:dyDescent="0.25">
      <c r="A1275" s="1">
        <v>44747</v>
      </c>
      <c r="B1275" t="s">
        <v>13</v>
      </c>
      <c r="C1275" t="s">
        <v>68</v>
      </c>
      <c r="D1275" t="s">
        <v>38</v>
      </c>
      <c r="E1275">
        <v>374</v>
      </c>
      <c r="F1275">
        <f t="shared" si="38"/>
        <v>1196.8</v>
      </c>
      <c r="G1275">
        <f>SUMIF($D$2:$D1275,$D1275,$E$2:$E1275)</f>
        <v>10927</v>
      </c>
      <c r="H1275">
        <f t="shared" si="39"/>
        <v>0</v>
      </c>
    </row>
    <row r="1276" spans="1:8" x14ac:dyDescent="0.25">
      <c r="A1276" s="1">
        <v>44747</v>
      </c>
      <c r="B1276" t="s">
        <v>13</v>
      </c>
      <c r="C1276" t="s">
        <v>68</v>
      </c>
      <c r="D1276" t="s">
        <v>40</v>
      </c>
      <c r="E1276">
        <v>409</v>
      </c>
      <c r="F1276">
        <f t="shared" si="38"/>
        <v>1308.8000000000002</v>
      </c>
      <c r="G1276">
        <f>SUMIF($D$2:$D1276,$D1276,$E$2:$E1276)</f>
        <v>8626</v>
      </c>
      <c r="H1276">
        <f t="shared" si="39"/>
        <v>0</v>
      </c>
    </row>
    <row r="1277" spans="1:8" x14ac:dyDescent="0.25">
      <c r="A1277" s="1">
        <v>44747</v>
      </c>
      <c r="B1277" t="s">
        <v>12</v>
      </c>
      <c r="C1277" t="s">
        <v>68</v>
      </c>
      <c r="D1277" t="s">
        <v>21</v>
      </c>
      <c r="E1277">
        <v>179</v>
      </c>
      <c r="F1277">
        <f t="shared" si="38"/>
        <v>483.3</v>
      </c>
      <c r="G1277">
        <f>SUMIF($D$2:$D1277,$D1277,$E$2:$E1277)</f>
        <v>7934</v>
      </c>
      <c r="H1277">
        <f t="shared" si="39"/>
        <v>0</v>
      </c>
    </row>
    <row r="1278" spans="1:8" x14ac:dyDescent="0.25">
      <c r="A1278" s="1">
        <v>44747</v>
      </c>
      <c r="B1278" t="s">
        <v>13</v>
      </c>
      <c r="C1278" t="s">
        <v>68</v>
      </c>
      <c r="D1278" t="s">
        <v>61</v>
      </c>
      <c r="E1278">
        <v>103</v>
      </c>
      <c r="F1278">
        <f t="shared" si="38"/>
        <v>329.6</v>
      </c>
      <c r="G1278">
        <f>SUMIF($D$2:$D1278,$D1278,$E$2:$E1278)</f>
        <v>8705</v>
      </c>
      <c r="H1278">
        <f t="shared" si="39"/>
        <v>0</v>
      </c>
    </row>
    <row r="1279" spans="1:8" x14ac:dyDescent="0.25">
      <c r="A1279" s="1">
        <v>44747</v>
      </c>
      <c r="B1279" t="s">
        <v>12</v>
      </c>
      <c r="C1279" t="s">
        <v>68</v>
      </c>
      <c r="D1279" t="s">
        <v>56</v>
      </c>
      <c r="E1279">
        <v>152</v>
      </c>
      <c r="F1279">
        <f t="shared" si="38"/>
        <v>410.40000000000003</v>
      </c>
      <c r="G1279">
        <f>SUMIF($D$2:$D1279,$D1279,$E$2:$E1279)</f>
        <v>9081</v>
      </c>
      <c r="H1279">
        <f t="shared" si="39"/>
        <v>0</v>
      </c>
    </row>
    <row r="1280" spans="1:8" x14ac:dyDescent="0.25">
      <c r="A1280" s="1">
        <v>44747</v>
      </c>
      <c r="B1280" t="s">
        <v>14</v>
      </c>
      <c r="C1280" t="s">
        <v>65</v>
      </c>
      <c r="D1280" t="s">
        <v>33</v>
      </c>
      <c r="E1280">
        <v>74</v>
      </c>
      <c r="F1280">
        <f t="shared" si="38"/>
        <v>259</v>
      </c>
      <c r="G1280">
        <f>SUMIF($D$2:$D1280,$D1280,$E$2:$E1280)</f>
        <v>10777</v>
      </c>
      <c r="H1280">
        <f t="shared" si="39"/>
        <v>0</v>
      </c>
    </row>
    <row r="1281" spans="1:8" x14ac:dyDescent="0.25">
      <c r="A1281" s="1">
        <v>44748</v>
      </c>
      <c r="B1281" t="s">
        <v>14</v>
      </c>
      <c r="C1281" t="s">
        <v>65</v>
      </c>
      <c r="D1281" t="s">
        <v>62</v>
      </c>
      <c r="E1281">
        <v>385</v>
      </c>
      <c r="F1281">
        <f t="shared" si="38"/>
        <v>1347.5</v>
      </c>
      <c r="G1281">
        <f>SUMIF($D$2:$D1281,$D1281,$E$2:$E1281)</f>
        <v>7749</v>
      </c>
      <c r="H1281">
        <f t="shared" si="39"/>
        <v>0</v>
      </c>
    </row>
    <row r="1282" spans="1:8" x14ac:dyDescent="0.25">
      <c r="A1282" s="1">
        <v>44748</v>
      </c>
      <c r="B1282" t="s">
        <v>14</v>
      </c>
      <c r="C1282" t="s">
        <v>65</v>
      </c>
      <c r="D1282" t="s">
        <v>56</v>
      </c>
      <c r="E1282">
        <v>324</v>
      </c>
      <c r="F1282">
        <f t="shared" si="38"/>
        <v>1134</v>
      </c>
      <c r="G1282">
        <f>SUMIF($D$2:$D1282,$D1282,$E$2:$E1282)</f>
        <v>9405</v>
      </c>
      <c r="H1282">
        <f t="shared" si="39"/>
        <v>0</v>
      </c>
    </row>
    <row r="1283" spans="1:8" x14ac:dyDescent="0.25">
      <c r="A1283" s="1">
        <v>44748</v>
      </c>
      <c r="B1283" t="s">
        <v>12</v>
      </c>
      <c r="C1283" t="s">
        <v>68</v>
      </c>
      <c r="D1283" t="s">
        <v>56</v>
      </c>
      <c r="E1283">
        <v>252</v>
      </c>
      <c r="F1283">
        <f t="shared" ref="F1283:F1346" si="40">E1283* _xlfn.XLOOKUP(B1283,$I$2:$I$17,$J$2:$J$17,"0",0,1)</f>
        <v>680.40000000000009</v>
      </c>
      <c r="G1283">
        <f>SUMIF($D$2:$D1283,$D1283,$E$2:$E1283)</f>
        <v>9657</v>
      </c>
      <c r="H1283">
        <f t="shared" ref="H1283:H1346" si="41">IF(AND($G1283 &gt; 15000,$G1283 &lt; 20000),5*$E1283,IF($G1283 &gt;= 20000,10*$E1283,0))</f>
        <v>0</v>
      </c>
    </row>
    <row r="1284" spans="1:8" x14ac:dyDescent="0.25">
      <c r="A1284" s="1">
        <v>44748</v>
      </c>
      <c r="B1284" t="s">
        <v>13</v>
      </c>
      <c r="C1284" t="s">
        <v>68</v>
      </c>
      <c r="D1284" t="s">
        <v>35</v>
      </c>
      <c r="E1284">
        <v>329</v>
      </c>
      <c r="F1284">
        <f t="shared" si="40"/>
        <v>1052.8</v>
      </c>
      <c r="G1284">
        <f>SUMIF($D$2:$D1284,$D1284,$E$2:$E1284)</f>
        <v>7726</v>
      </c>
      <c r="H1284">
        <f t="shared" si="41"/>
        <v>0</v>
      </c>
    </row>
    <row r="1285" spans="1:8" x14ac:dyDescent="0.25">
      <c r="A1285" s="1">
        <v>44748</v>
      </c>
      <c r="B1285" t="s">
        <v>13</v>
      </c>
      <c r="C1285" t="s">
        <v>68</v>
      </c>
      <c r="D1285" t="s">
        <v>48</v>
      </c>
      <c r="E1285">
        <v>239</v>
      </c>
      <c r="F1285">
        <f t="shared" si="40"/>
        <v>764.80000000000007</v>
      </c>
      <c r="G1285">
        <f>SUMIF($D$2:$D1285,$D1285,$E$2:$E1285)</f>
        <v>6319</v>
      </c>
      <c r="H1285">
        <f t="shared" si="41"/>
        <v>0</v>
      </c>
    </row>
    <row r="1286" spans="1:8" x14ac:dyDescent="0.25">
      <c r="A1286" s="1">
        <v>44748</v>
      </c>
      <c r="B1286" t="s">
        <v>13</v>
      </c>
      <c r="C1286" t="s">
        <v>68</v>
      </c>
      <c r="D1286" t="s">
        <v>16</v>
      </c>
      <c r="E1286">
        <v>433</v>
      </c>
      <c r="F1286">
        <f t="shared" si="40"/>
        <v>1385.6000000000001</v>
      </c>
      <c r="G1286">
        <f>SUMIF($D$2:$D1286,$D1286,$E$2:$E1286)</f>
        <v>8945</v>
      </c>
      <c r="H1286">
        <f t="shared" si="41"/>
        <v>0</v>
      </c>
    </row>
    <row r="1287" spans="1:8" x14ac:dyDescent="0.25">
      <c r="A1287" s="1">
        <v>44748</v>
      </c>
      <c r="B1287" t="s">
        <v>12</v>
      </c>
      <c r="C1287" t="s">
        <v>68</v>
      </c>
      <c r="D1287" t="s">
        <v>51</v>
      </c>
      <c r="E1287">
        <v>240</v>
      </c>
      <c r="F1287">
        <f t="shared" si="40"/>
        <v>648</v>
      </c>
      <c r="G1287">
        <f>SUMIF($D$2:$D1287,$D1287,$E$2:$E1287)</f>
        <v>11900</v>
      </c>
      <c r="H1287">
        <f t="shared" si="41"/>
        <v>0</v>
      </c>
    </row>
    <row r="1288" spans="1:8" x14ac:dyDescent="0.25">
      <c r="A1288" s="1">
        <v>44748</v>
      </c>
      <c r="B1288" t="s">
        <v>14</v>
      </c>
      <c r="C1288" t="s">
        <v>65</v>
      </c>
      <c r="D1288" t="s">
        <v>50</v>
      </c>
      <c r="E1288">
        <v>60</v>
      </c>
      <c r="F1288">
        <f t="shared" si="40"/>
        <v>210</v>
      </c>
      <c r="G1288">
        <f>SUMIF($D$2:$D1288,$D1288,$E$2:$E1288)</f>
        <v>5721</v>
      </c>
      <c r="H1288">
        <f t="shared" si="41"/>
        <v>0</v>
      </c>
    </row>
    <row r="1289" spans="1:8" x14ac:dyDescent="0.25">
      <c r="A1289" s="1">
        <v>44749</v>
      </c>
      <c r="B1289" t="s">
        <v>14</v>
      </c>
      <c r="C1289" t="s">
        <v>65</v>
      </c>
      <c r="D1289" t="s">
        <v>25</v>
      </c>
      <c r="E1289">
        <v>182</v>
      </c>
      <c r="F1289">
        <f t="shared" si="40"/>
        <v>637</v>
      </c>
      <c r="G1289">
        <f>SUMIF($D$2:$D1289,$D1289,$E$2:$E1289)</f>
        <v>7953</v>
      </c>
      <c r="H1289">
        <f t="shared" si="41"/>
        <v>0</v>
      </c>
    </row>
    <row r="1290" spans="1:8" x14ac:dyDescent="0.25">
      <c r="A1290" s="1">
        <v>44749</v>
      </c>
      <c r="B1290" t="s">
        <v>12</v>
      </c>
      <c r="C1290" t="s">
        <v>68</v>
      </c>
      <c r="D1290" t="s">
        <v>47</v>
      </c>
      <c r="E1290">
        <v>213</v>
      </c>
      <c r="F1290">
        <f t="shared" si="40"/>
        <v>575.1</v>
      </c>
      <c r="G1290">
        <f>SUMIF($D$2:$D1290,$D1290,$E$2:$E1290)</f>
        <v>6007</v>
      </c>
      <c r="H1290">
        <f t="shared" si="41"/>
        <v>0</v>
      </c>
    </row>
    <row r="1291" spans="1:8" x14ac:dyDescent="0.25">
      <c r="A1291" s="1">
        <v>44749</v>
      </c>
      <c r="B1291" t="s">
        <v>12</v>
      </c>
      <c r="C1291" t="s">
        <v>68</v>
      </c>
      <c r="D1291" t="s">
        <v>36</v>
      </c>
      <c r="E1291">
        <v>329</v>
      </c>
      <c r="F1291">
        <f t="shared" si="40"/>
        <v>888.30000000000007</v>
      </c>
      <c r="G1291">
        <f>SUMIF($D$2:$D1291,$D1291,$E$2:$E1291)</f>
        <v>9001</v>
      </c>
      <c r="H1291">
        <f t="shared" si="41"/>
        <v>0</v>
      </c>
    </row>
    <row r="1292" spans="1:8" x14ac:dyDescent="0.25">
      <c r="A1292" s="1">
        <v>44749</v>
      </c>
      <c r="B1292" t="s">
        <v>12</v>
      </c>
      <c r="C1292" t="s">
        <v>68</v>
      </c>
      <c r="D1292" t="s">
        <v>40</v>
      </c>
      <c r="E1292">
        <v>442</v>
      </c>
      <c r="F1292">
        <f t="shared" si="40"/>
        <v>1193.4000000000001</v>
      </c>
      <c r="G1292">
        <f>SUMIF($D$2:$D1292,$D1292,$E$2:$E1292)</f>
        <v>9068</v>
      </c>
      <c r="H1292">
        <f t="shared" si="41"/>
        <v>0</v>
      </c>
    </row>
    <row r="1293" spans="1:8" x14ac:dyDescent="0.25">
      <c r="A1293" s="1">
        <v>44750</v>
      </c>
      <c r="B1293" t="s">
        <v>14</v>
      </c>
      <c r="C1293" t="s">
        <v>65</v>
      </c>
      <c r="D1293" t="s">
        <v>53</v>
      </c>
      <c r="E1293">
        <v>317</v>
      </c>
      <c r="F1293">
        <f t="shared" si="40"/>
        <v>1109.5</v>
      </c>
      <c r="G1293">
        <f>SUMIF($D$2:$D1293,$D1293,$E$2:$E1293)</f>
        <v>10207</v>
      </c>
      <c r="H1293">
        <f t="shared" si="41"/>
        <v>0</v>
      </c>
    </row>
    <row r="1294" spans="1:8" x14ac:dyDescent="0.25">
      <c r="A1294" s="1">
        <v>44750</v>
      </c>
      <c r="B1294" t="s">
        <v>12</v>
      </c>
      <c r="C1294" t="s">
        <v>68</v>
      </c>
      <c r="D1294" t="s">
        <v>47</v>
      </c>
      <c r="E1294">
        <v>441</v>
      </c>
      <c r="F1294">
        <f t="shared" si="40"/>
        <v>1190.7</v>
      </c>
      <c r="G1294">
        <f>SUMIF($D$2:$D1294,$D1294,$E$2:$E1294)</f>
        <v>6448</v>
      </c>
      <c r="H1294">
        <f t="shared" si="41"/>
        <v>0</v>
      </c>
    </row>
    <row r="1295" spans="1:8" x14ac:dyDescent="0.25">
      <c r="A1295" s="1">
        <v>44750</v>
      </c>
      <c r="B1295" t="s">
        <v>14</v>
      </c>
      <c r="C1295" t="s">
        <v>65</v>
      </c>
      <c r="D1295" t="s">
        <v>30</v>
      </c>
      <c r="E1295">
        <v>228</v>
      </c>
      <c r="F1295">
        <f t="shared" si="40"/>
        <v>798</v>
      </c>
      <c r="G1295">
        <f>SUMIF($D$2:$D1295,$D1295,$E$2:$E1295)</f>
        <v>8644</v>
      </c>
      <c r="H1295">
        <f t="shared" si="41"/>
        <v>0</v>
      </c>
    </row>
    <row r="1296" spans="1:8" x14ac:dyDescent="0.25">
      <c r="A1296" s="1">
        <v>44750</v>
      </c>
      <c r="B1296" t="s">
        <v>14</v>
      </c>
      <c r="C1296" t="s">
        <v>65</v>
      </c>
      <c r="D1296" t="s">
        <v>51</v>
      </c>
      <c r="E1296">
        <v>233</v>
      </c>
      <c r="F1296">
        <f t="shared" si="40"/>
        <v>815.5</v>
      </c>
      <c r="G1296">
        <f>SUMIF($D$2:$D1296,$D1296,$E$2:$E1296)</f>
        <v>12133</v>
      </c>
      <c r="H1296">
        <f t="shared" si="41"/>
        <v>0</v>
      </c>
    </row>
    <row r="1297" spans="1:8" x14ac:dyDescent="0.25">
      <c r="A1297" s="1">
        <v>44750</v>
      </c>
      <c r="B1297" t="s">
        <v>13</v>
      </c>
      <c r="C1297" t="s">
        <v>68</v>
      </c>
      <c r="D1297" t="s">
        <v>41</v>
      </c>
      <c r="E1297">
        <v>85</v>
      </c>
      <c r="F1297">
        <f t="shared" si="40"/>
        <v>272</v>
      </c>
      <c r="G1297">
        <f>SUMIF($D$2:$D1297,$D1297,$E$2:$E1297)</f>
        <v>8000</v>
      </c>
      <c r="H1297">
        <f t="shared" si="41"/>
        <v>0</v>
      </c>
    </row>
    <row r="1298" spans="1:8" x14ac:dyDescent="0.25">
      <c r="A1298" s="1">
        <v>44751</v>
      </c>
      <c r="B1298" t="s">
        <v>14</v>
      </c>
      <c r="C1298" t="s">
        <v>65</v>
      </c>
      <c r="D1298" t="s">
        <v>50</v>
      </c>
      <c r="E1298">
        <v>215</v>
      </c>
      <c r="F1298">
        <f t="shared" si="40"/>
        <v>752.5</v>
      </c>
      <c r="G1298">
        <f>SUMIF($D$2:$D1298,$D1298,$E$2:$E1298)</f>
        <v>5936</v>
      </c>
      <c r="H1298">
        <f t="shared" si="41"/>
        <v>0</v>
      </c>
    </row>
    <row r="1299" spans="1:8" x14ac:dyDescent="0.25">
      <c r="A1299" s="1">
        <v>44751</v>
      </c>
      <c r="B1299" t="s">
        <v>12</v>
      </c>
      <c r="C1299" t="s">
        <v>68</v>
      </c>
      <c r="D1299" t="s">
        <v>66</v>
      </c>
      <c r="E1299">
        <v>58</v>
      </c>
      <c r="F1299">
        <f t="shared" si="40"/>
        <v>156.60000000000002</v>
      </c>
      <c r="G1299">
        <f>SUMIF($D$2:$D1299,$D1299,$E$2:$E1299)</f>
        <v>7142</v>
      </c>
      <c r="H1299">
        <f t="shared" si="41"/>
        <v>0</v>
      </c>
    </row>
    <row r="1300" spans="1:8" x14ac:dyDescent="0.25">
      <c r="A1300" s="1">
        <v>44751</v>
      </c>
      <c r="B1300" t="s">
        <v>14</v>
      </c>
      <c r="C1300" t="s">
        <v>65</v>
      </c>
      <c r="D1300" t="s">
        <v>39</v>
      </c>
      <c r="E1300">
        <v>161</v>
      </c>
      <c r="F1300">
        <f t="shared" si="40"/>
        <v>563.5</v>
      </c>
      <c r="G1300">
        <f>SUMIF($D$2:$D1300,$D1300,$E$2:$E1300)</f>
        <v>6930</v>
      </c>
      <c r="H1300">
        <f t="shared" si="41"/>
        <v>0</v>
      </c>
    </row>
    <row r="1301" spans="1:8" x14ac:dyDescent="0.25">
      <c r="A1301" s="1">
        <v>44751</v>
      </c>
      <c r="B1301" t="s">
        <v>14</v>
      </c>
      <c r="C1301" t="s">
        <v>65</v>
      </c>
      <c r="D1301" t="s">
        <v>21</v>
      </c>
      <c r="E1301">
        <v>479</v>
      </c>
      <c r="F1301">
        <f t="shared" si="40"/>
        <v>1676.5</v>
      </c>
      <c r="G1301">
        <f>SUMIF($D$2:$D1301,$D1301,$E$2:$E1301)</f>
        <v>8413</v>
      </c>
      <c r="H1301">
        <f t="shared" si="41"/>
        <v>0</v>
      </c>
    </row>
    <row r="1302" spans="1:8" x14ac:dyDescent="0.25">
      <c r="A1302" s="1">
        <v>44753</v>
      </c>
      <c r="B1302" t="s">
        <v>14</v>
      </c>
      <c r="C1302" t="s">
        <v>65</v>
      </c>
      <c r="D1302" t="s">
        <v>61</v>
      </c>
      <c r="E1302">
        <v>147</v>
      </c>
      <c r="F1302">
        <f t="shared" si="40"/>
        <v>514.5</v>
      </c>
      <c r="G1302">
        <f>SUMIF($D$2:$D1302,$D1302,$E$2:$E1302)</f>
        <v>8852</v>
      </c>
      <c r="H1302">
        <f t="shared" si="41"/>
        <v>0</v>
      </c>
    </row>
    <row r="1303" spans="1:8" x14ac:dyDescent="0.25">
      <c r="A1303" s="1">
        <v>44753</v>
      </c>
      <c r="B1303" t="s">
        <v>14</v>
      </c>
      <c r="C1303" t="s">
        <v>65</v>
      </c>
      <c r="D1303" t="s">
        <v>57</v>
      </c>
      <c r="E1303">
        <v>223</v>
      </c>
      <c r="F1303">
        <f t="shared" si="40"/>
        <v>780.5</v>
      </c>
      <c r="G1303">
        <f>SUMIF($D$2:$D1303,$D1303,$E$2:$E1303)</f>
        <v>10323</v>
      </c>
      <c r="H1303">
        <f t="shared" si="41"/>
        <v>0</v>
      </c>
    </row>
    <row r="1304" spans="1:8" x14ac:dyDescent="0.25">
      <c r="A1304" s="1">
        <v>44753</v>
      </c>
      <c r="B1304" t="s">
        <v>13</v>
      </c>
      <c r="C1304" t="s">
        <v>68</v>
      </c>
      <c r="D1304" t="s">
        <v>28</v>
      </c>
      <c r="E1304">
        <v>62</v>
      </c>
      <c r="F1304">
        <f t="shared" si="40"/>
        <v>198.4</v>
      </c>
      <c r="G1304">
        <f>SUMIF($D$2:$D1304,$D1304,$E$2:$E1304)</f>
        <v>7826</v>
      </c>
      <c r="H1304">
        <f t="shared" si="41"/>
        <v>0</v>
      </c>
    </row>
    <row r="1305" spans="1:8" x14ac:dyDescent="0.25">
      <c r="A1305" s="1">
        <v>44753</v>
      </c>
      <c r="B1305" t="s">
        <v>14</v>
      </c>
      <c r="C1305" t="s">
        <v>65</v>
      </c>
      <c r="D1305" t="s">
        <v>45</v>
      </c>
      <c r="E1305">
        <v>163</v>
      </c>
      <c r="F1305">
        <f t="shared" si="40"/>
        <v>570.5</v>
      </c>
      <c r="G1305">
        <f>SUMIF($D$2:$D1305,$D1305,$E$2:$E1305)</f>
        <v>6875</v>
      </c>
      <c r="H1305">
        <f t="shared" si="41"/>
        <v>0</v>
      </c>
    </row>
    <row r="1306" spans="1:8" x14ac:dyDescent="0.25">
      <c r="A1306" s="1">
        <v>44753</v>
      </c>
      <c r="B1306" t="s">
        <v>14</v>
      </c>
      <c r="C1306" t="s">
        <v>65</v>
      </c>
      <c r="D1306" t="s">
        <v>45</v>
      </c>
      <c r="E1306">
        <v>463</v>
      </c>
      <c r="F1306">
        <f t="shared" si="40"/>
        <v>1620.5</v>
      </c>
      <c r="G1306">
        <f>SUMIF($D$2:$D1306,$D1306,$E$2:$E1306)</f>
        <v>7338</v>
      </c>
      <c r="H1306">
        <f t="shared" si="41"/>
        <v>0</v>
      </c>
    </row>
    <row r="1307" spans="1:8" x14ac:dyDescent="0.25">
      <c r="A1307" s="1">
        <v>44753</v>
      </c>
      <c r="B1307" t="s">
        <v>13</v>
      </c>
      <c r="C1307" t="s">
        <v>68</v>
      </c>
      <c r="D1307" t="s">
        <v>60</v>
      </c>
      <c r="E1307">
        <v>353</v>
      </c>
      <c r="F1307">
        <f t="shared" si="40"/>
        <v>1129.6000000000001</v>
      </c>
      <c r="G1307">
        <f>SUMIF($D$2:$D1307,$D1307,$E$2:$E1307)</f>
        <v>10267</v>
      </c>
      <c r="H1307">
        <f t="shared" si="41"/>
        <v>0</v>
      </c>
    </row>
    <row r="1308" spans="1:8" x14ac:dyDescent="0.25">
      <c r="A1308" s="1">
        <v>44753</v>
      </c>
      <c r="B1308" t="s">
        <v>12</v>
      </c>
      <c r="C1308" t="s">
        <v>68</v>
      </c>
      <c r="D1308" t="s">
        <v>59</v>
      </c>
      <c r="E1308">
        <v>427</v>
      </c>
      <c r="F1308">
        <f t="shared" si="40"/>
        <v>1152.9000000000001</v>
      </c>
      <c r="G1308">
        <f>SUMIF($D$2:$D1308,$D1308,$E$2:$E1308)</f>
        <v>6167</v>
      </c>
      <c r="H1308">
        <f t="shared" si="41"/>
        <v>0</v>
      </c>
    </row>
    <row r="1309" spans="1:8" x14ac:dyDescent="0.25">
      <c r="A1309" s="1">
        <v>44753</v>
      </c>
      <c r="B1309" t="s">
        <v>13</v>
      </c>
      <c r="C1309" t="s">
        <v>68</v>
      </c>
      <c r="D1309" t="s">
        <v>47</v>
      </c>
      <c r="E1309">
        <v>149</v>
      </c>
      <c r="F1309">
        <f t="shared" si="40"/>
        <v>476.8</v>
      </c>
      <c r="G1309">
        <f>SUMIF($D$2:$D1309,$D1309,$E$2:$E1309)</f>
        <v>6597</v>
      </c>
      <c r="H1309">
        <f t="shared" si="41"/>
        <v>0</v>
      </c>
    </row>
    <row r="1310" spans="1:8" x14ac:dyDescent="0.25">
      <c r="A1310" s="1">
        <v>44753</v>
      </c>
      <c r="B1310" t="s">
        <v>14</v>
      </c>
      <c r="C1310" t="s">
        <v>65</v>
      </c>
      <c r="D1310" t="s">
        <v>35</v>
      </c>
      <c r="E1310">
        <v>69</v>
      </c>
      <c r="F1310">
        <f t="shared" si="40"/>
        <v>241.5</v>
      </c>
      <c r="G1310">
        <f>SUMIF($D$2:$D1310,$D1310,$E$2:$E1310)</f>
        <v>7795</v>
      </c>
      <c r="H1310">
        <f t="shared" si="41"/>
        <v>0</v>
      </c>
    </row>
    <row r="1311" spans="1:8" x14ac:dyDescent="0.25">
      <c r="A1311" s="1">
        <v>44753</v>
      </c>
      <c r="B1311" t="s">
        <v>13</v>
      </c>
      <c r="C1311" t="s">
        <v>68</v>
      </c>
      <c r="D1311" t="s">
        <v>66</v>
      </c>
      <c r="E1311">
        <v>310</v>
      </c>
      <c r="F1311">
        <f t="shared" si="40"/>
        <v>992</v>
      </c>
      <c r="G1311">
        <f>SUMIF($D$2:$D1311,$D1311,$E$2:$E1311)</f>
        <v>7452</v>
      </c>
      <c r="H1311">
        <f t="shared" si="41"/>
        <v>0</v>
      </c>
    </row>
    <row r="1312" spans="1:8" x14ac:dyDescent="0.25">
      <c r="A1312" s="1">
        <v>44753</v>
      </c>
      <c r="B1312" t="s">
        <v>12</v>
      </c>
      <c r="C1312" t="s">
        <v>68</v>
      </c>
      <c r="D1312" t="s">
        <v>18</v>
      </c>
      <c r="E1312">
        <v>155</v>
      </c>
      <c r="F1312">
        <f t="shared" si="40"/>
        <v>418.5</v>
      </c>
      <c r="G1312">
        <f>SUMIF($D$2:$D1312,$D1312,$E$2:$E1312)</f>
        <v>8868</v>
      </c>
      <c r="H1312">
        <f t="shared" si="41"/>
        <v>0</v>
      </c>
    </row>
    <row r="1313" spans="1:8" x14ac:dyDescent="0.25">
      <c r="A1313" s="1">
        <v>44753</v>
      </c>
      <c r="B1313" t="s">
        <v>12</v>
      </c>
      <c r="C1313" t="s">
        <v>68</v>
      </c>
      <c r="D1313" t="s">
        <v>16</v>
      </c>
      <c r="E1313">
        <v>231</v>
      </c>
      <c r="F1313">
        <f t="shared" si="40"/>
        <v>623.70000000000005</v>
      </c>
      <c r="G1313">
        <f>SUMIF($D$2:$D1313,$D1313,$E$2:$E1313)</f>
        <v>9176</v>
      </c>
      <c r="H1313">
        <f t="shared" si="41"/>
        <v>0</v>
      </c>
    </row>
    <row r="1314" spans="1:8" x14ac:dyDescent="0.25">
      <c r="A1314" s="1">
        <v>44753</v>
      </c>
      <c r="B1314" t="s">
        <v>12</v>
      </c>
      <c r="C1314" t="s">
        <v>68</v>
      </c>
      <c r="D1314" t="s">
        <v>50</v>
      </c>
      <c r="E1314">
        <v>170</v>
      </c>
      <c r="F1314">
        <f t="shared" si="40"/>
        <v>459.00000000000006</v>
      </c>
      <c r="G1314">
        <f>SUMIF($D$2:$D1314,$D1314,$E$2:$E1314)</f>
        <v>6106</v>
      </c>
      <c r="H1314">
        <f t="shared" si="41"/>
        <v>0</v>
      </c>
    </row>
    <row r="1315" spans="1:8" x14ac:dyDescent="0.25">
      <c r="A1315" s="1">
        <v>44754</v>
      </c>
      <c r="B1315" t="s">
        <v>13</v>
      </c>
      <c r="C1315" t="s">
        <v>68</v>
      </c>
      <c r="D1315" t="s">
        <v>36</v>
      </c>
      <c r="E1315">
        <v>342</v>
      </c>
      <c r="F1315">
        <f t="shared" si="40"/>
        <v>1094.4000000000001</v>
      </c>
      <c r="G1315">
        <f>SUMIF($D$2:$D1315,$D1315,$E$2:$E1315)</f>
        <v>9343</v>
      </c>
      <c r="H1315">
        <f t="shared" si="41"/>
        <v>0</v>
      </c>
    </row>
    <row r="1316" spans="1:8" x14ac:dyDescent="0.25">
      <c r="A1316" s="1">
        <v>44754</v>
      </c>
      <c r="B1316" t="s">
        <v>12</v>
      </c>
      <c r="C1316" t="s">
        <v>68</v>
      </c>
      <c r="D1316" t="s">
        <v>39</v>
      </c>
      <c r="E1316">
        <v>343</v>
      </c>
      <c r="F1316">
        <f t="shared" si="40"/>
        <v>926.1</v>
      </c>
      <c r="G1316">
        <f>SUMIF($D$2:$D1316,$D1316,$E$2:$E1316)</f>
        <v>7273</v>
      </c>
      <c r="H1316">
        <f t="shared" si="41"/>
        <v>0</v>
      </c>
    </row>
    <row r="1317" spans="1:8" x14ac:dyDescent="0.25">
      <c r="A1317" s="1">
        <v>44754</v>
      </c>
      <c r="B1317" t="s">
        <v>12</v>
      </c>
      <c r="C1317" t="s">
        <v>68</v>
      </c>
      <c r="D1317" t="s">
        <v>37</v>
      </c>
      <c r="E1317">
        <v>221</v>
      </c>
      <c r="F1317">
        <f t="shared" si="40"/>
        <v>596.70000000000005</v>
      </c>
      <c r="G1317">
        <f>SUMIF($D$2:$D1317,$D1317,$E$2:$E1317)</f>
        <v>9454</v>
      </c>
      <c r="H1317">
        <f t="shared" si="41"/>
        <v>0</v>
      </c>
    </row>
    <row r="1318" spans="1:8" x14ac:dyDescent="0.25">
      <c r="A1318" s="1">
        <v>44754</v>
      </c>
      <c r="B1318" t="s">
        <v>13</v>
      </c>
      <c r="C1318" t="s">
        <v>68</v>
      </c>
      <c r="D1318" t="s">
        <v>40</v>
      </c>
      <c r="E1318">
        <v>405</v>
      </c>
      <c r="F1318">
        <f t="shared" si="40"/>
        <v>1296</v>
      </c>
      <c r="G1318">
        <f>SUMIF($D$2:$D1318,$D1318,$E$2:$E1318)</f>
        <v>9473</v>
      </c>
      <c r="H1318">
        <f t="shared" si="41"/>
        <v>0</v>
      </c>
    </row>
    <row r="1319" spans="1:8" x14ac:dyDescent="0.25">
      <c r="A1319" s="1">
        <v>44754</v>
      </c>
      <c r="B1319" t="s">
        <v>14</v>
      </c>
      <c r="C1319" t="s">
        <v>65</v>
      </c>
      <c r="D1319" t="s">
        <v>55</v>
      </c>
      <c r="E1319">
        <v>238</v>
      </c>
      <c r="F1319">
        <f t="shared" si="40"/>
        <v>833</v>
      </c>
      <c r="G1319">
        <f>SUMIF($D$2:$D1319,$D1319,$E$2:$E1319)</f>
        <v>8277</v>
      </c>
      <c r="H1319">
        <f t="shared" si="41"/>
        <v>0</v>
      </c>
    </row>
    <row r="1320" spans="1:8" x14ac:dyDescent="0.25">
      <c r="A1320" s="1">
        <v>44754</v>
      </c>
      <c r="B1320" t="s">
        <v>14</v>
      </c>
      <c r="C1320" t="s">
        <v>65</v>
      </c>
      <c r="D1320" t="s">
        <v>36</v>
      </c>
      <c r="E1320">
        <v>497</v>
      </c>
      <c r="F1320">
        <f t="shared" si="40"/>
        <v>1739.5</v>
      </c>
      <c r="G1320">
        <f>SUMIF($D$2:$D1320,$D1320,$E$2:$E1320)</f>
        <v>9840</v>
      </c>
      <c r="H1320">
        <f t="shared" si="41"/>
        <v>0</v>
      </c>
    </row>
    <row r="1321" spans="1:8" x14ac:dyDescent="0.25">
      <c r="A1321" s="1">
        <v>44755</v>
      </c>
      <c r="B1321" t="s">
        <v>12</v>
      </c>
      <c r="C1321" t="s">
        <v>68</v>
      </c>
      <c r="D1321" t="s">
        <v>20</v>
      </c>
      <c r="E1321">
        <v>438</v>
      </c>
      <c r="F1321">
        <f t="shared" si="40"/>
        <v>1182.6000000000001</v>
      </c>
      <c r="G1321">
        <f>SUMIF($D$2:$D1321,$D1321,$E$2:$E1321)</f>
        <v>7903</v>
      </c>
      <c r="H1321">
        <f t="shared" si="41"/>
        <v>0</v>
      </c>
    </row>
    <row r="1322" spans="1:8" x14ac:dyDescent="0.25">
      <c r="A1322" s="1">
        <v>44755</v>
      </c>
      <c r="B1322" t="s">
        <v>12</v>
      </c>
      <c r="C1322" t="s">
        <v>68</v>
      </c>
      <c r="D1322" t="s">
        <v>44</v>
      </c>
      <c r="E1322">
        <v>150</v>
      </c>
      <c r="F1322">
        <f t="shared" si="40"/>
        <v>405</v>
      </c>
      <c r="G1322">
        <f>SUMIF($D$2:$D1322,$D1322,$E$2:$E1322)</f>
        <v>10055</v>
      </c>
      <c r="H1322">
        <f t="shared" si="41"/>
        <v>0</v>
      </c>
    </row>
    <row r="1323" spans="1:8" x14ac:dyDescent="0.25">
      <c r="A1323" s="1">
        <v>44755</v>
      </c>
      <c r="B1323" t="s">
        <v>14</v>
      </c>
      <c r="C1323" t="s">
        <v>65</v>
      </c>
      <c r="D1323" t="s">
        <v>34</v>
      </c>
      <c r="E1323">
        <v>396</v>
      </c>
      <c r="F1323">
        <f t="shared" si="40"/>
        <v>1386</v>
      </c>
      <c r="G1323">
        <f>SUMIF($D$2:$D1323,$D1323,$E$2:$E1323)</f>
        <v>8919</v>
      </c>
      <c r="H1323">
        <f t="shared" si="41"/>
        <v>0</v>
      </c>
    </row>
    <row r="1324" spans="1:8" x14ac:dyDescent="0.25">
      <c r="A1324" s="1">
        <v>44755</v>
      </c>
      <c r="B1324" t="s">
        <v>14</v>
      </c>
      <c r="C1324" t="s">
        <v>65</v>
      </c>
      <c r="D1324" t="s">
        <v>52</v>
      </c>
      <c r="E1324">
        <v>233</v>
      </c>
      <c r="F1324">
        <f t="shared" si="40"/>
        <v>815.5</v>
      </c>
      <c r="G1324">
        <f>SUMIF($D$2:$D1324,$D1324,$E$2:$E1324)</f>
        <v>8484</v>
      </c>
      <c r="H1324">
        <f t="shared" si="41"/>
        <v>0</v>
      </c>
    </row>
    <row r="1325" spans="1:8" x14ac:dyDescent="0.25">
      <c r="A1325" s="1">
        <v>44755</v>
      </c>
      <c r="B1325" t="s">
        <v>14</v>
      </c>
      <c r="C1325" t="s">
        <v>65</v>
      </c>
      <c r="D1325" t="s">
        <v>26</v>
      </c>
      <c r="E1325">
        <v>104</v>
      </c>
      <c r="F1325">
        <f t="shared" si="40"/>
        <v>364</v>
      </c>
      <c r="G1325">
        <f>SUMIF($D$2:$D1325,$D1325,$E$2:$E1325)</f>
        <v>11840</v>
      </c>
      <c r="H1325">
        <f t="shared" si="41"/>
        <v>0</v>
      </c>
    </row>
    <row r="1326" spans="1:8" x14ac:dyDescent="0.25">
      <c r="A1326" s="1">
        <v>44755</v>
      </c>
      <c r="B1326" t="s">
        <v>14</v>
      </c>
      <c r="C1326" t="s">
        <v>65</v>
      </c>
      <c r="D1326" t="s">
        <v>49</v>
      </c>
      <c r="E1326">
        <v>236</v>
      </c>
      <c r="F1326">
        <f t="shared" si="40"/>
        <v>826</v>
      </c>
      <c r="G1326">
        <f>SUMIF($D$2:$D1326,$D1326,$E$2:$E1326)</f>
        <v>9222</v>
      </c>
      <c r="H1326">
        <f t="shared" si="41"/>
        <v>0</v>
      </c>
    </row>
    <row r="1327" spans="1:8" x14ac:dyDescent="0.25">
      <c r="A1327" s="1">
        <v>44755</v>
      </c>
      <c r="B1327" t="s">
        <v>13</v>
      </c>
      <c r="C1327" t="s">
        <v>68</v>
      </c>
      <c r="D1327" t="s">
        <v>37</v>
      </c>
      <c r="E1327">
        <v>276</v>
      </c>
      <c r="F1327">
        <f t="shared" si="40"/>
        <v>883.2</v>
      </c>
      <c r="G1327">
        <f>SUMIF($D$2:$D1327,$D1327,$E$2:$E1327)</f>
        <v>9730</v>
      </c>
      <c r="H1327">
        <f t="shared" si="41"/>
        <v>0</v>
      </c>
    </row>
    <row r="1328" spans="1:8" x14ac:dyDescent="0.25">
      <c r="A1328" s="1">
        <v>44756</v>
      </c>
      <c r="B1328" t="s">
        <v>13</v>
      </c>
      <c r="C1328" t="s">
        <v>68</v>
      </c>
      <c r="D1328" t="s">
        <v>50</v>
      </c>
      <c r="E1328">
        <v>130</v>
      </c>
      <c r="F1328">
        <f t="shared" si="40"/>
        <v>416</v>
      </c>
      <c r="G1328">
        <f>SUMIF($D$2:$D1328,$D1328,$E$2:$E1328)</f>
        <v>6236</v>
      </c>
      <c r="H1328">
        <f t="shared" si="41"/>
        <v>0</v>
      </c>
    </row>
    <row r="1329" spans="1:8" x14ac:dyDescent="0.25">
      <c r="A1329" s="1">
        <v>44756</v>
      </c>
      <c r="B1329" t="s">
        <v>12</v>
      </c>
      <c r="C1329" t="s">
        <v>68</v>
      </c>
      <c r="D1329" t="s">
        <v>28</v>
      </c>
      <c r="E1329">
        <v>275</v>
      </c>
      <c r="F1329">
        <f t="shared" si="40"/>
        <v>742.5</v>
      </c>
      <c r="G1329">
        <f>SUMIF($D$2:$D1329,$D1329,$E$2:$E1329)</f>
        <v>8101</v>
      </c>
      <c r="H1329">
        <f t="shared" si="41"/>
        <v>0</v>
      </c>
    </row>
    <row r="1330" spans="1:8" x14ac:dyDescent="0.25">
      <c r="A1330" s="1">
        <v>44756</v>
      </c>
      <c r="B1330" t="s">
        <v>12</v>
      </c>
      <c r="C1330" t="s">
        <v>68</v>
      </c>
      <c r="D1330" t="s">
        <v>64</v>
      </c>
      <c r="E1330">
        <v>373</v>
      </c>
      <c r="F1330">
        <f t="shared" si="40"/>
        <v>1007.1</v>
      </c>
      <c r="G1330">
        <f>SUMIF($D$2:$D1330,$D1330,$E$2:$E1330)</f>
        <v>8280</v>
      </c>
      <c r="H1330">
        <f t="shared" si="41"/>
        <v>0</v>
      </c>
    </row>
    <row r="1331" spans="1:8" x14ac:dyDescent="0.25">
      <c r="A1331" s="1">
        <v>44756</v>
      </c>
      <c r="B1331" t="s">
        <v>14</v>
      </c>
      <c r="C1331" t="s">
        <v>65</v>
      </c>
      <c r="D1331" t="s">
        <v>54</v>
      </c>
      <c r="E1331">
        <v>408</v>
      </c>
      <c r="F1331">
        <f t="shared" si="40"/>
        <v>1428</v>
      </c>
      <c r="G1331">
        <f>SUMIF($D$2:$D1331,$D1331,$E$2:$E1331)</f>
        <v>9449</v>
      </c>
      <c r="H1331">
        <f t="shared" si="41"/>
        <v>0</v>
      </c>
    </row>
    <row r="1332" spans="1:8" x14ac:dyDescent="0.25">
      <c r="A1332" s="1">
        <v>44757</v>
      </c>
      <c r="B1332" t="s">
        <v>13</v>
      </c>
      <c r="C1332" t="s">
        <v>68</v>
      </c>
      <c r="D1332" t="s">
        <v>18</v>
      </c>
      <c r="E1332">
        <v>414</v>
      </c>
      <c r="F1332">
        <f t="shared" si="40"/>
        <v>1324.8000000000002</v>
      </c>
      <c r="G1332">
        <f>SUMIF($D$2:$D1332,$D1332,$E$2:$E1332)</f>
        <v>9282</v>
      </c>
      <c r="H1332">
        <f t="shared" si="41"/>
        <v>0</v>
      </c>
    </row>
    <row r="1333" spans="1:8" x14ac:dyDescent="0.25">
      <c r="A1333" s="1">
        <v>44757</v>
      </c>
      <c r="B1333" t="s">
        <v>12</v>
      </c>
      <c r="C1333" t="s">
        <v>68</v>
      </c>
      <c r="D1333" t="s">
        <v>33</v>
      </c>
      <c r="E1333">
        <v>313</v>
      </c>
      <c r="F1333">
        <f t="shared" si="40"/>
        <v>845.1</v>
      </c>
      <c r="G1333">
        <f>SUMIF($D$2:$D1333,$D1333,$E$2:$E1333)</f>
        <v>11090</v>
      </c>
      <c r="H1333">
        <f t="shared" si="41"/>
        <v>0</v>
      </c>
    </row>
    <row r="1334" spans="1:8" x14ac:dyDescent="0.25">
      <c r="A1334" s="1">
        <v>44757</v>
      </c>
      <c r="B1334" t="s">
        <v>14</v>
      </c>
      <c r="C1334" t="s">
        <v>65</v>
      </c>
      <c r="D1334" t="s">
        <v>44</v>
      </c>
      <c r="E1334">
        <v>227</v>
      </c>
      <c r="F1334">
        <f t="shared" si="40"/>
        <v>794.5</v>
      </c>
      <c r="G1334">
        <f>SUMIF($D$2:$D1334,$D1334,$E$2:$E1334)</f>
        <v>10282</v>
      </c>
      <c r="H1334">
        <f t="shared" si="41"/>
        <v>0</v>
      </c>
    </row>
    <row r="1335" spans="1:8" x14ac:dyDescent="0.25">
      <c r="A1335" s="1">
        <v>44757</v>
      </c>
      <c r="B1335" t="s">
        <v>12</v>
      </c>
      <c r="C1335" t="s">
        <v>68</v>
      </c>
      <c r="D1335" t="s">
        <v>62</v>
      </c>
      <c r="E1335">
        <v>144</v>
      </c>
      <c r="F1335">
        <f t="shared" si="40"/>
        <v>388.8</v>
      </c>
      <c r="G1335">
        <f>SUMIF($D$2:$D1335,$D1335,$E$2:$E1335)</f>
        <v>7893</v>
      </c>
      <c r="H1335">
        <f t="shared" si="41"/>
        <v>0</v>
      </c>
    </row>
    <row r="1336" spans="1:8" x14ac:dyDescent="0.25">
      <c r="A1336" s="1">
        <v>44757</v>
      </c>
      <c r="B1336" t="s">
        <v>12</v>
      </c>
      <c r="C1336" t="s">
        <v>68</v>
      </c>
      <c r="D1336" t="s">
        <v>39</v>
      </c>
      <c r="E1336">
        <v>230</v>
      </c>
      <c r="F1336">
        <f t="shared" si="40"/>
        <v>621</v>
      </c>
      <c r="G1336">
        <f>SUMIF($D$2:$D1336,$D1336,$E$2:$E1336)</f>
        <v>7503</v>
      </c>
      <c r="H1336">
        <f t="shared" si="41"/>
        <v>0</v>
      </c>
    </row>
    <row r="1337" spans="1:8" x14ac:dyDescent="0.25">
      <c r="A1337" s="1">
        <v>44757</v>
      </c>
      <c r="B1337" t="s">
        <v>12</v>
      </c>
      <c r="C1337" t="s">
        <v>68</v>
      </c>
      <c r="D1337" t="s">
        <v>40</v>
      </c>
      <c r="E1337">
        <v>249</v>
      </c>
      <c r="F1337">
        <f t="shared" si="40"/>
        <v>672.30000000000007</v>
      </c>
      <c r="G1337">
        <f>SUMIF($D$2:$D1337,$D1337,$E$2:$E1337)</f>
        <v>9722</v>
      </c>
      <c r="H1337">
        <f t="shared" si="41"/>
        <v>0</v>
      </c>
    </row>
    <row r="1338" spans="1:8" x14ac:dyDescent="0.25">
      <c r="A1338" s="1">
        <v>44757</v>
      </c>
      <c r="B1338" t="s">
        <v>13</v>
      </c>
      <c r="C1338" t="s">
        <v>68</v>
      </c>
      <c r="D1338" t="s">
        <v>53</v>
      </c>
      <c r="E1338">
        <v>421</v>
      </c>
      <c r="F1338">
        <f t="shared" si="40"/>
        <v>1347.2</v>
      </c>
      <c r="G1338">
        <f>SUMIF($D$2:$D1338,$D1338,$E$2:$E1338)</f>
        <v>10628</v>
      </c>
      <c r="H1338">
        <f t="shared" si="41"/>
        <v>0</v>
      </c>
    </row>
    <row r="1339" spans="1:8" x14ac:dyDescent="0.25">
      <c r="A1339" s="1">
        <v>44758</v>
      </c>
      <c r="B1339" t="s">
        <v>13</v>
      </c>
      <c r="C1339" t="s">
        <v>68</v>
      </c>
      <c r="D1339" t="s">
        <v>34</v>
      </c>
      <c r="E1339">
        <v>296</v>
      </c>
      <c r="F1339">
        <f t="shared" si="40"/>
        <v>947.2</v>
      </c>
      <c r="G1339">
        <f>SUMIF($D$2:$D1339,$D1339,$E$2:$E1339)</f>
        <v>9215</v>
      </c>
      <c r="H1339">
        <f t="shared" si="41"/>
        <v>0</v>
      </c>
    </row>
    <row r="1340" spans="1:8" x14ac:dyDescent="0.25">
      <c r="A1340" s="1">
        <v>44758</v>
      </c>
      <c r="B1340" t="s">
        <v>13</v>
      </c>
      <c r="C1340" t="s">
        <v>68</v>
      </c>
      <c r="D1340" t="s">
        <v>60</v>
      </c>
      <c r="E1340">
        <v>30</v>
      </c>
      <c r="F1340">
        <f t="shared" si="40"/>
        <v>96</v>
      </c>
      <c r="G1340">
        <f>SUMIF($D$2:$D1340,$D1340,$E$2:$E1340)</f>
        <v>10297</v>
      </c>
      <c r="H1340">
        <f t="shared" si="41"/>
        <v>0</v>
      </c>
    </row>
    <row r="1341" spans="1:8" x14ac:dyDescent="0.25">
      <c r="A1341" s="1">
        <v>44758</v>
      </c>
      <c r="B1341" t="s">
        <v>12</v>
      </c>
      <c r="C1341" t="s">
        <v>68</v>
      </c>
      <c r="D1341" t="s">
        <v>59</v>
      </c>
      <c r="E1341">
        <v>162</v>
      </c>
      <c r="F1341">
        <f t="shared" si="40"/>
        <v>437.40000000000003</v>
      </c>
      <c r="G1341">
        <f>SUMIF($D$2:$D1341,$D1341,$E$2:$E1341)</f>
        <v>6329</v>
      </c>
      <c r="H1341">
        <f t="shared" si="41"/>
        <v>0</v>
      </c>
    </row>
    <row r="1342" spans="1:8" x14ac:dyDescent="0.25">
      <c r="A1342" s="1">
        <v>44758</v>
      </c>
      <c r="B1342" t="s">
        <v>14</v>
      </c>
      <c r="C1342" t="s">
        <v>65</v>
      </c>
      <c r="D1342" t="s">
        <v>41</v>
      </c>
      <c r="E1342">
        <v>326</v>
      </c>
      <c r="F1342">
        <f t="shared" si="40"/>
        <v>1141</v>
      </c>
      <c r="G1342">
        <f>SUMIF($D$2:$D1342,$D1342,$E$2:$E1342)</f>
        <v>8326</v>
      </c>
      <c r="H1342">
        <f t="shared" si="41"/>
        <v>0</v>
      </c>
    </row>
    <row r="1343" spans="1:8" x14ac:dyDescent="0.25">
      <c r="A1343" s="1">
        <v>44758</v>
      </c>
      <c r="B1343" t="s">
        <v>12</v>
      </c>
      <c r="C1343" t="s">
        <v>68</v>
      </c>
      <c r="D1343" t="s">
        <v>66</v>
      </c>
      <c r="E1343">
        <v>302</v>
      </c>
      <c r="F1343">
        <f t="shared" si="40"/>
        <v>815.40000000000009</v>
      </c>
      <c r="G1343">
        <f>SUMIF($D$2:$D1343,$D1343,$E$2:$E1343)</f>
        <v>7754</v>
      </c>
      <c r="H1343">
        <f t="shared" si="41"/>
        <v>0</v>
      </c>
    </row>
    <row r="1344" spans="1:8" x14ac:dyDescent="0.25">
      <c r="A1344" s="1">
        <v>44758</v>
      </c>
      <c r="B1344" t="s">
        <v>12</v>
      </c>
      <c r="C1344" t="s">
        <v>68</v>
      </c>
      <c r="D1344" t="s">
        <v>46</v>
      </c>
      <c r="E1344">
        <v>355</v>
      </c>
      <c r="F1344">
        <f t="shared" si="40"/>
        <v>958.50000000000011</v>
      </c>
      <c r="G1344">
        <f>SUMIF($D$2:$D1344,$D1344,$E$2:$E1344)</f>
        <v>9099</v>
      </c>
      <c r="H1344">
        <f t="shared" si="41"/>
        <v>0</v>
      </c>
    </row>
    <row r="1345" spans="1:8" x14ac:dyDescent="0.25">
      <c r="A1345" s="1">
        <v>44760</v>
      </c>
      <c r="B1345" t="s">
        <v>12</v>
      </c>
      <c r="C1345" t="s">
        <v>68</v>
      </c>
      <c r="D1345" t="s">
        <v>37</v>
      </c>
      <c r="E1345">
        <v>403</v>
      </c>
      <c r="F1345">
        <f t="shared" si="40"/>
        <v>1088.1000000000001</v>
      </c>
      <c r="G1345">
        <f>SUMIF($D$2:$D1345,$D1345,$E$2:$E1345)</f>
        <v>10133</v>
      </c>
      <c r="H1345">
        <f t="shared" si="41"/>
        <v>0</v>
      </c>
    </row>
    <row r="1346" spans="1:8" x14ac:dyDescent="0.25">
      <c r="A1346" s="1">
        <v>44760</v>
      </c>
      <c r="B1346" t="s">
        <v>14</v>
      </c>
      <c r="C1346" t="s">
        <v>65</v>
      </c>
      <c r="D1346" t="s">
        <v>23</v>
      </c>
      <c r="E1346">
        <v>77</v>
      </c>
      <c r="F1346">
        <f t="shared" si="40"/>
        <v>269.5</v>
      </c>
      <c r="G1346">
        <f>SUMIF($D$2:$D1346,$D1346,$E$2:$E1346)</f>
        <v>7363</v>
      </c>
      <c r="H1346">
        <f t="shared" si="41"/>
        <v>0</v>
      </c>
    </row>
    <row r="1347" spans="1:8" x14ac:dyDescent="0.25">
      <c r="A1347" s="1">
        <v>44760</v>
      </c>
      <c r="B1347" t="s">
        <v>12</v>
      </c>
      <c r="C1347" t="s">
        <v>68</v>
      </c>
      <c r="D1347" t="s">
        <v>33</v>
      </c>
      <c r="E1347">
        <v>365</v>
      </c>
      <c r="F1347">
        <f t="shared" ref="F1347:F1410" si="42">E1347* _xlfn.XLOOKUP(B1347,$I$2:$I$17,$J$2:$J$17,"0",0,1)</f>
        <v>985.50000000000011</v>
      </c>
      <c r="G1347">
        <f>SUMIF($D$2:$D1347,$D1347,$E$2:$E1347)</f>
        <v>11455</v>
      </c>
      <c r="H1347">
        <f t="shared" ref="H1347:H1410" si="43">IF(AND($G1347 &gt; 15000,$G1347 &lt; 20000),5*$E1347,IF($G1347 &gt;= 20000,10*$E1347,0))</f>
        <v>0</v>
      </c>
    </row>
    <row r="1348" spans="1:8" x14ac:dyDescent="0.25">
      <c r="A1348" s="1">
        <v>44760</v>
      </c>
      <c r="B1348" t="s">
        <v>12</v>
      </c>
      <c r="C1348" t="s">
        <v>68</v>
      </c>
      <c r="D1348" t="s">
        <v>66</v>
      </c>
      <c r="E1348">
        <v>43</v>
      </c>
      <c r="F1348">
        <f t="shared" si="42"/>
        <v>116.10000000000001</v>
      </c>
      <c r="G1348">
        <f>SUMIF($D$2:$D1348,$D1348,$E$2:$E1348)</f>
        <v>7797</v>
      </c>
      <c r="H1348">
        <f t="shared" si="43"/>
        <v>0</v>
      </c>
    </row>
    <row r="1349" spans="1:8" x14ac:dyDescent="0.25">
      <c r="A1349" s="1">
        <v>44760</v>
      </c>
      <c r="B1349" t="s">
        <v>12</v>
      </c>
      <c r="C1349" t="s">
        <v>68</v>
      </c>
      <c r="D1349" t="s">
        <v>66</v>
      </c>
      <c r="E1349">
        <v>230</v>
      </c>
      <c r="F1349">
        <f t="shared" si="42"/>
        <v>621</v>
      </c>
      <c r="G1349">
        <f>SUMIF($D$2:$D1349,$D1349,$E$2:$E1349)</f>
        <v>8027</v>
      </c>
      <c r="H1349">
        <f t="shared" si="43"/>
        <v>0</v>
      </c>
    </row>
    <row r="1350" spans="1:8" x14ac:dyDescent="0.25">
      <c r="A1350" s="1">
        <v>44760</v>
      </c>
      <c r="B1350" t="s">
        <v>14</v>
      </c>
      <c r="C1350" t="s">
        <v>65</v>
      </c>
      <c r="D1350" t="s">
        <v>61</v>
      </c>
      <c r="E1350">
        <v>99</v>
      </c>
      <c r="F1350">
        <f t="shared" si="42"/>
        <v>346.5</v>
      </c>
      <c r="G1350">
        <f>SUMIF($D$2:$D1350,$D1350,$E$2:$E1350)</f>
        <v>8951</v>
      </c>
      <c r="H1350">
        <f t="shared" si="43"/>
        <v>0</v>
      </c>
    </row>
    <row r="1351" spans="1:8" x14ac:dyDescent="0.25">
      <c r="A1351" s="1">
        <v>44760</v>
      </c>
      <c r="B1351" t="s">
        <v>12</v>
      </c>
      <c r="C1351" t="s">
        <v>68</v>
      </c>
      <c r="D1351" t="s">
        <v>54</v>
      </c>
      <c r="E1351">
        <v>224</v>
      </c>
      <c r="F1351">
        <f t="shared" si="42"/>
        <v>604.80000000000007</v>
      </c>
      <c r="G1351">
        <f>SUMIF($D$2:$D1351,$D1351,$E$2:$E1351)</f>
        <v>9673</v>
      </c>
      <c r="H1351">
        <f t="shared" si="43"/>
        <v>0</v>
      </c>
    </row>
    <row r="1352" spans="1:8" x14ac:dyDescent="0.25">
      <c r="A1352" s="1">
        <v>44760</v>
      </c>
      <c r="B1352" t="s">
        <v>12</v>
      </c>
      <c r="C1352" t="s">
        <v>68</v>
      </c>
      <c r="D1352" t="s">
        <v>47</v>
      </c>
      <c r="E1352">
        <v>316</v>
      </c>
      <c r="F1352">
        <f t="shared" si="42"/>
        <v>853.2</v>
      </c>
      <c r="G1352">
        <f>SUMIF($D$2:$D1352,$D1352,$E$2:$E1352)</f>
        <v>6913</v>
      </c>
      <c r="H1352">
        <f t="shared" si="43"/>
        <v>0</v>
      </c>
    </row>
    <row r="1353" spans="1:8" x14ac:dyDescent="0.25">
      <c r="A1353" s="1">
        <v>44760</v>
      </c>
      <c r="B1353" t="s">
        <v>12</v>
      </c>
      <c r="C1353" t="s">
        <v>68</v>
      </c>
      <c r="D1353" t="s">
        <v>32</v>
      </c>
      <c r="E1353">
        <v>293</v>
      </c>
      <c r="F1353">
        <f t="shared" si="42"/>
        <v>791.1</v>
      </c>
      <c r="G1353">
        <f>SUMIF($D$2:$D1353,$D1353,$E$2:$E1353)</f>
        <v>10404</v>
      </c>
      <c r="H1353">
        <f t="shared" si="43"/>
        <v>0</v>
      </c>
    </row>
    <row r="1354" spans="1:8" x14ac:dyDescent="0.25">
      <c r="A1354" s="1">
        <v>44760</v>
      </c>
      <c r="B1354" t="s">
        <v>12</v>
      </c>
      <c r="C1354" t="s">
        <v>68</v>
      </c>
      <c r="D1354" t="s">
        <v>55</v>
      </c>
      <c r="E1354">
        <v>28</v>
      </c>
      <c r="F1354">
        <f t="shared" si="42"/>
        <v>75.600000000000009</v>
      </c>
      <c r="G1354">
        <f>SUMIF($D$2:$D1354,$D1354,$E$2:$E1354)</f>
        <v>8305</v>
      </c>
      <c r="H1354">
        <f t="shared" si="43"/>
        <v>0</v>
      </c>
    </row>
    <row r="1355" spans="1:8" x14ac:dyDescent="0.25">
      <c r="A1355" s="1">
        <v>44760</v>
      </c>
      <c r="B1355" t="s">
        <v>13</v>
      </c>
      <c r="C1355" t="s">
        <v>68</v>
      </c>
      <c r="D1355" t="s">
        <v>55</v>
      </c>
      <c r="E1355">
        <v>21</v>
      </c>
      <c r="F1355">
        <f t="shared" si="42"/>
        <v>67.2</v>
      </c>
      <c r="G1355">
        <f>SUMIF($D$2:$D1355,$D1355,$E$2:$E1355)</f>
        <v>8326</v>
      </c>
      <c r="H1355">
        <f t="shared" si="43"/>
        <v>0</v>
      </c>
    </row>
    <row r="1356" spans="1:8" x14ac:dyDescent="0.25">
      <c r="A1356" s="1">
        <v>44760</v>
      </c>
      <c r="B1356" t="s">
        <v>12</v>
      </c>
      <c r="C1356" t="s">
        <v>68</v>
      </c>
      <c r="D1356" t="s">
        <v>54</v>
      </c>
      <c r="E1356">
        <v>110</v>
      </c>
      <c r="F1356">
        <f t="shared" si="42"/>
        <v>297</v>
      </c>
      <c r="G1356">
        <f>SUMIF($D$2:$D1356,$D1356,$E$2:$E1356)</f>
        <v>9783</v>
      </c>
      <c r="H1356">
        <f t="shared" si="43"/>
        <v>0</v>
      </c>
    </row>
    <row r="1357" spans="1:8" x14ac:dyDescent="0.25">
      <c r="A1357" s="1">
        <v>44760</v>
      </c>
      <c r="B1357" t="s">
        <v>12</v>
      </c>
      <c r="C1357" t="s">
        <v>68</v>
      </c>
      <c r="D1357" t="s">
        <v>42</v>
      </c>
      <c r="E1357">
        <v>230</v>
      </c>
      <c r="F1357">
        <f t="shared" si="42"/>
        <v>621</v>
      </c>
      <c r="G1357">
        <f>SUMIF($D$2:$D1357,$D1357,$E$2:$E1357)</f>
        <v>7871</v>
      </c>
      <c r="H1357">
        <f t="shared" si="43"/>
        <v>0</v>
      </c>
    </row>
    <row r="1358" spans="1:8" x14ac:dyDescent="0.25">
      <c r="A1358" s="1">
        <v>44760</v>
      </c>
      <c r="B1358" t="s">
        <v>12</v>
      </c>
      <c r="C1358" t="s">
        <v>68</v>
      </c>
      <c r="D1358" t="s">
        <v>57</v>
      </c>
      <c r="E1358">
        <v>407</v>
      </c>
      <c r="F1358">
        <f t="shared" si="42"/>
        <v>1098.9000000000001</v>
      </c>
      <c r="G1358">
        <f>SUMIF($D$2:$D1358,$D1358,$E$2:$E1358)</f>
        <v>10730</v>
      </c>
      <c r="H1358">
        <f t="shared" si="43"/>
        <v>0</v>
      </c>
    </row>
    <row r="1359" spans="1:8" x14ac:dyDescent="0.25">
      <c r="A1359" s="1">
        <v>44760</v>
      </c>
      <c r="B1359" t="s">
        <v>14</v>
      </c>
      <c r="C1359" t="s">
        <v>65</v>
      </c>
      <c r="D1359" t="s">
        <v>22</v>
      </c>
      <c r="E1359">
        <v>343</v>
      </c>
      <c r="F1359">
        <f t="shared" si="42"/>
        <v>1200.5</v>
      </c>
      <c r="G1359">
        <f>SUMIF($D$2:$D1359,$D1359,$E$2:$E1359)</f>
        <v>8355</v>
      </c>
      <c r="H1359">
        <f t="shared" si="43"/>
        <v>0</v>
      </c>
    </row>
    <row r="1360" spans="1:8" x14ac:dyDescent="0.25">
      <c r="A1360" s="1">
        <v>44760</v>
      </c>
      <c r="B1360" t="s">
        <v>13</v>
      </c>
      <c r="C1360" t="s">
        <v>68</v>
      </c>
      <c r="D1360" t="s">
        <v>58</v>
      </c>
      <c r="E1360">
        <v>120</v>
      </c>
      <c r="F1360">
        <f t="shared" si="42"/>
        <v>384</v>
      </c>
      <c r="G1360">
        <f>SUMIF($D$2:$D1360,$D1360,$E$2:$E1360)</f>
        <v>7711</v>
      </c>
      <c r="H1360">
        <f t="shared" si="43"/>
        <v>0</v>
      </c>
    </row>
    <row r="1361" spans="1:8" x14ac:dyDescent="0.25">
      <c r="A1361" s="1">
        <v>44760</v>
      </c>
      <c r="B1361" t="s">
        <v>14</v>
      </c>
      <c r="C1361" t="s">
        <v>65</v>
      </c>
      <c r="D1361" t="s">
        <v>51</v>
      </c>
      <c r="E1361">
        <v>37</v>
      </c>
      <c r="F1361">
        <f t="shared" si="42"/>
        <v>129.5</v>
      </c>
      <c r="G1361">
        <f>SUMIF($D$2:$D1361,$D1361,$E$2:$E1361)</f>
        <v>12170</v>
      </c>
      <c r="H1361">
        <f t="shared" si="43"/>
        <v>0</v>
      </c>
    </row>
    <row r="1362" spans="1:8" x14ac:dyDescent="0.25">
      <c r="A1362" s="1">
        <v>44761</v>
      </c>
      <c r="B1362" t="s">
        <v>14</v>
      </c>
      <c r="C1362" t="s">
        <v>65</v>
      </c>
      <c r="D1362" t="s">
        <v>32</v>
      </c>
      <c r="E1362">
        <v>201</v>
      </c>
      <c r="F1362">
        <f t="shared" si="42"/>
        <v>703.5</v>
      </c>
      <c r="G1362">
        <f>SUMIF($D$2:$D1362,$D1362,$E$2:$E1362)</f>
        <v>10605</v>
      </c>
      <c r="H1362">
        <f t="shared" si="43"/>
        <v>0</v>
      </c>
    </row>
    <row r="1363" spans="1:8" x14ac:dyDescent="0.25">
      <c r="A1363" s="1">
        <v>44761</v>
      </c>
      <c r="B1363" t="s">
        <v>13</v>
      </c>
      <c r="C1363" t="s">
        <v>68</v>
      </c>
      <c r="D1363" t="s">
        <v>28</v>
      </c>
      <c r="E1363">
        <v>389</v>
      </c>
      <c r="F1363">
        <f t="shared" si="42"/>
        <v>1244.8000000000002</v>
      </c>
      <c r="G1363">
        <f>SUMIF($D$2:$D1363,$D1363,$E$2:$E1363)</f>
        <v>8490</v>
      </c>
      <c r="H1363">
        <f t="shared" si="43"/>
        <v>0</v>
      </c>
    </row>
    <row r="1364" spans="1:8" x14ac:dyDescent="0.25">
      <c r="A1364" s="1">
        <v>44761</v>
      </c>
      <c r="B1364" t="s">
        <v>13</v>
      </c>
      <c r="C1364" t="s">
        <v>68</v>
      </c>
      <c r="D1364" t="s">
        <v>39</v>
      </c>
      <c r="E1364">
        <v>485</v>
      </c>
      <c r="F1364">
        <f t="shared" si="42"/>
        <v>1552</v>
      </c>
      <c r="G1364">
        <f>SUMIF($D$2:$D1364,$D1364,$E$2:$E1364)</f>
        <v>7988</v>
      </c>
      <c r="H1364">
        <f t="shared" si="43"/>
        <v>0</v>
      </c>
    </row>
    <row r="1365" spans="1:8" x14ac:dyDescent="0.25">
      <c r="A1365" s="1">
        <v>44761</v>
      </c>
      <c r="B1365" t="s">
        <v>12</v>
      </c>
      <c r="C1365" t="s">
        <v>68</v>
      </c>
      <c r="D1365" t="s">
        <v>24</v>
      </c>
      <c r="E1365">
        <v>52</v>
      </c>
      <c r="F1365">
        <f t="shared" si="42"/>
        <v>140.4</v>
      </c>
      <c r="G1365">
        <f>SUMIF($D$2:$D1365,$D1365,$E$2:$E1365)</f>
        <v>7558</v>
      </c>
      <c r="H1365">
        <f t="shared" si="43"/>
        <v>0</v>
      </c>
    </row>
    <row r="1366" spans="1:8" x14ac:dyDescent="0.25">
      <c r="A1366" s="1">
        <v>44762</v>
      </c>
      <c r="B1366" t="s">
        <v>13</v>
      </c>
      <c r="C1366" t="s">
        <v>68</v>
      </c>
      <c r="D1366" t="s">
        <v>54</v>
      </c>
      <c r="E1366">
        <v>33</v>
      </c>
      <c r="F1366">
        <f t="shared" si="42"/>
        <v>105.60000000000001</v>
      </c>
      <c r="G1366">
        <f>SUMIF($D$2:$D1366,$D1366,$E$2:$E1366)</f>
        <v>9816</v>
      </c>
      <c r="H1366">
        <f t="shared" si="43"/>
        <v>0</v>
      </c>
    </row>
    <row r="1367" spans="1:8" x14ac:dyDescent="0.25">
      <c r="A1367" s="1">
        <v>44762</v>
      </c>
      <c r="B1367" t="s">
        <v>13</v>
      </c>
      <c r="C1367" t="s">
        <v>68</v>
      </c>
      <c r="D1367" t="s">
        <v>57</v>
      </c>
      <c r="E1367">
        <v>119</v>
      </c>
      <c r="F1367">
        <f t="shared" si="42"/>
        <v>380.8</v>
      </c>
      <c r="G1367">
        <f>SUMIF($D$2:$D1367,$D1367,$E$2:$E1367)</f>
        <v>10849</v>
      </c>
      <c r="H1367">
        <f t="shared" si="43"/>
        <v>0</v>
      </c>
    </row>
    <row r="1368" spans="1:8" x14ac:dyDescent="0.25">
      <c r="A1368" s="1">
        <v>44762</v>
      </c>
      <c r="B1368" t="s">
        <v>13</v>
      </c>
      <c r="C1368" t="s">
        <v>68</v>
      </c>
      <c r="D1368" t="s">
        <v>29</v>
      </c>
      <c r="E1368">
        <v>455</v>
      </c>
      <c r="F1368">
        <f t="shared" si="42"/>
        <v>1456</v>
      </c>
      <c r="G1368">
        <f>SUMIF($D$2:$D1368,$D1368,$E$2:$E1368)</f>
        <v>12653</v>
      </c>
      <c r="H1368">
        <f t="shared" si="43"/>
        <v>0</v>
      </c>
    </row>
    <row r="1369" spans="1:8" x14ac:dyDescent="0.25">
      <c r="A1369" s="1">
        <v>44762</v>
      </c>
      <c r="B1369" t="s">
        <v>13</v>
      </c>
      <c r="C1369" t="s">
        <v>68</v>
      </c>
      <c r="D1369" t="s">
        <v>60</v>
      </c>
      <c r="E1369">
        <v>498</v>
      </c>
      <c r="F1369">
        <f t="shared" si="42"/>
        <v>1593.6000000000001</v>
      </c>
      <c r="G1369">
        <f>SUMIF($D$2:$D1369,$D1369,$E$2:$E1369)</f>
        <v>10795</v>
      </c>
      <c r="H1369">
        <f t="shared" si="43"/>
        <v>0</v>
      </c>
    </row>
    <row r="1370" spans="1:8" x14ac:dyDescent="0.25">
      <c r="A1370" s="1">
        <v>44762</v>
      </c>
      <c r="B1370" t="s">
        <v>13</v>
      </c>
      <c r="C1370" t="s">
        <v>68</v>
      </c>
      <c r="D1370" t="s">
        <v>16</v>
      </c>
      <c r="E1370">
        <v>280</v>
      </c>
      <c r="F1370">
        <f t="shared" si="42"/>
        <v>896</v>
      </c>
      <c r="G1370">
        <f>SUMIF($D$2:$D1370,$D1370,$E$2:$E1370)</f>
        <v>9456</v>
      </c>
      <c r="H1370">
        <f t="shared" si="43"/>
        <v>0</v>
      </c>
    </row>
    <row r="1371" spans="1:8" x14ac:dyDescent="0.25">
      <c r="A1371" s="1">
        <v>44762</v>
      </c>
      <c r="B1371" t="s">
        <v>14</v>
      </c>
      <c r="C1371" t="s">
        <v>65</v>
      </c>
      <c r="D1371" t="s">
        <v>23</v>
      </c>
      <c r="E1371">
        <v>154</v>
      </c>
      <c r="F1371">
        <f t="shared" si="42"/>
        <v>539</v>
      </c>
      <c r="G1371">
        <f>SUMIF($D$2:$D1371,$D1371,$E$2:$E1371)</f>
        <v>7517</v>
      </c>
      <c r="H1371">
        <f t="shared" si="43"/>
        <v>0</v>
      </c>
    </row>
    <row r="1372" spans="1:8" x14ac:dyDescent="0.25">
      <c r="A1372" s="1">
        <v>44762</v>
      </c>
      <c r="B1372" t="s">
        <v>12</v>
      </c>
      <c r="C1372" t="s">
        <v>68</v>
      </c>
      <c r="D1372" t="s">
        <v>33</v>
      </c>
      <c r="E1372">
        <v>397</v>
      </c>
      <c r="F1372">
        <f t="shared" si="42"/>
        <v>1071.9000000000001</v>
      </c>
      <c r="G1372">
        <f>SUMIF($D$2:$D1372,$D1372,$E$2:$E1372)</f>
        <v>11852</v>
      </c>
      <c r="H1372">
        <f t="shared" si="43"/>
        <v>0</v>
      </c>
    </row>
    <row r="1373" spans="1:8" x14ac:dyDescent="0.25">
      <c r="A1373" s="1">
        <v>44762</v>
      </c>
      <c r="B1373" t="s">
        <v>13</v>
      </c>
      <c r="C1373" t="s">
        <v>68</v>
      </c>
      <c r="D1373" t="s">
        <v>64</v>
      </c>
      <c r="E1373">
        <v>352</v>
      </c>
      <c r="F1373">
        <f t="shared" si="42"/>
        <v>1126.4000000000001</v>
      </c>
      <c r="G1373">
        <f>SUMIF($D$2:$D1373,$D1373,$E$2:$E1373)</f>
        <v>8632</v>
      </c>
      <c r="H1373">
        <f t="shared" si="43"/>
        <v>0</v>
      </c>
    </row>
    <row r="1374" spans="1:8" x14ac:dyDescent="0.25">
      <c r="A1374" s="1">
        <v>44762</v>
      </c>
      <c r="B1374" t="s">
        <v>13</v>
      </c>
      <c r="C1374" t="s">
        <v>68</v>
      </c>
      <c r="D1374" t="s">
        <v>62</v>
      </c>
      <c r="E1374">
        <v>147</v>
      </c>
      <c r="F1374">
        <f t="shared" si="42"/>
        <v>470.40000000000003</v>
      </c>
      <c r="G1374">
        <f>SUMIF($D$2:$D1374,$D1374,$E$2:$E1374)</f>
        <v>8040</v>
      </c>
      <c r="H1374">
        <f t="shared" si="43"/>
        <v>0</v>
      </c>
    </row>
    <row r="1375" spans="1:8" x14ac:dyDescent="0.25">
      <c r="A1375" s="1">
        <v>44762</v>
      </c>
      <c r="B1375" t="s">
        <v>14</v>
      </c>
      <c r="C1375" t="s">
        <v>65</v>
      </c>
      <c r="D1375" t="s">
        <v>49</v>
      </c>
      <c r="E1375">
        <v>303</v>
      </c>
      <c r="F1375">
        <f t="shared" si="42"/>
        <v>1060.5</v>
      </c>
      <c r="G1375">
        <f>SUMIF($D$2:$D1375,$D1375,$E$2:$E1375)</f>
        <v>9525</v>
      </c>
      <c r="H1375">
        <f t="shared" si="43"/>
        <v>0</v>
      </c>
    </row>
    <row r="1376" spans="1:8" x14ac:dyDescent="0.25">
      <c r="A1376" s="1">
        <v>44763</v>
      </c>
      <c r="B1376" t="s">
        <v>13</v>
      </c>
      <c r="C1376" t="s">
        <v>68</v>
      </c>
      <c r="D1376" t="s">
        <v>43</v>
      </c>
      <c r="E1376">
        <v>153</v>
      </c>
      <c r="F1376">
        <f t="shared" si="42"/>
        <v>489.6</v>
      </c>
      <c r="G1376">
        <f>SUMIF($D$2:$D1376,$D1376,$E$2:$E1376)</f>
        <v>7463</v>
      </c>
      <c r="H1376">
        <f t="shared" si="43"/>
        <v>0</v>
      </c>
    </row>
    <row r="1377" spans="1:8" x14ac:dyDescent="0.25">
      <c r="A1377" s="1">
        <v>44763</v>
      </c>
      <c r="B1377" t="s">
        <v>14</v>
      </c>
      <c r="C1377" t="s">
        <v>65</v>
      </c>
      <c r="D1377" t="s">
        <v>58</v>
      </c>
      <c r="E1377">
        <v>73</v>
      </c>
      <c r="F1377">
        <f t="shared" si="42"/>
        <v>255.5</v>
      </c>
      <c r="G1377">
        <f>SUMIF($D$2:$D1377,$D1377,$E$2:$E1377)</f>
        <v>7784</v>
      </c>
      <c r="H1377">
        <f t="shared" si="43"/>
        <v>0</v>
      </c>
    </row>
    <row r="1378" spans="1:8" x14ac:dyDescent="0.25">
      <c r="A1378" s="1">
        <v>44763</v>
      </c>
      <c r="B1378" t="s">
        <v>14</v>
      </c>
      <c r="C1378" t="s">
        <v>65</v>
      </c>
      <c r="D1378" t="s">
        <v>40</v>
      </c>
      <c r="E1378">
        <v>97</v>
      </c>
      <c r="F1378">
        <f t="shared" si="42"/>
        <v>339.5</v>
      </c>
      <c r="G1378">
        <f>SUMIF($D$2:$D1378,$D1378,$E$2:$E1378)</f>
        <v>9819</v>
      </c>
      <c r="H1378">
        <f t="shared" si="43"/>
        <v>0</v>
      </c>
    </row>
    <row r="1379" spans="1:8" x14ac:dyDescent="0.25">
      <c r="A1379" s="1">
        <v>44763</v>
      </c>
      <c r="B1379" t="s">
        <v>12</v>
      </c>
      <c r="C1379" t="s">
        <v>68</v>
      </c>
      <c r="D1379" t="s">
        <v>30</v>
      </c>
      <c r="E1379">
        <v>123</v>
      </c>
      <c r="F1379">
        <f t="shared" si="42"/>
        <v>332.1</v>
      </c>
      <c r="G1379">
        <f>SUMIF($D$2:$D1379,$D1379,$E$2:$E1379)</f>
        <v>8767</v>
      </c>
      <c r="H1379">
        <f t="shared" si="43"/>
        <v>0</v>
      </c>
    </row>
    <row r="1380" spans="1:8" x14ac:dyDescent="0.25">
      <c r="A1380" s="1">
        <v>44764</v>
      </c>
      <c r="B1380" t="s">
        <v>13</v>
      </c>
      <c r="C1380" t="s">
        <v>68</v>
      </c>
      <c r="D1380" t="s">
        <v>64</v>
      </c>
      <c r="E1380">
        <v>262</v>
      </c>
      <c r="F1380">
        <f t="shared" si="42"/>
        <v>838.40000000000009</v>
      </c>
      <c r="G1380">
        <f>SUMIF($D$2:$D1380,$D1380,$E$2:$E1380)</f>
        <v>8894</v>
      </c>
      <c r="H1380">
        <f t="shared" si="43"/>
        <v>0</v>
      </c>
    </row>
    <row r="1381" spans="1:8" x14ac:dyDescent="0.25">
      <c r="A1381" s="1">
        <v>44764</v>
      </c>
      <c r="B1381" t="s">
        <v>12</v>
      </c>
      <c r="C1381" t="s">
        <v>68</v>
      </c>
      <c r="D1381" t="s">
        <v>56</v>
      </c>
      <c r="E1381">
        <v>345</v>
      </c>
      <c r="F1381">
        <f t="shared" si="42"/>
        <v>931.50000000000011</v>
      </c>
      <c r="G1381">
        <f>SUMIF($D$2:$D1381,$D1381,$E$2:$E1381)</f>
        <v>10002</v>
      </c>
      <c r="H1381">
        <f t="shared" si="43"/>
        <v>0</v>
      </c>
    </row>
    <row r="1382" spans="1:8" x14ac:dyDescent="0.25">
      <c r="A1382" s="1">
        <v>44764</v>
      </c>
      <c r="B1382" t="s">
        <v>13</v>
      </c>
      <c r="C1382" t="s">
        <v>68</v>
      </c>
      <c r="D1382" t="s">
        <v>62</v>
      </c>
      <c r="E1382">
        <v>481</v>
      </c>
      <c r="F1382">
        <f t="shared" si="42"/>
        <v>1539.2</v>
      </c>
      <c r="G1382">
        <f>SUMIF($D$2:$D1382,$D1382,$E$2:$E1382)</f>
        <v>8521</v>
      </c>
      <c r="H1382">
        <f t="shared" si="43"/>
        <v>0</v>
      </c>
    </row>
    <row r="1383" spans="1:8" x14ac:dyDescent="0.25">
      <c r="A1383" s="1">
        <v>44764</v>
      </c>
      <c r="B1383" t="s">
        <v>14</v>
      </c>
      <c r="C1383" t="s">
        <v>65</v>
      </c>
      <c r="D1383" t="s">
        <v>33</v>
      </c>
      <c r="E1383">
        <v>302</v>
      </c>
      <c r="F1383">
        <f t="shared" si="42"/>
        <v>1057</v>
      </c>
      <c r="G1383">
        <f>SUMIF($D$2:$D1383,$D1383,$E$2:$E1383)</f>
        <v>12154</v>
      </c>
      <c r="H1383">
        <f t="shared" si="43"/>
        <v>0</v>
      </c>
    </row>
    <row r="1384" spans="1:8" x14ac:dyDescent="0.25">
      <c r="A1384" s="1">
        <v>44764</v>
      </c>
      <c r="B1384" t="s">
        <v>13</v>
      </c>
      <c r="C1384" t="s">
        <v>68</v>
      </c>
      <c r="D1384" t="s">
        <v>66</v>
      </c>
      <c r="E1384">
        <v>357</v>
      </c>
      <c r="F1384">
        <f t="shared" si="42"/>
        <v>1142.4000000000001</v>
      </c>
      <c r="G1384">
        <f>SUMIF($D$2:$D1384,$D1384,$E$2:$E1384)</f>
        <v>8384</v>
      </c>
      <c r="H1384">
        <f t="shared" si="43"/>
        <v>0</v>
      </c>
    </row>
    <row r="1385" spans="1:8" x14ac:dyDescent="0.25">
      <c r="A1385" s="1">
        <v>44764</v>
      </c>
      <c r="B1385" t="s">
        <v>12</v>
      </c>
      <c r="C1385" t="s">
        <v>68</v>
      </c>
      <c r="D1385" t="s">
        <v>55</v>
      </c>
      <c r="E1385">
        <v>192</v>
      </c>
      <c r="F1385">
        <f t="shared" si="42"/>
        <v>518.40000000000009</v>
      </c>
      <c r="G1385">
        <f>SUMIF($D$2:$D1385,$D1385,$E$2:$E1385)</f>
        <v>8518</v>
      </c>
      <c r="H1385">
        <f t="shared" si="43"/>
        <v>0</v>
      </c>
    </row>
    <row r="1386" spans="1:8" x14ac:dyDescent="0.25">
      <c r="A1386" s="1">
        <v>44764</v>
      </c>
      <c r="B1386" t="s">
        <v>14</v>
      </c>
      <c r="C1386" t="s">
        <v>65</v>
      </c>
      <c r="D1386" t="s">
        <v>21</v>
      </c>
      <c r="E1386">
        <v>392</v>
      </c>
      <c r="F1386">
        <f t="shared" si="42"/>
        <v>1372</v>
      </c>
      <c r="G1386">
        <f>SUMIF($D$2:$D1386,$D1386,$E$2:$E1386)</f>
        <v>8805</v>
      </c>
      <c r="H1386">
        <f t="shared" si="43"/>
        <v>0</v>
      </c>
    </row>
    <row r="1387" spans="1:8" x14ac:dyDescent="0.25">
      <c r="A1387" s="1">
        <v>44764</v>
      </c>
      <c r="B1387" t="s">
        <v>12</v>
      </c>
      <c r="C1387" t="s">
        <v>68</v>
      </c>
      <c r="D1387" t="s">
        <v>56</v>
      </c>
      <c r="E1387">
        <v>147</v>
      </c>
      <c r="F1387">
        <f t="shared" si="42"/>
        <v>396.90000000000003</v>
      </c>
      <c r="G1387">
        <f>SUMIF($D$2:$D1387,$D1387,$E$2:$E1387)</f>
        <v>10149</v>
      </c>
      <c r="H1387">
        <f t="shared" si="43"/>
        <v>0</v>
      </c>
    </row>
    <row r="1388" spans="1:8" x14ac:dyDescent="0.25">
      <c r="A1388" s="1">
        <v>44764</v>
      </c>
      <c r="B1388" t="s">
        <v>12</v>
      </c>
      <c r="C1388" t="s">
        <v>68</v>
      </c>
      <c r="D1388" t="s">
        <v>56</v>
      </c>
      <c r="E1388">
        <v>419</v>
      </c>
      <c r="F1388">
        <f t="shared" si="42"/>
        <v>1131.3000000000002</v>
      </c>
      <c r="G1388">
        <f>SUMIF($D$2:$D1388,$D1388,$E$2:$E1388)</f>
        <v>10568</v>
      </c>
      <c r="H1388">
        <f t="shared" si="43"/>
        <v>0</v>
      </c>
    </row>
    <row r="1389" spans="1:8" x14ac:dyDescent="0.25">
      <c r="A1389" s="1">
        <v>44765</v>
      </c>
      <c r="B1389" t="s">
        <v>14</v>
      </c>
      <c r="C1389" t="s">
        <v>65</v>
      </c>
      <c r="D1389" t="s">
        <v>45</v>
      </c>
      <c r="E1389">
        <v>347</v>
      </c>
      <c r="F1389">
        <f t="shared" si="42"/>
        <v>1214.5</v>
      </c>
      <c r="G1389">
        <f>SUMIF($D$2:$D1389,$D1389,$E$2:$E1389)</f>
        <v>7685</v>
      </c>
      <c r="H1389">
        <f t="shared" si="43"/>
        <v>0</v>
      </c>
    </row>
    <row r="1390" spans="1:8" x14ac:dyDescent="0.25">
      <c r="A1390" s="1">
        <v>44765</v>
      </c>
      <c r="B1390" t="s">
        <v>12</v>
      </c>
      <c r="C1390" t="s">
        <v>68</v>
      </c>
      <c r="D1390" t="s">
        <v>27</v>
      </c>
      <c r="E1390">
        <v>500</v>
      </c>
      <c r="F1390">
        <f t="shared" si="42"/>
        <v>1350</v>
      </c>
      <c r="G1390">
        <f>SUMIF($D$2:$D1390,$D1390,$E$2:$E1390)</f>
        <v>8726</v>
      </c>
      <c r="H1390">
        <f t="shared" si="43"/>
        <v>0</v>
      </c>
    </row>
    <row r="1391" spans="1:8" x14ac:dyDescent="0.25">
      <c r="A1391" s="1">
        <v>44765</v>
      </c>
      <c r="B1391" t="s">
        <v>13</v>
      </c>
      <c r="C1391" t="s">
        <v>68</v>
      </c>
      <c r="D1391" t="s">
        <v>18</v>
      </c>
      <c r="E1391">
        <v>126</v>
      </c>
      <c r="F1391">
        <f t="shared" si="42"/>
        <v>403.20000000000005</v>
      </c>
      <c r="G1391">
        <f>SUMIF($D$2:$D1391,$D1391,$E$2:$E1391)</f>
        <v>9408</v>
      </c>
      <c r="H1391">
        <f t="shared" si="43"/>
        <v>0</v>
      </c>
    </row>
    <row r="1392" spans="1:8" x14ac:dyDescent="0.25">
      <c r="A1392" s="1">
        <v>44765</v>
      </c>
      <c r="B1392" t="s">
        <v>12</v>
      </c>
      <c r="C1392" t="s">
        <v>68</v>
      </c>
      <c r="D1392" t="s">
        <v>30</v>
      </c>
      <c r="E1392">
        <v>457</v>
      </c>
      <c r="F1392">
        <f t="shared" si="42"/>
        <v>1233.9000000000001</v>
      </c>
      <c r="G1392">
        <f>SUMIF($D$2:$D1392,$D1392,$E$2:$E1392)</f>
        <v>9224</v>
      </c>
      <c r="H1392">
        <f t="shared" si="43"/>
        <v>0</v>
      </c>
    </row>
    <row r="1393" spans="1:8" x14ac:dyDescent="0.25">
      <c r="A1393" s="1">
        <v>44765</v>
      </c>
      <c r="B1393" t="s">
        <v>14</v>
      </c>
      <c r="C1393" t="s">
        <v>65</v>
      </c>
      <c r="D1393" t="s">
        <v>22</v>
      </c>
      <c r="E1393">
        <v>449</v>
      </c>
      <c r="F1393">
        <f t="shared" si="42"/>
        <v>1571.5</v>
      </c>
      <c r="G1393">
        <f>SUMIF($D$2:$D1393,$D1393,$E$2:$E1393)</f>
        <v>8804</v>
      </c>
      <c r="H1393">
        <f t="shared" si="43"/>
        <v>0</v>
      </c>
    </row>
    <row r="1394" spans="1:8" x14ac:dyDescent="0.25">
      <c r="A1394" s="1">
        <v>44765</v>
      </c>
      <c r="B1394" t="s">
        <v>12</v>
      </c>
      <c r="C1394" t="s">
        <v>68</v>
      </c>
      <c r="D1394" t="s">
        <v>63</v>
      </c>
      <c r="E1394">
        <v>310</v>
      </c>
      <c r="F1394">
        <f t="shared" si="42"/>
        <v>837</v>
      </c>
      <c r="G1394">
        <f>SUMIF($D$2:$D1394,$D1394,$E$2:$E1394)</f>
        <v>8567</v>
      </c>
      <c r="H1394">
        <f t="shared" si="43"/>
        <v>0</v>
      </c>
    </row>
    <row r="1395" spans="1:8" x14ac:dyDescent="0.25">
      <c r="A1395" s="1">
        <v>44767</v>
      </c>
      <c r="B1395" t="s">
        <v>14</v>
      </c>
      <c r="C1395" t="s">
        <v>65</v>
      </c>
      <c r="D1395" t="s">
        <v>51</v>
      </c>
      <c r="E1395">
        <v>214</v>
      </c>
      <c r="F1395">
        <f t="shared" si="42"/>
        <v>749</v>
      </c>
      <c r="G1395">
        <f>SUMIF($D$2:$D1395,$D1395,$E$2:$E1395)</f>
        <v>12384</v>
      </c>
      <c r="H1395">
        <f t="shared" si="43"/>
        <v>0</v>
      </c>
    </row>
    <row r="1396" spans="1:8" x14ac:dyDescent="0.25">
      <c r="A1396" s="1">
        <v>44767</v>
      </c>
      <c r="B1396" t="s">
        <v>12</v>
      </c>
      <c r="C1396" t="s">
        <v>68</v>
      </c>
      <c r="D1396" t="s">
        <v>44</v>
      </c>
      <c r="E1396">
        <v>432</v>
      </c>
      <c r="F1396">
        <f t="shared" si="42"/>
        <v>1166.4000000000001</v>
      </c>
      <c r="G1396">
        <f>SUMIF($D$2:$D1396,$D1396,$E$2:$E1396)</f>
        <v>10714</v>
      </c>
      <c r="H1396">
        <f t="shared" si="43"/>
        <v>0</v>
      </c>
    </row>
    <row r="1397" spans="1:8" x14ac:dyDescent="0.25">
      <c r="A1397" s="1">
        <v>44767</v>
      </c>
      <c r="B1397" t="s">
        <v>12</v>
      </c>
      <c r="C1397" t="s">
        <v>68</v>
      </c>
      <c r="D1397" t="s">
        <v>42</v>
      </c>
      <c r="E1397">
        <v>81</v>
      </c>
      <c r="F1397">
        <f t="shared" si="42"/>
        <v>218.70000000000002</v>
      </c>
      <c r="G1397">
        <f>SUMIF($D$2:$D1397,$D1397,$E$2:$E1397)</f>
        <v>7952</v>
      </c>
      <c r="H1397">
        <f t="shared" si="43"/>
        <v>0</v>
      </c>
    </row>
    <row r="1398" spans="1:8" x14ac:dyDescent="0.25">
      <c r="A1398" s="1">
        <v>44767</v>
      </c>
      <c r="B1398" t="s">
        <v>12</v>
      </c>
      <c r="C1398" t="s">
        <v>68</v>
      </c>
      <c r="D1398" t="s">
        <v>61</v>
      </c>
      <c r="E1398">
        <v>180</v>
      </c>
      <c r="F1398">
        <f t="shared" si="42"/>
        <v>486.00000000000006</v>
      </c>
      <c r="G1398">
        <f>SUMIF($D$2:$D1398,$D1398,$E$2:$E1398)</f>
        <v>9131</v>
      </c>
      <c r="H1398">
        <f t="shared" si="43"/>
        <v>0</v>
      </c>
    </row>
    <row r="1399" spans="1:8" x14ac:dyDescent="0.25">
      <c r="A1399" s="1">
        <v>44767</v>
      </c>
      <c r="B1399" t="s">
        <v>13</v>
      </c>
      <c r="C1399" t="s">
        <v>68</v>
      </c>
      <c r="D1399" t="s">
        <v>51</v>
      </c>
      <c r="E1399">
        <v>68</v>
      </c>
      <c r="F1399">
        <f t="shared" si="42"/>
        <v>217.60000000000002</v>
      </c>
      <c r="G1399">
        <f>SUMIF($D$2:$D1399,$D1399,$E$2:$E1399)</f>
        <v>12452</v>
      </c>
      <c r="H1399">
        <f t="shared" si="43"/>
        <v>0</v>
      </c>
    </row>
    <row r="1400" spans="1:8" x14ac:dyDescent="0.25">
      <c r="A1400" s="1">
        <v>44767</v>
      </c>
      <c r="B1400" t="s">
        <v>14</v>
      </c>
      <c r="C1400" t="s">
        <v>65</v>
      </c>
      <c r="D1400" t="s">
        <v>57</v>
      </c>
      <c r="E1400">
        <v>333</v>
      </c>
      <c r="F1400">
        <f t="shared" si="42"/>
        <v>1165.5</v>
      </c>
      <c r="G1400">
        <f>SUMIF($D$2:$D1400,$D1400,$E$2:$E1400)</f>
        <v>11182</v>
      </c>
      <c r="H1400">
        <f t="shared" si="43"/>
        <v>0</v>
      </c>
    </row>
    <row r="1401" spans="1:8" x14ac:dyDescent="0.25">
      <c r="A1401" s="1">
        <v>44767</v>
      </c>
      <c r="B1401" t="s">
        <v>13</v>
      </c>
      <c r="C1401" t="s">
        <v>68</v>
      </c>
      <c r="D1401" t="s">
        <v>21</v>
      </c>
      <c r="E1401">
        <v>112</v>
      </c>
      <c r="F1401">
        <f t="shared" si="42"/>
        <v>358.40000000000003</v>
      </c>
      <c r="G1401">
        <f>SUMIF($D$2:$D1401,$D1401,$E$2:$E1401)</f>
        <v>8917</v>
      </c>
      <c r="H1401">
        <f t="shared" si="43"/>
        <v>0</v>
      </c>
    </row>
    <row r="1402" spans="1:8" x14ac:dyDescent="0.25">
      <c r="A1402" s="1">
        <v>44767</v>
      </c>
      <c r="B1402" t="s">
        <v>12</v>
      </c>
      <c r="C1402" t="s">
        <v>68</v>
      </c>
      <c r="D1402" t="s">
        <v>47</v>
      </c>
      <c r="E1402">
        <v>54</v>
      </c>
      <c r="F1402">
        <f t="shared" si="42"/>
        <v>145.80000000000001</v>
      </c>
      <c r="G1402">
        <f>SUMIF($D$2:$D1402,$D1402,$E$2:$E1402)</f>
        <v>6967</v>
      </c>
      <c r="H1402">
        <f t="shared" si="43"/>
        <v>0</v>
      </c>
    </row>
    <row r="1403" spans="1:8" x14ac:dyDescent="0.25">
      <c r="A1403" s="1">
        <v>44767</v>
      </c>
      <c r="B1403" t="s">
        <v>14</v>
      </c>
      <c r="C1403" t="s">
        <v>65</v>
      </c>
      <c r="D1403" t="s">
        <v>44</v>
      </c>
      <c r="E1403">
        <v>316</v>
      </c>
      <c r="F1403">
        <f t="shared" si="42"/>
        <v>1106</v>
      </c>
      <c r="G1403">
        <f>SUMIF($D$2:$D1403,$D1403,$E$2:$E1403)</f>
        <v>11030</v>
      </c>
      <c r="H1403">
        <f t="shared" si="43"/>
        <v>0</v>
      </c>
    </row>
    <row r="1404" spans="1:8" x14ac:dyDescent="0.25">
      <c r="A1404" s="1">
        <v>44767</v>
      </c>
      <c r="B1404" t="s">
        <v>12</v>
      </c>
      <c r="C1404" t="s">
        <v>68</v>
      </c>
      <c r="D1404" t="s">
        <v>62</v>
      </c>
      <c r="E1404">
        <v>497</v>
      </c>
      <c r="F1404">
        <f t="shared" si="42"/>
        <v>1341.9</v>
      </c>
      <c r="G1404">
        <f>SUMIF($D$2:$D1404,$D1404,$E$2:$E1404)</f>
        <v>9018</v>
      </c>
      <c r="H1404">
        <f t="shared" si="43"/>
        <v>0</v>
      </c>
    </row>
    <row r="1405" spans="1:8" x14ac:dyDescent="0.25">
      <c r="A1405" s="1">
        <v>44767</v>
      </c>
      <c r="B1405" t="s">
        <v>12</v>
      </c>
      <c r="C1405" t="s">
        <v>68</v>
      </c>
      <c r="D1405" t="s">
        <v>40</v>
      </c>
      <c r="E1405">
        <v>227</v>
      </c>
      <c r="F1405">
        <f t="shared" si="42"/>
        <v>612.90000000000009</v>
      </c>
      <c r="G1405">
        <f>SUMIF($D$2:$D1405,$D1405,$E$2:$E1405)</f>
        <v>10046</v>
      </c>
      <c r="H1405">
        <f t="shared" si="43"/>
        <v>0</v>
      </c>
    </row>
    <row r="1406" spans="1:8" x14ac:dyDescent="0.25">
      <c r="A1406" s="1">
        <v>44767</v>
      </c>
      <c r="B1406" t="s">
        <v>14</v>
      </c>
      <c r="C1406" t="s">
        <v>65</v>
      </c>
      <c r="D1406" t="s">
        <v>26</v>
      </c>
      <c r="E1406">
        <v>419</v>
      </c>
      <c r="F1406">
        <f t="shared" si="42"/>
        <v>1466.5</v>
      </c>
      <c r="G1406">
        <f>SUMIF($D$2:$D1406,$D1406,$E$2:$E1406)</f>
        <v>12259</v>
      </c>
      <c r="H1406">
        <f t="shared" si="43"/>
        <v>0</v>
      </c>
    </row>
    <row r="1407" spans="1:8" x14ac:dyDescent="0.25">
      <c r="A1407" s="1">
        <v>44767</v>
      </c>
      <c r="B1407" t="s">
        <v>13</v>
      </c>
      <c r="C1407" t="s">
        <v>68</v>
      </c>
      <c r="D1407" t="s">
        <v>43</v>
      </c>
      <c r="E1407">
        <v>380</v>
      </c>
      <c r="F1407">
        <f t="shared" si="42"/>
        <v>1216</v>
      </c>
      <c r="G1407">
        <f>SUMIF($D$2:$D1407,$D1407,$E$2:$E1407)</f>
        <v>7843</v>
      </c>
      <c r="H1407">
        <f t="shared" si="43"/>
        <v>0</v>
      </c>
    </row>
    <row r="1408" spans="1:8" x14ac:dyDescent="0.25">
      <c r="A1408" s="1">
        <v>44767</v>
      </c>
      <c r="B1408" t="s">
        <v>13</v>
      </c>
      <c r="C1408" t="s">
        <v>68</v>
      </c>
      <c r="D1408" t="s">
        <v>45</v>
      </c>
      <c r="E1408">
        <v>314</v>
      </c>
      <c r="F1408">
        <f t="shared" si="42"/>
        <v>1004.8000000000001</v>
      </c>
      <c r="G1408">
        <f>SUMIF($D$2:$D1408,$D1408,$E$2:$E1408)</f>
        <v>7999</v>
      </c>
      <c r="H1408">
        <f t="shared" si="43"/>
        <v>0</v>
      </c>
    </row>
    <row r="1409" spans="1:8" x14ac:dyDescent="0.25">
      <c r="A1409" s="1">
        <v>44768</v>
      </c>
      <c r="B1409" t="s">
        <v>13</v>
      </c>
      <c r="C1409" t="s">
        <v>68</v>
      </c>
      <c r="D1409" t="s">
        <v>50</v>
      </c>
      <c r="E1409">
        <v>254</v>
      </c>
      <c r="F1409">
        <f t="shared" si="42"/>
        <v>812.80000000000007</v>
      </c>
      <c r="G1409">
        <f>SUMIF($D$2:$D1409,$D1409,$E$2:$E1409)</f>
        <v>6490</v>
      </c>
      <c r="H1409">
        <f t="shared" si="43"/>
        <v>0</v>
      </c>
    </row>
    <row r="1410" spans="1:8" x14ac:dyDescent="0.25">
      <c r="A1410" s="1">
        <v>44768</v>
      </c>
      <c r="B1410" t="s">
        <v>13</v>
      </c>
      <c r="C1410" t="s">
        <v>68</v>
      </c>
      <c r="D1410" t="s">
        <v>66</v>
      </c>
      <c r="E1410">
        <v>453</v>
      </c>
      <c r="F1410">
        <f t="shared" si="42"/>
        <v>1449.6000000000001</v>
      </c>
      <c r="G1410">
        <f>SUMIF($D$2:$D1410,$D1410,$E$2:$E1410)</f>
        <v>8837</v>
      </c>
      <c r="H1410">
        <f t="shared" si="43"/>
        <v>0</v>
      </c>
    </row>
    <row r="1411" spans="1:8" x14ac:dyDescent="0.25">
      <c r="A1411" s="1">
        <v>44768</v>
      </c>
      <c r="B1411" t="s">
        <v>14</v>
      </c>
      <c r="C1411" t="s">
        <v>65</v>
      </c>
      <c r="D1411" t="s">
        <v>49</v>
      </c>
      <c r="E1411">
        <v>252</v>
      </c>
      <c r="F1411">
        <f t="shared" ref="F1411:F1474" si="44">E1411* _xlfn.XLOOKUP(B1411,$I$2:$I$17,$J$2:$J$17,"0",0,1)</f>
        <v>882</v>
      </c>
      <c r="G1411">
        <f>SUMIF($D$2:$D1411,$D1411,$E$2:$E1411)</f>
        <v>9777</v>
      </c>
      <c r="H1411">
        <f t="shared" ref="H1411:H1474" si="45">IF(AND($G1411 &gt; 15000,$G1411 &lt; 20000),5*$E1411,IF($G1411 &gt;= 20000,10*$E1411,0))</f>
        <v>0</v>
      </c>
    </row>
    <row r="1412" spans="1:8" x14ac:dyDescent="0.25">
      <c r="A1412" s="1">
        <v>44768</v>
      </c>
      <c r="B1412" t="s">
        <v>13</v>
      </c>
      <c r="C1412" t="s">
        <v>68</v>
      </c>
      <c r="D1412" t="s">
        <v>39</v>
      </c>
      <c r="E1412">
        <v>243</v>
      </c>
      <c r="F1412">
        <f t="shared" si="44"/>
        <v>777.6</v>
      </c>
      <c r="G1412">
        <f>SUMIF($D$2:$D1412,$D1412,$E$2:$E1412)</f>
        <v>8231</v>
      </c>
      <c r="H1412">
        <f t="shared" si="45"/>
        <v>0</v>
      </c>
    </row>
    <row r="1413" spans="1:8" x14ac:dyDescent="0.25">
      <c r="A1413" s="1">
        <v>44769</v>
      </c>
      <c r="B1413" t="s">
        <v>13</v>
      </c>
      <c r="C1413" t="s">
        <v>68</v>
      </c>
      <c r="D1413" t="s">
        <v>31</v>
      </c>
      <c r="E1413">
        <v>430</v>
      </c>
      <c r="F1413">
        <f t="shared" si="44"/>
        <v>1376</v>
      </c>
      <c r="G1413">
        <f>SUMIF($D$2:$D1413,$D1413,$E$2:$E1413)</f>
        <v>11579</v>
      </c>
      <c r="H1413">
        <f t="shared" si="45"/>
        <v>0</v>
      </c>
    </row>
    <row r="1414" spans="1:8" x14ac:dyDescent="0.25">
      <c r="A1414" s="1">
        <v>44769</v>
      </c>
      <c r="B1414" t="s">
        <v>12</v>
      </c>
      <c r="C1414" t="s">
        <v>68</v>
      </c>
      <c r="D1414" t="s">
        <v>34</v>
      </c>
      <c r="E1414">
        <v>435</v>
      </c>
      <c r="F1414">
        <f t="shared" si="44"/>
        <v>1174.5</v>
      </c>
      <c r="G1414">
        <f>SUMIF($D$2:$D1414,$D1414,$E$2:$E1414)</f>
        <v>9650</v>
      </c>
      <c r="H1414">
        <f t="shared" si="45"/>
        <v>0</v>
      </c>
    </row>
    <row r="1415" spans="1:8" x14ac:dyDescent="0.25">
      <c r="A1415" s="1">
        <v>44769</v>
      </c>
      <c r="B1415" t="s">
        <v>13</v>
      </c>
      <c r="C1415" t="s">
        <v>68</v>
      </c>
      <c r="D1415" t="s">
        <v>33</v>
      </c>
      <c r="E1415">
        <v>428</v>
      </c>
      <c r="F1415">
        <f t="shared" si="44"/>
        <v>1369.6000000000001</v>
      </c>
      <c r="G1415">
        <f>SUMIF($D$2:$D1415,$D1415,$E$2:$E1415)</f>
        <v>12582</v>
      </c>
      <c r="H1415">
        <f t="shared" si="45"/>
        <v>0</v>
      </c>
    </row>
    <row r="1416" spans="1:8" x14ac:dyDescent="0.25">
      <c r="A1416" s="1">
        <v>44769</v>
      </c>
      <c r="B1416" t="s">
        <v>12</v>
      </c>
      <c r="C1416" t="s">
        <v>68</v>
      </c>
      <c r="D1416" t="s">
        <v>36</v>
      </c>
      <c r="E1416">
        <v>408</v>
      </c>
      <c r="F1416">
        <f t="shared" si="44"/>
        <v>1101.6000000000001</v>
      </c>
      <c r="G1416">
        <f>SUMIF($D$2:$D1416,$D1416,$E$2:$E1416)</f>
        <v>10248</v>
      </c>
      <c r="H1416">
        <f t="shared" si="45"/>
        <v>0</v>
      </c>
    </row>
    <row r="1417" spans="1:8" x14ac:dyDescent="0.25">
      <c r="A1417" s="1">
        <v>44769</v>
      </c>
      <c r="B1417" t="s">
        <v>14</v>
      </c>
      <c r="C1417" t="s">
        <v>65</v>
      </c>
      <c r="D1417" t="s">
        <v>64</v>
      </c>
      <c r="E1417">
        <v>40</v>
      </c>
      <c r="F1417">
        <f t="shared" si="44"/>
        <v>140</v>
      </c>
      <c r="G1417">
        <f>SUMIF($D$2:$D1417,$D1417,$E$2:$E1417)</f>
        <v>8934</v>
      </c>
      <c r="H1417">
        <f t="shared" si="45"/>
        <v>0</v>
      </c>
    </row>
    <row r="1418" spans="1:8" x14ac:dyDescent="0.25">
      <c r="A1418" s="1">
        <v>44769</v>
      </c>
      <c r="B1418" t="s">
        <v>13</v>
      </c>
      <c r="C1418" t="s">
        <v>68</v>
      </c>
      <c r="D1418" t="s">
        <v>23</v>
      </c>
      <c r="E1418">
        <v>215</v>
      </c>
      <c r="F1418">
        <f t="shared" si="44"/>
        <v>688</v>
      </c>
      <c r="G1418">
        <f>SUMIF($D$2:$D1418,$D1418,$E$2:$E1418)</f>
        <v>7732</v>
      </c>
      <c r="H1418">
        <f t="shared" si="45"/>
        <v>0</v>
      </c>
    </row>
    <row r="1419" spans="1:8" x14ac:dyDescent="0.25">
      <c r="A1419" s="1">
        <v>44769</v>
      </c>
      <c r="B1419" t="s">
        <v>14</v>
      </c>
      <c r="C1419" t="s">
        <v>65</v>
      </c>
      <c r="D1419" t="s">
        <v>31</v>
      </c>
      <c r="E1419">
        <v>474</v>
      </c>
      <c r="F1419">
        <f t="shared" si="44"/>
        <v>1659</v>
      </c>
      <c r="G1419">
        <f>SUMIF($D$2:$D1419,$D1419,$E$2:$E1419)</f>
        <v>12053</v>
      </c>
      <c r="H1419">
        <f t="shared" si="45"/>
        <v>0</v>
      </c>
    </row>
    <row r="1420" spans="1:8" x14ac:dyDescent="0.25">
      <c r="A1420" s="1">
        <v>44769</v>
      </c>
      <c r="B1420" t="s">
        <v>12</v>
      </c>
      <c r="C1420" t="s">
        <v>68</v>
      </c>
      <c r="D1420" t="s">
        <v>60</v>
      </c>
      <c r="E1420">
        <v>97</v>
      </c>
      <c r="F1420">
        <f t="shared" si="44"/>
        <v>261.90000000000003</v>
      </c>
      <c r="G1420">
        <f>SUMIF($D$2:$D1420,$D1420,$E$2:$E1420)</f>
        <v>10892</v>
      </c>
      <c r="H1420">
        <f t="shared" si="45"/>
        <v>0</v>
      </c>
    </row>
    <row r="1421" spans="1:8" x14ac:dyDescent="0.25">
      <c r="A1421" s="1">
        <v>44769</v>
      </c>
      <c r="B1421" t="s">
        <v>14</v>
      </c>
      <c r="C1421" t="s">
        <v>65</v>
      </c>
      <c r="D1421" t="s">
        <v>38</v>
      </c>
      <c r="E1421">
        <v>155</v>
      </c>
      <c r="F1421">
        <f t="shared" si="44"/>
        <v>542.5</v>
      </c>
      <c r="G1421">
        <f>SUMIF($D$2:$D1421,$D1421,$E$2:$E1421)</f>
        <v>11082</v>
      </c>
      <c r="H1421">
        <f t="shared" si="45"/>
        <v>0</v>
      </c>
    </row>
    <row r="1422" spans="1:8" x14ac:dyDescent="0.25">
      <c r="A1422" s="1">
        <v>44770</v>
      </c>
      <c r="B1422" t="s">
        <v>14</v>
      </c>
      <c r="C1422" t="s">
        <v>65</v>
      </c>
      <c r="D1422" t="s">
        <v>51</v>
      </c>
      <c r="E1422">
        <v>184</v>
      </c>
      <c r="F1422">
        <f t="shared" si="44"/>
        <v>644</v>
      </c>
      <c r="G1422">
        <f>SUMIF($D$2:$D1422,$D1422,$E$2:$E1422)</f>
        <v>12636</v>
      </c>
      <c r="H1422">
        <f t="shared" si="45"/>
        <v>0</v>
      </c>
    </row>
    <row r="1423" spans="1:8" x14ac:dyDescent="0.25">
      <c r="A1423" s="1">
        <v>44770</v>
      </c>
      <c r="B1423" t="s">
        <v>13</v>
      </c>
      <c r="C1423" t="s">
        <v>68</v>
      </c>
      <c r="D1423" t="s">
        <v>66</v>
      </c>
      <c r="E1423">
        <v>457</v>
      </c>
      <c r="F1423">
        <f t="shared" si="44"/>
        <v>1462.4</v>
      </c>
      <c r="G1423">
        <f>SUMIF($D$2:$D1423,$D1423,$E$2:$E1423)</f>
        <v>9294</v>
      </c>
      <c r="H1423">
        <f t="shared" si="45"/>
        <v>0</v>
      </c>
    </row>
    <row r="1424" spans="1:8" x14ac:dyDescent="0.25">
      <c r="A1424" s="1">
        <v>44770</v>
      </c>
      <c r="B1424" t="s">
        <v>14</v>
      </c>
      <c r="C1424" t="s">
        <v>65</v>
      </c>
      <c r="D1424" t="s">
        <v>28</v>
      </c>
      <c r="E1424">
        <v>185</v>
      </c>
      <c r="F1424">
        <f t="shared" si="44"/>
        <v>647.5</v>
      </c>
      <c r="G1424">
        <f>SUMIF($D$2:$D1424,$D1424,$E$2:$E1424)</f>
        <v>8675</v>
      </c>
      <c r="H1424">
        <f t="shared" si="45"/>
        <v>0</v>
      </c>
    </row>
    <row r="1425" spans="1:8" x14ac:dyDescent="0.25">
      <c r="A1425" s="1">
        <v>44770</v>
      </c>
      <c r="B1425" t="s">
        <v>12</v>
      </c>
      <c r="C1425" t="s">
        <v>68</v>
      </c>
      <c r="D1425" t="s">
        <v>61</v>
      </c>
      <c r="E1425">
        <v>183</v>
      </c>
      <c r="F1425">
        <f t="shared" si="44"/>
        <v>494.1</v>
      </c>
      <c r="G1425">
        <f>SUMIF($D$2:$D1425,$D1425,$E$2:$E1425)</f>
        <v>9314</v>
      </c>
      <c r="H1425">
        <f t="shared" si="45"/>
        <v>0</v>
      </c>
    </row>
    <row r="1426" spans="1:8" x14ac:dyDescent="0.25">
      <c r="A1426" s="1">
        <v>44770</v>
      </c>
      <c r="B1426" t="s">
        <v>13</v>
      </c>
      <c r="C1426" t="s">
        <v>68</v>
      </c>
      <c r="D1426" t="s">
        <v>20</v>
      </c>
      <c r="E1426">
        <v>127</v>
      </c>
      <c r="F1426">
        <f t="shared" si="44"/>
        <v>406.40000000000003</v>
      </c>
      <c r="G1426">
        <f>SUMIF($D$2:$D1426,$D1426,$E$2:$E1426)</f>
        <v>8030</v>
      </c>
      <c r="H1426">
        <f t="shared" si="45"/>
        <v>0</v>
      </c>
    </row>
    <row r="1427" spans="1:8" x14ac:dyDescent="0.25">
      <c r="A1427" s="1">
        <v>44770</v>
      </c>
      <c r="B1427" t="s">
        <v>12</v>
      </c>
      <c r="C1427" t="s">
        <v>68</v>
      </c>
      <c r="D1427" t="s">
        <v>33</v>
      </c>
      <c r="E1427">
        <v>259</v>
      </c>
      <c r="F1427">
        <f t="shared" si="44"/>
        <v>699.30000000000007</v>
      </c>
      <c r="G1427">
        <f>SUMIF($D$2:$D1427,$D1427,$E$2:$E1427)</f>
        <v>12841</v>
      </c>
      <c r="H1427">
        <f t="shared" si="45"/>
        <v>0</v>
      </c>
    </row>
    <row r="1428" spans="1:8" x14ac:dyDescent="0.25">
      <c r="A1428" s="1">
        <v>44770</v>
      </c>
      <c r="B1428" t="s">
        <v>13</v>
      </c>
      <c r="C1428" t="s">
        <v>68</v>
      </c>
      <c r="D1428" t="s">
        <v>45</v>
      </c>
      <c r="E1428">
        <v>334</v>
      </c>
      <c r="F1428">
        <f t="shared" si="44"/>
        <v>1068.8</v>
      </c>
      <c r="G1428">
        <f>SUMIF($D$2:$D1428,$D1428,$E$2:$E1428)</f>
        <v>8333</v>
      </c>
      <c r="H1428">
        <f t="shared" si="45"/>
        <v>0</v>
      </c>
    </row>
    <row r="1429" spans="1:8" x14ac:dyDescent="0.25">
      <c r="A1429" s="1">
        <v>44771</v>
      </c>
      <c r="B1429" t="s">
        <v>12</v>
      </c>
      <c r="C1429" t="s">
        <v>68</v>
      </c>
      <c r="D1429" t="s">
        <v>38</v>
      </c>
      <c r="E1429">
        <v>177</v>
      </c>
      <c r="F1429">
        <f t="shared" si="44"/>
        <v>477.90000000000003</v>
      </c>
      <c r="G1429">
        <f>SUMIF($D$2:$D1429,$D1429,$E$2:$E1429)</f>
        <v>11259</v>
      </c>
      <c r="H1429">
        <f t="shared" si="45"/>
        <v>0</v>
      </c>
    </row>
    <row r="1430" spans="1:8" x14ac:dyDescent="0.25">
      <c r="A1430" s="1">
        <v>44771</v>
      </c>
      <c r="B1430" t="s">
        <v>14</v>
      </c>
      <c r="C1430" t="s">
        <v>65</v>
      </c>
      <c r="D1430" t="s">
        <v>28</v>
      </c>
      <c r="E1430">
        <v>438</v>
      </c>
      <c r="F1430">
        <f t="shared" si="44"/>
        <v>1533</v>
      </c>
      <c r="G1430">
        <f>SUMIF($D$2:$D1430,$D1430,$E$2:$E1430)</f>
        <v>9113</v>
      </c>
      <c r="H1430">
        <f t="shared" si="45"/>
        <v>0</v>
      </c>
    </row>
    <row r="1431" spans="1:8" x14ac:dyDescent="0.25">
      <c r="A1431" s="1">
        <v>44771</v>
      </c>
      <c r="B1431" t="s">
        <v>12</v>
      </c>
      <c r="C1431" t="s">
        <v>68</v>
      </c>
      <c r="D1431" t="s">
        <v>58</v>
      </c>
      <c r="E1431">
        <v>82</v>
      </c>
      <c r="F1431">
        <f t="shared" si="44"/>
        <v>221.4</v>
      </c>
      <c r="G1431">
        <f>SUMIF($D$2:$D1431,$D1431,$E$2:$E1431)</f>
        <v>7866</v>
      </c>
      <c r="H1431">
        <f t="shared" si="45"/>
        <v>0</v>
      </c>
    </row>
    <row r="1432" spans="1:8" x14ac:dyDescent="0.25">
      <c r="A1432" s="1">
        <v>44771</v>
      </c>
      <c r="B1432" t="s">
        <v>12</v>
      </c>
      <c r="C1432" t="s">
        <v>68</v>
      </c>
      <c r="D1432" t="s">
        <v>25</v>
      </c>
      <c r="E1432">
        <v>18</v>
      </c>
      <c r="F1432">
        <f t="shared" si="44"/>
        <v>48.6</v>
      </c>
      <c r="G1432">
        <f>SUMIF($D$2:$D1432,$D1432,$E$2:$E1432)</f>
        <v>7971</v>
      </c>
      <c r="H1432">
        <f t="shared" si="45"/>
        <v>0</v>
      </c>
    </row>
    <row r="1433" spans="1:8" x14ac:dyDescent="0.25">
      <c r="A1433" s="1">
        <v>44771</v>
      </c>
      <c r="B1433" t="s">
        <v>12</v>
      </c>
      <c r="C1433" t="s">
        <v>68</v>
      </c>
      <c r="D1433" t="s">
        <v>22</v>
      </c>
      <c r="E1433">
        <v>434</v>
      </c>
      <c r="F1433">
        <f t="shared" si="44"/>
        <v>1171.8000000000002</v>
      </c>
      <c r="G1433">
        <f>SUMIF($D$2:$D1433,$D1433,$E$2:$E1433)</f>
        <v>9238</v>
      </c>
      <c r="H1433">
        <f t="shared" si="45"/>
        <v>0</v>
      </c>
    </row>
    <row r="1434" spans="1:8" x14ac:dyDescent="0.25">
      <c r="A1434" s="1">
        <v>44771</v>
      </c>
      <c r="B1434" t="s">
        <v>14</v>
      </c>
      <c r="C1434" t="s">
        <v>65</v>
      </c>
      <c r="D1434" t="s">
        <v>40</v>
      </c>
      <c r="E1434">
        <v>485</v>
      </c>
      <c r="F1434">
        <f t="shared" si="44"/>
        <v>1697.5</v>
      </c>
      <c r="G1434">
        <f>SUMIF($D$2:$D1434,$D1434,$E$2:$E1434)</f>
        <v>10531</v>
      </c>
      <c r="H1434">
        <f t="shared" si="45"/>
        <v>0</v>
      </c>
    </row>
    <row r="1435" spans="1:8" x14ac:dyDescent="0.25">
      <c r="A1435" s="1">
        <v>44771</v>
      </c>
      <c r="B1435" t="s">
        <v>12</v>
      </c>
      <c r="C1435" t="s">
        <v>68</v>
      </c>
      <c r="D1435" t="s">
        <v>35</v>
      </c>
      <c r="E1435">
        <v>420</v>
      </c>
      <c r="F1435">
        <f t="shared" si="44"/>
        <v>1134</v>
      </c>
      <c r="G1435">
        <f>SUMIF($D$2:$D1435,$D1435,$E$2:$E1435)</f>
        <v>8215</v>
      </c>
      <c r="H1435">
        <f t="shared" si="45"/>
        <v>0</v>
      </c>
    </row>
    <row r="1436" spans="1:8" x14ac:dyDescent="0.25">
      <c r="A1436" s="1">
        <v>44771</v>
      </c>
      <c r="B1436" t="s">
        <v>13</v>
      </c>
      <c r="C1436" t="s">
        <v>68</v>
      </c>
      <c r="D1436" t="s">
        <v>55</v>
      </c>
      <c r="E1436">
        <v>353</v>
      </c>
      <c r="F1436">
        <f t="shared" si="44"/>
        <v>1129.6000000000001</v>
      </c>
      <c r="G1436">
        <f>SUMIF($D$2:$D1436,$D1436,$E$2:$E1436)</f>
        <v>8871</v>
      </c>
      <c r="H1436">
        <f t="shared" si="45"/>
        <v>0</v>
      </c>
    </row>
    <row r="1437" spans="1:8" x14ac:dyDescent="0.25">
      <c r="A1437" s="1">
        <v>44772</v>
      </c>
      <c r="B1437" t="s">
        <v>13</v>
      </c>
      <c r="C1437" t="s">
        <v>68</v>
      </c>
      <c r="D1437" t="s">
        <v>23</v>
      </c>
      <c r="E1437">
        <v>157</v>
      </c>
      <c r="F1437">
        <f t="shared" si="44"/>
        <v>502.40000000000003</v>
      </c>
      <c r="G1437">
        <f>SUMIF($D$2:$D1437,$D1437,$E$2:$E1437)</f>
        <v>7889</v>
      </c>
      <c r="H1437">
        <f t="shared" si="45"/>
        <v>0</v>
      </c>
    </row>
    <row r="1438" spans="1:8" x14ac:dyDescent="0.25">
      <c r="A1438" s="1">
        <v>44772</v>
      </c>
      <c r="B1438" t="s">
        <v>13</v>
      </c>
      <c r="C1438" t="s">
        <v>68</v>
      </c>
      <c r="D1438" t="s">
        <v>57</v>
      </c>
      <c r="E1438">
        <v>430</v>
      </c>
      <c r="F1438">
        <f t="shared" si="44"/>
        <v>1376</v>
      </c>
      <c r="G1438">
        <f>SUMIF($D$2:$D1438,$D1438,$E$2:$E1438)</f>
        <v>11612</v>
      </c>
      <c r="H1438">
        <f t="shared" si="45"/>
        <v>0</v>
      </c>
    </row>
    <row r="1439" spans="1:8" x14ac:dyDescent="0.25">
      <c r="A1439" s="1">
        <v>44772</v>
      </c>
      <c r="B1439" t="s">
        <v>12</v>
      </c>
      <c r="C1439" t="s">
        <v>68</v>
      </c>
      <c r="D1439" t="s">
        <v>34</v>
      </c>
      <c r="E1439">
        <v>441</v>
      </c>
      <c r="F1439">
        <f t="shared" si="44"/>
        <v>1190.7</v>
      </c>
      <c r="G1439">
        <f>SUMIF($D$2:$D1439,$D1439,$E$2:$E1439)</f>
        <v>10091</v>
      </c>
      <c r="H1439">
        <f t="shared" si="45"/>
        <v>0</v>
      </c>
    </row>
    <row r="1440" spans="1:8" x14ac:dyDescent="0.25">
      <c r="A1440" s="1">
        <v>44772</v>
      </c>
      <c r="B1440" t="s">
        <v>14</v>
      </c>
      <c r="C1440" t="s">
        <v>65</v>
      </c>
      <c r="D1440" t="s">
        <v>66</v>
      </c>
      <c r="E1440">
        <v>248</v>
      </c>
      <c r="F1440">
        <f t="shared" si="44"/>
        <v>868</v>
      </c>
      <c r="G1440">
        <f>SUMIF($D$2:$D1440,$D1440,$E$2:$E1440)</f>
        <v>9542</v>
      </c>
      <c r="H1440">
        <f t="shared" si="45"/>
        <v>0</v>
      </c>
    </row>
    <row r="1441" spans="1:8" x14ac:dyDescent="0.25">
      <c r="A1441" s="1">
        <v>44772</v>
      </c>
      <c r="B1441" t="s">
        <v>14</v>
      </c>
      <c r="C1441" t="s">
        <v>65</v>
      </c>
      <c r="D1441" t="s">
        <v>42</v>
      </c>
      <c r="E1441">
        <v>66</v>
      </c>
      <c r="F1441">
        <f t="shared" si="44"/>
        <v>231</v>
      </c>
      <c r="G1441">
        <f>SUMIF($D$2:$D1441,$D1441,$E$2:$E1441)</f>
        <v>8018</v>
      </c>
      <c r="H1441">
        <f t="shared" si="45"/>
        <v>0</v>
      </c>
    </row>
    <row r="1442" spans="1:8" x14ac:dyDescent="0.25">
      <c r="A1442" s="1">
        <v>44772</v>
      </c>
      <c r="B1442" t="s">
        <v>12</v>
      </c>
      <c r="C1442" t="s">
        <v>68</v>
      </c>
      <c r="D1442" t="s">
        <v>37</v>
      </c>
      <c r="E1442">
        <v>86</v>
      </c>
      <c r="F1442">
        <f t="shared" si="44"/>
        <v>232.20000000000002</v>
      </c>
      <c r="G1442">
        <f>SUMIF($D$2:$D1442,$D1442,$E$2:$E1442)</f>
        <v>10219</v>
      </c>
      <c r="H1442">
        <f t="shared" si="45"/>
        <v>0</v>
      </c>
    </row>
    <row r="1443" spans="1:8" x14ac:dyDescent="0.25">
      <c r="A1443" s="1">
        <v>44772</v>
      </c>
      <c r="B1443" t="s">
        <v>12</v>
      </c>
      <c r="C1443" t="s">
        <v>68</v>
      </c>
      <c r="D1443" t="s">
        <v>24</v>
      </c>
      <c r="E1443">
        <v>267</v>
      </c>
      <c r="F1443">
        <f t="shared" si="44"/>
        <v>720.90000000000009</v>
      </c>
      <c r="G1443">
        <f>SUMIF($D$2:$D1443,$D1443,$E$2:$E1443)</f>
        <v>7825</v>
      </c>
      <c r="H1443">
        <f t="shared" si="45"/>
        <v>0</v>
      </c>
    </row>
    <row r="1444" spans="1:8" x14ac:dyDescent="0.25">
      <c r="A1444" s="1">
        <v>44772</v>
      </c>
      <c r="B1444" t="s">
        <v>12</v>
      </c>
      <c r="C1444" t="s">
        <v>68</v>
      </c>
      <c r="D1444" t="s">
        <v>40</v>
      </c>
      <c r="E1444">
        <v>40</v>
      </c>
      <c r="F1444">
        <f t="shared" si="44"/>
        <v>108</v>
      </c>
      <c r="G1444">
        <f>SUMIF($D$2:$D1444,$D1444,$E$2:$E1444)</f>
        <v>10571</v>
      </c>
      <c r="H1444">
        <f t="shared" si="45"/>
        <v>0</v>
      </c>
    </row>
    <row r="1445" spans="1:8" x14ac:dyDescent="0.25">
      <c r="A1445" s="1">
        <v>44772</v>
      </c>
      <c r="B1445" t="s">
        <v>13</v>
      </c>
      <c r="C1445" t="s">
        <v>68</v>
      </c>
      <c r="D1445" t="s">
        <v>26</v>
      </c>
      <c r="E1445">
        <v>171</v>
      </c>
      <c r="F1445">
        <f t="shared" si="44"/>
        <v>547.20000000000005</v>
      </c>
      <c r="G1445">
        <f>SUMIF($D$2:$D1445,$D1445,$E$2:$E1445)</f>
        <v>12430</v>
      </c>
      <c r="H1445">
        <f t="shared" si="45"/>
        <v>0</v>
      </c>
    </row>
    <row r="1446" spans="1:8" x14ac:dyDescent="0.25">
      <c r="A1446" s="1">
        <v>44772</v>
      </c>
      <c r="B1446" t="s">
        <v>12</v>
      </c>
      <c r="C1446" t="s">
        <v>68</v>
      </c>
      <c r="D1446" t="s">
        <v>43</v>
      </c>
      <c r="E1446">
        <v>190</v>
      </c>
      <c r="F1446">
        <f t="shared" si="44"/>
        <v>513</v>
      </c>
      <c r="G1446">
        <f>SUMIF($D$2:$D1446,$D1446,$E$2:$E1446)</f>
        <v>8033</v>
      </c>
      <c r="H1446">
        <f t="shared" si="45"/>
        <v>0</v>
      </c>
    </row>
    <row r="1447" spans="1:8" x14ac:dyDescent="0.25">
      <c r="A1447" s="1">
        <v>44772</v>
      </c>
      <c r="B1447" t="s">
        <v>13</v>
      </c>
      <c r="C1447" t="s">
        <v>68</v>
      </c>
      <c r="D1447" t="s">
        <v>18</v>
      </c>
      <c r="E1447">
        <v>125</v>
      </c>
      <c r="F1447">
        <f t="shared" si="44"/>
        <v>400</v>
      </c>
      <c r="G1447">
        <f>SUMIF($D$2:$D1447,$D1447,$E$2:$E1447)</f>
        <v>9533</v>
      </c>
      <c r="H1447">
        <f t="shared" si="45"/>
        <v>0</v>
      </c>
    </row>
    <row r="1448" spans="1:8" x14ac:dyDescent="0.25">
      <c r="A1448" s="1">
        <v>44772</v>
      </c>
      <c r="B1448" t="s">
        <v>12</v>
      </c>
      <c r="C1448" t="s">
        <v>68</v>
      </c>
      <c r="D1448" t="s">
        <v>58</v>
      </c>
      <c r="E1448">
        <v>346</v>
      </c>
      <c r="F1448">
        <f t="shared" si="44"/>
        <v>934.2</v>
      </c>
      <c r="G1448">
        <f>SUMIF($D$2:$D1448,$D1448,$E$2:$E1448)</f>
        <v>8212</v>
      </c>
      <c r="H1448">
        <f t="shared" si="45"/>
        <v>0</v>
      </c>
    </row>
    <row r="1449" spans="1:8" x14ac:dyDescent="0.25">
      <c r="A1449" s="1">
        <v>44772</v>
      </c>
      <c r="B1449" t="s">
        <v>13</v>
      </c>
      <c r="C1449" t="s">
        <v>68</v>
      </c>
      <c r="D1449" t="s">
        <v>38</v>
      </c>
      <c r="E1449">
        <v>346</v>
      </c>
      <c r="F1449">
        <f t="shared" si="44"/>
        <v>1107.2</v>
      </c>
      <c r="G1449">
        <f>SUMIF($D$2:$D1449,$D1449,$E$2:$E1449)</f>
        <v>11605</v>
      </c>
      <c r="H1449">
        <f t="shared" si="45"/>
        <v>0</v>
      </c>
    </row>
    <row r="1450" spans="1:8" x14ac:dyDescent="0.25">
      <c r="A1450" s="1">
        <v>44772</v>
      </c>
      <c r="B1450" t="s">
        <v>13</v>
      </c>
      <c r="C1450" t="s">
        <v>68</v>
      </c>
      <c r="D1450" t="s">
        <v>34</v>
      </c>
      <c r="E1450">
        <v>22</v>
      </c>
      <c r="F1450">
        <f t="shared" si="44"/>
        <v>70.400000000000006</v>
      </c>
      <c r="G1450">
        <f>SUMIF($D$2:$D1450,$D1450,$E$2:$E1450)</f>
        <v>10113</v>
      </c>
      <c r="H1450">
        <f t="shared" si="45"/>
        <v>0</v>
      </c>
    </row>
    <row r="1451" spans="1:8" x14ac:dyDescent="0.25">
      <c r="A1451" s="1">
        <v>44774</v>
      </c>
      <c r="B1451" t="s">
        <v>12</v>
      </c>
      <c r="C1451" t="s">
        <v>68</v>
      </c>
      <c r="D1451" t="s">
        <v>27</v>
      </c>
      <c r="E1451">
        <v>450</v>
      </c>
      <c r="F1451">
        <f t="shared" si="44"/>
        <v>1215</v>
      </c>
      <c r="G1451">
        <f>SUMIF($D$2:$D1451,$D1451,$E$2:$E1451)</f>
        <v>9176</v>
      </c>
      <c r="H1451">
        <f t="shared" si="45"/>
        <v>0</v>
      </c>
    </row>
    <row r="1452" spans="1:8" x14ac:dyDescent="0.25">
      <c r="A1452" s="1">
        <v>44774</v>
      </c>
      <c r="B1452" t="s">
        <v>13</v>
      </c>
      <c r="C1452" t="s">
        <v>68</v>
      </c>
      <c r="D1452" t="s">
        <v>59</v>
      </c>
      <c r="E1452">
        <v>18</v>
      </c>
      <c r="F1452">
        <f t="shared" si="44"/>
        <v>57.6</v>
      </c>
      <c r="G1452">
        <f>SUMIF($D$2:$D1452,$D1452,$E$2:$E1452)</f>
        <v>6347</v>
      </c>
      <c r="H1452">
        <f t="shared" si="45"/>
        <v>0</v>
      </c>
    </row>
    <row r="1453" spans="1:8" x14ac:dyDescent="0.25">
      <c r="A1453" s="1">
        <v>44774</v>
      </c>
      <c r="B1453" t="s">
        <v>13</v>
      </c>
      <c r="C1453" t="s">
        <v>68</v>
      </c>
      <c r="D1453" t="s">
        <v>58</v>
      </c>
      <c r="E1453">
        <v>108</v>
      </c>
      <c r="F1453">
        <f t="shared" si="44"/>
        <v>345.6</v>
      </c>
      <c r="G1453">
        <f>SUMIF($D$2:$D1453,$D1453,$E$2:$E1453)</f>
        <v>8320</v>
      </c>
      <c r="H1453">
        <f t="shared" si="45"/>
        <v>0</v>
      </c>
    </row>
    <row r="1454" spans="1:8" x14ac:dyDescent="0.25">
      <c r="A1454" s="1">
        <v>44774</v>
      </c>
      <c r="B1454" t="s">
        <v>13</v>
      </c>
      <c r="C1454" t="s">
        <v>68</v>
      </c>
      <c r="D1454" t="s">
        <v>30</v>
      </c>
      <c r="E1454">
        <v>321</v>
      </c>
      <c r="F1454">
        <f t="shared" si="44"/>
        <v>1027.2</v>
      </c>
      <c r="G1454">
        <f>SUMIF($D$2:$D1454,$D1454,$E$2:$E1454)</f>
        <v>9545</v>
      </c>
      <c r="H1454">
        <f t="shared" si="45"/>
        <v>0</v>
      </c>
    </row>
    <row r="1455" spans="1:8" x14ac:dyDescent="0.25">
      <c r="A1455" s="1">
        <v>44774</v>
      </c>
      <c r="B1455" t="s">
        <v>12</v>
      </c>
      <c r="C1455" t="s">
        <v>68</v>
      </c>
      <c r="D1455" t="s">
        <v>33</v>
      </c>
      <c r="E1455">
        <v>165</v>
      </c>
      <c r="F1455">
        <f t="shared" si="44"/>
        <v>445.50000000000006</v>
      </c>
      <c r="G1455">
        <f>SUMIF($D$2:$D1455,$D1455,$E$2:$E1455)</f>
        <v>13006</v>
      </c>
      <c r="H1455">
        <f t="shared" si="45"/>
        <v>0</v>
      </c>
    </row>
    <row r="1456" spans="1:8" x14ac:dyDescent="0.25">
      <c r="A1456" s="1">
        <v>44774</v>
      </c>
      <c r="B1456" t="s">
        <v>13</v>
      </c>
      <c r="C1456" t="s">
        <v>68</v>
      </c>
      <c r="D1456" t="s">
        <v>67</v>
      </c>
      <c r="E1456">
        <v>418</v>
      </c>
      <c r="F1456">
        <f t="shared" si="44"/>
        <v>1337.6000000000001</v>
      </c>
      <c r="G1456">
        <f>SUMIF($D$2:$D1456,$D1456,$E$2:$E1456)</f>
        <v>9165</v>
      </c>
      <c r="H1456">
        <f t="shared" si="45"/>
        <v>0</v>
      </c>
    </row>
    <row r="1457" spans="1:8" x14ac:dyDescent="0.25">
      <c r="A1457" s="1">
        <v>44774</v>
      </c>
      <c r="B1457" t="s">
        <v>13</v>
      </c>
      <c r="C1457" t="s">
        <v>68</v>
      </c>
      <c r="D1457" t="s">
        <v>51</v>
      </c>
      <c r="E1457">
        <v>109</v>
      </c>
      <c r="F1457">
        <f t="shared" si="44"/>
        <v>348.8</v>
      </c>
      <c r="G1457">
        <f>SUMIF($D$2:$D1457,$D1457,$E$2:$E1457)</f>
        <v>12745</v>
      </c>
      <c r="H1457">
        <f t="shared" si="45"/>
        <v>0</v>
      </c>
    </row>
    <row r="1458" spans="1:8" x14ac:dyDescent="0.25">
      <c r="A1458" s="1">
        <v>44774</v>
      </c>
      <c r="B1458" t="s">
        <v>14</v>
      </c>
      <c r="C1458" t="s">
        <v>65</v>
      </c>
      <c r="D1458" t="s">
        <v>43</v>
      </c>
      <c r="E1458">
        <v>297</v>
      </c>
      <c r="F1458">
        <f t="shared" si="44"/>
        <v>1039.5</v>
      </c>
      <c r="G1458">
        <f>SUMIF($D$2:$D1458,$D1458,$E$2:$E1458)</f>
        <v>8330</v>
      </c>
      <c r="H1458">
        <f t="shared" si="45"/>
        <v>0</v>
      </c>
    </row>
    <row r="1459" spans="1:8" x14ac:dyDescent="0.25">
      <c r="A1459" s="1">
        <v>44774</v>
      </c>
      <c r="B1459" t="s">
        <v>14</v>
      </c>
      <c r="C1459" t="s">
        <v>65</v>
      </c>
      <c r="D1459" t="s">
        <v>42</v>
      </c>
      <c r="E1459">
        <v>284</v>
      </c>
      <c r="F1459">
        <f t="shared" si="44"/>
        <v>994</v>
      </c>
      <c r="G1459">
        <f>SUMIF($D$2:$D1459,$D1459,$E$2:$E1459)</f>
        <v>8302</v>
      </c>
      <c r="H1459">
        <f t="shared" si="45"/>
        <v>0</v>
      </c>
    </row>
    <row r="1460" spans="1:8" x14ac:dyDescent="0.25">
      <c r="A1460" s="1">
        <v>44774</v>
      </c>
      <c r="B1460" t="s">
        <v>14</v>
      </c>
      <c r="C1460" t="s">
        <v>65</v>
      </c>
      <c r="D1460" t="s">
        <v>48</v>
      </c>
      <c r="E1460">
        <v>381</v>
      </c>
      <c r="F1460">
        <f t="shared" si="44"/>
        <v>1333.5</v>
      </c>
      <c r="G1460">
        <f>SUMIF($D$2:$D1460,$D1460,$E$2:$E1460)</f>
        <v>6700</v>
      </c>
      <c r="H1460">
        <f t="shared" si="45"/>
        <v>0</v>
      </c>
    </row>
    <row r="1461" spans="1:8" x14ac:dyDescent="0.25">
      <c r="A1461" s="1">
        <v>44774</v>
      </c>
      <c r="B1461" t="s">
        <v>13</v>
      </c>
      <c r="C1461" t="s">
        <v>68</v>
      </c>
      <c r="D1461" t="s">
        <v>64</v>
      </c>
      <c r="E1461">
        <v>317</v>
      </c>
      <c r="F1461">
        <f t="shared" si="44"/>
        <v>1014.4000000000001</v>
      </c>
      <c r="G1461">
        <f>SUMIF($D$2:$D1461,$D1461,$E$2:$E1461)</f>
        <v>9251</v>
      </c>
      <c r="H1461">
        <f t="shared" si="45"/>
        <v>0</v>
      </c>
    </row>
    <row r="1462" spans="1:8" x14ac:dyDescent="0.25">
      <c r="A1462" s="1">
        <v>44774</v>
      </c>
      <c r="B1462" t="s">
        <v>14</v>
      </c>
      <c r="C1462" t="s">
        <v>65</v>
      </c>
      <c r="D1462" t="s">
        <v>21</v>
      </c>
      <c r="E1462">
        <v>429</v>
      </c>
      <c r="F1462">
        <f t="shared" si="44"/>
        <v>1501.5</v>
      </c>
      <c r="G1462">
        <f>SUMIF($D$2:$D1462,$D1462,$E$2:$E1462)</f>
        <v>9346</v>
      </c>
      <c r="H1462">
        <f t="shared" si="45"/>
        <v>0</v>
      </c>
    </row>
    <row r="1463" spans="1:8" x14ac:dyDescent="0.25">
      <c r="A1463" s="1">
        <v>44774</v>
      </c>
      <c r="B1463" t="s">
        <v>13</v>
      </c>
      <c r="C1463" t="s">
        <v>68</v>
      </c>
      <c r="D1463" t="s">
        <v>30</v>
      </c>
      <c r="E1463">
        <v>203</v>
      </c>
      <c r="F1463">
        <f t="shared" si="44"/>
        <v>649.6</v>
      </c>
      <c r="G1463">
        <f>SUMIF($D$2:$D1463,$D1463,$E$2:$E1463)</f>
        <v>9748</v>
      </c>
      <c r="H1463">
        <f t="shared" si="45"/>
        <v>0</v>
      </c>
    </row>
    <row r="1464" spans="1:8" x14ac:dyDescent="0.25">
      <c r="A1464" s="1">
        <v>44775</v>
      </c>
      <c r="B1464" t="s">
        <v>14</v>
      </c>
      <c r="C1464" t="s">
        <v>65</v>
      </c>
      <c r="D1464" t="s">
        <v>37</v>
      </c>
      <c r="E1464">
        <v>166</v>
      </c>
      <c r="F1464">
        <f t="shared" si="44"/>
        <v>581</v>
      </c>
      <c r="G1464">
        <f>SUMIF($D$2:$D1464,$D1464,$E$2:$E1464)</f>
        <v>10385</v>
      </c>
      <c r="H1464">
        <f t="shared" si="45"/>
        <v>0</v>
      </c>
    </row>
    <row r="1465" spans="1:8" x14ac:dyDescent="0.25">
      <c r="A1465" s="1">
        <v>44775</v>
      </c>
      <c r="B1465" t="s">
        <v>13</v>
      </c>
      <c r="C1465" t="s">
        <v>68</v>
      </c>
      <c r="D1465" t="s">
        <v>54</v>
      </c>
      <c r="E1465">
        <v>312</v>
      </c>
      <c r="F1465">
        <f t="shared" si="44"/>
        <v>998.40000000000009</v>
      </c>
      <c r="G1465">
        <f>SUMIF($D$2:$D1465,$D1465,$E$2:$E1465)</f>
        <v>10128</v>
      </c>
      <c r="H1465">
        <f t="shared" si="45"/>
        <v>0</v>
      </c>
    </row>
    <row r="1466" spans="1:8" x14ac:dyDescent="0.25">
      <c r="A1466" s="1">
        <v>44775</v>
      </c>
      <c r="B1466" t="s">
        <v>14</v>
      </c>
      <c r="C1466" t="s">
        <v>65</v>
      </c>
      <c r="D1466" t="s">
        <v>48</v>
      </c>
      <c r="E1466">
        <v>118</v>
      </c>
      <c r="F1466">
        <f t="shared" si="44"/>
        <v>413</v>
      </c>
      <c r="G1466">
        <f>SUMIF($D$2:$D1466,$D1466,$E$2:$E1466)</f>
        <v>6818</v>
      </c>
      <c r="H1466">
        <f t="shared" si="45"/>
        <v>0</v>
      </c>
    </row>
    <row r="1467" spans="1:8" x14ac:dyDescent="0.25">
      <c r="A1467" s="1">
        <v>44775</v>
      </c>
      <c r="B1467" t="s">
        <v>14</v>
      </c>
      <c r="C1467" t="s">
        <v>65</v>
      </c>
      <c r="D1467" t="s">
        <v>24</v>
      </c>
      <c r="E1467">
        <v>115</v>
      </c>
      <c r="F1467">
        <f t="shared" si="44"/>
        <v>402.5</v>
      </c>
      <c r="G1467">
        <f>SUMIF($D$2:$D1467,$D1467,$E$2:$E1467)</f>
        <v>7940</v>
      </c>
      <c r="H1467">
        <f t="shared" si="45"/>
        <v>0</v>
      </c>
    </row>
    <row r="1468" spans="1:8" x14ac:dyDescent="0.25">
      <c r="A1468" s="1">
        <v>44775</v>
      </c>
      <c r="B1468" t="s">
        <v>13</v>
      </c>
      <c r="C1468" t="s">
        <v>68</v>
      </c>
      <c r="D1468" t="s">
        <v>18</v>
      </c>
      <c r="E1468">
        <v>333</v>
      </c>
      <c r="F1468">
        <f t="shared" si="44"/>
        <v>1065.6000000000001</v>
      </c>
      <c r="G1468">
        <f>SUMIF($D$2:$D1468,$D1468,$E$2:$E1468)</f>
        <v>9866</v>
      </c>
      <c r="H1468">
        <f t="shared" si="45"/>
        <v>0</v>
      </c>
    </row>
    <row r="1469" spans="1:8" x14ac:dyDescent="0.25">
      <c r="A1469" s="1">
        <v>44775</v>
      </c>
      <c r="B1469" t="s">
        <v>14</v>
      </c>
      <c r="C1469" t="s">
        <v>65</v>
      </c>
      <c r="D1469" t="s">
        <v>20</v>
      </c>
      <c r="E1469">
        <v>162</v>
      </c>
      <c r="F1469">
        <f t="shared" si="44"/>
        <v>567</v>
      </c>
      <c r="G1469">
        <f>SUMIF($D$2:$D1469,$D1469,$E$2:$E1469)</f>
        <v>8192</v>
      </c>
      <c r="H1469">
        <f t="shared" si="45"/>
        <v>0</v>
      </c>
    </row>
    <row r="1470" spans="1:8" x14ac:dyDescent="0.25">
      <c r="A1470" s="1">
        <v>44775</v>
      </c>
      <c r="B1470" t="s">
        <v>14</v>
      </c>
      <c r="C1470" t="s">
        <v>65</v>
      </c>
      <c r="D1470" t="s">
        <v>54</v>
      </c>
      <c r="E1470">
        <v>70</v>
      </c>
      <c r="F1470">
        <f t="shared" si="44"/>
        <v>245</v>
      </c>
      <c r="G1470">
        <f>SUMIF($D$2:$D1470,$D1470,$E$2:$E1470)</f>
        <v>10198</v>
      </c>
      <c r="H1470">
        <f t="shared" si="45"/>
        <v>0</v>
      </c>
    </row>
    <row r="1471" spans="1:8" x14ac:dyDescent="0.25">
      <c r="A1471" s="1">
        <v>44775</v>
      </c>
      <c r="B1471" t="s">
        <v>13</v>
      </c>
      <c r="C1471" t="s">
        <v>68</v>
      </c>
      <c r="D1471" t="s">
        <v>59</v>
      </c>
      <c r="E1471">
        <v>232</v>
      </c>
      <c r="F1471">
        <f t="shared" si="44"/>
        <v>742.40000000000009</v>
      </c>
      <c r="G1471">
        <f>SUMIF($D$2:$D1471,$D1471,$E$2:$E1471)</f>
        <v>6579</v>
      </c>
      <c r="H1471">
        <f t="shared" si="45"/>
        <v>0</v>
      </c>
    </row>
    <row r="1472" spans="1:8" x14ac:dyDescent="0.25">
      <c r="A1472" s="1">
        <v>44775</v>
      </c>
      <c r="B1472" t="s">
        <v>13</v>
      </c>
      <c r="C1472" t="s">
        <v>68</v>
      </c>
      <c r="D1472" t="s">
        <v>21</v>
      </c>
      <c r="E1472">
        <v>39</v>
      </c>
      <c r="F1472">
        <f t="shared" si="44"/>
        <v>124.80000000000001</v>
      </c>
      <c r="G1472">
        <f>SUMIF($D$2:$D1472,$D1472,$E$2:$E1472)</f>
        <v>9385</v>
      </c>
      <c r="H1472">
        <f t="shared" si="45"/>
        <v>0</v>
      </c>
    </row>
    <row r="1473" spans="1:8" x14ac:dyDescent="0.25">
      <c r="A1473" s="1">
        <v>44775</v>
      </c>
      <c r="B1473" t="s">
        <v>13</v>
      </c>
      <c r="C1473" t="s">
        <v>68</v>
      </c>
      <c r="D1473" t="s">
        <v>57</v>
      </c>
      <c r="E1473">
        <v>43</v>
      </c>
      <c r="F1473">
        <f t="shared" si="44"/>
        <v>137.6</v>
      </c>
      <c r="G1473">
        <f>SUMIF($D$2:$D1473,$D1473,$E$2:$E1473)</f>
        <v>11655</v>
      </c>
      <c r="H1473">
        <f t="shared" si="45"/>
        <v>0</v>
      </c>
    </row>
    <row r="1474" spans="1:8" x14ac:dyDescent="0.25">
      <c r="A1474" s="1">
        <v>44775</v>
      </c>
      <c r="B1474" t="s">
        <v>12</v>
      </c>
      <c r="C1474" t="s">
        <v>68</v>
      </c>
      <c r="D1474" t="s">
        <v>39</v>
      </c>
      <c r="E1474">
        <v>398</v>
      </c>
      <c r="F1474">
        <f t="shared" si="44"/>
        <v>1074.6000000000001</v>
      </c>
      <c r="G1474">
        <f>SUMIF($D$2:$D1474,$D1474,$E$2:$E1474)</f>
        <v>8629</v>
      </c>
      <c r="H1474">
        <f t="shared" si="45"/>
        <v>0</v>
      </c>
    </row>
    <row r="1475" spans="1:8" x14ac:dyDescent="0.25">
      <c r="A1475" s="1">
        <v>44776</v>
      </c>
      <c r="B1475" t="s">
        <v>12</v>
      </c>
      <c r="C1475" t="s">
        <v>68</v>
      </c>
      <c r="D1475" t="s">
        <v>24</v>
      </c>
      <c r="E1475">
        <v>113</v>
      </c>
      <c r="F1475">
        <f t="shared" ref="F1475:F1538" si="46">E1475* _xlfn.XLOOKUP(B1475,$I$2:$I$17,$J$2:$J$17,"0",0,1)</f>
        <v>305.10000000000002</v>
      </c>
      <c r="G1475">
        <f>SUMIF($D$2:$D1475,$D1475,$E$2:$E1475)</f>
        <v>8053</v>
      </c>
      <c r="H1475">
        <f t="shared" ref="H1475:H1538" si="47">IF(AND($G1475 &gt; 15000,$G1475 &lt; 20000),5*$E1475,IF($G1475 &gt;= 20000,10*$E1475,0))</f>
        <v>0</v>
      </c>
    </row>
    <row r="1476" spans="1:8" x14ac:dyDescent="0.25">
      <c r="A1476" s="1">
        <v>44776</v>
      </c>
      <c r="B1476" t="s">
        <v>13</v>
      </c>
      <c r="C1476" t="s">
        <v>68</v>
      </c>
      <c r="D1476" t="s">
        <v>50</v>
      </c>
      <c r="E1476">
        <v>128</v>
      </c>
      <c r="F1476">
        <f t="shared" si="46"/>
        <v>409.6</v>
      </c>
      <c r="G1476">
        <f>SUMIF($D$2:$D1476,$D1476,$E$2:$E1476)</f>
        <v>6618</v>
      </c>
      <c r="H1476">
        <f t="shared" si="47"/>
        <v>0</v>
      </c>
    </row>
    <row r="1477" spans="1:8" x14ac:dyDescent="0.25">
      <c r="A1477" s="1">
        <v>44776</v>
      </c>
      <c r="B1477" t="s">
        <v>14</v>
      </c>
      <c r="C1477" t="s">
        <v>65</v>
      </c>
      <c r="D1477" t="s">
        <v>26</v>
      </c>
      <c r="E1477">
        <v>184</v>
      </c>
      <c r="F1477">
        <f t="shared" si="46"/>
        <v>644</v>
      </c>
      <c r="G1477">
        <f>SUMIF($D$2:$D1477,$D1477,$E$2:$E1477)</f>
        <v>12614</v>
      </c>
      <c r="H1477">
        <f t="shared" si="47"/>
        <v>0</v>
      </c>
    </row>
    <row r="1478" spans="1:8" x14ac:dyDescent="0.25">
      <c r="A1478" s="1">
        <v>44776</v>
      </c>
      <c r="B1478" t="s">
        <v>14</v>
      </c>
      <c r="C1478" t="s">
        <v>65</v>
      </c>
      <c r="D1478" t="s">
        <v>54</v>
      </c>
      <c r="E1478">
        <v>437</v>
      </c>
      <c r="F1478">
        <f t="shared" si="46"/>
        <v>1529.5</v>
      </c>
      <c r="G1478">
        <f>SUMIF($D$2:$D1478,$D1478,$E$2:$E1478)</f>
        <v>10635</v>
      </c>
      <c r="H1478">
        <f t="shared" si="47"/>
        <v>0</v>
      </c>
    </row>
    <row r="1479" spans="1:8" x14ac:dyDescent="0.25">
      <c r="A1479" s="1">
        <v>44777</v>
      </c>
      <c r="B1479" t="s">
        <v>12</v>
      </c>
      <c r="C1479" t="s">
        <v>68</v>
      </c>
      <c r="D1479" t="s">
        <v>35</v>
      </c>
      <c r="E1479">
        <v>465</v>
      </c>
      <c r="F1479">
        <f t="shared" si="46"/>
        <v>1255.5</v>
      </c>
      <c r="G1479">
        <f>SUMIF($D$2:$D1479,$D1479,$E$2:$E1479)</f>
        <v>8680</v>
      </c>
      <c r="H1479">
        <f t="shared" si="47"/>
        <v>0</v>
      </c>
    </row>
    <row r="1480" spans="1:8" x14ac:dyDescent="0.25">
      <c r="A1480" s="1">
        <v>44777</v>
      </c>
      <c r="B1480" t="s">
        <v>13</v>
      </c>
      <c r="C1480" t="s">
        <v>68</v>
      </c>
      <c r="D1480" t="s">
        <v>18</v>
      </c>
      <c r="E1480">
        <v>143</v>
      </c>
      <c r="F1480">
        <f t="shared" si="46"/>
        <v>457.6</v>
      </c>
      <c r="G1480">
        <f>SUMIF($D$2:$D1480,$D1480,$E$2:$E1480)</f>
        <v>10009</v>
      </c>
      <c r="H1480">
        <f t="shared" si="47"/>
        <v>0</v>
      </c>
    </row>
    <row r="1481" spans="1:8" x14ac:dyDescent="0.25">
      <c r="A1481" s="1">
        <v>44777</v>
      </c>
      <c r="B1481" t="s">
        <v>13</v>
      </c>
      <c r="C1481" t="s">
        <v>68</v>
      </c>
      <c r="D1481" t="s">
        <v>47</v>
      </c>
      <c r="E1481">
        <v>14</v>
      </c>
      <c r="F1481">
        <f t="shared" si="46"/>
        <v>44.800000000000004</v>
      </c>
      <c r="G1481">
        <f>SUMIF($D$2:$D1481,$D1481,$E$2:$E1481)</f>
        <v>6981</v>
      </c>
      <c r="H1481">
        <f t="shared" si="47"/>
        <v>0</v>
      </c>
    </row>
    <row r="1482" spans="1:8" x14ac:dyDescent="0.25">
      <c r="A1482" s="1">
        <v>44777</v>
      </c>
      <c r="B1482" t="s">
        <v>14</v>
      </c>
      <c r="C1482" t="s">
        <v>65</v>
      </c>
      <c r="D1482" t="s">
        <v>54</v>
      </c>
      <c r="E1482">
        <v>150</v>
      </c>
      <c r="F1482">
        <f t="shared" si="46"/>
        <v>525</v>
      </c>
      <c r="G1482">
        <f>SUMIF($D$2:$D1482,$D1482,$E$2:$E1482)</f>
        <v>10785</v>
      </c>
      <c r="H1482">
        <f t="shared" si="47"/>
        <v>0</v>
      </c>
    </row>
    <row r="1483" spans="1:8" x14ac:dyDescent="0.25">
      <c r="A1483" s="1">
        <v>44777</v>
      </c>
      <c r="B1483" t="s">
        <v>12</v>
      </c>
      <c r="C1483" t="s">
        <v>68</v>
      </c>
      <c r="D1483" t="s">
        <v>29</v>
      </c>
      <c r="E1483">
        <v>237</v>
      </c>
      <c r="F1483">
        <f t="shared" si="46"/>
        <v>639.90000000000009</v>
      </c>
      <c r="G1483">
        <f>SUMIF($D$2:$D1483,$D1483,$E$2:$E1483)</f>
        <v>12890</v>
      </c>
      <c r="H1483">
        <f t="shared" si="47"/>
        <v>0</v>
      </c>
    </row>
    <row r="1484" spans="1:8" x14ac:dyDescent="0.25">
      <c r="A1484" s="1">
        <v>44777</v>
      </c>
      <c r="B1484" t="s">
        <v>13</v>
      </c>
      <c r="C1484" t="s">
        <v>68</v>
      </c>
      <c r="D1484" t="s">
        <v>66</v>
      </c>
      <c r="E1484">
        <v>220</v>
      </c>
      <c r="F1484">
        <f t="shared" si="46"/>
        <v>704</v>
      </c>
      <c r="G1484">
        <f>SUMIF($D$2:$D1484,$D1484,$E$2:$E1484)</f>
        <v>9762</v>
      </c>
      <c r="H1484">
        <f t="shared" si="47"/>
        <v>0</v>
      </c>
    </row>
    <row r="1485" spans="1:8" x14ac:dyDescent="0.25">
      <c r="A1485" s="1">
        <v>44777</v>
      </c>
      <c r="B1485" t="s">
        <v>14</v>
      </c>
      <c r="C1485" t="s">
        <v>65</v>
      </c>
      <c r="D1485" t="s">
        <v>64</v>
      </c>
      <c r="E1485">
        <v>283</v>
      </c>
      <c r="F1485">
        <f t="shared" si="46"/>
        <v>990.5</v>
      </c>
      <c r="G1485">
        <f>SUMIF($D$2:$D1485,$D1485,$E$2:$E1485)</f>
        <v>9534</v>
      </c>
      <c r="H1485">
        <f t="shared" si="47"/>
        <v>0</v>
      </c>
    </row>
    <row r="1486" spans="1:8" x14ac:dyDescent="0.25">
      <c r="A1486" s="1">
        <v>44777</v>
      </c>
      <c r="B1486" t="s">
        <v>13</v>
      </c>
      <c r="C1486" t="s">
        <v>68</v>
      </c>
      <c r="D1486" t="s">
        <v>57</v>
      </c>
      <c r="E1486">
        <v>18</v>
      </c>
      <c r="F1486">
        <f t="shared" si="46"/>
        <v>57.6</v>
      </c>
      <c r="G1486">
        <f>SUMIF($D$2:$D1486,$D1486,$E$2:$E1486)</f>
        <v>11673</v>
      </c>
      <c r="H1486">
        <f t="shared" si="47"/>
        <v>0</v>
      </c>
    </row>
    <row r="1487" spans="1:8" x14ac:dyDescent="0.25">
      <c r="A1487" s="1">
        <v>44778</v>
      </c>
      <c r="B1487" t="s">
        <v>13</v>
      </c>
      <c r="C1487" t="s">
        <v>68</v>
      </c>
      <c r="D1487" t="s">
        <v>47</v>
      </c>
      <c r="E1487">
        <v>54</v>
      </c>
      <c r="F1487">
        <f t="shared" si="46"/>
        <v>172.8</v>
      </c>
      <c r="G1487">
        <f>SUMIF($D$2:$D1487,$D1487,$E$2:$E1487)</f>
        <v>7035</v>
      </c>
      <c r="H1487">
        <f t="shared" si="47"/>
        <v>0</v>
      </c>
    </row>
    <row r="1488" spans="1:8" x14ac:dyDescent="0.25">
      <c r="A1488" s="1">
        <v>44778</v>
      </c>
      <c r="B1488" t="s">
        <v>12</v>
      </c>
      <c r="C1488" t="s">
        <v>68</v>
      </c>
      <c r="D1488" t="s">
        <v>66</v>
      </c>
      <c r="E1488">
        <v>378</v>
      </c>
      <c r="F1488">
        <f t="shared" si="46"/>
        <v>1020.6</v>
      </c>
      <c r="G1488">
        <f>SUMIF($D$2:$D1488,$D1488,$E$2:$E1488)</f>
        <v>10140</v>
      </c>
      <c r="H1488">
        <f t="shared" si="47"/>
        <v>0</v>
      </c>
    </row>
    <row r="1489" spans="1:8" x14ac:dyDescent="0.25">
      <c r="A1489" s="1">
        <v>44778</v>
      </c>
      <c r="B1489" t="s">
        <v>12</v>
      </c>
      <c r="C1489" t="s">
        <v>68</v>
      </c>
      <c r="D1489" t="s">
        <v>22</v>
      </c>
      <c r="E1489">
        <v>104</v>
      </c>
      <c r="F1489">
        <f t="shared" si="46"/>
        <v>280.8</v>
      </c>
      <c r="G1489">
        <f>SUMIF($D$2:$D1489,$D1489,$E$2:$E1489)</f>
        <v>9342</v>
      </c>
      <c r="H1489">
        <f t="shared" si="47"/>
        <v>0</v>
      </c>
    </row>
    <row r="1490" spans="1:8" x14ac:dyDescent="0.25">
      <c r="A1490" s="1">
        <v>44778</v>
      </c>
      <c r="B1490" t="s">
        <v>14</v>
      </c>
      <c r="C1490" t="s">
        <v>65</v>
      </c>
      <c r="D1490" t="s">
        <v>22</v>
      </c>
      <c r="E1490">
        <v>146</v>
      </c>
      <c r="F1490">
        <f t="shared" si="46"/>
        <v>511</v>
      </c>
      <c r="G1490">
        <f>SUMIF($D$2:$D1490,$D1490,$E$2:$E1490)</f>
        <v>9488</v>
      </c>
      <c r="H1490">
        <f t="shared" si="47"/>
        <v>0</v>
      </c>
    </row>
    <row r="1491" spans="1:8" x14ac:dyDescent="0.25">
      <c r="A1491" s="1">
        <v>44779</v>
      </c>
      <c r="B1491" t="s">
        <v>12</v>
      </c>
      <c r="C1491" t="s">
        <v>68</v>
      </c>
      <c r="D1491" t="s">
        <v>24</v>
      </c>
      <c r="E1491">
        <v>137</v>
      </c>
      <c r="F1491">
        <f t="shared" si="46"/>
        <v>369.90000000000003</v>
      </c>
      <c r="G1491">
        <f>SUMIF($D$2:$D1491,$D1491,$E$2:$E1491)</f>
        <v>8190</v>
      </c>
      <c r="H1491">
        <f t="shared" si="47"/>
        <v>0</v>
      </c>
    </row>
    <row r="1492" spans="1:8" x14ac:dyDescent="0.25">
      <c r="A1492" s="1">
        <v>44779</v>
      </c>
      <c r="B1492" t="s">
        <v>13</v>
      </c>
      <c r="C1492" t="s">
        <v>68</v>
      </c>
      <c r="D1492" t="s">
        <v>39</v>
      </c>
      <c r="E1492">
        <v>489</v>
      </c>
      <c r="F1492">
        <f t="shared" si="46"/>
        <v>1564.8000000000002</v>
      </c>
      <c r="G1492">
        <f>SUMIF($D$2:$D1492,$D1492,$E$2:$E1492)</f>
        <v>9118</v>
      </c>
      <c r="H1492">
        <f t="shared" si="47"/>
        <v>0</v>
      </c>
    </row>
    <row r="1493" spans="1:8" x14ac:dyDescent="0.25">
      <c r="A1493" s="1">
        <v>44779</v>
      </c>
      <c r="B1493" t="s">
        <v>14</v>
      </c>
      <c r="C1493" t="s">
        <v>65</v>
      </c>
      <c r="D1493" t="s">
        <v>34</v>
      </c>
      <c r="E1493">
        <v>259</v>
      </c>
      <c r="F1493">
        <f t="shared" si="46"/>
        <v>906.5</v>
      </c>
      <c r="G1493">
        <f>SUMIF($D$2:$D1493,$D1493,$E$2:$E1493)</f>
        <v>10372</v>
      </c>
      <c r="H1493">
        <f t="shared" si="47"/>
        <v>0</v>
      </c>
    </row>
    <row r="1494" spans="1:8" x14ac:dyDescent="0.25">
      <c r="A1494" s="1">
        <v>44779</v>
      </c>
      <c r="B1494" t="s">
        <v>12</v>
      </c>
      <c r="C1494" t="s">
        <v>68</v>
      </c>
      <c r="D1494" t="s">
        <v>29</v>
      </c>
      <c r="E1494">
        <v>105</v>
      </c>
      <c r="F1494">
        <f t="shared" si="46"/>
        <v>283.5</v>
      </c>
      <c r="G1494">
        <f>SUMIF($D$2:$D1494,$D1494,$E$2:$E1494)</f>
        <v>12995</v>
      </c>
      <c r="H1494">
        <f t="shared" si="47"/>
        <v>0</v>
      </c>
    </row>
    <row r="1495" spans="1:8" x14ac:dyDescent="0.25">
      <c r="A1495" s="1">
        <v>44779</v>
      </c>
      <c r="B1495" t="s">
        <v>14</v>
      </c>
      <c r="C1495" t="s">
        <v>65</v>
      </c>
      <c r="D1495" t="s">
        <v>50</v>
      </c>
      <c r="E1495">
        <v>337</v>
      </c>
      <c r="F1495">
        <f t="shared" si="46"/>
        <v>1179.5</v>
      </c>
      <c r="G1495">
        <f>SUMIF($D$2:$D1495,$D1495,$E$2:$E1495)</f>
        <v>6955</v>
      </c>
      <c r="H1495">
        <f t="shared" si="47"/>
        <v>0</v>
      </c>
    </row>
    <row r="1496" spans="1:8" x14ac:dyDescent="0.25">
      <c r="A1496" s="1">
        <v>44779</v>
      </c>
      <c r="B1496" t="s">
        <v>14</v>
      </c>
      <c r="C1496" t="s">
        <v>65</v>
      </c>
      <c r="D1496" t="s">
        <v>23</v>
      </c>
      <c r="E1496">
        <v>169</v>
      </c>
      <c r="F1496">
        <f t="shared" si="46"/>
        <v>591.5</v>
      </c>
      <c r="G1496">
        <f>SUMIF($D$2:$D1496,$D1496,$E$2:$E1496)</f>
        <v>8058</v>
      </c>
      <c r="H1496">
        <f t="shared" si="47"/>
        <v>0</v>
      </c>
    </row>
    <row r="1497" spans="1:8" x14ac:dyDescent="0.25">
      <c r="A1497" s="1">
        <v>44779</v>
      </c>
      <c r="B1497" t="s">
        <v>12</v>
      </c>
      <c r="C1497" t="s">
        <v>68</v>
      </c>
      <c r="D1497" t="s">
        <v>44</v>
      </c>
      <c r="E1497">
        <v>23</v>
      </c>
      <c r="F1497">
        <f t="shared" si="46"/>
        <v>62.1</v>
      </c>
      <c r="G1497">
        <f>SUMIF($D$2:$D1497,$D1497,$E$2:$E1497)</f>
        <v>11053</v>
      </c>
      <c r="H1497">
        <f t="shared" si="47"/>
        <v>0</v>
      </c>
    </row>
    <row r="1498" spans="1:8" x14ac:dyDescent="0.25">
      <c r="A1498" s="1">
        <v>44779</v>
      </c>
      <c r="B1498" t="s">
        <v>12</v>
      </c>
      <c r="C1498" t="s">
        <v>68</v>
      </c>
      <c r="D1498" t="s">
        <v>37</v>
      </c>
      <c r="E1498">
        <v>353</v>
      </c>
      <c r="F1498">
        <f t="shared" si="46"/>
        <v>953.1</v>
      </c>
      <c r="G1498">
        <f>SUMIF($D$2:$D1498,$D1498,$E$2:$E1498)</f>
        <v>10738</v>
      </c>
      <c r="H1498">
        <f t="shared" si="47"/>
        <v>0</v>
      </c>
    </row>
    <row r="1499" spans="1:8" x14ac:dyDescent="0.25">
      <c r="A1499" s="1">
        <v>44779</v>
      </c>
      <c r="B1499" t="s">
        <v>13</v>
      </c>
      <c r="C1499" t="s">
        <v>68</v>
      </c>
      <c r="D1499" t="s">
        <v>18</v>
      </c>
      <c r="E1499">
        <v>49</v>
      </c>
      <c r="F1499">
        <f t="shared" si="46"/>
        <v>156.80000000000001</v>
      </c>
      <c r="G1499">
        <f>SUMIF($D$2:$D1499,$D1499,$E$2:$E1499)</f>
        <v>10058</v>
      </c>
      <c r="H1499">
        <f t="shared" si="47"/>
        <v>0</v>
      </c>
    </row>
    <row r="1500" spans="1:8" x14ac:dyDescent="0.25">
      <c r="A1500" s="1">
        <v>44779</v>
      </c>
      <c r="B1500" t="s">
        <v>13</v>
      </c>
      <c r="C1500" t="s">
        <v>68</v>
      </c>
      <c r="D1500" t="s">
        <v>45</v>
      </c>
      <c r="E1500">
        <v>421</v>
      </c>
      <c r="F1500">
        <f t="shared" si="46"/>
        <v>1347.2</v>
      </c>
      <c r="G1500">
        <f>SUMIF($D$2:$D1500,$D1500,$E$2:$E1500)</f>
        <v>8754</v>
      </c>
      <c r="H1500">
        <f t="shared" si="47"/>
        <v>0</v>
      </c>
    </row>
    <row r="1501" spans="1:8" x14ac:dyDescent="0.25">
      <c r="A1501" s="1">
        <v>44781</v>
      </c>
      <c r="B1501" t="s">
        <v>13</v>
      </c>
      <c r="C1501" t="s">
        <v>68</v>
      </c>
      <c r="D1501" t="s">
        <v>61</v>
      </c>
      <c r="E1501">
        <v>373</v>
      </c>
      <c r="F1501">
        <f t="shared" si="46"/>
        <v>1193.6000000000001</v>
      </c>
      <c r="G1501">
        <f>SUMIF($D$2:$D1501,$D1501,$E$2:$E1501)</f>
        <v>9687</v>
      </c>
      <c r="H1501">
        <f t="shared" si="47"/>
        <v>0</v>
      </c>
    </row>
    <row r="1502" spans="1:8" x14ac:dyDescent="0.25">
      <c r="A1502" s="1">
        <v>44781</v>
      </c>
      <c r="B1502" t="s">
        <v>14</v>
      </c>
      <c r="C1502" t="s">
        <v>65</v>
      </c>
      <c r="D1502" t="s">
        <v>27</v>
      </c>
      <c r="E1502">
        <v>459</v>
      </c>
      <c r="F1502">
        <f t="shared" si="46"/>
        <v>1606.5</v>
      </c>
      <c r="G1502">
        <f>SUMIF($D$2:$D1502,$D1502,$E$2:$E1502)</f>
        <v>9635</v>
      </c>
      <c r="H1502">
        <f t="shared" si="47"/>
        <v>0</v>
      </c>
    </row>
    <row r="1503" spans="1:8" x14ac:dyDescent="0.25">
      <c r="A1503" s="1">
        <v>44781</v>
      </c>
      <c r="B1503" t="s">
        <v>14</v>
      </c>
      <c r="C1503" t="s">
        <v>65</v>
      </c>
      <c r="D1503" t="s">
        <v>48</v>
      </c>
      <c r="E1503">
        <v>139</v>
      </c>
      <c r="F1503">
        <f t="shared" si="46"/>
        <v>486.5</v>
      </c>
      <c r="G1503">
        <f>SUMIF($D$2:$D1503,$D1503,$E$2:$E1503)</f>
        <v>6957</v>
      </c>
      <c r="H1503">
        <f t="shared" si="47"/>
        <v>0</v>
      </c>
    </row>
    <row r="1504" spans="1:8" x14ac:dyDescent="0.25">
      <c r="A1504" s="1">
        <v>44781</v>
      </c>
      <c r="B1504" t="s">
        <v>12</v>
      </c>
      <c r="C1504" t="s">
        <v>68</v>
      </c>
      <c r="D1504" t="s">
        <v>57</v>
      </c>
      <c r="E1504">
        <v>55</v>
      </c>
      <c r="F1504">
        <f t="shared" si="46"/>
        <v>148.5</v>
      </c>
      <c r="G1504">
        <f>SUMIF($D$2:$D1504,$D1504,$E$2:$E1504)</f>
        <v>11728</v>
      </c>
      <c r="H1504">
        <f t="shared" si="47"/>
        <v>0</v>
      </c>
    </row>
    <row r="1505" spans="1:8" x14ac:dyDescent="0.25">
      <c r="A1505" s="1">
        <v>44781</v>
      </c>
      <c r="B1505" t="s">
        <v>13</v>
      </c>
      <c r="C1505" t="s">
        <v>68</v>
      </c>
      <c r="D1505" t="s">
        <v>45</v>
      </c>
      <c r="E1505">
        <v>230</v>
      </c>
      <c r="F1505">
        <f t="shared" si="46"/>
        <v>736</v>
      </c>
      <c r="G1505">
        <f>SUMIF($D$2:$D1505,$D1505,$E$2:$E1505)</f>
        <v>8984</v>
      </c>
      <c r="H1505">
        <f t="shared" si="47"/>
        <v>0</v>
      </c>
    </row>
    <row r="1506" spans="1:8" x14ac:dyDescent="0.25">
      <c r="A1506" s="1">
        <v>44781</v>
      </c>
      <c r="B1506" t="s">
        <v>14</v>
      </c>
      <c r="C1506" t="s">
        <v>65</v>
      </c>
      <c r="D1506" t="s">
        <v>30</v>
      </c>
      <c r="E1506">
        <v>177</v>
      </c>
      <c r="F1506">
        <f t="shared" si="46"/>
        <v>619.5</v>
      </c>
      <c r="G1506">
        <f>SUMIF($D$2:$D1506,$D1506,$E$2:$E1506)</f>
        <v>9925</v>
      </c>
      <c r="H1506">
        <f t="shared" si="47"/>
        <v>0</v>
      </c>
    </row>
    <row r="1507" spans="1:8" x14ac:dyDescent="0.25">
      <c r="A1507" s="1">
        <v>44781</v>
      </c>
      <c r="B1507" t="s">
        <v>12</v>
      </c>
      <c r="C1507" t="s">
        <v>68</v>
      </c>
      <c r="D1507" t="s">
        <v>35</v>
      </c>
      <c r="E1507">
        <v>499</v>
      </c>
      <c r="F1507">
        <f t="shared" si="46"/>
        <v>1347.3000000000002</v>
      </c>
      <c r="G1507">
        <f>SUMIF($D$2:$D1507,$D1507,$E$2:$E1507)</f>
        <v>9179</v>
      </c>
      <c r="H1507">
        <f t="shared" si="47"/>
        <v>0</v>
      </c>
    </row>
    <row r="1508" spans="1:8" x14ac:dyDescent="0.25">
      <c r="A1508" s="1">
        <v>44781</v>
      </c>
      <c r="B1508" t="s">
        <v>14</v>
      </c>
      <c r="C1508" t="s">
        <v>65</v>
      </c>
      <c r="D1508" t="s">
        <v>19</v>
      </c>
      <c r="E1508">
        <v>10</v>
      </c>
      <c r="F1508">
        <f t="shared" si="46"/>
        <v>35</v>
      </c>
      <c r="G1508">
        <f>SUMIF($D$2:$D1508,$D1508,$E$2:$E1508)</f>
        <v>4308</v>
      </c>
      <c r="H1508">
        <f t="shared" si="47"/>
        <v>0</v>
      </c>
    </row>
    <row r="1509" spans="1:8" x14ac:dyDescent="0.25">
      <c r="A1509" s="1">
        <v>44781</v>
      </c>
      <c r="B1509" t="s">
        <v>14</v>
      </c>
      <c r="C1509" t="s">
        <v>65</v>
      </c>
      <c r="D1509" t="s">
        <v>58</v>
      </c>
      <c r="E1509">
        <v>327</v>
      </c>
      <c r="F1509">
        <f t="shared" si="46"/>
        <v>1144.5</v>
      </c>
      <c r="G1509">
        <f>SUMIF($D$2:$D1509,$D1509,$E$2:$E1509)</f>
        <v>8647</v>
      </c>
      <c r="H1509">
        <f t="shared" si="47"/>
        <v>0</v>
      </c>
    </row>
    <row r="1510" spans="1:8" x14ac:dyDescent="0.25">
      <c r="A1510" s="1">
        <v>44781</v>
      </c>
      <c r="B1510" t="s">
        <v>14</v>
      </c>
      <c r="C1510" t="s">
        <v>65</v>
      </c>
      <c r="D1510" t="s">
        <v>50</v>
      </c>
      <c r="E1510">
        <v>424</v>
      </c>
      <c r="F1510">
        <f t="shared" si="46"/>
        <v>1484</v>
      </c>
      <c r="G1510">
        <f>SUMIF($D$2:$D1510,$D1510,$E$2:$E1510)</f>
        <v>7379</v>
      </c>
      <c r="H1510">
        <f t="shared" si="47"/>
        <v>0</v>
      </c>
    </row>
    <row r="1511" spans="1:8" x14ac:dyDescent="0.25">
      <c r="A1511" s="1">
        <v>44781</v>
      </c>
      <c r="B1511" t="s">
        <v>13</v>
      </c>
      <c r="C1511" t="s">
        <v>68</v>
      </c>
      <c r="D1511" t="s">
        <v>31</v>
      </c>
      <c r="E1511">
        <v>389</v>
      </c>
      <c r="F1511">
        <f t="shared" si="46"/>
        <v>1244.8000000000002</v>
      </c>
      <c r="G1511">
        <f>SUMIF($D$2:$D1511,$D1511,$E$2:$E1511)</f>
        <v>12442</v>
      </c>
      <c r="H1511">
        <f t="shared" si="47"/>
        <v>0</v>
      </c>
    </row>
    <row r="1512" spans="1:8" x14ac:dyDescent="0.25">
      <c r="A1512" s="1">
        <v>44781</v>
      </c>
      <c r="B1512" t="s">
        <v>14</v>
      </c>
      <c r="C1512" t="s">
        <v>65</v>
      </c>
      <c r="D1512" t="s">
        <v>24</v>
      </c>
      <c r="E1512">
        <v>290</v>
      </c>
      <c r="F1512">
        <f t="shared" si="46"/>
        <v>1015</v>
      </c>
      <c r="G1512">
        <f>SUMIF($D$2:$D1512,$D1512,$E$2:$E1512)</f>
        <v>8480</v>
      </c>
      <c r="H1512">
        <f t="shared" si="47"/>
        <v>0</v>
      </c>
    </row>
    <row r="1513" spans="1:8" x14ac:dyDescent="0.25">
      <c r="A1513" s="1">
        <v>44781</v>
      </c>
      <c r="B1513" t="s">
        <v>12</v>
      </c>
      <c r="C1513" t="s">
        <v>68</v>
      </c>
      <c r="D1513" t="s">
        <v>67</v>
      </c>
      <c r="E1513">
        <v>244</v>
      </c>
      <c r="F1513">
        <f t="shared" si="46"/>
        <v>658.80000000000007</v>
      </c>
      <c r="G1513">
        <f>SUMIF($D$2:$D1513,$D1513,$E$2:$E1513)</f>
        <v>9409</v>
      </c>
      <c r="H1513">
        <f t="shared" si="47"/>
        <v>0</v>
      </c>
    </row>
    <row r="1514" spans="1:8" x14ac:dyDescent="0.25">
      <c r="A1514" s="1">
        <v>44781</v>
      </c>
      <c r="B1514" t="s">
        <v>14</v>
      </c>
      <c r="C1514" t="s">
        <v>65</v>
      </c>
      <c r="D1514" t="s">
        <v>32</v>
      </c>
      <c r="E1514">
        <v>122</v>
      </c>
      <c r="F1514">
        <f t="shared" si="46"/>
        <v>427</v>
      </c>
      <c r="G1514">
        <f>SUMIF($D$2:$D1514,$D1514,$E$2:$E1514)</f>
        <v>10727</v>
      </c>
      <c r="H1514">
        <f t="shared" si="47"/>
        <v>0</v>
      </c>
    </row>
    <row r="1515" spans="1:8" x14ac:dyDescent="0.25">
      <c r="A1515" s="1">
        <v>44781</v>
      </c>
      <c r="B1515" t="s">
        <v>13</v>
      </c>
      <c r="C1515" t="s">
        <v>68</v>
      </c>
      <c r="D1515" t="s">
        <v>41</v>
      </c>
      <c r="E1515">
        <v>250</v>
      </c>
      <c r="F1515">
        <f t="shared" si="46"/>
        <v>800</v>
      </c>
      <c r="G1515">
        <f>SUMIF($D$2:$D1515,$D1515,$E$2:$E1515)</f>
        <v>8576</v>
      </c>
      <c r="H1515">
        <f t="shared" si="47"/>
        <v>0</v>
      </c>
    </row>
    <row r="1516" spans="1:8" x14ac:dyDescent="0.25">
      <c r="A1516" s="1">
        <v>44781</v>
      </c>
      <c r="B1516" t="s">
        <v>13</v>
      </c>
      <c r="C1516" t="s">
        <v>68</v>
      </c>
      <c r="D1516" t="s">
        <v>28</v>
      </c>
      <c r="E1516">
        <v>388</v>
      </c>
      <c r="F1516">
        <f t="shared" si="46"/>
        <v>1241.6000000000001</v>
      </c>
      <c r="G1516">
        <f>SUMIF($D$2:$D1516,$D1516,$E$2:$E1516)</f>
        <v>9501</v>
      </c>
      <c r="H1516">
        <f t="shared" si="47"/>
        <v>0</v>
      </c>
    </row>
    <row r="1517" spans="1:8" x14ac:dyDescent="0.25">
      <c r="A1517" s="1">
        <v>44781</v>
      </c>
      <c r="B1517" t="s">
        <v>12</v>
      </c>
      <c r="C1517" t="s">
        <v>68</v>
      </c>
      <c r="D1517" t="s">
        <v>63</v>
      </c>
      <c r="E1517">
        <v>55</v>
      </c>
      <c r="F1517">
        <f t="shared" si="46"/>
        <v>148.5</v>
      </c>
      <c r="G1517">
        <f>SUMIF($D$2:$D1517,$D1517,$E$2:$E1517)</f>
        <v>8622</v>
      </c>
      <c r="H1517">
        <f t="shared" si="47"/>
        <v>0</v>
      </c>
    </row>
    <row r="1518" spans="1:8" x14ac:dyDescent="0.25">
      <c r="A1518" s="1">
        <v>44781</v>
      </c>
      <c r="B1518" t="s">
        <v>13</v>
      </c>
      <c r="C1518" t="s">
        <v>68</v>
      </c>
      <c r="D1518" t="s">
        <v>25</v>
      </c>
      <c r="E1518">
        <v>173</v>
      </c>
      <c r="F1518">
        <f t="shared" si="46"/>
        <v>553.6</v>
      </c>
      <c r="G1518">
        <f>SUMIF($D$2:$D1518,$D1518,$E$2:$E1518)</f>
        <v>8144</v>
      </c>
      <c r="H1518">
        <f t="shared" si="47"/>
        <v>0</v>
      </c>
    </row>
    <row r="1519" spans="1:8" x14ac:dyDescent="0.25">
      <c r="A1519" s="1">
        <v>44781</v>
      </c>
      <c r="B1519" t="s">
        <v>13</v>
      </c>
      <c r="C1519" t="s">
        <v>68</v>
      </c>
      <c r="D1519" t="s">
        <v>61</v>
      </c>
      <c r="E1519">
        <v>52</v>
      </c>
      <c r="F1519">
        <f t="shared" si="46"/>
        <v>166.4</v>
      </c>
      <c r="G1519">
        <f>SUMIF($D$2:$D1519,$D1519,$E$2:$E1519)</f>
        <v>9739</v>
      </c>
      <c r="H1519">
        <f t="shared" si="47"/>
        <v>0</v>
      </c>
    </row>
    <row r="1520" spans="1:8" x14ac:dyDescent="0.25">
      <c r="A1520" s="1">
        <v>44781</v>
      </c>
      <c r="B1520" t="s">
        <v>12</v>
      </c>
      <c r="C1520" t="s">
        <v>68</v>
      </c>
      <c r="D1520" t="s">
        <v>40</v>
      </c>
      <c r="E1520">
        <v>133</v>
      </c>
      <c r="F1520">
        <f t="shared" si="46"/>
        <v>359.1</v>
      </c>
      <c r="G1520">
        <f>SUMIF($D$2:$D1520,$D1520,$E$2:$E1520)</f>
        <v>10704</v>
      </c>
      <c r="H1520">
        <f t="shared" si="47"/>
        <v>0</v>
      </c>
    </row>
    <row r="1521" spans="1:8" x14ac:dyDescent="0.25">
      <c r="A1521" s="1">
        <v>44781</v>
      </c>
      <c r="B1521" t="s">
        <v>14</v>
      </c>
      <c r="C1521" t="s">
        <v>65</v>
      </c>
      <c r="D1521" t="s">
        <v>40</v>
      </c>
      <c r="E1521">
        <v>22</v>
      </c>
      <c r="F1521">
        <f t="shared" si="46"/>
        <v>77</v>
      </c>
      <c r="G1521">
        <f>SUMIF($D$2:$D1521,$D1521,$E$2:$E1521)</f>
        <v>10726</v>
      </c>
      <c r="H1521">
        <f t="shared" si="47"/>
        <v>0</v>
      </c>
    </row>
    <row r="1522" spans="1:8" x14ac:dyDescent="0.25">
      <c r="A1522" s="1">
        <v>44782</v>
      </c>
      <c r="B1522" t="s">
        <v>12</v>
      </c>
      <c r="C1522" t="s">
        <v>68</v>
      </c>
      <c r="D1522" t="s">
        <v>53</v>
      </c>
      <c r="E1522">
        <v>51</v>
      </c>
      <c r="F1522">
        <f t="shared" si="46"/>
        <v>137.70000000000002</v>
      </c>
      <c r="G1522">
        <f>SUMIF($D$2:$D1522,$D1522,$E$2:$E1522)</f>
        <v>10679</v>
      </c>
      <c r="H1522">
        <f t="shared" si="47"/>
        <v>0</v>
      </c>
    </row>
    <row r="1523" spans="1:8" x14ac:dyDescent="0.25">
      <c r="A1523" s="1">
        <v>44782</v>
      </c>
      <c r="B1523" t="s">
        <v>14</v>
      </c>
      <c r="C1523" t="s">
        <v>65</v>
      </c>
      <c r="D1523" t="s">
        <v>23</v>
      </c>
      <c r="E1523">
        <v>357</v>
      </c>
      <c r="F1523">
        <f t="shared" si="46"/>
        <v>1249.5</v>
      </c>
      <c r="G1523">
        <f>SUMIF($D$2:$D1523,$D1523,$E$2:$E1523)</f>
        <v>8415</v>
      </c>
      <c r="H1523">
        <f t="shared" si="47"/>
        <v>0</v>
      </c>
    </row>
    <row r="1524" spans="1:8" x14ac:dyDescent="0.25">
      <c r="A1524" s="1">
        <v>44782</v>
      </c>
      <c r="B1524" t="s">
        <v>13</v>
      </c>
      <c r="C1524" t="s">
        <v>68</v>
      </c>
      <c r="D1524" t="s">
        <v>59</v>
      </c>
      <c r="E1524">
        <v>277</v>
      </c>
      <c r="F1524">
        <f t="shared" si="46"/>
        <v>886.40000000000009</v>
      </c>
      <c r="G1524">
        <f>SUMIF($D$2:$D1524,$D1524,$E$2:$E1524)</f>
        <v>6856</v>
      </c>
      <c r="H1524">
        <f t="shared" si="47"/>
        <v>0</v>
      </c>
    </row>
    <row r="1525" spans="1:8" x14ac:dyDescent="0.25">
      <c r="A1525" s="1">
        <v>44782</v>
      </c>
      <c r="B1525" t="s">
        <v>12</v>
      </c>
      <c r="C1525" t="s">
        <v>68</v>
      </c>
      <c r="D1525" t="s">
        <v>44</v>
      </c>
      <c r="E1525">
        <v>179</v>
      </c>
      <c r="F1525">
        <f t="shared" si="46"/>
        <v>483.3</v>
      </c>
      <c r="G1525">
        <f>SUMIF($D$2:$D1525,$D1525,$E$2:$E1525)</f>
        <v>11232</v>
      </c>
      <c r="H1525">
        <f t="shared" si="47"/>
        <v>0</v>
      </c>
    </row>
    <row r="1526" spans="1:8" x14ac:dyDescent="0.25">
      <c r="A1526" s="1">
        <v>44782</v>
      </c>
      <c r="B1526" t="s">
        <v>13</v>
      </c>
      <c r="C1526" t="s">
        <v>68</v>
      </c>
      <c r="D1526" t="s">
        <v>64</v>
      </c>
      <c r="E1526">
        <v>300</v>
      </c>
      <c r="F1526">
        <f t="shared" si="46"/>
        <v>960</v>
      </c>
      <c r="G1526">
        <f>SUMIF($D$2:$D1526,$D1526,$E$2:$E1526)</f>
        <v>9834</v>
      </c>
      <c r="H1526">
        <f t="shared" si="47"/>
        <v>0</v>
      </c>
    </row>
    <row r="1527" spans="1:8" x14ac:dyDescent="0.25">
      <c r="A1527" s="1">
        <v>44782</v>
      </c>
      <c r="B1527" t="s">
        <v>14</v>
      </c>
      <c r="C1527" t="s">
        <v>65</v>
      </c>
      <c r="D1527" t="s">
        <v>41</v>
      </c>
      <c r="E1527">
        <v>334</v>
      </c>
      <c r="F1527">
        <f t="shared" si="46"/>
        <v>1169</v>
      </c>
      <c r="G1527">
        <f>SUMIF($D$2:$D1527,$D1527,$E$2:$E1527)</f>
        <v>8910</v>
      </c>
      <c r="H1527">
        <f t="shared" si="47"/>
        <v>0</v>
      </c>
    </row>
    <row r="1528" spans="1:8" x14ac:dyDescent="0.25">
      <c r="A1528" s="1">
        <v>44782</v>
      </c>
      <c r="B1528" t="s">
        <v>12</v>
      </c>
      <c r="C1528" t="s">
        <v>68</v>
      </c>
      <c r="D1528" t="s">
        <v>63</v>
      </c>
      <c r="E1528">
        <v>175</v>
      </c>
      <c r="F1528">
        <f t="shared" si="46"/>
        <v>472.50000000000006</v>
      </c>
      <c r="G1528">
        <f>SUMIF($D$2:$D1528,$D1528,$E$2:$E1528)</f>
        <v>8797</v>
      </c>
      <c r="H1528">
        <f t="shared" si="47"/>
        <v>0</v>
      </c>
    </row>
    <row r="1529" spans="1:8" x14ac:dyDescent="0.25">
      <c r="A1529" s="1">
        <v>44782</v>
      </c>
      <c r="B1529" t="s">
        <v>13</v>
      </c>
      <c r="C1529" t="s">
        <v>68</v>
      </c>
      <c r="D1529" t="s">
        <v>52</v>
      </c>
      <c r="E1529">
        <v>54</v>
      </c>
      <c r="F1529">
        <f t="shared" si="46"/>
        <v>172.8</v>
      </c>
      <c r="G1529">
        <f>SUMIF($D$2:$D1529,$D1529,$E$2:$E1529)</f>
        <v>8538</v>
      </c>
      <c r="H1529">
        <f t="shared" si="47"/>
        <v>0</v>
      </c>
    </row>
    <row r="1530" spans="1:8" x14ac:dyDescent="0.25">
      <c r="A1530" s="1">
        <v>44782</v>
      </c>
      <c r="B1530" t="s">
        <v>12</v>
      </c>
      <c r="C1530" t="s">
        <v>68</v>
      </c>
      <c r="D1530" t="s">
        <v>28</v>
      </c>
      <c r="E1530">
        <v>48</v>
      </c>
      <c r="F1530">
        <f t="shared" si="46"/>
        <v>129.60000000000002</v>
      </c>
      <c r="G1530">
        <f>SUMIF($D$2:$D1530,$D1530,$E$2:$E1530)</f>
        <v>9549</v>
      </c>
      <c r="H1530">
        <f t="shared" si="47"/>
        <v>0</v>
      </c>
    </row>
    <row r="1531" spans="1:8" x14ac:dyDescent="0.25">
      <c r="A1531" s="1">
        <v>44783</v>
      </c>
      <c r="B1531" t="s">
        <v>12</v>
      </c>
      <c r="C1531" t="s">
        <v>68</v>
      </c>
      <c r="D1531" t="s">
        <v>66</v>
      </c>
      <c r="E1531">
        <v>34</v>
      </c>
      <c r="F1531">
        <f t="shared" si="46"/>
        <v>91.800000000000011</v>
      </c>
      <c r="G1531">
        <f>SUMIF($D$2:$D1531,$D1531,$E$2:$E1531)</f>
        <v>10174</v>
      </c>
      <c r="H1531">
        <f t="shared" si="47"/>
        <v>0</v>
      </c>
    </row>
    <row r="1532" spans="1:8" x14ac:dyDescent="0.25">
      <c r="A1532" s="1">
        <v>44783</v>
      </c>
      <c r="B1532" t="s">
        <v>12</v>
      </c>
      <c r="C1532" t="s">
        <v>68</v>
      </c>
      <c r="D1532" t="s">
        <v>31</v>
      </c>
      <c r="E1532">
        <v>369</v>
      </c>
      <c r="F1532">
        <f t="shared" si="46"/>
        <v>996.30000000000007</v>
      </c>
      <c r="G1532">
        <f>SUMIF($D$2:$D1532,$D1532,$E$2:$E1532)</f>
        <v>12811</v>
      </c>
      <c r="H1532">
        <f t="shared" si="47"/>
        <v>0</v>
      </c>
    </row>
    <row r="1533" spans="1:8" x14ac:dyDescent="0.25">
      <c r="A1533" s="1">
        <v>44783</v>
      </c>
      <c r="B1533" t="s">
        <v>14</v>
      </c>
      <c r="C1533" t="s">
        <v>65</v>
      </c>
      <c r="D1533" t="s">
        <v>34</v>
      </c>
      <c r="E1533">
        <v>291</v>
      </c>
      <c r="F1533">
        <f t="shared" si="46"/>
        <v>1018.5</v>
      </c>
      <c r="G1533">
        <f>SUMIF($D$2:$D1533,$D1533,$E$2:$E1533)</f>
        <v>10663</v>
      </c>
      <c r="H1533">
        <f t="shared" si="47"/>
        <v>0</v>
      </c>
    </row>
    <row r="1534" spans="1:8" x14ac:dyDescent="0.25">
      <c r="A1534" s="1">
        <v>44783</v>
      </c>
      <c r="B1534" t="s">
        <v>14</v>
      </c>
      <c r="C1534" t="s">
        <v>65</v>
      </c>
      <c r="D1534" t="s">
        <v>66</v>
      </c>
      <c r="E1534">
        <v>274</v>
      </c>
      <c r="F1534">
        <f t="shared" si="46"/>
        <v>959</v>
      </c>
      <c r="G1534">
        <f>SUMIF($D$2:$D1534,$D1534,$E$2:$E1534)</f>
        <v>10448</v>
      </c>
      <c r="H1534">
        <f t="shared" si="47"/>
        <v>0</v>
      </c>
    </row>
    <row r="1535" spans="1:8" x14ac:dyDescent="0.25">
      <c r="A1535" s="1">
        <v>44783</v>
      </c>
      <c r="B1535" t="s">
        <v>12</v>
      </c>
      <c r="C1535" t="s">
        <v>68</v>
      </c>
      <c r="D1535" t="s">
        <v>52</v>
      </c>
      <c r="E1535">
        <v>57</v>
      </c>
      <c r="F1535">
        <f t="shared" si="46"/>
        <v>153.9</v>
      </c>
      <c r="G1535">
        <f>SUMIF($D$2:$D1535,$D1535,$E$2:$E1535)</f>
        <v>8595</v>
      </c>
      <c r="H1535">
        <f t="shared" si="47"/>
        <v>0</v>
      </c>
    </row>
    <row r="1536" spans="1:8" x14ac:dyDescent="0.25">
      <c r="A1536" s="1">
        <v>44783</v>
      </c>
      <c r="B1536" t="s">
        <v>13</v>
      </c>
      <c r="C1536" t="s">
        <v>68</v>
      </c>
      <c r="D1536" t="s">
        <v>67</v>
      </c>
      <c r="E1536">
        <v>458</v>
      </c>
      <c r="F1536">
        <f t="shared" si="46"/>
        <v>1465.6000000000001</v>
      </c>
      <c r="G1536">
        <f>SUMIF($D$2:$D1536,$D1536,$E$2:$E1536)</f>
        <v>9867</v>
      </c>
      <c r="H1536">
        <f t="shared" si="47"/>
        <v>0</v>
      </c>
    </row>
    <row r="1537" spans="1:8" x14ac:dyDescent="0.25">
      <c r="A1537" s="1">
        <v>44783</v>
      </c>
      <c r="B1537" t="s">
        <v>12</v>
      </c>
      <c r="C1537" t="s">
        <v>68</v>
      </c>
      <c r="D1537" t="s">
        <v>63</v>
      </c>
      <c r="E1537">
        <v>37</v>
      </c>
      <c r="F1537">
        <f t="shared" si="46"/>
        <v>99.9</v>
      </c>
      <c r="G1537">
        <f>SUMIF($D$2:$D1537,$D1537,$E$2:$E1537)</f>
        <v>8834</v>
      </c>
      <c r="H1537">
        <f t="shared" si="47"/>
        <v>0</v>
      </c>
    </row>
    <row r="1538" spans="1:8" x14ac:dyDescent="0.25">
      <c r="A1538" s="1">
        <v>44783</v>
      </c>
      <c r="B1538" t="s">
        <v>12</v>
      </c>
      <c r="C1538" t="s">
        <v>68</v>
      </c>
      <c r="D1538" t="s">
        <v>18</v>
      </c>
      <c r="E1538">
        <v>419</v>
      </c>
      <c r="F1538">
        <f t="shared" si="46"/>
        <v>1131.3000000000002</v>
      </c>
      <c r="G1538">
        <f>SUMIF($D$2:$D1538,$D1538,$E$2:$E1538)</f>
        <v>10477</v>
      </c>
      <c r="H1538">
        <f t="shared" si="47"/>
        <v>0</v>
      </c>
    </row>
    <row r="1539" spans="1:8" x14ac:dyDescent="0.25">
      <c r="A1539" s="1">
        <v>44783</v>
      </c>
      <c r="B1539" t="s">
        <v>12</v>
      </c>
      <c r="C1539" t="s">
        <v>68</v>
      </c>
      <c r="D1539" t="s">
        <v>29</v>
      </c>
      <c r="E1539">
        <v>388</v>
      </c>
      <c r="F1539">
        <f t="shared" ref="F1539:F1602" si="48">E1539* _xlfn.XLOOKUP(B1539,$I$2:$I$17,$J$2:$J$17,"0",0,1)</f>
        <v>1047.6000000000001</v>
      </c>
      <c r="G1539">
        <f>SUMIF($D$2:$D1539,$D1539,$E$2:$E1539)</f>
        <v>13383</v>
      </c>
      <c r="H1539">
        <f t="shared" ref="H1539:H1602" si="49">IF(AND($G1539 &gt; 15000,$G1539 &lt; 20000),5*$E1539,IF($G1539 &gt;= 20000,10*$E1539,0))</f>
        <v>0</v>
      </c>
    </row>
    <row r="1540" spans="1:8" x14ac:dyDescent="0.25">
      <c r="A1540" s="1">
        <v>44784</v>
      </c>
      <c r="B1540" t="s">
        <v>13</v>
      </c>
      <c r="C1540" t="s">
        <v>68</v>
      </c>
      <c r="D1540" t="s">
        <v>42</v>
      </c>
      <c r="E1540">
        <v>271</v>
      </c>
      <c r="F1540">
        <f t="shared" si="48"/>
        <v>867.2</v>
      </c>
      <c r="G1540">
        <f>SUMIF($D$2:$D1540,$D1540,$E$2:$E1540)</f>
        <v>8573</v>
      </c>
      <c r="H1540">
        <f t="shared" si="49"/>
        <v>0</v>
      </c>
    </row>
    <row r="1541" spans="1:8" x14ac:dyDescent="0.25">
      <c r="A1541" s="1">
        <v>44784</v>
      </c>
      <c r="B1541" t="s">
        <v>14</v>
      </c>
      <c r="C1541" t="s">
        <v>65</v>
      </c>
      <c r="D1541" t="s">
        <v>16</v>
      </c>
      <c r="E1541">
        <v>196</v>
      </c>
      <c r="F1541">
        <f t="shared" si="48"/>
        <v>686</v>
      </c>
      <c r="G1541">
        <f>SUMIF($D$2:$D1541,$D1541,$E$2:$E1541)</f>
        <v>9652</v>
      </c>
      <c r="H1541">
        <f t="shared" si="49"/>
        <v>0</v>
      </c>
    </row>
    <row r="1542" spans="1:8" x14ac:dyDescent="0.25">
      <c r="A1542" s="1">
        <v>44784</v>
      </c>
      <c r="B1542" t="s">
        <v>12</v>
      </c>
      <c r="C1542" t="s">
        <v>68</v>
      </c>
      <c r="D1542" t="s">
        <v>47</v>
      </c>
      <c r="E1542">
        <v>102</v>
      </c>
      <c r="F1542">
        <f t="shared" si="48"/>
        <v>275.40000000000003</v>
      </c>
      <c r="G1542">
        <f>SUMIF($D$2:$D1542,$D1542,$E$2:$E1542)</f>
        <v>7137</v>
      </c>
      <c r="H1542">
        <f t="shared" si="49"/>
        <v>0</v>
      </c>
    </row>
    <row r="1543" spans="1:8" x14ac:dyDescent="0.25">
      <c r="A1543" s="1">
        <v>44784</v>
      </c>
      <c r="B1543" t="s">
        <v>13</v>
      </c>
      <c r="C1543" t="s">
        <v>68</v>
      </c>
      <c r="D1543" t="s">
        <v>53</v>
      </c>
      <c r="E1543">
        <v>309</v>
      </c>
      <c r="F1543">
        <f t="shared" si="48"/>
        <v>988.80000000000007</v>
      </c>
      <c r="G1543">
        <f>SUMIF($D$2:$D1543,$D1543,$E$2:$E1543)</f>
        <v>10988</v>
      </c>
      <c r="H1543">
        <f t="shared" si="49"/>
        <v>0</v>
      </c>
    </row>
    <row r="1544" spans="1:8" x14ac:dyDescent="0.25">
      <c r="A1544" s="1">
        <v>44784</v>
      </c>
      <c r="B1544" t="s">
        <v>12</v>
      </c>
      <c r="C1544" t="s">
        <v>68</v>
      </c>
      <c r="D1544" t="s">
        <v>22</v>
      </c>
      <c r="E1544">
        <v>34</v>
      </c>
      <c r="F1544">
        <f t="shared" si="48"/>
        <v>91.800000000000011</v>
      </c>
      <c r="G1544">
        <f>SUMIF($D$2:$D1544,$D1544,$E$2:$E1544)</f>
        <v>9522</v>
      </c>
      <c r="H1544">
        <f t="shared" si="49"/>
        <v>0</v>
      </c>
    </row>
    <row r="1545" spans="1:8" x14ac:dyDescent="0.25">
      <c r="A1545" s="1">
        <v>44784</v>
      </c>
      <c r="B1545" t="s">
        <v>14</v>
      </c>
      <c r="C1545" t="s">
        <v>65</v>
      </c>
      <c r="D1545" t="s">
        <v>41</v>
      </c>
      <c r="E1545">
        <v>406</v>
      </c>
      <c r="F1545">
        <f t="shared" si="48"/>
        <v>1421</v>
      </c>
      <c r="G1545">
        <f>SUMIF($D$2:$D1545,$D1545,$E$2:$E1545)</f>
        <v>9316</v>
      </c>
      <c r="H1545">
        <f t="shared" si="49"/>
        <v>0</v>
      </c>
    </row>
    <row r="1546" spans="1:8" x14ac:dyDescent="0.25">
      <c r="A1546" s="1">
        <v>44785</v>
      </c>
      <c r="B1546" t="s">
        <v>13</v>
      </c>
      <c r="C1546" t="s">
        <v>68</v>
      </c>
      <c r="D1546" t="s">
        <v>26</v>
      </c>
      <c r="E1546">
        <v>281</v>
      </c>
      <c r="F1546">
        <f t="shared" si="48"/>
        <v>899.2</v>
      </c>
      <c r="G1546">
        <f>SUMIF($D$2:$D1546,$D1546,$E$2:$E1546)</f>
        <v>12895</v>
      </c>
      <c r="H1546">
        <f t="shared" si="49"/>
        <v>0</v>
      </c>
    </row>
    <row r="1547" spans="1:8" x14ac:dyDescent="0.25">
      <c r="A1547" s="1">
        <v>44785</v>
      </c>
      <c r="B1547" t="s">
        <v>13</v>
      </c>
      <c r="C1547" t="s">
        <v>68</v>
      </c>
      <c r="D1547" t="s">
        <v>62</v>
      </c>
      <c r="E1547">
        <v>179</v>
      </c>
      <c r="F1547">
        <f t="shared" si="48"/>
        <v>572.80000000000007</v>
      </c>
      <c r="G1547">
        <f>SUMIF($D$2:$D1547,$D1547,$E$2:$E1547)</f>
        <v>9197</v>
      </c>
      <c r="H1547">
        <f t="shared" si="49"/>
        <v>0</v>
      </c>
    </row>
    <row r="1548" spans="1:8" x14ac:dyDescent="0.25">
      <c r="A1548" s="1">
        <v>44785</v>
      </c>
      <c r="B1548" t="s">
        <v>12</v>
      </c>
      <c r="C1548" t="s">
        <v>68</v>
      </c>
      <c r="D1548" t="s">
        <v>26</v>
      </c>
      <c r="E1548">
        <v>472</v>
      </c>
      <c r="F1548">
        <f t="shared" si="48"/>
        <v>1274.4000000000001</v>
      </c>
      <c r="G1548">
        <f>SUMIF($D$2:$D1548,$D1548,$E$2:$E1548)</f>
        <v>13367</v>
      </c>
      <c r="H1548">
        <f t="shared" si="49"/>
        <v>0</v>
      </c>
    </row>
    <row r="1549" spans="1:8" x14ac:dyDescent="0.25">
      <c r="A1549" s="1">
        <v>44785</v>
      </c>
      <c r="B1549" t="s">
        <v>14</v>
      </c>
      <c r="C1549" t="s">
        <v>65</v>
      </c>
      <c r="D1549" t="s">
        <v>44</v>
      </c>
      <c r="E1549">
        <v>413</v>
      </c>
      <c r="F1549">
        <f t="shared" si="48"/>
        <v>1445.5</v>
      </c>
      <c r="G1549">
        <f>SUMIF($D$2:$D1549,$D1549,$E$2:$E1549)</f>
        <v>11645</v>
      </c>
      <c r="H1549">
        <f t="shared" si="49"/>
        <v>0</v>
      </c>
    </row>
    <row r="1550" spans="1:8" x14ac:dyDescent="0.25">
      <c r="A1550" s="1">
        <v>44785</v>
      </c>
      <c r="B1550" t="s">
        <v>14</v>
      </c>
      <c r="C1550" t="s">
        <v>65</v>
      </c>
      <c r="D1550" t="s">
        <v>37</v>
      </c>
      <c r="E1550">
        <v>238</v>
      </c>
      <c r="F1550">
        <f t="shared" si="48"/>
        <v>833</v>
      </c>
      <c r="G1550">
        <f>SUMIF($D$2:$D1550,$D1550,$E$2:$E1550)</f>
        <v>10976</v>
      </c>
      <c r="H1550">
        <f t="shared" si="49"/>
        <v>0</v>
      </c>
    </row>
    <row r="1551" spans="1:8" x14ac:dyDescent="0.25">
      <c r="A1551" s="1">
        <v>44785</v>
      </c>
      <c r="B1551" t="s">
        <v>13</v>
      </c>
      <c r="C1551" t="s">
        <v>68</v>
      </c>
      <c r="D1551" t="s">
        <v>31</v>
      </c>
      <c r="E1551">
        <v>175</v>
      </c>
      <c r="F1551">
        <f t="shared" si="48"/>
        <v>560</v>
      </c>
      <c r="G1551">
        <f>SUMIF($D$2:$D1551,$D1551,$E$2:$E1551)</f>
        <v>12986</v>
      </c>
      <c r="H1551">
        <f t="shared" si="49"/>
        <v>0</v>
      </c>
    </row>
    <row r="1552" spans="1:8" x14ac:dyDescent="0.25">
      <c r="A1552" s="1">
        <v>44786</v>
      </c>
      <c r="B1552" t="s">
        <v>14</v>
      </c>
      <c r="C1552" t="s">
        <v>65</v>
      </c>
      <c r="D1552" t="s">
        <v>49</v>
      </c>
      <c r="E1552">
        <v>475</v>
      </c>
      <c r="F1552">
        <f t="shared" si="48"/>
        <v>1662.5</v>
      </c>
      <c r="G1552">
        <f>SUMIF($D$2:$D1552,$D1552,$E$2:$E1552)</f>
        <v>10252</v>
      </c>
      <c r="H1552">
        <f t="shared" si="49"/>
        <v>0</v>
      </c>
    </row>
    <row r="1553" spans="1:8" x14ac:dyDescent="0.25">
      <c r="A1553" s="1">
        <v>44786</v>
      </c>
      <c r="B1553" t="s">
        <v>14</v>
      </c>
      <c r="C1553" t="s">
        <v>65</v>
      </c>
      <c r="D1553" t="s">
        <v>42</v>
      </c>
      <c r="E1553">
        <v>56</v>
      </c>
      <c r="F1553">
        <f t="shared" si="48"/>
        <v>196</v>
      </c>
      <c r="G1553">
        <f>SUMIF($D$2:$D1553,$D1553,$E$2:$E1553)</f>
        <v>8629</v>
      </c>
      <c r="H1553">
        <f t="shared" si="49"/>
        <v>0</v>
      </c>
    </row>
    <row r="1554" spans="1:8" x14ac:dyDescent="0.25">
      <c r="A1554" s="1">
        <v>44786</v>
      </c>
      <c r="B1554" t="s">
        <v>14</v>
      </c>
      <c r="C1554" t="s">
        <v>65</v>
      </c>
      <c r="D1554" t="s">
        <v>41</v>
      </c>
      <c r="E1554">
        <v>284</v>
      </c>
      <c r="F1554">
        <f t="shared" si="48"/>
        <v>994</v>
      </c>
      <c r="G1554">
        <f>SUMIF($D$2:$D1554,$D1554,$E$2:$E1554)</f>
        <v>9600</v>
      </c>
      <c r="H1554">
        <f t="shared" si="49"/>
        <v>0</v>
      </c>
    </row>
    <row r="1555" spans="1:8" x14ac:dyDescent="0.25">
      <c r="A1555" s="1">
        <v>44786</v>
      </c>
      <c r="B1555" t="s">
        <v>12</v>
      </c>
      <c r="C1555" t="s">
        <v>68</v>
      </c>
      <c r="D1555" t="s">
        <v>50</v>
      </c>
      <c r="E1555">
        <v>271</v>
      </c>
      <c r="F1555">
        <f t="shared" si="48"/>
        <v>731.7</v>
      </c>
      <c r="G1555">
        <f>SUMIF($D$2:$D1555,$D1555,$E$2:$E1555)</f>
        <v>7650</v>
      </c>
      <c r="H1555">
        <f t="shared" si="49"/>
        <v>0</v>
      </c>
    </row>
    <row r="1556" spans="1:8" x14ac:dyDescent="0.25">
      <c r="A1556" s="1">
        <v>44786</v>
      </c>
      <c r="B1556" t="s">
        <v>13</v>
      </c>
      <c r="C1556" t="s">
        <v>68</v>
      </c>
      <c r="D1556" t="s">
        <v>18</v>
      </c>
      <c r="E1556">
        <v>51</v>
      </c>
      <c r="F1556">
        <f t="shared" si="48"/>
        <v>163.20000000000002</v>
      </c>
      <c r="G1556">
        <f>SUMIF($D$2:$D1556,$D1556,$E$2:$E1556)</f>
        <v>10528</v>
      </c>
      <c r="H1556">
        <f t="shared" si="49"/>
        <v>0</v>
      </c>
    </row>
    <row r="1557" spans="1:8" x14ac:dyDescent="0.25">
      <c r="A1557" s="1">
        <v>44788</v>
      </c>
      <c r="B1557" t="s">
        <v>14</v>
      </c>
      <c r="C1557" t="s">
        <v>65</v>
      </c>
      <c r="D1557" t="s">
        <v>20</v>
      </c>
      <c r="E1557">
        <v>448</v>
      </c>
      <c r="F1557">
        <f t="shared" si="48"/>
        <v>1568</v>
      </c>
      <c r="G1557">
        <f>SUMIF($D$2:$D1557,$D1557,$E$2:$E1557)</f>
        <v>8640</v>
      </c>
      <c r="H1557">
        <f t="shared" si="49"/>
        <v>0</v>
      </c>
    </row>
    <row r="1558" spans="1:8" x14ac:dyDescent="0.25">
      <c r="A1558" s="1">
        <v>44788</v>
      </c>
      <c r="B1558" t="s">
        <v>12</v>
      </c>
      <c r="C1558" t="s">
        <v>68</v>
      </c>
      <c r="D1558" t="s">
        <v>27</v>
      </c>
      <c r="E1558">
        <v>285</v>
      </c>
      <c r="F1558">
        <f t="shared" si="48"/>
        <v>769.5</v>
      </c>
      <c r="G1558">
        <f>SUMIF($D$2:$D1558,$D1558,$E$2:$E1558)</f>
        <v>9920</v>
      </c>
      <c r="H1558">
        <f t="shared" si="49"/>
        <v>0</v>
      </c>
    </row>
    <row r="1559" spans="1:8" x14ac:dyDescent="0.25">
      <c r="A1559" s="1">
        <v>44788</v>
      </c>
      <c r="B1559" t="s">
        <v>14</v>
      </c>
      <c r="C1559" t="s">
        <v>65</v>
      </c>
      <c r="D1559" t="s">
        <v>30</v>
      </c>
      <c r="E1559">
        <v>43</v>
      </c>
      <c r="F1559">
        <f t="shared" si="48"/>
        <v>150.5</v>
      </c>
      <c r="G1559">
        <f>SUMIF($D$2:$D1559,$D1559,$E$2:$E1559)</f>
        <v>9968</v>
      </c>
      <c r="H1559">
        <f t="shared" si="49"/>
        <v>0</v>
      </c>
    </row>
    <row r="1560" spans="1:8" x14ac:dyDescent="0.25">
      <c r="A1560" s="1">
        <v>44788</v>
      </c>
      <c r="B1560" t="s">
        <v>13</v>
      </c>
      <c r="C1560" t="s">
        <v>68</v>
      </c>
      <c r="D1560" t="s">
        <v>66</v>
      </c>
      <c r="E1560">
        <v>274</v>
      </c>
      <c r="F1560">
        <f t="shared" si="48"/>
        <v>876.80000000000007</v>
      </c>
      <c r="G1560">
        <f>SUMIF($D$2:$D1560,$D1560,$E$2:$E1560)</f>
        <v>10722</v>
      </c>
      <c r="H1560">
        <f t="shared" si="49"/>
        <v>0</v>
      </c>
    </row>
    <row r="1561" spans="1:8" x14ac:dyDescent="0.25">
      <c r="A1561" s="1">
        <v>44788</v>
      </c>
      <c r="B1561" t="s">
        <v>12</v>
      </c>
      <c r="C1561" t="s">
        <v>68</v>
      </c>
      <c r="D1561" t="s">
        <v>62</v>
      </c>
      <c r="E1561">
        <v>57</v>
      </c>
      <c r="F1561">
        <f t="shared" si="48"/>
        <v>153.9</v>
      </c>
      <c r="G1561">
        <f>SUMIF($D$2:$D1561,$D1561,$E$2:$E1561)</f>
        <v>9254</v>
      </c>
      <c r="H1561">
        <f t="shared" si="49"/>
        <v>0</v>
      </c>
    </row>
    <row r="1562" spans="1:8" x14ac:dyDescent="0.25">
      <c r="A1562" s="1">
        <v>44788</v>
      </c>
      <c r="B1562" t="s">
        <v>13</v>
      </c>
      <c r="C1562" t="s">
        <v>68</v>
      </c>
      <c r="D1562" t="s">
        <v>59</v>
      </c>
      <c r="E1562">
        <v>95</v>
      </c>
      <c r="F1562">
        <f t="shared" si="48"/>
        <v>304</v>
      </c>
      <c r="G1562">
        <f>SUMIF($D$2:$D1562,$D1562,$E$2:$E1562)</f>
        <v>6951</v>
      </c>
      <c r="H1562">
        <f t="shared" si="49"/>
        <v>0</v>
      </c>
    </row>
    <row r="1563" spans="1:8" x14ac:dyDescent="0.25">
      <c r="A1563" s="1">
        <v>44788</v>
      </c>
      <c r="B1563" t="s">
        <v>14</v>
      </c>
      <c r="C1563" t="s">
        <v>65</v>
      </c>
      <c r="D1563" t="s">
        <v>24</v>
      </c>
      <c r="E1563">
        <v>312</v>
      </c>
      <c r="F1563">
        <f t="shared" si="48"/>
        <v>1092</v>
      </c>
      <c r="G1563">
        <f>SUMIF($D$2:$D1563,$D1563,$E$2:$E1563)</f>
        <v>8792</v>
      </c>
      <c r="H1563">
        <f t="shared" si="49"/>
        <v>0</v>
      </c>
    </row>
    <row r="1564" spans="1:8" x14ac:dyDescent="0.25">
      <c r="A1564" s="1">
        <v>44788</v>
      </c>
      <c r="B1564" t="s">
        <v>13</v>
      </c>
      <c r="C1564" t="s">
        <v>68</v>
      </c>
      <c r="D1564" t="s">
        <v>67</v>
      </c>
      <c r="E1564">
        <v>270</v>
      </c>
      <c r="F1564">
        <f t="shared" si="48"/>
        <v>864</v>
      </c>
      <c r="G1564">
        <f>SUMIF($D$2:$D1564,$D1564,$E$2:$E1564)</f>
        <v>10137</v>
      </c>
      <c r="H1564">
        <f t="shared" si="49"/>
        <v>0</v>
      </c>
    </row>
    <row r="1565" spans="1:8" x14ac:dyDescent="0.25">
      <c r="A1565" s="1">
        <v>44788</v>
      </c>
      <c r="B1565" t="s">
        <v>12</v>
      </c>
      <c r="C1565" t="s">
        <v>68</v>
      </c>
      <c r="D1565" t="s">
        <v>67</v>
      </c>
      <c r="E1565">
        <v>292</v>
      </c>
      <c r="F1565">
        <f t="shared" si="48"/>
        <v>788.40000000000009</v>
      </c>
      <c r="G1565">
        <f>SUMIF($D$2:$D1565,$D1565,$E$2:$E1565)</f>
        <v>10429</v>
      </c>
      <c r="H1565">
        <f t="shared" si="49"/>
        <v>0</v>
      </c>
    </row>
    <row r="1566" spans="1:8" x14ac:dyDescent="0.25">
      <c r="A1566" s="1">
        <v>44788</v>
      </c>
      <c r="B1566" t="s">
        <v>14</v>
      </c>
      <c r="C1566" t="s">
        <v>65</v>
      </c>
      <c r="D1566" t="s">
        <v>20</v>
      </c>
      <c r="E1566">
        <v>98</v>
      </c>
      <c r="F1566">
        <f t="shared" si="48"/>
        <v>343</v>
      </c>
      <c r="G1566">
        <f>SUMIF($D$2:$D1566,$D1566,$E$2:$E1566)</f>
        <v>8738</v>
      </c>
      <c r="H1566">
        <f t="shared" si="49"/>
        <v>0</v>
      </c>
    </row>
    <row r="1567" spans="1:8" x14ac:dyDescent="0.25">
      <c r="A1567" s="1">
        <v>44788</v>
      </c>
      <c r="B1567" t="s">
        <v>12</v>
      </c>
      <c r="C1567" t="s">
        <v>68</v>
      </c>
      <c r="D1567" t="s">
        <v>48</v>
      </c>
      <c r="E1567">
        <v>427</v>
      </c>
      <c r="F1567">
        <f t="shared" si="48"/>
        <v>1152.9000000000001</v>
      </c>
      <c r="G1567">
        <f>SUMIF($D$2:$D1567,$D1567,$E$2:$E1567)</f>
        <v>7384</v>
      </c>
      <c r="H1567">
        <f t="shared" si="49"/>
        <v>0</v>
      </c>
    </row>
    <row r="1568" spans="1:8" x14ac:dyDescent="0.25">
      <c r="A1568" s="1">
        <v>44788</v>
      </c>
      <c r="B1568" t="s">
        <v>14</v>
      </c>
      <c r="C1568" t="s">
        <v>65</v>
      </c>
      <c r="D1568" t="s">
        <v>29</v>
      </c>
      <c r="E1568">
        <v>473</v>
      </c>
      <c r="F1568">
        <f t="shared" si="48"/>
        <v>1655.5</v>
      </c>
      <c r="G1568">
        <f>SUMIF($D$2:$D1568,$D1568,$E$2:$E1568)</f>
        <v>13856</v>
      </c>
      <c r="H1568">
        <f t="shared" si="49"/>
        <v>0</v>
      </c>
    </row>
    <row r="1569" spans="1:8" x14ac:dyDescent="0.25">
      <c r="A1569" s="1">
        <v>44788</v>
      </c>
      <c r="B1569" t="s">
        <v>13</v>
      </c>
      <c r="C1569" t="s">
        <v>68</v>
      </c>
      <c r="D1569" t="s">
        <v>61</v>
      </c>
      <c r="E1569">
        <v>465</v>
      </c>
      <c r="F1569">
        <f t="shared" si="48"/>
        <v>1488</v>
      </c>
      <c r="G1569">
        <f>SUMIF($D$2:$D1569,$D1569,$E$2:$E1569)</f>
        <v>10204</v>
      </c>
      <c r="H1569">
        <f t="shared" si="49"/>
        <v>0</v>
      </c>
    </row>
    <row r="1570" spans="1:8" x14ac:dyDescent="0.25">
      <c r="A1570" s="1">
        <v>44788</v>
      </c>
      <c r="B1570" t="s">
        <v>12</v>
      </c>
      <c r="C1570" t="s">
        <v>68</v>
      </c>
      <c r="D1570" t="s">
        <v>62</v>
      </c>
      <c r="E1570">
        <v>284</v>
      </c>
      <c r="F1570">
        <f t="shared" si="48"/>
        <v>766.80000000000007</v>
      </c>
      <c r="G1570">
        <f>SUMIF($D$2:$D1570,$D1570,$E$2:$E1570)</f>
        <v>9538</v>
      </c>
      <c r="H1570">
        <f t="shared" si="49"/>
        <v>0</v>
      </c>
    </row>
    <row r="1571" spans="1:8" x14ac:dyDescent="0.25">
      <c r="A1571" s="1">
        <v>44788</v>
      </c>
      <c r="B1571" t="s">
        <v>12</v>
      </c>
      <c r="C1571" t="s">
        <v>68</v>
      </c>
      <c r="D1571" t="s">
        <v>19</v>
      </c>
      <c r="E1571">
        <v>231</v>
      </c>
      <c r="F1571">
        <f t="shared" si="48"/>
        <v>623.70000000000005</v>
      </c>
      <c r="G1571">
        <f>SUMIF($D$2:$D1571,$D1571,$E$2:$E1571)</f>
        <v>4539</v>
      </c>
      <c r="H1571">
        <f t="shared" si="49"/>
        <v>0</v>
      </c>
    </row>
    <row r="1572" spans="1:8" x14ac:dyDescent="0.25">
      <c r="A1572" s="1">
        <v>44788</v>
      </c>
      <c r="B1572" t="s">
        <v>13</v>
      </c>
      <c r="C1572" t="s">
        <v>68</v>
      </c>
      <c r="D1572" t="s">
        <v>24</v>
      </c>
      <c r="E1572">
        <v>241</v>
      </c>
      <c r="F1572">
        <f t="shared" si="48"/>
        <v>771.2</v>
      </c>
      <c r="G1572">
        <f>SUMIF($D$2:$D1572,$D1572,$E$2:$E1572)</f>
        <v>9033</v>
      </c>
      <c r="H1572">
        <f t="shared" si="49"/>
        <v>0</v>
      </c>
    </row>
    <row r="1573" spans="1:8" x14ac:dyDescent="0.25">
      <c r="A1573" s="1">
        <v>44789</v>
      </c>
      <c r="B1573" t="s">
        <v>14</v>
      </c>
      <c r="C1573" t="s">
        <v>65</v>
      </c>
      <c r="D1573" t="s">
        <v>33</v>
      </c>
      <c r="E1573">
        <v>189</v>
      </c>
      <c r="F1573">
        <f t="shared" si="48"/>
        <v>661.5</v>
      </c>
      <c r="G1573">
        <f>SUMIF($D$2:$D1573,$D1573,$E$2:$E1573)</f>
        <v>13195</v>
      </c>
      <c r="H1573">
        <f t="shared" si="49"/>
        <v>0</v>
      </c>
    </row>
    <row r="1574" spans="1:8" x14ac:dyDescent="0.25">
      <c r="A1574" s="1">
        <v>44789</v>
      </c>
      <c r="B1574" t="s">
        <v>13</v>
      </c>
      <c r="C1574" t="s">
        <v>68</v>
      </c>
      <c r="D1574" t="s">
        <v>40</v>
      </c>
      <c r="E1574">
        <v>354</v>
      </c>
      <c r="F1574">
        <f t="shared" si="48"/>
        <v>1132.8</v>
      </c>
      <c r="G1574">
        <f>SUMIF($D$2:$D1574,$D1574,$E$2:$E1574)</f>
        <v>11080</v>
      </c>
      <c r="H1574">
        <f t="shared" si="49"/>
        <v>0</v>
      </c>
    </row>
    <row r="1575" spans="1:8" x14ac:dyDescent="0.25">
      <c r="A1575" s="1">
        <v>44789</v>
      </c>
      <c r="B1575" t="s">
        <v>14</v>
      </c>
      <c r="C1575" t="s">
        <v>65</v>
      </c>
      <c r="D1575" t="s">
        <v>55</v>
      </c>
      <c r="E1575">
        <v>466</v>
      </c>
      <c r="F1575">
        <f t="shared" si="48"/>
        <v>1631</v>
      </c>
      <c r="G1575">
        <f>SUMIF($D$2:$D1575,$D1575,$E$2:$E1575)</f>
        <v>9337</v>
      </c>
      <c r="H1575">
        <f t="shared" si="49"/>
        <v>0</v>
      </c>
    </row>
    <row r="1576" spans="1:8" x14ac:dyDescent="0.25">
      <c r="A1576" s="1">
        <v>44790</v>
      </c>
      <c r="B1576" t="s">
        <v>13</v>
      </c>
      <c r="C1576" t="s">
        <v>68</v>
      </c>
      <c r="D1576" t="s">
        <v>16</v>
      </c>
      <c r="E1576">
        <v>420</v>
      </c>
      <c r="F1576">
        <f t="shared" si="48"/>
        <v>1344</v>
      </c>
      <c r="G1576">
        <f>SUMIF($D$2:$D1576,$D1576,$E$2:$E1576)</f>
        <v>10072</v>
      </c>
      <c r="H1576">
        <f t="shared" si="49"/>
        <v>0</v>
      </c>
    </row>
    <row r="1577" spans="1:8" x14ac:dyDescent="0.25">
      <c r="A1577" s="1">
        <v>44790</v>
      </c>
      <c r="B1577" t="s">
        <v>12</v>
      </c>
      <c r="C1577" t="s">
        <v>68</v>
      </c>
      <c r="D1577" t="s">
        <v>51</v>
      </c>
      <c r="E1577">
        <v>219</v>
      </c>
      <c r="F1577">
        <f t="shared" si="48"/>
        <v>591.30000000000007</v>
      </c>
      <c r="G1577">
        <f>SUMIF($D$2:$D1577,$D1577,$E$2:$E1577)</f>
        <v>12964</v>
      </c>
      <c r="H1577">
        <f t="shared" si="49"/>
        <v>0</v>
      </c>
    </row>
    <row r="1578" spans="1:8" x14ac:dyDescent="0.25">
      <c r="A1578" s="1">
        <v>44790</v>
      </c>
      <c r="B1578" t="s">
        <v>13</v>
      </c>
      <c r="C1578" t="s">
        <v>68</v>
      </c>
      <c r="D1578" t="s">
        <v>47</v>
      </c>
      <c r="E1578">
        <v>30</v>
      </c>
      <c r="F1578">
        <f t="shared" si="48"/>
        <v>96</v>
      </c>
      <c r="G1578">
        <f>SUMIF($D$2:$D1578,$D1578,$E$2:$E1578)</f>
        <v>7167</v>
      </c>
      <c r="H1578">
        <f t="shared" si="49"/>
        <v>0</v>
      </c>
    </row>
    <row r="1579" spans="1:8" x14ac:dyDescent="0.25">
      <c r="A1579" s="1">
        <v>44790</v>
      </c>
      <c r="B1579" t="s">
        <v>13</v>
      </c>
      <c r="C1579" t="s">
        <v>68</v>
      </c>
      <c r="D1579" t="s">
        <v>61</v>
      </c>
      <c r="E1579">
        <v>274</v>
      </c>
      <c r="F1579">
        <f t="shared" si="48"/>
        <v>876.80000000000007</v>
      </c>
      <c r="G1579">
        <f>SUMIF($D$2:$D1579,$D1579,$E$2:$E1579)</f>
        <v>10478</v>
      </c>
      <c r="H1579">
        <f t="shared" si="49"/>
        <v>0</v>
      </c>
    </row>
    <row r="1580" spans="1:8" x14ac:dyDescent="0.25">
      <c r="A1580" s="1">
        <v>44791</v>
      </c>
      <c r="B1580" t="s">
        <v>14</v>
      </c>
      <c r="C1580" t="s">
        <v>65</v>
      </c>
      <c r="D1580" t="s">
        <v>30</v>
      </c>
      <c r="E1580">
        <v>472</v>
      </c>
      <c r="F1580">
        <f t="shared" si="48"/>
        <v>1652</v>
      </c>
      <c r="G1580">
        <f>SUMIF($D$2:$D1580,$D1580,$E$2:$E1580)</f>
        <v>10440</v>
      </c>
      <c r="H1580">
        <f t="shared" si="49"/>
        <v>0</v>
      </c>
    </row>
    <row r="1581" spans="1:8" x14ac:dyDescent="0.25">
      <c r="A1581" s="1">
        <v>44791</v>
      </c>
      <c r="B1581" t="s">
        <v>14</v>
      </c>
      <c r="C1581" t="s">
        <v>65</v>
      </c>
      <c r="D1581" t="s">
        <v>61</v>
      </c>
      <c r="E1581">
        <v>100</v>
      </c>
      <c r="F1581">
        <f t="shared" si="48"/>
        <v>350</v>
      </c>
      <c r="G1581">
        <f>SUMIF($D$2:$D1581,$D1581,$E$2:$E1581)</f>
        <v>10578</v>
      </c>
      <c r="H1581">
        <f t="shared" si="49"/>
        <v>0</v>
      </c>
    </row>
    <row r="1582" spans="1:8" x14ac:dyDescent="0.25">
      <c r="A1582" s="1">
        <v>44791</v>
      </c>
      <c r="B1582" t="s">
        <v>12</v>
      </c>
      <c r="C1582" t="s">
        <v>68</v>
      </c>
      <c r="D1582" t="s">
        <v>19</v>
      </c>
      <c r="E1582">
        <v>315</v>
      </c>
      <c r="F1582">
        <f t="shared" si="48"/>
        <v>850.5</v>
      </c>
      <c r="G1582">
        <f>SUMIF($D$2:$D1582,$D1582,$E$2:$E1582)</f>
        <v>4854</v>
      </c>
      <c r="H1582">
        <f t="shared" si="49"/>
        <v>0</v>
      </c>
    </row>
    <row r="1583" spans="1:8" x14ac:dyDescent="0.25">
      <c r="A1583" s="1">
        <v>44791</v>
      </c>
      <c r="B1583" t="s">
        <v>12</v>
      </c>
      <c r="C1583" t="s">
        <v>68</v>
      </c>
      <c r="D1583" t="s">
        <v>48</v>
      </c>
      <c r="E1583">
        <v>438</v>
      </c>
      <c r="F1583">
        <f t="shared" si="48"/>
        <v>1182.6000000000001</v>
      </c>
      <c r="G1583">
        <f>SUMIF($D$2:$D1583,$D1583,$E$2:$E1583)</f>
        <v>7822</v>
      </c>
      <c r="H1583">
        <f t="shared" si="49"/>
        <v>0</v>
      </c>
    </row>
    <row r="1584" spans="1:8" x14ac:dyDescent="0.25">
      <c r="A1584" s="1">
        <v>44791</v>
      </c>
      <c r="B1584" t="s">
        <v>13</v>
      </c>
      <c r="C1584" t="s">
        <v>68</v>
      </c>
      <c r="D1584" t="s">
        <v>60</v>
      </c>
      <c r="E1584">
        <v>335</v>
      </c>
      <c r="F1584">
        <f t="shared" si="48"/>
        <v>1072</v>
      </c>
      <c r="G1584">
        <f>SUMIF($D$2:$D1584,$D1584,$E$2:$E1584)</f>
        <v>11227</v>
      </c>
      <c r="H1584">
        <f t="shared" si="49"/>
        <v>0</v>
      </c>
    </row>
    <row r="1585" spans="1:8" x14ac:dyDescent="0.25">
      <c r="A1585" s="1">
        <v>44791</v>
      </c>
      <c r="B1585" t="s">
        <v>14</v>
      </c>
      <c r="C1585" t="s">
        <v>65</v>
      </c>
      <c r="D1585" t="s">
        <v>20</v>
      </c>
      <c r="E1585">
        <v>266</v>
      </c>
      <c r="F1585">
        <f t="shared" si="48"/>
        <v>931</v>
      </c>
      <c r="G1585">
        <f>SUMIF($D$2:$D1585,$D1585,$E$2:$E1585)</f>
        <v>9004</v>
      </c>
      <c r="H1585">
        <f t="shared" si="49"/>
        <v>0</v>
      </c>
    </row>
    <row r="1586" spans="1:8" x14ac:dyDescent="0.25">
      <c r="A1586" s="1">
        <v>44792</v>
      </c>
      <c r="B1586" t="s">
        <v>12</v>
      </c>
      <c r="C1586" t="s">
        <v>68</v>
      </c>
      <c r="D1586" t="s">
        <v>31</v>
      </c>
      <c r="E1586">
        <v>143</v>
      </c>
      <c r="F1586">
        <f t="shared" si="48"/>
        <v>386.1</v>
      </c>
      <c r="G1586">
        <f>SUMIF($D$2:$D1586,$D1586,$E$2:$E1586)</f>
        <v>13129</v>
      </c>
      <c r="H1586">
        <f t="shared" si="49"/>
        <v>0</v>
      </c>
    </row>
    <row r="1587" spans="1:8" x14ac:dyDescent="0.25">
      <c r="A1587" s="1">
        <v>44792</v>
      </c>
      <c r="B1587" t="s">
        <v>14</v>
      </c>
      <c r="C1587" t="s">
        <v>65</v>
      </c>
      <c r="D1587" t="s">
        <v>67</v>
      </c>
      <c r="E1587">
        <v>244</v>
      </c>
      <c r="F1587">
        <f t="shared" si="48"/>
        <v>854</v>
      </c>
      <c r="G1587">
        <f>SUMIF($D$2:$D1587,$D1587,$E$2:$E1587)</f>
        <v>10673</v>
      </c>
      <c r="H1587">
        <f t="shared" si="49"/>
        <v>0</v>
      </c>
    </row>
    <row r="1588" spans="1:8" x14ac:dyDescent="0.25">
      <c r="A1588" s="1">
        <v>44792</v>
      </c>
      <c r="B1588" t="s">
        <v>14</v>
      </c>
      <c r="C1588" t="s">
        <v>65</v>
      </c>
      <c r="D1588" t="s">
        <v>26</v>
      </c>
      <c r="E1588">
        <v>66</v>
      </c>
      <c r="F1588">
        <f t="shared" si="48"/>
        <v>231</v>
      </c>
      <c r="G1588">
        <f>SUMIF($D$2:$D1588,$D1588,$E$2:$E1588)</f>
        <v>13433</v>
      </c>
      <c r="H1588">
        <f t="shared" si="49"/>
        <v>0</v>
      </c>
    </row>
    <row r="1589" spans="1:8" x14ac:dyDescent="0.25">
      <c r="A1589" s="1">
        <v>44792</v>
      </c>
      <c r="B1589" t="s">
        <v>14</v>
      </c>
      <c r="C1589" t="s">
        <v>65</v>
      </c>
      <c r="D1589" t="s">
        <v>55</v>
      </c>
      <c r="E1589">
        <v>61</v>
      </c>
      <c r="F1589">
        <f t="shared" si="48"/>
        <v>213.5</v>
      </c>
      <c r="G1589">
        <f>SUMIF($D$2:$D1589,$D1589,$E$2:$E1589)</f>
        <v>9398</v>
      </c>
      <c r="H1589">
        <f t="shared" si="49"/>
        <v>0</v>
      </c>
    </row>
    <row r="1590" spans="1:8" x14ac:dyDescent="0.25">
      <c r="A1590" s="1">
        <v>44792</v>
      </c>
      <c r="B1590" t="s">
        <v>13</v>
      </c>
      <c r="C1590" t="s">
        <v>68</v>
      </c>
      <c r="D1590" t="s">
        <v>61</v>
      </c>
      <c r="E1590">
        <v>490</v>
      </c>
      <c r="F1590">
        <f t="shared" si="48"/>
        <v>1568</v>
      </c>
      <c r="G1590">
        <f>SUMIF($D$2:$D1590,$D1590,$E$2:$E1590)</f>
        <v>11068</v>
      </c>
      <c r="H1590">
        <f t="shared" si="49"/>
        <v>0</v>
      </c>
    </row>
    <row r="1591" spans="1:8" x14ac:dyDescent="0.25">
      <c r="A1591" s="1">
        <v>44792</v>
      </c>
      <c r="B1591" t="s">
        <v>13</v>
      </c>
      <c r="C1591" t="s">
        <v>68</v>
      </c>
      <c r="D1591" t="s">
        <v>37</v>
      </c>
      <c r="E1591">
        <v>67</v>
      </c>
      <c r="F1591">
        <f t="shared" si="48"/>
        <v>214.4</v>
      </c>
      <c r="G1591">
        <f>SUMIF($D$2:$D1591,$D1591,$E$2:$E1591)</f>
        <v>11043</v>
      </c>
      <c r="H1591">
        <f t="shared" si="49"/>
        <v>0</v>
      </c>
    </row>
    <row r="1592" spans="1:8" x14ac:dyDescent="0.25">
      <c r="A1592" s="1">
        <v>44792</v>
      </c>
      <c r="B1592" t="s">
        <v>14</v>
      </c>
      <c r="C1592" t="s">
        <v>65</v>
      </c>
      <c r="D1592" t="s">
        <v>27</v>
      </c>
      <c r="E1592">
        <v>66</v>
      </c>
      <c r="F1592">
        <f t="shared" si="48"/>
        <v>231</v>
      </c>
      <c r="G1592">
        <f>SUMIF($D$2:$D1592,$D1592,$E$2:$E1592)</f>
        <v>9986</v>
      </c>
      <c r="H1592">
        <f t="shared" si="49"/>
        <v>0</v>
      </c>
    </row>
    <row r="1593" spans="1:8" x14ac:dyDescent="0.25">
      <c r="A1593" s="1">
        <v>44793</v>
      </c>
      <c r="B1593" t="s">
        <v>12</v>
      </c>
      <c r="C1593" t="s">
        <v>68</v>
      </c>
      <c r="D1593" t="s">
        <v>46</v>
      </c>
      <c r="E1593">
        <v>383</v>
      </c>
      <c r="F1593">
        <f t="shared" si="48"/>
        <v>1034.1000000000001</v>
      </c>
      <c r="G1593">
        <f>SUMIF($D$2:$D1593,$D1593,$E$2:$E1593)</f>
        <v>9482</v>
      </c>
      <c r="H1593">
        <f t="shared" si="49"/>
        <v>0</v>
      </c>
    </row>
    <row r="1594" spans="1:8" x14ac:dyDescent="0.25">
      <c r="A1594" s="1">
        <v>44793</v>
      </c>
      <c r="B1594" t="s">
        <v>12</v>
      </c>
      <c r="C1594" t="s">
        <v>68</v>
      </c>
      <c r="D1594" t="s">
        <v>32</v>
      </c>
      <c r="E1594">
        <v>261</v>
      </c>
      <c r="F1594">
        <f t="shared" si="48"/>
        <v>704.7</v>
      </c>
      <c r="G1594">
        <f>SUMIF($D$2:$D1594,$D1594,$E$2:$E1594)</f>
        <v>10988</v>
      </c>
      <c r="H1594">
        <f t="shared" si="49"/>
        <v>0</v>
      </c>
    </row>
    <row r="1595" spans="1:8" x14ac:dyDescent="0.25">
      <c r="A1595" s="1">
        <v>44793</v>
      </c>
      <c r="B1595" t="s">
        <v>12</v>
      </c>
      <c r="C1595" t="s">
        <v>68</v>
      </c>
      <c r="D1595" t="s">
        <v>52</v>
      </c>
      <c r="E1595">
        <v>466</v>
      </c>
      <c r="F1595">
        <f t="shared" si="48"/>
        <v>1258.2</v>
      </c>
      <c r="G1595">
        <f>SUMIF($D$2:$D1595,$D1595,$E$2:$E1595)</f>
        <v>9061</v>
      </c>
      <c r="H1595">
        <f t="shared" si="49"/>
        <v>0</v>
      </c>
    </row>
    <row r="1596" spans="1:8" x14ac:dyDescent="0.25">
      <c r="A1596" s="1">
        <v>44793</v>
      </c>
      <c r="B1596" t="s">
        <v>12</v>
      </c>
      <c r="C1596" t="s">
        <v>68</v>
      </c>
      <c r="D1596" t="s">
        <v>57</v>
      </c>
      <c r="E1596">
        <v>305</v>
      </c>
      <c r="F1596">
        <f t="shared" si="48"/>
        <v>823.5</v>
      </c>
      <c r="G1596">
        <f>SUMIF($D$2:$D1596,$D1596,$E$2:$E1596)</f>
        <v>12033</v>
      </c>
      <c r="H1596">
        <f t="shared" si="49"/>
        <v>0</v>
      </c>
    </row>
    <row r="1597" spans="1:8" x14ac:dyDescent="0.25">
      <c r="A1597" s="1">
        <v>44793</v>
      </c>
      <c r="B1597" t="s">
        <v>14</v>
      </c>
      <c r="C1597" t="s">
        <v>65</v>
      </c>
      <c r="D1597" t="s">
        <v>29</v>
      </c>
      <c r="E1597">
        <v>223</v>
      </c>
      <c r="F1597">
        <f t="shared" si="48"/>
        <v>780.5</v>
      </c>
      <c r="G1597">
        <f>SUMIF($D$2:$D1597,$D1597,$E$2:$E1597)</f>
        <v>14079</v>
      </c>
      <c r="H1597">
        <f t="shared" si="49"/>
        <v>0</v>
      </c>
    </row>
    <row r="1598" spans="1:8" x14ac:dyDescent="0.25">
      <c r="A1598" s="1">
        <v>44793</v>
      </c>
      <c r="B1598" t="s">
        <v>12</v>
      </c>
      <c r="C1598" t="s">
        <v>68</v>
      </c>
      <c r="D1598" t="s">
        <v>23</v>
      </c>
      <c r="E1598">
        <v>426</v>
      </c>
      <c r="F1598">
        <f t="shared" si="48"/>
        <v>1150.2</v>
      </c>
      <c r="G1598">
        <f>SUMIF($D$2:$D1598,$D1598,$E$2:$E1598)</f>
        <v>8841</v>
      </c>
      <c r="H1598">
        <f t="shared" si="49"/>
        <v>0</v>
      </c>
    </row>
    <row r="1599" spans="1:8" x14ac:dyDescent="0.25">
      <c r="A1599" s="1">
        <v>44793</v>
      </c>
      <c r="B1599" t="s">
        <v>14</v>
      </c>
      <c r="C1599" t="s">
        <v>65</v>
      </c>
      <c r="D1599" t="s">
        <v>39</v>
      </c>
      <c r="E1599">
        <v>147</v>
      </c>
      <c r="F1599">
        <f t="shared" si="48"/>
        <v>514.5</v>
      </c>
      <c r="G1599">
        <f>SUMIF($D$2:$D1599,$D1599,$E$2:$E1599)</f>
        <v>9265</v>
      </c>
      <c r="H1599">
        <f t="shared" si="49"/>
        <v>0</v>
      </c>
    </row>
    <row r="1600" spans="1:8" x14ac:dyDescent="0.25">
      <c r="A1600" s="1">
        <v>44795</v>
      </c>
      <c r="B1600" t="s">
        <v>14</v>
      </c>
      <c r="C1600" t="s">
        <v>65</v>
      </c>
      <c r="D1600" t="s">
        <v>35</v>
      </c>
      <c r="E1600">
        <v>285</v>
      </c>
      <c r="F1600">
        <f t="shared" si="48"/>
        <v>997.5</v>
      </c>
      <c r="G1600">
        <f>SUMIF($D$2:$D1600,$D1600,$E$2:$E1600)</f>
        <v>9464</v>
      </c>
      <c r="H1600">
        <f t="shared" si="49"/>
        <v>0</v>
      </c>
    </row>
    <row r="1601" spans="1:8" x14ac:dyDescent="0.25">
      <c r="A1601" s="1">
        <v>44795</v>
      </c>
      <c r="B1601" t="s">
        <v>12</v>
      </c>
      <c r="C1601" t="s">
        <v>68</v>
      </c>
      <c r="D1601" t="s">
        <v>22</v>
      </c>
      <c r="E1601">
        <v>240</v>
      </c>
      <c r="F1601">
        <f t="shared" si="48"/>
        <v>648</v>
      </c>
      <c r="G1601">
        <f>SUMIF($D$2:$D1601,$D1601,$E$2:$E1601)</f>
        <v>9762</v>
      </c>
      <c r="H1601">
        <f t="shared" si="49"/>
        <v>0</v>
      </c>
    </row>
    <row r="1602" spans="1:8" x14ac:dyDescent="0.25">
      <c r="A1602" s="1">
        <v>44795</v>
      </c>
      <c r="B1602" t="s">
        <v>14</v>
      </c>
      <c r="C1602" t="s">
        <v>65</v>
      </c>
      <c r="D1602" t="s">
        <v>64</v>
      </c>
      <c r="E1602">
        <v>219</v>
      </c>
      <c r="F1602">
        <f t="shared" si="48"/>
        <v>766.5</v>
      </c>
      <c r="G1602">
        <f>SUMIF($D$2:$D1602,$D1602,$E$2:$E1602)</f>
        <v>10053</v>
      </c>
      <c r="H1602">
        <f t="shared" si="49"/>
        <v>0</v>
      </c>
    </row>
    <row r="1603" spans="1:8" x14ac:dyDescent="0.25">
      <c r="A1603" s="1">
        <v>44795</v>
      </c>
      <c r="B1603" t="s">
        <v>12</v>
      </c>
      <c r="C1603" t="s">
        <v>68</v>
      </c>
      <c r="D1603" t="s">
        <v>38</v>
      </c>
      <c r="E1603">
        <v>249</v>
      </c>
      <c r="F1603">
        <f t="shared" ref="F1603:F1666" si="50">E1603* _xlfn.XLOOKUP(B1603,$I$2:$I$17,$J$2:$J$17,"0",0,1)</f>
        <v>672.30000000000007</v>
      </c>
      <c r="G1603">
        <f>SUMIF($D$2:$D1603,$D1603,$E$2:$E1603)</f>
        <v>11854</v>
      </c>
      <c r="H1603">
        <f t="shared" ref="H1603:H1666" si="51">IF(AND($G1603 &gt; 15000,$G1603 &lt; 20000),5*$E1603,IF($G1603 &gt;= 20000,10*$E1603,0))</f>
        <v>0</v>
      </c>
    </row>
    <row r="1604" spans="1:8" x14ac:dyDescent="0.25">
      <c r="A1604" s="1">
        <v>44795</v>
      </c>
      <c r="B1604" t="s">
        <v>12</v>
      </c>
      <c r="C1604" t="s">
        <v>68</v>
      </c>
      <c r="D1604" t="s">
        <v>36</v>
      </c>
      <c r="E1604">
        <v>490</v>
      </c>
      <c r="F1604">
        <f t="shared" si="50"/>
        <v>1323</v>
      </c>
      <c r="G1604">
        <f>SUMIF($D$2:$D1604,$D1604,$E$2:$E1604)</f>
        <v>10738</v>
      </c>
      <c r="H1604">
        <f t="shared" si="51"/>
        <v>0</v>
      </c>
    </row>
    <row r="1605" spans="1:8" x14ac:dyDescent="0.25">
      <c r="A1605" s="1">
        <v>44795</v>
      </c>
      <c r="B1605" t="s">
        <v>13</v>
      </c>
      <c r="C1605" t="s">
        <v>68</v>
      </c>
      <c r="D1605" t="s">
        <v>26</v>
      </c>
      <c r="E1605">
        <v>239</v>
      </c>
      <c r="F1605">
        <f t="shared" si="50"/>
        <v>764.80000000000007</v>
      </c>
      <c r="G1605">
        <f>SUMIF($D$2:$D1605,$D1605,$E$2:$E1605)</f>
        <v>13672</v>
      </c>
      <c r="H1605">
        <f t="shared" si="51"/>
        <v>0</v>
      </c>
    </row>
    <row r="1606" spans="1:8" x14ac:dyDescent="0.25">
      <c r="A1606" s="1">
        <v>44795</v>
      </c>
      <c r="B1606" t="s">
        <v>13</v>
      </c>
      <c r="C1606" t="s">
        <v>68</v>
      </c>
      <c r="D1606" t="s">
        <v>48</v>
      </c>
      <c r="E1606">
        <v>136</v>
      </c>
      <c r="F1606">
        <f t="shared" si="50"/>
        <v>435.20000000000005</v>
      </c>
      <c r="G1606">
        <f>SUMIF($D$2:$D1606,$D1606,$E$2:$E1606)</f>
        <v>7958</v>
      </c>
      <c r="H1606">
        <f t="shared" si="51"/>
        <v>0</v>
      </c>
    </row>
    <row r="1607" spans="1:8" x14ac:dyDescent="0.25">
      <c r="A1607" s="1">
        <v>44795</v>
      </c>
      <c r="B1607" t="s">
        <v>14</v>
      </c>
      <c r="C1607" t="s">
        <v>65</v>
      </c>
      <c r="D1607" t="s">
        <v>64</v>
      </c>
      <c r="E1607">
        <v>201</v>
      </c>
      <c r="F1607">
        <f t="shared" si="50"/>
        <v>703.5</v>
      </c>
      <c r="G1607">
        <f>SUMIF($D$2:$D1607,$D1607,$E$2:$E1607)</f>
        <v>10254</v>
      </c>
      <c r="H1607">
        <f t="shared" si="51"/>
        <v>0</v>
      </c>
    </row>
    <row r="1608" spans="1:8" x14ac:dyDescent="0.25">
      <c r="A1608" s="1">
        <v>44795</v>
      </c>
      <c r="B1608" t="s">
        <v>12</v>
      </c>
      <c r="C1608" t="s">
        <v>68</v>
      </c>
      <c r="D1608" t="s">
        <v>64</v>
      </c>
      <c r="E1608">
        <v>387</v>
      </c>
      <c r="F1608">
        <f t="shared" si="50"/>
        <v>1044.9000000000001</v>
      </c>
      <c r="G1608">
        <f>SUMIF($D$2:$D1608,$D1608,$E$2:$E1608)</f>
        <v>10641</v>
      </c>
      <c r="H1608">
        <f t="shared" si="51"/>
        <v>0</v>
      </c>
    </row>
    <row r="1609" spans="1:8" x14ac:dyDescent="0.25">
      <c r="A1609" s="1">
        <v>44795</v>
      </c>
      <c r="B1609" t="s">
        <v>13</v>
      </c>
      <c r="C1609" t="s">
        <v>68</v>
      </c>
      <c r="D1609" t="s">
        <v>34</v>
      </c>
      <c r="E1609">
        <v>330</v>
      </c>
      <c r="F1609">
        <f t="shared" si="50"/>
        <v>1056</v>
      </c>
      <c r="G1609">
        <f>SUMIF($D$2:$D1609,$D1609,$E$2:$E1609)</f>
        <v>10993</v>
      </c>
      <c r="H1609">
        <f t="shared" si="51"/>
        <v>0</v>
      </c>
    </row>
    <row r="1610" spans="1:8" x14ac:dyDescent="0.25">
      <c r="A1610" s="1">
        <v>44795</v>
      </c>
      <c r="B1610" t="s">
        <v>14</v>
      </c>
      <c r="C1610" t="s">
        <v>65</v>
      </c>
      <c r="D1610" t="s">
        <v>46</v>
      </c>
      <c r="E1610">
        <v>383</v>
      </c>
      <c r="F1610">
        <f t="shared" si="50"/>
        <v>1340.5</v>
      </c>
      <c r="G1610">
        <f>SUMIF($D$2:$D1610,$D1610,$E$2:$E1610)</f>
        <v>9865</v>
      </c>
      <c r="H1610">
        <f t="shared" si="51"/>
        <v>0</v>
      </c>
    </row>
    <row r="1611" spans="1:8" x14ac:dyDescent="0.25">
      <c r="A1611" s="1">
        <v>44795</v>
      </c>
      <c r="B1611" t="s">
        <v>14</v>
      </c>
      <c r="C1611" t="s">
        <v>65</v>
      </c>
      <c r="D1611" t="s">
        <v>22</v>
      </c>
      <c r="E1611">
        <v>217</v>
      </c>
      <c r="F1611">
        <f t="shared" si="50"/>
        <v>759.5</v>
      </c>
      <c r="G1611">
        <f>SUMIF($D$2:$D1611,$D1611,$E$2:$E1611)</f>
        <v>9979</v>
      </c>
      <c r="H1611">
        <f t="shared" si="51"/>
        <v>0</v>
      </c>
    </row>
    <row r="1612" spans="1:8" x14ac:dyDescent="0.25">
      <c r="A1612" s="1">
        <v>44795</v>
      </c>
      <c r="B1612" t="s">
        <v>14</v>
      </c>
      <c r="C1612" t="s">
        <v>65</v>
      </c>
      <c r="D1612" t="s">
        <v>54</v>
      </c>
      <c r="E1612">
        <v>495</v>
      </c>
      <c r="F1612">
        <f t="shared" si="50"/>
        <v>1732.5</v>
      </c>
      <c r="G1612">
        <f>SUMIF($D$2:$D1612,$D1612,$E$2:$E1612)</f>
        <v>11280</v>
      </c>
      <c r="H1612">
        <f t="shared" si="51"/>
        <v>0</v>
      </c>
    </row>
    <row r="1613" spans="1:8" x14ac:dyDescent="0.25">
      <c r="A1613" s="1">
        <v>44796</v>
      </c>
      <c r="B1613" t="s">
        <v>12</v>
      </c>
      <c r="C1613" t="s">
        <v>68</v>
      </c>
      <c r="D1613" t="s">
        <v>28</v>
      </c>
      <c r="E1613">
        <v>472</v>
      </c>
      <c r="F1613">
        <f t="shared" si="50"/>
        <v>1274.4000000000001</v>
      </c>
      <c r="G1613">
        <f>SUMIF($D$2:$D1613,$D1613,$E$2:$E1613)</f>
        <v>10021</v>
      </c>
      <c r="H1613">
        <f t="shared" si="51"/>
        <v>0</v>
      </c>
    </row>
    <row r="1614" spans="1:8" x14ac:dyDescent="0.25">
      <c r="A1614" s="1">
        <v>44797</v>
      </c>
      <c r="B1614" t="s">
        <v>13</v>
      </c>
      <c r="C1614" t="s">
        <v>68</v>
      </c>
      <c r="D1614" t="s">
        <v>26</v>
      </c>
      <c r="E1614">
        <v>108</v>
      </c>
      <c r="F1614">
        <f t="shared" si="50"/>
        <v>345.6</v>
      </c>
      <c r="G1614">
        <f>SUMIF($D$2:$D1614,$D1614,$E$2:$E1614)</f>
        <v>13780</v>
      </c>
      <c r="H1614">
        <f t="shared" si="51"/>
        <v>0</v>
      </c>
    </row>
    <row r="1615" spans="1:8" x14ac:dyDescent="0.25">
      <c r="A1615" s="1">
        <v>44797</v>
      </c>
      <c r="B1615" t="s">
        <v>12</v>
      </c>
      <c r="C1615" t="s">
        <v>68</v>
      </c>
      <c r="D1615" t="s">
        <v>34</v>
      </c>
      <c r="E1615">
        <v>445</v>
      </c>
      <c r="F1615">
        <f t="shared" si="50"/>
        <v>1201.5</v>
      </c>
      <c r="G1615">
        <f>SUMIF($D$2:$D1615,$D1615,$E$2:$E1615)</f>
        <v>11438</v>
      </c>
      <c r="H1615">
        <f t="shared" si="51"/>
        <v>0</v>
      </c>
    </row>
    <row r="1616" spans="1:8" x14ac:dyDescent="0.25">
      <c r="A1616" s="1">
        <v>44797</v>
      </c>
      <c r="B1616" t="s">
        <v>13</v>
      </c>
      <c r="C1616" t="s">
        <v>68</v>
      </c>
      <c r="D1616" t="s">
        <v>50</v>
      </c>
      <c r="E1616">
        <v>277</v>
      </c>
      <c r="F1616">
        <f t="shared" si="50"/>
        <v>886.40000000000009</v>
      </c>
      <c r="G1616">
        <f>SUMIF($D$2:$D1616,$D1616,$E$2:$E1616)</f>
        <v>7927</v>
      </c>
      <c r="H1616">
        <f t="shared" si="51"/>
        <v>0</v>
      </c>
    </row>
    <row r="1617" spans="1:8" x14ac:dyDescent="0.25">
      <c r="A1617" s="1">
        <v>44797</v>
      </c>
      <c r="B1617" t="s">
        <v>13</v>
      </c>
      <c r="C1617" t="s">
        <v>68</v>
      </c>
      <c r="D1617" t="s">
        <v>67</v>
      </c>
      <c r="E1617">
        <v>356</v>
      </c>
      <c r="F1617">
        <f t="shared" si="50"/>
        <v>1139.2</v>
      </c>
      <c r="G1617">
        <f>SUMIF($D$2:$D1617,$D1617,$E$2:$E1617)</f>
        <v>11029</v>
      </c>
      <c r="H1617">
        <f t="shared" si="51"/>
        <v>0</v>
      </c>
    </row>
    <row r="1618" spans="1:8" x14ac:dyDescent="0.25">
      <c r="A1618" s="1">
        <v>44798</v>
      </c>
      <c r="B1618" t="s">
        <v>14</v>
      </c>
      <c r="C1618" t="s">
        <v>65</v>
      </c>
      <c r="D1618" t="s">
        <v>45</v>
      </c>
      <c r="E1618">
        <v>306</v>
      </c>
      <c r="F1618">
        <f t="shared" si="50"/>
        <v>1071</v>
      </c>
      <c r="G1618">
        <f>SUMIF($D$2:$D1618,$D1618,$E$2:$E1618)</f>
        <v>9290</v>
      </c>
      <c r="H1618">
        <f t="shared" si="51"/>
        <v>0</v>
      </c>
    </row>
    <row r="1619" spans="1:8" x14ac:dyDescent="0.25">
      <c r="A1619" s="1">
        <v>44798</v>
      </c>
      <c r="B1619" t="s">
        <v>14</v>
      </c>
      <c r="C1619" t="s">
        <v>65</v>
      </c>
      <c r="D1619" t="s">
        <v>27</v>
      </c>
      <c r="E1619">
        <v>435</v>
      </c>
      <c r="F1619">
        <f t="shared" si="50"/>
        <v>1522.5</v>
      </c>
      <c r="G1619">
        <f>SUMIF($D$2:$D1619,$D1619,$E$2:$E1619)</f>
        <v>10421</v>
      </c>
      <c r="H1619">
        <f t="shared" si="51"/>
        <v>0</v>
      </c>
    </row>
    <row r="1620" spans="1:8" x14ac:dyDescent="0.25">
      <c r="A1620" s="1">
        <v>44799</v>
      </c>
      <c r="B1620" t="s">
        <v>12</v>
      </c>
      <c r="C1620" t="s">
        <v>68</v>
      </c>
      <c r="D1620" t="s">
        <v>31</v>
      </c>
      <c r="E1620">
        <v>248</v>
      </c>
      <c r="F1620">
        <f t="shared" si="50"/>
        <v>669.6</v>
      </c>
      <c r="G1620">
        <f>SUMIF($D$2:$D1620,$D1620,$E$2:$E1620)</f>
        <v>13377</v>
      </c>
      <c r="H1620">
        <f t="shared" si="51"/>
        <v>0</v>
      </c>
    </row>
    <row r="1621" spans="1:8" x14ac:dyDescent="0.25">
      <c r="A1621" s="1">
        <v>44799</v>
      </c>
      <c r="B1621" t="s">
        <v>13</v>
      </c>
      <c r="C1621" t="s">
        <v>68</v>
      </c>
      <c r="D1621" t="s">
        <v>67</v>
      </c>
      <c r="E1621">
        <v>332</v>
      </c>
      <c r="F1621">
        <f t="shared" si="50"/>
        <v>1062.4000000000001</v>
      </c>
      <c r="G1621">
        <f>SUMIF($D$2:$D1621,$D1621,$E$2:$E1621)</f>
        <v>11361</v>
      </c>
      <c r="H1621">
        <f t="shared" si="51"/>
        <v>0</v>
      </c>
    </row>
    <row r="1622" spans="1:8" x14ac:dyDescent="0.25">
      <c r="A1622" s="1">
        <v>44799</v>
      </c>
      <c r="B1622" t="s">
        <v>12</v>
      </c>
      <c r="C1622" t="s">
        <v>68</v>
      </c>
      <c r="D1622" t="s">
        <v>63</v>
      </c>
      <c r="E1622">
        <v>96</v>
      </c>
      <c r="F1622">
        <f t="shared" si="50"/>
        <v>259.20000000000005</v>
      </c>
      <c r="G1622">
        <f>SUMIF($D$2:$D1622,$D1622,$E$2:$E1622)</f>
        <v>8930</v>
      </c>
      <c r="H1622">
        <f t="shared" si="51"/>
        <v>0</v>
      </c>
    </row>
    <row r="1623" spans="1:8" x14ac:dyDescent="0.25">
      <c r="A1623" s="1">
        <v>44799</v>
      </c>
      <c r="B1623" t="s">
        <v>12</v>
      </c>
      <c r="C1623" t="s">
        <v>68</v>
      </c>
      <c r="D1623" t="s">
        <v>61</v>
      </c>
      <c r="E1623">
        <v>191</v>
      </c>
      <c r="F1623">
        <f t="shared" si="50"/>
        <v>515.70000000000005</v>
      </c>
      <c r="G1623">
        <f>SUMIF($D$2:$D1623,$D1623,$E$2:$E1623)</f>
        <v>11259</v>
      </c>
      <c r="H1623">
        <f t="shared" si="51"/>
        <v>0</v>
      </c>
    </row>
    <row r="1624" spans="1:8" x14ac:dyDescent="0.25">
      <c r="A1624" s="1">
        <v>44799</v>
      </c>
      <c r="B1624" t="s">
        <v>13</v>
      </c>
      <c r="C1624" t="s">
        <v>68</v>
      </c>
      <c r="D1624" t="s">
        <v>25</v>
      </c>
      <c r="E1624">
        <v>335</v>
      </c>
      <c r="F1624">
        <f t="shared" si="50"/>
        <v>1072</v>
      </c>
      <c r="G1624">
        <f>SUMIF($D$2:$D1624,$D1624,$E$2:$E1624)</f>
        <v>8479</v>
      </c>
      <c r="H1624">
        <f t="shared" si="51"/>
        <v>0</v>
      </c>
    </row>
    <row r="1625" spans="1:8" x14ac:dyDescent="0.25">
      <c r="A1625" s="1">
        <v>44799</v>
      </c>
      <c r="B1625" t="s">
        <v>14</v>
      </c>
      <c r="C1625" t="s">
        <v>65</v>
      </c>
      <c r="D1625" t="s">
        <v>50</v>
      </c>
      <c r="E1625">
        <v>287</v>
      </c>
      <c r="F1625">
        <f t="shared" si="50"/>
        <v>1004.5</v>
      </c>
      <c r="G1625">
        <f>SUMIF($D$2:$D1625,$D1625,$E$2:$E1625)</f>
        <v>8214</v>
      </c>
      <c r="H1625">
        <f t="shared" si="51"/>
        <v>0</v>
      </c>
    </row>
    <row r="1626" spans="1:8" x14ac:dyDescent="0.25">
      <c r="A1626" s="1">
        <v>44799</v>
      </c>
      <c r="B1626" t="s">
        <v>14</v>
      </c>
      <c r="C1626" t="s">
        <v>65</v>
      </c>
      <c r="D1626" t="s">
        <v>58</v>
      </c>
      <c r="E1626">
        <v>392</v>
      </c>
      <c r="F1626">
        <f t="shared" si="50"/>
        <v>1372</v>
      </c>
      <c r="G1626">
        <f>SUMIF($D$2:$D1626,$D1626,$E$2:$E1626)</f>
        <v>9039</v>
      </c>
      <c r="H1626">
        <f t="shared" si="51"/>
        <v>0</v>
      </c>
    </row>
    <row r="1627" spans="1:8" x14ac:dyDescent="0.25">
      <c r="A1627" s="1">
        <v>44799</v>
      </c>
      <c r="B1627" t="s">
        <v>12</v>
      </c>
      <c r="C1627" t="s">
        <v>68</v>
      </c>
      <c r="D1627" t="s">
        <v>66</v>
      </c>
      <c r="E1627">
        <v>246</v>
      </c>
      <c r="F1627">
        <f t="shared" si="50"/>
        <v>664.2</v>
      </c>
      <c r="G1627">
        <f>SUMIF($D$2:$D1627,$D1627,$E$2:$E1627)</f>
        <v>10968</v>
      </c>
      <c r="H1627">
        <f t="shared" si="51"/>
        <v>0</v>
      </c>
    </row>
    <row r="1628" spans="1:8" x14ac:dyDescent="0.25">
      <c r="A1628" s="1">
        <v>44799</v>
      </c>
      <c r="B1628" t="s">
        <v>14</v>
      </c>
      <c r="C1628" t="s">
        <v>65</v>
      </c>
      <c r="D1628" t="s">
        <v>44</v>
      </c>
      <c r="E1628">
        <v>15</v>
      </c>
      <c r="F1628">
        <f t="shared" si="50"/>
        <v>52.5</v>
      </c>
      <c r="G1628">
        <f>SUMIF($D$2:$D1628,$D1628,$E$2:$E1628)</f>
        <v>11660</v>
      </c>
      <c r="H1628">
        <f t="shared" si="51"/>
        <v>0</v>
      </c>
    </row>
    <row r="1629" spans="1:8" x14ac:dyDescent="0.25">
      <c r="A1629" s="1">
        <v>44799</v>
      </c>
      <c r="B1629" t="s">
        <v>14</v>
      </c>
      <c r="C1629" t="s">
        <v>65</v>
      </c>
      <c r="D1629" t="s">
        <v>59</v>
      </c>
      <c r="E1629">
        <v>234</v>
      </c>
      <c r="F1629">
        <f t="shared" si="50"/>
        <v>819</v>
      </c>
      <c r="G1629">
        <f>SUMIF($D$2:$D1629,$D1629,$E$2:$E1629)</f>
        <v>7185</v>
      </c>
      <c r="H1629">
        <f t="shared" si="51"/>
        <v>0</v>
      </c>
    </row>
    <row r="1630" spans="1:8" x14ac:dyDescent="0.25">
      <c r="A1630" s="1">
        <v>44800</v>
      </c>
      <c r="B1630" t="s">
        <v>14</v>
      </c>
      <c r="C1630" t="s">
        <v>65</v>
      </c>
      <c r="D1630" t="s">
        <v>66</v>
      </c>
      <c r="E1630">
        <v>235</v>
      </c>
      <c r="F1630">
        <f t="shared" si="50"/>
        <v>822.5</v>
      </c>
      <c r="G1630">
        <f>SUMIF($D$2:$D1630,$D1630,$E$2:$E1630)</f>
        <v>11203</v>
      </c>
      <c r="H1630">
        <f t="shared" si="51"/>
        <v>0</v>
      </c>
    </row>
    <row r="1631" spans="1:8" x14ac:dyDescent="0.25">
      <c r="A1631" s="1">
        <v>44800</v>
      </c>
      <c r="B1631" t="s">
        <v>12</v>
      </c>
      <c r="C1631" t="s">
        <v>68</v>
      </c>
      <c r="D1631" t="s">
        <v>59</v>
      </c>
      <c r="E1631">
        <v>432</v>
      </c>
      <c r="F1631">
        <f t="shared" si="50"/>
        <v>1166.4000000000001</v>
      </c>
      <c r="G1631">
        <f>SUMIF($D$2:$D1631,$D1631,$E$2:$E1631)</f>
        <v>7617</v>
      </c>
      <c r="H1631">
        <f t="shared" si="51"/>
        <v>0</v>
      </c>
    </row>
    <row r="1632" spans="1:8" x14ac:dyDescent="0.25">
      <c r="A1632" s="1">
        <v>44800</v>
      </c>
      <c r="B1632" t="s">
        <v>14</v>
      </c>
      <c r="C1632" t="s">
        <v>65</v>
      </c>
      <c r="D1632" t="s">
        <v>48</v>
      </c>
      <c r="E1632">
        <v>391</v>
      </c>
      <c r="F1632">
        <f t="shared" si="50"/>
        <v>1368.5</v>
      </c>
      <c r="G1632">
        <f>SUMIF($D$2:$D1632,$D1632,$E$2:$E1632)</f>
        <v>8349</v>
      </c>
      <c r="H1632">
        <f t="shared" si="51"/>
        <v>0</v>
      </c>
    </row>
    <row r="1633" spans="1:8" x14ac:dyDescent="0.25">
      <c r="A1633" s="1">
        <v>44800</v>
      </c>
      <c r="B1633" t="s">
        <v>13</v>
      </c>
      <c r="C1633" t="s">
        <v>68</v>
      </c>
      <c r="D1633" t="s">
        <v>16</v>
      </c>
      <c r="E1633">
        <v>471</v>
      </c>
      <c r="F1633">
        <f t="shared" si="50"/>
        <v>1507.2</v>
      </c>
      <c r="G1633">
        <f>SUMIF($D$2:$D1633,$D1633,$E$2:$E1633)</f>
        <v>10543</v>
      </c>
      <c r="H1633">
        <f t="shared" si="51"/>
        <v>0</v>
      </c>
    </row>
    <row r="1634" spans="1:8" x14ac:dyDescent="0.25">
      <c r="A1634" s="1">
        <v>44802</v>
      </c>
      <c r="B1634" t="s">
        <v>13</v>
      </c>
      <c r="C1634" t="s">
        <v>68</v>
      </c>
      <c r="D1634" t="s">
        <v>44</v>
      </c>
      <c r="E1634">
        <v>411</v>
      </c>
      <c r="F1634">
        <f t="shared" si="50"/>
        <v>1315.2</v>
      </c>
      <c r="G1634">
        <f>SUMIF($D$2:$D1634,$D1634,$E$2:$E1634)</f>
        <v>12071</v>
      </c>
      <c r="H1634">
        <f t="shared" si="51"/>
        <v>0</v>
      </c>
    </row>
    <row r="1635" spans="1:8" x14ac:dyDescent="0.25">
      <c r="A1635" s="1">
        <v>44802</v>
      </c>
      <c r="B1635" t="s">
        <v>14</v>
      </c>
      <c r="C1635" t="s">
        <v>65</v>
      </c>
      <c r="D1635" t="s">
        <v>45</v>
      </c>
      <c r="E1635">
        <v>473</v>
      </c>
      <c r="F1635">
        <f t="shared" si="50"/>
        <v>1655.5</v>
      </c>
      <c r="G1635">
        <f>SUMIF($D$2:$D1635,$D1635,$E$2:$E1635)</f>
        <v>9763</v>
      </c>
      <c r="H1635">
        <f t="shared" si="51"/>
        <v>0</v>
      </c>
    </row>
    <row r="1636" spans="1:8" x14ac:dyDescent="0.25">
      <c r="A1636" s="1">
        <v>44802</v>
      </c>
      <c r="B1636" t="s">
        <v>12</v>
      </c>
      <c r="C1636" t="s">
        <v>68</v>
      </c>
      <c r="D1636" t="s">
        <v>29</v>
      </c>
      <c r="E1636">
        <v>279</v>
      </c>
      <c r="F1636">
        <f t="shared" si="50"/>
        <v>753.30000000000007</v>
      </c>
      <c r="G1636">
        <f>SUMIF($D$2:$D1636,$D1636,$E$2:$E1636)</f>
        <v>14358</v>
      </c>
      <c r="H1636">
        <f t="shared" si="51"/>
        <v>0</v>
      </c>
    </row>
    <row r="1637" spans="1:8" x14ac:dyDescent="0.25">
      <c r="A1637" s="1">
        <v>44802</v>
      </c>
      <c r="B1637" t="s">
        <v>14</v>
      </c>
      <c r="C1637" t="s">
        <v>65</v>
      </c>
      <c r="D1637" t="s">
        <v>58</v>
      </c>
      <c r="E1637">
        <v>302</v>
      </c>
      <c r="F1637">
        <f t="shared" si="50"/>
        <v>1057</v>
      </c>
      <c r="G1637">
        <f>SUMIF($D$2:$D1637,$D1637,$E$2:$E1637)</f>
        <v>9341</v>
      </c>
      <c r="H1637">
        <f t="shared" si="51"/>
        <v>0</v>
      </c>
    </row>
    <row r="1638" spans="1:8" x14ac:dyDescent="0.25">
      <c r="A1638" s="1">
        <v>44802</v>
      </c>
      <c r="B1638" t="s">
        <v>13</v>
      </c>
      <c r="C1638" t="s">
        <v>68</v>
      </c>
      <c r="D1638" t="s">
        <v>45</v>
      </c>
      <c r="E1638">
        <v>191</v>
      </c>
      <c r="F1638">
        <f t="shared" si="50"/>
        <v>611.20000000000005</v>
      </c>
      <c r="G1638">
        <f>SUMIF($D$2:$D1638,$D1638,$E$2:$E1638)</f>
        <v>9954</v>
      </c>
      <c r="H1638">
        <f t="shared" si="51"/>
        <v>0</v>
      </c>
    </row>
    <row r="1639" spans="1:8" x14ac:dyDescent="0.25">
      <c r="A1639" s="1">
        <v>44802</v>
      </c>
      <c r="B1639" t="s">
        <v>12</v>
      </c>
      <c r="C1639" t="s">
        <v>68</v>
      </c>
      <c r="D1639" t="s">
        <v>24</v>
      </c>
      <c r="E1639">
        <v>143</v>
      </c>
      <c r="F1639">
        <f t="shared" si="50"/>
        <v>386.1</v>
      </c>
      <c r="G1639">
        <f>SUMIF($D$2:$D1639,$D1639,$E$2:$E1639)</f>
        <v>9176</v>
      </c>
      <c r="H1639">
        <f t="shared" si="51"/>
        <v>0</v>
      </c>
    </row>
    <row r="1640" spans="1:8" x14ac:dyDescent="0.25">
      <c r="A1640" s="1">
        <v>44802</v>
      </c>
      <c r="B1640" t="s">
        <v>13</v>
      </c>
      <c r="C1640" t="s">
        <v>68</v>
      </c>
      <c r="D1640" t="s">
        <v>58</v>
      </c>
      <c r="E1640">
        <v>328</v>
      </c>
      <c r="F1640">
        <f t="shared" si="50"/>
        <v>1049.6000000000001</v>
      </c>
      <c r="G1640">
        <f>SUMIF($D$2:$D1640,$D1640,$E$2:$E1640)</f>
        <v>9669</v>
      </c>
      <c r="H1640">
        <f t="shared" si="51"/>
        <v>0</v>
      </c>
    </row>
    <row r="1641" spans="1:8" x14ac:dyDescent="0.25">
      <c r="A1641" s="1">
        <v>44802</v>
      </c>
      <c r="B1641" t="s">
        <v>12</v>
      </c>
      <c r="C1641" t="s">
        <v>68</v>
      </c>
      <c r="D1641" t="s">
        <v>67</v>
      </c>
      <c r="E1641">
        <v>429</v>
      </c>
      <c r="F1641">
        <f t="shared" si="50"/>
        <v>1158.3000000000002</v>
      </c>
      <c r="G1641">
        <f>SUMIF($D$2:$D1641,$D1641,$E$2:$E1641)</f>
        <v>11790</v>
      </c>
      <c r="H1641">
        <f t="shared" si="51"/>
        <v>0</v>
      </c>
    </row>
    <row r="1642" spans="1:8" x14ac:dyDescent="0.25">
      <c r="A1642" s="1">
        <v>44802</v>
      </c>
      <c r="B1642" t="s">
        <v>12</v>
      </c>
      <c r="C1642" t="s">
        <v>68</v>
      </c>
      <c r="D1642" t="s">
        <v>53</v>
      </c>
      <c r="E1642">
        <v>293</v>
      </c>
      <c r="F1642">
        <f t="shared" si="50"/>
        <v>791.1</v>
      </c>
      <c r="G1642">
        <f>SUMIF($D$2:$D1642,$D1642,$E$2:$E1642)</f>
        <v>11281</v>
      </c>
      <c r="H1642">
        <f t="shared" si="51"/>
        <v>0</v>
      </c>
    </row>
    <row r="1643" spans="1:8" x14ac:dyDescent="0.25">
      <c r="A1643" s="1">
        <v>44802</v>
      </c>
      <c r="B1643" t="s">
        <v>14</v>
      </c>
      <c r="C1643" t="s">
        <v>65</v>
      </c>
      <c r="D1643" t="s">
        <v>41</v>
      </c>
      <c r="E1643">
        <v>44</v>
      </c>
      <c r="F1643">
        <f t="shared" si="50"/>
        <v>154</v>
      </c>
      <c r="G1643">
        <f>SUMIF($D$2:$D1643,$D1643,$E$2:$E1643)</f>
        <v>9644</v>
      </c>
      <c r="H1643">
        <f t="shared" si="51"/>
        <v>0</v>
      </c>
    </row>
    <row r="1644" spans="1:8" x14ac:dyDescent="0.25">
      <c r="A1644" s="1">
        <v>44802</v>
      </c>
      <c r="B1644" t="s">
        <v>12</v>
      </c>
      <c r="C1644" t="s">
        <v>68</v>
      </c>
      <c r="D1644" t="s">
        <v>44</v>
      </c>
      <c r="E1644">
        <v>401</v>
      </c>
      <c r="F1644">
        <f t="shared" si="50"/>
        <v>1082.7</v>
      </c>
      <c r="G1644">
        <f>SUMIF($D$2:$D1644,$D1644,$E$2:$E1644)</f>
        <v>12472</v>
      </c>
      <c r="H1644">
        <f t="shared" si="51"/>
        <v>0</v>
      </c>
    </row>
    <row r="1645" spans="1:8" x14ac:dyDescent="0.25">
      <c r="A1645" s="1">
        <v>44802</v>
      </c>
      <c r="B1645" t="s">
        <v>13</v>
      </c>
      <c r="C1645" t="s">
        <v>68</v>
      </c>
      <c r="D1645" t="s">
        <v>29</v>
      </c>
      <c r="E1645">
        <v>448</v>
      </c>
      <c r="F1645">
        <f t="shared" si="50"/>
        <v>1433.6000000000001</v>
      </c>
      <c r="G1645">
        <f>SUMIF($D$2:$D1645,$D1645,$E$2:$E1645)</f>
        <v>14806</v>
      </c>
      <c r="H1645">
        <f t="shared" si="51"/>
        <v>0</v>
      </c>
    </row>
    <row r="1646" spans="1:8" x14ac:dyDescent="0.25">
      <c r="A1646" s="1">
        <v>44802</v>
      </c>
      <c r="B1646" t="s">
        <v>13</v>
      </c>
      <c r="C1646" t="s">
        <v>68</v>
      </c>
      <c r="D1646" t="s">
        <v>22</v>
      </c>
      <c r="E1646">
        <v>319</v>
      </c>
      <c r="F1646">
        <f t="shared" si="50"/>
        <v>1020.8000000000001</v>
      </c>
      <c r="G1646">
        <f>SUMIF($D$2:$D1646,$D1646,$E$2:$E1646)</f>
        <v>10298</v>
      </c>
      <c r="H1646">
        <f t="shared" si="51"/>
        <v>0</v>
      </c>
    </row>
    <row r="1647" spans="1:8" x14ac:dyDescent="0.25">
      <c r="A1647" s="1">
        <v>44802</v>
      </c>
      <c r="B1647" t="s">
        <v>12</v>
      </c>
      <c r="C1647" t="s">
        <v>68</v>
      </c>
      <c r="D1647" t="s">
        <v>39</v>
      </c>
      <c r="E1647">
        <v>62</v>
      </c>
      <c r="F1647">
        <f t="shared" si="50"/>
        <v>167.4</v>
      </c>
      <c r="G1647">
        <f>SUMIF($D$2:$D1647,$D1647,$E$2:$E1647)</f>
        <v>9327</v>
      </c>
      <c r="H1647">
        <f t="shared" si="51"/>
        <v>0</v>
      </c>
    </row>
    <row r="1648" spans="1:8" x14ac:dyDescent="0.25">
      <c r="A1648" s="1">
        <v>44802</v>
      </c>
      <c r="B1648" t="s">
        <v>13</v>
      </c>
      <c r="C1648" t="s">
        <v>68</v>
      </c>
      <c r="D1648" t="s">
        <v>60</v>
      </c>
      <c r="E1648">
        <v>350</v>
      </c>
      <c r="F1648">
        <f t="shared" si="50"/>
        <v>1120</v>
      </c>
      <c r="G1648">
        <f>SUMIF($D$2:$D1648,$D1648,$E$2:$E1648)</f>
        <v>11577</v>
      </c>
      <c r="H1648">
        <f t="shared" si="51"/>
        <v>0</v>
      </c>
    </row>
    <row r="1649" spans="1:8" x14ac:dyDescent="0.25">
      <c r="A1649" s="1">
        <v>44803</v>
      </c>
      <c r="B1649" t="s">
        <v>14</v>
      </c>
      <c r="C1649" t="s">
        <v>65</v>
      </c>
      <c r="D1649" t="s">
        <v>39</v>
      </c>
      <c r="E1649">
        <v>146</v>
      </c>
      <c r="F1649">
        <f t="shared" si="50"/>
        <v>511</v>
      </c>
      <c r="G1649">
        <f>SUMIF($D$2:$D1649,$D1649,$E$2:$E1649)</f>
        <v>9473</v>
      </c>
      <c r="H1649">
        <f t="shared" si="51"/>
        <v>0</v>
      </c>
    </row>
    <row r="1650" spans="1:8" x14ac:dyDescent="0.25">
      <c r="A1650" s="1">
        <v>44803</v>
      </c>
      <c r="B1650" t="s">
        <v>13</v>
      </c>
      <c r="C1650" t="s">
        <v>68</v>
      </c>
      <c r="D1650" t="s">
        <v>29</v>
      </c>
      <c r="E1650">
        <v>205</v>
      </c>
      <c r="F1650">
        <f t="shared" si="50"/>
        <v>656</v>
      </c>
      <c r="G1650">
        <f>SUMIF($D$2:$D1650,$D1650,$E$2:$E1650)</f>
        <v>15011</v>
      </c>
      <c r="H1650">
        <f t="shared" si="51"/>
        <v>1025</v>
      </c>
    </row>
    <row r="1651" spans="1:8" x14ac:dyDescent="0.25">
      <c r="A1651" s="1">
        <v>44803</v>
      </c>
      <c r="B1651" t="s">
        <v>13</v>
      </c>
      <c r="C1651" t="s">
        <v>68</v>
      </c>
      <c r="D1651" t="s">
        <v>29</v>
      </c>
      <c r="E1651">
        <v>289</v>
      </c>
      <c r="F1651">
        <f t="shared" si="50"/>
        <v>924.80000000000007</v>
      </c>
      <c r="G1651">
        <f>SUMIF($D$2:$D1651,$D1651,$E$2:$E1651)</f>
        <v>15300</v>
      </c>
      <c r="H1651">
        <f t="shared" si="51"/>
        <v>1445</v>
      </c>
    </row>
    <row r="1652" spans="1:8" x14ac:dyDescent="0.25">
      <c r="A1652" s="1">
        <v>44803</v>
      </c>
      <c r="B1652" t="s">
        <v>14</v>
      </c>
      <c r="C1652" t="s">
        <v>65</v>
      </c>
      <c r="D1652" t="s">
        <v>19</v>
      </c>
      <c r="E1652">
        <v>438</v>
      </c>
      <c r="F1652">
        <f t="shared" si="50"/>
        <v>1533</v>
      </c>
      <c r="G1652">
        <f>SUMIF($D$2:$D1652,$D1652,$E$2:$E1652)</f>
        <v>5292</v>
      </c>
      <c r="H1652">
        <f t="shared" si="51"/>
        <v>0</v>
      </c>
    </row>
    <row r="1653" spans="1:8" x14ac:dyDescent="0.25">
      <c r="A1653" s="1">
        <v>44803</v>
      </c>
      <c r="B1653" t="s">
        <v>12</v>
      </c>
      <c r="C1653" t="s">
        <v>68</v>
      </c>
      <c r="D1653" t="s">
        <v>66</v>
      </c>
      <c r="E1653">
        <v>447</v>
      </c>
      <c r="F1653">
        <f t="shared" si="50"/>
        <v>1206.9000000000001</v>
      </c>
      <c r="G1653">
        <f>SUMIF($D$2:$D1653,$D1653,$E$2:$E1653)</f>
        <v>11650</v>
      </c>
      <c r="H1653">
        <f t="shared" si="51"/>
        <v>0</v>
      </c>
    </row>
    <row r="1654" spans="1:8" x14ac:dyDescent="0.25">
      <c r="A1654" s="1">
        <v>44803</v>
      </c>
      <c r="B1654" t="s">
        <v>13</v>
      </c>
      <c r="C1654" t="s">
        <v>68</v>
      </c>
      <c r="D1654" t="s">
        <v>24</v>
      </c>
      <c r="E1654">
        <v>379</v>
      </c>
      <c r="F1654">
        <f t="shared" si="50"/>
        <v>1212.8</v>
      </c>
      <c r="G1654">
        <f>SUMIF($D$2:$D1654,$D1654,$E$2:$E1654)</f>
        <v>9555</v>
      </c>
      <c r="H1654">
        <f t="shared" si="51"/>
        <v>0</v>
      </c>
    </row>
    <row r="1655" spans="1:8" x14ac:dyDescent="0.25">
      <c r="A1655" s="1">
        <v>44803</v>
      </c>
      <c r="B1655" t="s">
        <v>12</v>
      </c>
      <c r="C1655" t="s">
        <v>68</v>
      </c>
      <c r="D1655" t="s">
        <v>47</v>
      </c>
      <c r="E1655">
        <v>74</v>
      </c>
      <c r="F1655">
        <f t="shared" si="50"/>
        <v>199.8</v>
      </c>
      <c r="G1655">
        <f>SUMIF($D$2:$D1655,$D1655,$E$2:$E1655)</f>
        <v>7241</v>
      </c>
      <c r="H1655">
        <f t="shared" si="51"/>
        <v>0</v>
      </c>
    </row>
    <row r="1656" spans="1:8" x14ac:dyDescent="0.25">
      <c r="A1656" s="1">
        <v>44803</v>
      </c>
      <c r="B1656" t="s">
        <v>14</v>
      </c>
      <c r="C1656" t="s">
        <v>65</v>
      </c>
      <c r="D1656" t="s">
        <v>58</v>
      </c>
      <c r="E1656">
        <v>421</v>
      </c>
      <c r="F1656">
        <f t="shared" si="50"/>
        <v>1473.5</v>
      </c>
      <c r="G1656">
        <f>SUMIF($D$2:$D1656,$D1656,$E$2:$E1656)</f>
        <v>10090</v>
      </c>
      <c r="H1656">
        <f t="shared" si="51"/>
        <v>0</v>
      </c>
    </row>
    <row r="1657" spans="1:8" x14ac:dyDescent="0.25">
      <c r="A1657" s="1">
        <v>44803</v>
      </c>
      <c r="B1657" t="s">
        <v>12</v>
      </c>
      <c r="C1657" t="s">
        <v>68</v>
      </c>
      <c r="D1657" t="s">
        <v>48</v>
      </c>
      <c r="E1657">
        <v>228</v>
      </c>
      <c r="F1657">
        <f t="shared" si="50"/>
        <v>615.6</v>
      </c>
      <c r="G1657">
        <f>SUMIF($D$2:$D1657,$D1657,$E$2:$E1657)</f>
        <v>8577</v>
      </c>
      <c r="H1657">
        <f t="shared" si="51"/>
        <v>0</v>
      </c>
    </row>
    <row r="1658" spans="1:8" x14ac:dyDescent="0.25">
      <c r="A1658" s="1">
        <v>44803</v>
      </c>
      <c r="B1658" t="s">
        <v>12</v>
      </c>
      <c r="C1658" t="s">
        <v>68</v>
      </c>
      <c r="D1658" t="s">
        <v>46</v>
      </c>
      <c r="E1658">
        <v>444</v>
      </c>
      <c r="F1658">
        <f t="shared" si="50"/>
        <v>1198.8000000000002</v>
      </c>
      <c r="G1658">
        <f>SUMIF($D$2:$D1658,$D1658,$E$2:$E1658)</f>
        <v>10309</v>
      </c>
      <c r="H1658">
        <f t="shared" si="51"/>
        <v>0</v>
      </c>
    </row>
    <row r="1659" spans="1:8" x14ac:dyDescent="0.25">
      <c r="A1659" s="1">
        <v>44803</v>
      </c>
      <c r="B1659" t="s">
        <v>14</v>
      </c>
      <c r="C1659" t="s">
        <v>65</v>
      </c>
      <c r="D1659" t="s">
        <v>60</v>
      </c>
      <c r="E1659">
        <v>180</v>
      </c>
      <c r="F1659">
        <f t="shared" si="50"/>
        <v>630</v>
      </c>
      <c r="G1659">
        <f>SUMIF($D$2:$D1659,$D1659,$E$2:$E1659)</f>
        <v>11757</v>
      </c>
      <c r="H1659">
        <f t="shared" si="51"/>
        <v>0</v>
      </c>
    </row>
    <row r="1660" spans="1:8" x14ac:dyDescent="0.25">
      <c r="A1660" s="1">
        <v>44804</v>
      </c>
      <c r="B1660" t="s">
        <v>12</v>
      </c>
      <c r="C1660" t="s">
        <v>68</v>
      </c>
      <c r="D1660" t="s">
        <v>34</v>
      </c>
      <c r="E1660">
        <v>210</v>
      </c>
      <c r="F1660">
        <f t="shared" si="50"/>
        <v>567</v>
      </c>
      <c r="G1660">
        <f>SUMIF($D$2:$D1660,$D1660,$E$2:$E1660)</f>
        <v>11648</v>
      </c>
      <c r="H1660">
        <f t="shared" si="51"/>
        <v>0</v>
      </c>
    </row>
    <row r="1661" spans="1:8" x14ac:dyDescent="0.25">
      <c r="A1661" s="1">
        <v>44804</v>
      </c>
      <c r="B1661" t="s">
        <v>12</v>
      </c>
      <c r="C1661" t="s">
        <v>68</v>
      </c>
      <c r="D1661" t="s">
        <v>43</v>
      </c>
      <c r="E1661">
        <v>385</v>
      </c>
      <c r="F1661">
        <f t="shared" si="50"/>
        <v>1039.5</v>
      </c>
      <c r="G1661">
        <f>SUMIF($D$2:$D1661,$D1661,$E$2:$E1661)</f>
        <v>8715</v>
      </c>
      <c r="H1661">
        <f t="shared" si="51"/>
        <v>0</v>
      </c>
    </row>
    <row r="1662" spans="1:8" x14ac:dyDescent="0.25">
      <c r="A1662" s="1">
        <v>44804</v>
      </c>
      <c r="B1662" t="s">
        <v>12</v>
      </c>
      <c r="C1662" t="s">
        <v>68</v>
      </c>
      <c r="D1662" t="s">
        <v>50</v>
      </c>
      <c r="E1662">
        <v>362</v>
      </c>
      <c r="F1662">
        <f t="shared" si="50"/>
        <v>977.40000000000009</v>
      </c>
      <c r="G1662">
        <f>SUMIF($D$2:$D1662,$D1662,$E$2:$E1662)</f>
        <v>8576</v>
      </c>
      <c r="H1662">
        <f t="shared" si="51"/>
        <v>0</v>
      </c>
    </row>
    <row r="1663" spans="1:8" x14ac:dyDescent="0.25">
      <c r="A1663" s="1">
        <v>44804</v>
      </c>
      <c r="B1663" t="s">
        <v>12</v>
      </c>
      <c r="C1663" t="s">
        <v>68</v>
      </c>
      <c r="D1663" t="s">
        <v>26</v>
      </c>
      <c r="E1663">
        <v>66</v>
      </c>
      <c r="F1663">
        <f t="shared" si="50"/>
        <v>178.20000000000002</v>
      </c>
      <c r="G1663">
        <f>SUMIF($D$2:$D1663,$D1663,$E$2:$E1663)</f>
        <v>13846</v>
      </c>
      <c r="H1663">
        <f t="shared" si="51"/>
        <v>0</v>
      </c>
    </row>
    <row r="1664" spans="1:8" x14ac:dyDescent="0.25">
      <c r="A1664" s="1">
        <v>44805</v>
      </c>
      <c r="B1664" t="s">
        <v>1</v>
      </c>
      <c r="C1664" t="s">
        <v>65</v>
      </c>
      <c r="D1664" t="s">
        <v>43</v>
      </c>
      <c r="E1664">
        <v>398</v>
      </c>
      <c r="F1664">
        <f t="shared" si="50"/>
        <v>1273.6000000000001</v>
      </c>
      <c r="G1664">
        <f>SUMIF($D$2:$D1664,$D1664,$E$2:$E1664)</f>
        <v>9113</v>
      </c>
      <c r="H1664">
        <f t="shared" si="51"/>
        <v>0</v>
      </c>
    </row>
    <row r="1665" spans="1:8" x14ac:dyDescent="0.25">
      <c r="A1665" s="1">
        <v>44805</v>
      </c>
      <c r="B1665" t="s">
        <v>1</v>
      </c>
      <c r="C1665" t="s">
        <v>65</v>
      </c>
      <c r="D1665" t="s">
        <v>57</v>
      </c>
      <c r="E1665">
        <v>223</v>
      </c>
      <c r="F1665">
        <f t="shared" si="50"/>
        <v>713.6</v>
      </c>
      <c r="G1665">
        <f>SUMIF($D$2:$D1665,$D1665,$E$2:$E1665)</f>
        <v>12256</v>
      </c>
      <c r="H1665">
        <f t="shared" si="51"/>
        <v>0</v>
      </c>
    </row>
    <row r="1666" spans="1:8" x14ac:dyDescent="0.25">
      <c r="A1666" s="1">
        <v>44805</v>
      </c>
      <c r="B1666" t="s">
        <v>9</v>
      </c>
      <c r="C1666" t="s">
        <v>65</v>
      </c>
      <c r="D1666" t="s">
        <v>63</v>
      </c>
      <c r="E1666">
        <v>267</v>
      </c>
      <c r="F1666">
        <f t="shared" si="50"/>
        <v>667.5</v>
      </c>
      <c r="G1666">
        <f>SUMIF($D$2:$D1666,$D1666,$E$2:$E1666)</f>
        <v>9197</v>
      </c>
      <c r="H1666">
        <f t="shared" si="51"/>
        <v>0</v>
      </c>
    </row>
    <row r="1667" spans="1:8" x14ac:dyDescent="0.25">
      <c r="A1667" s="1">
        <v>44805</v>
      </c>
      <c r="B1667" t="s">
        <v>14</v>
      </c>
      <c r="C1667" t="s">
        <v>65</v>
      </c>
      <c r="D1667" t="s">
        <v>38</v>
      </c>
      <c r="E1667">
        <v>99</v>
      </c>
      <c r="F1667">
        <f t="shared" ref="F1667:F1730" si="52">E1667* _xlfn.XLOOKUP(B1667,$I$2:$I$17,$J$2:$J$17,"0",0,1)</f>
        <v>346.5</v>
      </c>
      <c r="G1667">
        <f>SUMIF($D$2:$D1667,$D1667,$E$2:$E1667)</f>
        <v>11953</v>
      </c>
      <c r="H1667">
        <f t="shared" ref="H1667:H1730" si="53">IF(AND($G1667 &gt; 15000,$G1667 &lt; 20000),5*$E1667,IF($G1667 &gt;= 20000,10*$E1667,0))</f>
        <v>0</v>
      </c>
    </row>
    <row r="1668" spans="1:8" x14ac:dyDescent="0.25">
      <c r="A1668" s="1">
        <v>44805</v>
      </c>
      <c r="B1668" t="s">
        <v>3</v>
      </c>
      <c r="C1668" t="s">
        <v>65</v>
      </c>
      <c r="D1668" t="s">
        <v>60</v>
      </c>
      <c r="E1668">
        <v>301</v>
      </c>
      <c r="F1668">
        <f t="shared" si="52"/>
        <v>963.2</v>
      </c>
      <c r="G1668">
        <f>SUMIF($D$2:$D1668,$D1668,$E$2:$E1668)</f>
        <v>12058</v>
      </c>
      <c r="H1668">
        <f t="shared" si="53"/>
        <v>0</v>
      </c>
    </row>
    <row r="1669" spans="1:8" x14ac:dyDescent="0.25">
      <c r="A1669" s="1">
        <v>44805</v>
      </c>
      <c r="B1669" t="s">
        <v>14</v>
      </c>
      <c r="C1669" t="s">
        <v>65</v>
      </c>
      <c r="D1669" t="s">
        <v>61</v>
      </c>
      <c r="E1669">
        <v>332</v>
      </c>
      <c r="F1669">
        <f t="shared" si="52"/>
        <v>1162</v>
      </c>
      <c r="G1669">
        <f>SUMIF($D$2:$D1669,$D1669,$E$2:$E1669)</f>
        <v>11591</v>
      </c>
      <c r="H1669">
        <f t="shared" si="53"/>
        <v>0</v>
      </c>
    </row>
    <row r="1670" spans="1:8" x14ac:dyDescent="0.25">
      <c r="A1670" s="1">
        <v>44805</v>
      </c>
      <c r="B1670" t="s">
        <v>14</v>
      </c>
      <c r="C1670" t="s">
        <v>65</v>
      </c>
      <c r="D1670" t="s">
        <v>60</v>
      </c>
      <c r="E1670">
        <v>328</v>
      </c>
      <c r="F1670">
        <f t="shared" si="52"/>
        <v>1148</v>
      </c>
      <c r="G1670">
        <f>SUMIF($D$2:$D1670,$D1670,$E$2:$E1670)</f>
        <v>12386</v>
      </c>
      <c r="H1670">
        <f t="shared" si="53"/>
        <v>0</v>
      </c>
    </row>
    <row r="1671" spans="1:8" x14ac:dyDescent="0.25">
      <c r="A1671" s="1">
        <v>44806</v>
      </c>
      <c r="B1671" t="s">
        <v>1</v>
      </c>
      <c r="C1671" t="s">
        <v>65</v>
      </c>
      <c r="D1671" t="s">
        <v>30</v>
      </c>
      <c r="E1671">
        <v>217</v>
      </c>
      <c r="F1671">
        <f t="shared" si="52"/>
        <v>694.40000000000009</v>
      </c>
      <c r="G1671">
        <f>SUMIF($D$2:$D1671,$D1671,$E$2:$E1671)</f>
        <v>10657</v>
      </c>
      <c r="H1671">
        <f t="shared" si="53"/>
        <v>0</v>
      </c>
    </row>
    <row r="1672" spans="1:8" x14ac:dyDescent="0.25">
      <c r="A1672" s="1">
        <v>44806</v>
      </c>
      <c r="B1672" t="s">
        <v>1</v>
      </c>
      <c r="C1672" t="s">
        <v>65</v>
      </c>
      <c r="D1672" t="s">
        <v>21</v>
      </c>
      <c r="E1672">
        <v>93</v>
      </c>
      <c r="F1672">
        <f t="shared" si="52"/>
        <v>297.60000000000002</v>
      </c>
      <c r="G1672">
        <f>SUMIF($D$2:$D1672,$D1672,$E$2:$E1672)</f>
        <v>9478</v>
      </c>
      <c r="H1672">
        <f t="shared" si="53"/>
        <v>0</v>
      </c>
    </row>
    <row r="1673" spans="1:8" x14ac:dyDescent="0.25">
      <c r="A1673" s="1">
        <v>44806</v>
      </c>
      <c r="B1673" t="s">
        <v>14</v>
      </c>
      <c r="C1673" t="s">
        <v>65</v>
      </c>
      <c r="D1673" t="s">
        <v>49</v>
      </c>
      <c r="E1673">
        <v>179</v>
      </c>
      <c r="F1673">
        <f t="shared" si="52"/>
        <v>626.5</v>
      </c>
      <c r="G1673">
        <f>SUMIF($D$2:$D1673,$D1673,$E$2:$E1673)</f>
        <v>10431</v>
      </c>
      <c r="H1673">
        <f t="shared" si="53"/>
        <v>0</v>
      </c>
    </row>
    <row r="1674" spans="1:8" x14ac:dyDescent="0.25">
      <c r="A1674" s="1">
        <v>44806</v>
      </c>
      <c r="B1674" t="s">
        <v>3</v>
      </c>
      <c r="C1674" t="s">
        <v>65</v>
      </c>
      <c r="D1674" t="s">
        <v>19</v>
      </c>
      <c r="E1674">
        <v>474</v>
      </c>
      <c r="F1674">
        <f t="shared" si="52"/>
        <v>1516.8000000000002</v>
      </c>
      <c r="G1674">
        <f>SUMIF($D$2:$D1674,$D1674,$E$2:$E1674)</f>
        <v>5766</v>
      </c>
      <c r="H1674">
        <f t="shared" si="53"/>
        <v>0</v>
      </c>
    </row>
    <row r="1675" spans="1:8" x14ac:dyDescent="0.25">
      <c r="A1675" s="1">
        <v>44806</v>
      </c>
      <c r="B1675" t="s">
        <v>3</v>
      </c>
      <c r="C1675" t="s">
        <v>65</v>
      </c>
      <c r="D1675" t="s">
        <v>29</v>
      </c>
      <c r="E1675">
        <v>269</v>
      </c>
      <c r="F1675">
        <f t="shared" si="52"/>
        <v>860.80000000000007</v>
      </c>
      <c r="G1675">
        <f>SUMIF($D$2:$D1675,$D1675,$E$2:$E1675)</f>
        <v>15569</v>
      </c>
      <c r="H1675">
        <f t="shared" si="53"/>
        <v>1345</v>
      </c>
    </row>
    <row r="1676" spans="1:8" x14ac:dyDescent="0.25">
      <c r="A1676" s="1">
        <v>44806</v>
      </c>
      <c r="B1676" t="s">
        <v>11</v>
      </c>
      <c r="C1676" t="s">
        <v>65</v>
      </c>
      <c r="D1676" t="s">
        <v>46</v>
      </c>
      <c r="E1676">
        <v>271</v>
      </c>
      <c r="F1676">
        <f t="shared" si="52"/>
        <v>677.5</v>
      </c>
      <c r="G1676">
        <f>SUMIF($D$2:$D1676,$D1676,$E$2:$E1676)</f>
        <v>10580</v>
      </c>
      <c r="H1676">
        <f t="shared" si="53"/>
        <v>0</v>
      </c>
    </row>
    <row r="1677" spans="1:8" x14ac:dyDescent="0.25">
      <c r="A1677" s="1">
        <v>44806</v>
      </c>
      <c r="B1677" t="s">
        <v>3</v>
      </c>
      <c r="C1677" t="s">
        <v>65</v>
      </c>
      <c r="D1677" t="s">
        <v>19</v>
      </c>
      <c r="E1677">
        <v>118</v>
      </c>
      <c r="F1677">
        <f t="shared" si="52"/>
        <v>377.6</v>
      </c>
      <c r="G1677">
        <f>SUMIF($D$2:$D1677,$D1677,$E$2:$E1677)</f>
        <v>5884</v>
      </c>
      <c r="H1677">
        <f t="shared" si="53"/>
        <v>0</v>
      </c>
    </row>
    <row r="1678" spans="1:8" x14ac:dyDescent="0.25">
      <c r="A1678" s="1">
        <v>44806</v>
      </c>
      <c r="B1678" t="s">
        <v>14</v>
      </c>
      <c r="C1678" t="s">
        <v>65</v>
      </c>
      <c r="D1678" t="s">
        <v>57</v>
      </c>
      <c r="E1678">
        <v>251</v>
      </c>
      <c r="F1678">
        <f t="shared" si="52"/>
        <v>878.5</v>
      </c>
      <c r="G1678">
        <f>SUMIF($D$2:$D1678,$D1678,$E$2:$E1678)</f>
        <v>12507</v>
      </c>
      <c r="H1678">
        <f t="shared" si="53"/>
        <v>0</v>
      </c>
    </row>
    <row r="1679" spans="1:8" x14ac:dyDescent="0.25">
      <c r="A1679" s="1">
        <v>44806</v>
      </c>
      <c r="B1679" t="s">
        <v>14</v>
      </c>
      <c r="C1679" t="s">
        <v>65</v>
      </c>
      <c r="D1679" t="s">
        <v>58</v>
      </c>
      <c r="E1679">
        <v>275</v>
      </c>
      <c r="F1679">
        <f t="shared" si="52"/>
        <v>962.5</v>
      </c>
      <c r="G1679">
        <f>SUMIF($D$2:$D1679,$D1679,$E$2:$E1679)</f>
        <v>10365</v>
      </c>
      <c r="H1679">
        <f t="shared" si="53"/>
        <v>0</v>
      </c>
    </row>
    <row r="1680" spans="1:8" x14ac:dyDescent="0.25">
      <c r="A1680" s="1">
        <v>44806</v>
      </c>
      <c r="B1680" t="s">
        <v>11</v>
      </c>
      <c r="C1680" t="s">
        <v>65</v>
      </c>
      <c r="D1680" t="s">
        <v>52</v>
      </c>
      <c r="E1680">
        <v>136</v>
      </c>
      <c r="F1680">
        <f t="shared" si="52"/>
        <v>340</v>
      </c>
      <c r="G1680">
        <f>SUMIF($D$2:$D1680,$D1680,$E$2:$E1680)</f>
        <v>9197</v>
      </c>
      <c r="H1680">
        <f t="shared" si="53"/>
        <v>0</v>
      </c>
    </row>
    <row r="1681" spans="1:8" x14ac:dyDescent="0.25">
      <c r="A1681" s="1">
        <v>44807</v>
      </c>
      <c r="B1681" t="s">
        <v>9</v>
      </c>
      <c r="C1681" t="s">
        <v>65</v>
      </c>
      <c r="D1681" t="s">
        <v>39</v>
      </c>
      <c r="E1681">
        <v>366</v>
      </c>
      <c r="F1681">
        <f t="shared" si="52"/>
        <v>915</v>
      </c>
      <c r="G1681">
        <f>SUMIF($D$2:$D1681,$D1681,$E$2:$E1681)</f>
        <v>9839</v>
      </c>
      <c r="H1681">
        <f t="shared" si="53"/>
        <v>0</v>
      </c>
    </row>
    <row r="1682" spans="1:8" x14ac:dyDescent="0.25">
      <c r="A1682" s="1">
        <v>44807</v>
      </c>
      <c r="B1682" t="s">
        <v>14</v>
      </c>
      <c r="C1682" t="s">
        <v>65</v>
      </c>
      <c r="D1682" t="s">
        <v>26</v>
      </c>
      <c r="E1682">
        <v>357</v>
      </c>
      <c r="F1682">
        <f t="shared" si="52"/>
        <v>1249.5</v>
      </c>
      <c r="G1682">
        <f>SUMIF($D$2:$D1682,$D1682,$E$2:$E1682)</f>
        <v>14203</v>
      </c>
      <c r="H1682">
        <f t="shared" si="53"/>
        <v>0</v>
      </c>
    </row>
    <row r="1683" spans="1:8" x14ac:dyDescent="0.25">
      <c r="A1683" s="1">
        <v>44807</v>
      </c>
      <c r="B1683" t="s">
        <v>1</v>
      </c>
      <c r="C1683" t="s">
        <v>65</v>
      </c>
      <c r="D1683" t="s">
        <v>18</v>
      </c>
      <c r="E1683">
        <v>261</v>
      </c>
      <c r="F1683">
        <f t="shared" si="52"/>
        <v>835.2</v>
      </c>
      <c r="G1683">
        <f>SUMIF($D$2:$D1683,$D1683,$E$2:$E1683)</f>
        <v>10789</v>
      </c>
      <c r="H1683">
        <f t="shared" si="53"/>
        <v>0</v>
      </c>
    </row>
    <row r="1684" spans="1:8" x14ac:dyDescent="0.25">
      <c r="A1684" s="1">
        <v>44807</v>
      </c>
      <c r="B1684" t="s">
        <v>1</v>
      </c>
      <c r="C1684" t="s">
        <v>65</v>
      </c>
      <c r="D1684" t="s">
        <v>30</v>
      </c>
      <c r="E1684">
        <v>176</v>
      </c>
      <c r="F1684">
        <f t="shared" si="52"/>
        <v>563.20000000000005</v>
      </c>
      <c r="G1684">
        <f>SUMIF($D$2:$D1684,$D1684,$E$2:$E1684)</f>
        <v>10833</v>
      </c>
      <c r="H1684">
        <f t="shared" si="53"/>
        <v>0</v>
      </c>
    </row>
    <row r="1685" spans="1:8" x14ac:dyDescent="0.25">
      <c r="A1685" s="1">
        <v>44807</v>
      </c>
      <c r="B1685" t="s">
        <v>1</v>
      </c>
      <c r="C1685" t="s">
        <v>65</v>
      </c>
      <c r="D1685" t="s">
        <v>19</v>
      </c>
      <c r="E1685">
        <v>58</v>
      </c>
      <c r="F1685">
        <f t="shared" si="52"/>
        <v>185.60000000000002</v>
      </c>
      <c r="G1685">
        <f>SUMIF($D$2:$D1685,$D1685,$E$2:$E1685)</f>
        <v>5942</v>
      </c>
      <c r="H1685">
        <f t="shared" si="53"/>
        <v>0</v>
      </c>
    </row>
    <row r="1686" spans="1:8" x14ac:dyDescent="0.25">
      <c r="A1686" s="1">
        <v>44807</v>
      </c>
      <c r="B1686" t="s">
        <v>14</v>
      </c>
      <c r="C1686" t="s">
        <v>65</v>
      </c>
      <c r="D1686" t="s">
        <v>42</v>
      </c>
      <c r="E1686">
        <v>99</v>
      </c>
      <c r="F1686">
        <f t="shared" si="52"/>
        <v>346.5</v>
      </c>
      <c r="G1686">
        <f>SUMIF($D$2:$D1686,$D1686,$E$2:$E1686)</f>
        <v>8728</v>
      </c>
      <c r="H1686">
        <f t="shared" si="53"/>
        <v>0</v>
      </c>
    </row>
    <row r="1687" spans="1:8" x14ac:dyDescent="0.25">
      <c r="A1687" s="1">
        <v>44809</v>
      </c>
      <c r="B1687" t="s">
        <v>9</v>
      </c>
      <c r="C1687" t="s">
        <v>65</v>
      </c>
      <c r="D1687" t="s">
        <v>30</v>
      </c>
      <c r="E1687">
        <v>143</v>
      </c>
      <c r="F1687">
        <f t="shared" si="52"/>
        <v>357.5</v>
      </c>
      <c r="G1687">
        <f>SUMIF($D$2:$D1687,$D1687,$E$2:$E1687)</f>
        <v>10976</v>
      </c>
      <c r="H1687">
        <f t="shared" si="53"/>
        <v>0</v>
      </c>
    </row>
    <row r="1688" spans="1:8" x14ac:dyDescent="0.25">
      <c r="A1688" s="1">
        <v>44809</v>
      </c>
      <c r="B1688" t="s">
        <v>9</v>
      </c>
      <c r="C1688" t="s">
        <v>65</v>
      </c>
      <c r="D1688" t="s">
        <v>67</v>
      </c>
      <c r="E1688">
        <v>470</v>
      </c>
      <c r="F1688">
        <f t="shared" si="52"/>
        <v>1175</v>
      </c>
      <c r="G1688">
        <f>SUMIF($D$2:$D1688,$D1688,$E$2:$E1688)</f>
        <v>12260</v>
      </c>
      <c r="H1688">
        <f t="shared" si="53"/>
        <v>0</v>
      </c>
    </row>
    <row r="1689" spans="1:8" x14ac:dyDescent="0.25">
      <c r="A1689" s="1">
        <v>44809</v>
      </c>
      <c r="B1689" t="s">
        <v>14</v>
      </c>
      <c r="C1689" t="s">
        <v>65</v>
      </c>
      <c r="D1689" t="s">
        <v>32</v>
      </c>
      <c r="E1689">
        <v>132</v>
      </c>
      <c r="F1689">
        <f t="shared" si="52"/>
        <v>462</v>
      </c>
      <c r="G1689">
        <f>SUMIF($D$2:$D1689,$D1689,$E$2:$E1689)</f>
        <v>11120</v>
      </c>
      <c r="H1689">
        <f t="shared" si="53"/>
        <v>0</v>
      </c>
    </row>
    <row r="1690" spans="1:8" x14ac:dyDescent="0.25">
      <c r="A1690" s="1">
        <v>44809</v>
      </c>
      <c r="B1690" t="s">
        <v>9</v>
      </c>
      <c r="C1690" t="s">
        <v>65</v>
      </c>
      <c r="D1690" t="s">
        <v>66</v>
      </c>
      <c r="E1690">
        <v>38</v>
      </c>
      <c r="F1690">
        <f t="shared" si="52"/>
        <v>95</v>
      </c>
      <c r="G1690">
        <f>SUMIF($D$2:$D1690,$D1690,$E$2:$E1690)</f>
        <v>11688</v>
      </c>
      <c r="H1690">
        <f t="shared" si="53"/>
        <v>0</v>
      </c>
    </row>
    <row r="1691" spans="1:8" x14ac:dyDescent="0.25">
      <c r="A1691" s="1">
        <v>44809</v>
      </c>
      <c r="B1691" t="s">
        <v>3</v>
      </c>
      <c r="C1691" t="s">
        <v>65</v>
      </c>
      <c r="D1691" t="s">
        <v>52</v>
      </c>
      <c r="E1691">
        <v>471</v>
      </c>
      <c r="F1691">
        <f t="shared" si="52"/>
        <v>1507.2</v>
      </c>
      <c r="G1691">
        <f>SUMIF($D$2:$D1691,$D1691,$E$2:$E1691)</f>
        <v>9668</v>
      </c>
      <c r="H1691">
        <f t="shared" si="53"/>
        <v>0</v>
      </c>
    </row>
    <row r="1692" spans="1:8" x14ac:dyDescent="0.25">
      <c r="A1692" s="1">
        <v>44809</v>
      </c>
      <c r="B1692" t="s">
        <v>3</v>
      </c>
      <c r="C1692" t="s">
        <v>65</v>
      </c>
      <c r="D1692" t="s">
        <v>26</v>
      </c>
      <c r="E1692">
        <v>340</v>
      </c>
      <c r="F1692">
        <f t="shared" si="52"/>
        <v>1088</v>
      </c>
      <c r="G1692">
        <f>SUMIF($D$2:$D1692,$D1692,$E$2:$E1692)</f>
        <v>14543</v>
      </c>
      <c r="H1692">
        <f t="shared" si="53"/>
        <v>0</v>
      </c>
    </row>
    <row r="1693" spans="1:8" x14ac:dyDescent="0.25">
      <c r="A1693" s="1">
        <v>44809</v>
      </c>
      <c r="B1693" t="s">
        <v>3</v>
      </c>
      <c r="C1693" t="s">
        <v>65</v>
      </c>
      <c r="D1693" t="s">
        <v>59</v>
      </c>
      <c r="E1693">
        <v>167</v>
      </c>
      <c r="F1693">
        <f t="shared" si="52"/>
        <v>534.4</v>
      </c>
      <c r="G1693">
        <f>SUMIF($D$2:$D1693,$D1693,$E$2:$E1693)</f>
        <v>7784</v>
      </c>
      <c r="H1693">
        <f t="shared" si="53"/>
        <v>0</v>
      </c>
    </row>
    <row r="1694" spans="1:8" x14ac:dyDescent="0.25">
      <c r="A1694" s="1">
        <v>44809</v>
      </c>
      <c r="B1694" t="s">
        <v>11</v>
      </c>
      <c r="C1694" t="s">
        <v>65</v>
      </c>
      <c r="D1694" t="s">
        <v>54</v>
      </c>
      <c r="E1694">
        <v>498</v>
      </c>
      <c r="F1694">
        <f t="shared" si="52"/>
        <v>1245</v>
      </c>
      <c r="G1694">
        <f>SUMIF($D$2:$D1694,$D1694,$E$2:$E1694)</f>
        <v>11778</v>
      </c>
      <c r="H1694">
        <f t="shared" si="53"/>
        <v>0</v>
      </c>
    </row>
    <row r="1695" spans="1:8" x14ac:dyDescent="0.25">
      <c r="A1695" s="1">
        <v>44809</v>
      </c>
      <c r="B1695" t="s">
        <v>1</v>
      </c>
      <c r="C1695" t="s">
        <v>65</v>
      </c>
      <c r="D1695" t="s">
        <v>25</v>
      </c>
      <c r="E1695">
        <v>461</v>
      </c>
      <c r="F1695">
        <f t="shared" si="52"/>
        <v>1475.2</v>
      </c>
      <c r="G1695">
        <f>SUMIF($D$2:$D1695,$D1695,$E$2:$E1695)</f>
        <v>8940</v>
      </c>
      <c r="H1695">
        <f t="shared" si="53"/>
        <v>0</v>
      </c>
    </row>
    <row r="1696" spans="1:8" x14ac:dyDescent="0.25">
      <c r="A1696" s="1">
        <v>44809</v>
      </c>
      <c r="B1696" t="s">
        <v>11</v>
      </c>
      <c r="C1696" t="s">
        <v>65</v>
      </c>
      <c r="D1696" t="s">
        <v>25</v>
      </c>
      <c r="E1696">
        <v>437</v>
      </c>
      <c r="F1696">
        <f t="shared" si="52"/>
        <v>1092.5</v>
      </c>
      <c r="G1696">
        <f>SUMIF($D$2:$D1696,$D1696,$E$2:$E1696)</f>
        <v>9377</v>
      </c>
      <c r="H1696">
        <f t="shared" si="53"/>
        <v>0</v>
      </c>
    </row>
    <row r="1697" spans="1:8" x14ac:dyDescent="0.25">
      <c r="A1697" s="1">
        <v>44809</v>
      </c>
      <c r="B1697" t="s">
        <v>14</v>
      </c>
      <c r="C1697" t="s">
        <v>65</v>
      </c>
      <c r="D1697" t="s">
        <v>57</v>
      </c>
      <c r="E1697">
        <v>429</v>
      </c>
      <c r="F1697">
        <f t="shared" si="52"/>
        <v>1501.5</v>
      </c>
      <c r="G1697">
        <f>SUMIF($D$2:$D1697,$D1697,$E$2:$E1697)</f>
        <v>12936</v>
      </c>
      <c r="H1697">
        <f t="shared" si="53"/>
        <v>0</v>
      </c>
    </row>
    <row r="1698" spans="1:8" x14ac:dyDescent="0.25">
      <c r="A1698" s="1">
        <v>44809</v>
      </c>
      <c r="B1698" t="s">
        <v>9</v>
      </c>
      <c r="C1698" t="s">
        <v>65</v>
      </c>
      <c r="D1698" t="s">
        <v>57</v>
      </c>
      <c r="E1698">
        <v>447</v>
      </c>
      <c r="F1698">
        <f t="shared" si="52"/>
        <v>1117.5</v>
      </c>
      <c r="G1698">
        <f>SUMIF($D$2:$D1698,$D1698,$E$2:$E1698)</f>
        <v>13383</v>
      </c>
      <c r="H1698">
        <f t="shared" si="53"/>
        <v>0</v>
      </c>
    </row>
    <row r="1699" spans="1:8" x14ac:dyDescent="0.25">
      <c r="A1699" s="1">
        <v>44809</v>
      </c>
      <c r="B1699" t="s">
        <v>3</v>
      </c>
      <c r="C1699" t="s">
        <v>65</v>
      </c>
      <c r="D1699" t="s">
        <v>25</v>
      </c>
      <c r="E1699">
        <v>211</v>
      </c>
      <c r="F1699">
        <f t="shared" si="52"/>
        <v>675.2</v>
      </c>
      <c r="G1699">
        <f>SUMIF($D$2:$D1699,$D1699,$E$2:$E1699)</f>
        <v>9588</v>
      </c>
      <c r="H1699">
        <f t="shared" si="53"/>
        <v>0</v>
      </c>
    </row>
    <row r="1700" spans="1:8" x14ac:dyDescent="0.25">
      <c r="A1700" s="1">
        <v>44809</v>
      </c>
      <c r="B1700" t="s">
        <v>14</v>
      </c>
      <c r="C1700" t="s">
        <v>65</v>
      </c>
      <c r="D1700" t="s">
        <v>21</v>
      </c>
      <c r="E1700">
        <v>207</v>
      </c>
      <c r="F1700">
        <f t="shared" si="52"/>
        <v>724.5</v>
      </c>
      <c r="G1700">
        <f>SUMIF($D$2:$D1700,$D1700,$E$2:$E1700)</f>
        <v>9685</v>
      </c>
      <c r="H1700">
        <f t="shared" si="53"/>
        <v>0</v>
      </c>
    </row>
    <row r="1701" spans="1:8" x14ac:dyDescent="0.25">
      <c r="A1701" s="1">
        <v>44810</v>
      </c>
      <c r="B1701" t="s">
        <v>14</v>
      </c>
      <c r="C1701" t="s">
        <v>65</v>
      </c>
      <c r="D1701" t="s">
        <v>57</v>
      </c>
      <c r="E1701">
        <v>210</v>
      </c>
      <c r="F1701">
        <f t="shared" si="52"/>
        <v>735</v>
      </c>
      <c r="G1701">
        <f>SUMIF($D$2:$D1701,$D1701,$E$2:$E1701)</f>
        <v>13593</v>
      </c>
      <c r="H1701">
        <f t="shared" si="53"/>
        <v>0</v>
      </c>
    </row>
    <row r="1702" spans="1:8" x14ac:dyDescent="0.25">
      <c r="A1702" s="1">
        <v>44810</v>
      </c>
      <c r="B1702" t="s">
        <v>3</v>
      </c>
      <c r="C1702" t="s">
        <v>65</v>
      </c>
      <c r="D1702" t="s">
        <v>33</v>
      </c>
      <c r="E1702">
        <v>34</v>
      </c>
      <c r="F1702">
        <f t="shared" si="52"/>
        <v>108.80000000000001</v>
      </c>
      <c r="G1702">
        <f>SUMIF($D$2:$D1702,$D1702,$E$2:$E1702)</f>
        <v>13229</v>
      </c>
      <c r="H1702">
        <f t="shared" si="53"/>
        <v>0</v>
      </c>
    </row>
    <row r="1703" spans="1:8" x14ac:dyDescent="0.25">
      <c r="A1703" s="1">
        <v>44810</v>
      </c>
      <c r="B1703" t="s">
        <v>11</v>
      </c>
      <c r="C1703" t="s">
        <v>65</v>
      </c>
      <c r="D1703" t="s">
        <v>62</v>
      </c>
      <c r="E1703">
        <v>222</v>
      </c>
      <c r="F1703">
        <f t="shared" si="52"/>
        <v>555</v>
      </c>
      <c r="G1703">
        <f>SUMIF($D$2:$D1703,$D1703,$E$2:$E1703)</f>
        <v>9760</v>
      </c>
      <c r="H1703">
        <f t="shared" si="53"/>
        <v>0</v>
      </c>
    </row>
    <row r="1704" spans="1:8" x14ac:dyDescent="0.25">
      <c r="A1704" s="1">
        <v>44810</v>
      </c>
      <c r="B1704" t="s">
        <v>11</v>
      </c>
      <c r="C1704" t="s">
        <v>65</v>
      </c>
      <c r="D1704" t="s">
        <v>22</v>
      </c>
      <c r="E1704">
        <v>20</v>
      </c>
      <c r="F1704">
        <f t="shared" si="52"/>
        <v>50</v>
      </c>
      <c r="G1704">
        <f>SUMIF($D$2:$D1704,$D1704,$E$2:$E1704)</f>
        <v>10318</v>
      </c>
      <c r="H1704">
        <f t="shared" si="53"/>
        <v>0</v>
      </c>
    </row>
    <row r="1705" spans="1:8" x14ac:dyDescent="0.25">
      <c r="A1705" s="1">
        <v>44810</v>
      </c>
      <c r="B1705" t="s">
        <v>14</v>
      </c>
      <c r="C1705" t="s">
        <v>65</v>
      </c>
      <c r="D1705" t="s">
        <v>20</v>
      </c>
      <c r="E1705">
        <v>132</v>
      </c>
      <c r="F1705">
        <f t="shared" si="52"/>
        <v>462</v>
      </c>
      <c r="G1705">
        <f>SUMIF($D$2:$D1705,$D1705,$E$2:$E1705)</f>
        <v>9136</v>
      </c>
      <c r="H1705">
        <f t="shared" si="53"/>
        <v>0</v>
      </c>
    </row>
    <row r="1706" spans="1:8" x14ac:dyDescent="0.25">
      <c r="A1706" s="1">
        <v>44810</v>
      </c>
      <c r="B1706" t="s">
        <v>1</v>
      </c>
      <c r="C1706" t="s">
        <v>65</v>
      </c>
      <c r="D1706" t="s">
        <v>58</v>
      </c>
      <c r="E1706">
        <v>29</v>
      </c>
      <c r="F1706">
        <f t="shared" si="52"/>
        <v>92.800000000000011</v>
      </c>
      <c r="G1706">
        <f>SUMIF($D$2:$D1706,$D1706,$E$2:$E1706)</f>
        <v>10394</v>
      </c>
      <c r="H1706">
        <f t="shared" si="53"/>
        <v>0</v>
      </c>
    </row>
    <row r="1707" spans="1:8" x14ac:dyDescent="0.25">
      <c r="A1707" s="1">
        <v>44810</v>
      </c>
      <c r="B1707" t="s">
        <v>11</v>
      </c>
      <c r="C1707" t="s">
        <v>65</v>
      </c>
      <c r="D1707" t="s">
        <v>20</v>
      </c>
      <c r="E1707">
        <v>246</v>
      </c>
      <c r="F1707">
        <f t="shared" si="52"/>
        <v>615</v>
      </c>
      <c r="G1707">
        <f>SUMIF($D$2:$D1707,$D1707,$E$2:$E1707)</f>
        <v>9382</v>
      </c>
      <c r="H1707">
        <f t="shared" si="53"/>
        <v>0</v>
      </c>
    </row>
    <row r="1708" spans="1:8" x14ac:dyDescent="0.25">
      <c r="A1708" s="1">
        <v>44810</v>
      </c>
      <c r="B1708" t="s">
        <v>3</v>
      </c>
      <c r="C1708" t="s">
        <v>65</v>
      </c>
      <c r="D1708" t="s">
        <v>22</v>
      </c>
      <c r="E1708">
        <v>331</v>
      </c>
      <c r="F1708">
        <f t="shared" si="52"/>
        <v>1059.2</v>
      </c>
      <c r="G1708">
        <f>SUMIF($D$2:$D1708,$D1708,$E$2:$E1708)</f>
        <v>10649</v>
      </c>
      <c r="H1708">
        <f t="shared" si="53"/>
        <v>0</v>
      </c>
    </row>
    <row r="1709" spans="1:8" x14ac:dyDescent="0.25">
      <c r="A1709" s="1">
        <v>44810</v>
      </c>
      <c r="B1709" t="s">
        <v>9</v>
      </c>
      <c r="C1709" t="s">
        <v>65</v>
      </c>
      <c r="D1709" t="s">
        <v>52</v>
      </c>
      <c r="E1709">
        <v>167</v>
      </c>
      <c r="F1709">
        <f t="shared" si="52"/>
        <v>417.5</v>
      </c>
      <c r="G1709">
        <f>SUMIF($D$2:$D1709,$D1709,$E$2:$E1709)</f>
        <v>9835</v>
      </c>
      <c r="H1709">
        <f t="shared" si="53"/>
        <v>0</v>
      </c>
    </row>
    <row r="1710" spans="1:8" x14ac:dyDescent="0.25">
      <c r="A1710" s="1">
        <v>44810</v>
      </c>
      <c r="B1710" t="s">
        <v>1</v>
      </c>
      <c r="C1710" t="s">
        <v>65</v>
      </c>
      <c r="D1710" t="s">
        <v>31</v>
      </c>
      <c r="E1710">
        <v>22</v>
      </c>
      <c r="F1710">
        <f t="shared" si="52"/>
        <v>70.400000000000006</v>
      </c>
      <c r="G1710">
        <f>SUMIF($D$2:$D1710,$D1710,$E$2:$E1710)</f>
        <v>13399</v>
      </c>
      <c r="H1710">
        <f t="shared" si="53"/>
        <v>0</v>
      </c>
    </row>
    <row r="1711" spans="1:8" x14ac:dyDescent="0.25">
      <c r="A1711" s="1">
        <v>44811</v>
      </c>
      <c r="B1711" t="s">
        <v>3</v>
      </c>
      <c r="C1711" t="s">
        <v>65</v>
      </c>
      <c r="D1711" t="s">
        <v>48</v>
      </c>
      <c r="E1711">
        <v>28</v>
      </c>
      <c r="F1711">
        <f t="shared" si="52"/>
        <v>89.600000000000009</v>
      </c>
      <c r="G1711">
        <f>SUMIF($D$2:$D1711,$D1711,$E$2:$E1711)</f>
        <v>8605</v>
      </c>
      <c r="H1711">
        <f t="shared" si="53"/>
        <v>0</v>
      </c>
    </row>
    <row r="1712" spans="1:8" x14ac:dyDescent="0.25">
      <c r="A1712" s="1">
        <v>44811</v>
      </c>
      <c r="B1712" t="s">
        <v>3</v>
      </c>
      <c r="C1712" t="s">
        <v>65</v>
      </c>
      <c r="D1712" t="s">
        <v>63</v>
      </c>
      <c r="E1712">
        <v>18</v>
      </c>
      <c r="F1712">
        <f t="shared" si="52"/>
        <v>57.6</v>
      </c>
      <c r="G1712">
        <f>SUMIF($D$2:$D1712,$D1712,$E$2:$E1712)</f>
        <v>9215</v>
      </c>
      <c r="H1712">
        <f t="shared" si="53"/>
        <v>0</v>
      </c>
    </row>
    <row r="1713" spans="1:8" x14ac:dyDescent="0.25">
      <c r="A1713" s="1">
        <v>44811</v>
      </c>
      <c r="B1713" t="s">
        <v>14</v>
      </c>
      <c r="C1713" t="s">
        <v>65</v>
      </c>
      <c r="D1713" t="s">
        <v>52</v>
      </c>
      <c r="E1713">
        <v>266</v>
      </c>
      <c r="F1713">
        <f t="shared" si="52"/>
        <v>931</v>
      </c>
      <c r="G1713">
        <f>SUMIF($D$2:$D1713,$D1713,$E$2:$E1713)</f>
        <v>10101</v>
      </c>
      <c r="H1713">
        <f t="shared" si="53"/>
        <v>0</v>
      </c>
    </row>
    <row r="1714" spans="1:8" x14ac:dyDescent="0.25">
      <c r="A1714" s="1">
        <v>44811</v>
      </c>
      <c r="B1714" t="s">
        <v>9</v>
      </c>
      <c r="C1714" t="s">
        <v>65</v>
      </c>
      <c r="D1714" t="s">
        <v>64</v>
      </c>
      <c r="E1714">
        <v>358</v>
      </c>
      <c r="F1714">
        <f t="shared" si="52"/>
        <v>895</v>
      </c>
      <c r="G1714">
        <f>SUMIF($D$2:$D1714,$D1714,$E$2:$E1714)</f>
        <v>10999</v>
      </c>
      <c r="H1714">
        <f t="shared" si="53"/>
        <v>0</v>
      </c>
    </row>
    <row r="1715" spans="1:8" x14ac:dyDescent="0.25">
      <c r="A1715" s="1">
        <v>44811</v>
      </c>
      <c r="B1715" t="s">
        <v>14</v>
      </c>
      <c r="C1715" t="s">
        <v>65</v>
      </c>
      <c r="D1715" t="s">
        <v>35</v>
      </c>
      <c r="E1715">
        <v>416</v>
      </c>
      <c r="F1715">
        <f t="shared" si="52"/>
        <v>1456</v>
      </c>
      <c r="G1715">
        <f>SUMIF($D$2:$D1715,$D1715,$E$2:$E1715)</f>
        <v>9880</v>
      </c>
      <c r="H1715">
        <f t="shared" si="53"/>
        <v>0</v>
      </c>
    </row>
    <row r="1716" spans="1:8" x14ac:dyDescent="0.25">
      <c r="A1716" s="1">
        <v>44811</v>
      </c>
      <c r="B1716" t="s">
        <v>14</v>
      </c>
      <c r="C1716" t="s">
        <v>65</v>
      </c>
      <c r="D1716" t="s">
        <v>46</v>
      </c>
      <c r="E1716">
        <v>17</v>
      </c>
      <c r="F1716">
        <f t="shared" si="52"/>
        <v>59.5</v>
      </c>
      <c r="G1716">
        <f>SUMIF($D$2:$D1716,$D1716,$E$2:$E1716)</f>
        <v>10597</v>
      </c>
      <c r="H1716">
        <f t="shared" si="53"/>
        <v>0</v>
      </c>
    </row>
    <row r="1717" spans="1:8" x14ac:dyDescent="0.25">
      <c r="A1717" s="1">
        <v>44811</v>
      </c>
      <c r="B1717" t="s">
        <v>11</v>
      </c>
      <c r="C1717" t="s">
        <v>65</v>
      </c>
      <c r="D1717" t="s">
        <v>29</v>
      </c>
      <c r="E1717">
        <v>229</v>
      </c>
      <c r="F1717">
        <f t="shared" si="52"/>
        <v>572.5</v>
      </c>
      <c r="G1717">
        <f>SUMIF($D$2:$D1717,$D1717,$E$2:$E1717)</f>
        <v>15798</v>
      </c>
      <c r="H1717">
        <f t="shared" si="53"/>
        <v>1145</v>
      </c>
    </row>
    <row r="1718" spans="1:8" x14ac:dyDescent="0.25">
      <c r="A1718" s="1">
        <v>44811</v>
      </c>
      <c r="B1718" t="s">
        <v>9</v>
      </c>
      <c r="C1718" t="s">
        <v>65</v>
      </c>
      <c r="D1718" t="s">
        <v>36</v>
      </c>
      <c r="E1718">
        <v>291</v>
      </c>
      <c r="F1718">
        <f t="shared" si="52"/>
        <v>727.5</v>
      </c>
      <c r="G1718">
        <f>SUMIF($D$2:$D1718,$D1718,$E$2:$E1718)</f>
        <v>11029</v>
      </c>
      <c r="H1718">
        <f t="shared" si="53"/>
        <v>0</v>
      </c>
    </row>
    <row r="1719" spans="1:8" x14ac:dyDescent="0.25">
      <c r="A1719" s="1">
        <v>44812</v>
      </c>
      <c r="B1719" t="s">
        <v>11</v>
      </c>
      <c r="C1719" t="s">
        <v>65</v>
      </c>
      <c r="D1719" t="s">
        <v>45</v>
      </c>
      <c r="E1719">
        <v>348</v>
      </c>
      <c r="F1719">
        <f t="shared" si="52"/>
        <v>870</v>
      </c>
      <c r="G1719">
        <f>SUMIF($D$2:$D1719,$D1719,$E$2:$E1719)</f>
        <v>10302</v>
      </c>
      <c r="H1719">
        <f t="shared" si="53"/>
        <v>0</v>
      </c>
    </row>
    <row r="1720" spans="1:8" x14ac:dyDescent="0.25">
      <c r="A1720" s="1">
        <v>44812</v>
      </c>
      <c r="B1720" t="s">
        <v>1</v>
      </c>
      <c r="C1720" t="s">
        <v>65</v>
      </c>
      <c r="D1720" t="s">
        <v>41</v>
      </c>
      <c r="E1720">
        <v>328</v>
      </c>
      <c r="F1720">
        <f t="shared" si="52"/>
        <v>1049.6000000000001</v>
      </c>
      <c r="G1720">
        <f>SUMIF($D$2:$D1720,$D1720,$E$2:$E1720)</f>
        <v>9972</v>
      </c>
      <c r="H1720">
        <f t="shared" si="53"/>
        <v>0</v>
      </c>
    </row>
    <row r="1721" spans="1:8" x14ac:dyDescent="0.25">
      <c r="A1721" s="1">
        <v>44812</v>
      </c>
      <c r="B1721" t="s">
        <v>14</v>
      </c>
      <c r="C1721" t="s">
        <v>65</v>
      </c>
      <c r="D1721" t="s">
        <v>29</v>
      </c>
      <c r="E1721">
        <v>286</v>
      </c>
      <c r="F1721">
        <f t="shared" si="52"/>
        <v>1001</v>
      </c>
      <c r="G1721">
        <f>SUMIF($D$2:$D1721,$D1721,$E$2:$E1721)</f>
        <v>16084</v>
      </c>
      <c r="H1721">
        <f t="shared" si="53"/>
        <v>1430</v>
      </c>
    </row>
    <row r="1722" spans="1:8" x14ac:dyDescent="0.25">
      <c r="A1722" s="1">
        <v>44812</v>
      </c>
      <c r="B1722" t="s">
        <v>14</v>
      </c>
      <c r="C1722" t="s">
        <v>65</v>
      </c>
      <c r="D1722" t="s">
        <v>53</v>
      </c>
      <c r="E1722">
        <v>334</v>
      </c>
      <c r="F1722">
        <f t="shared" si="52"/>
        <v>1169</v>
      </c>
      <c r="G1722">
        <f>SUMIF($D$2:$D1722,$D1722,$E$2:$E1722)</f>
        <v>11615</v>
      </c>
      <c r="H1722">
        <f t="shared" si="53"/>
        <v>0</v>
      </c>
    </row>
    <row r="1723" spans="1:8" x14ac:dyDescent="0.25">
      <c r="A1723" s="1">
        <v>44812</v>
      </c>
      <c r="B1723" t="s">
        <v>11</v>
      </c>
      <c r="C1723" t="s">
        <v>65</v>
      </c>
      <c r="D1723" t="s">
        <v>40</v>
      </c>
      <c r="E1723">
        <v>386</v>
      </c>
      <c r="F1723">
        <f t="shared" si="52"/>
        <v>965</v>
      </c>
      <c r="G1723">
        <f>SUMIF($D$2:$D1723,$D1723,$E$2:$E1723)</f>
        <v>11466</v>
      </c>
      <c r="H1723">
        <f t="shared" si="53"/>
        <v>0</v>
      </c>
    </row>
    <row r="1724" spans="1:8" x14ac:dyDescent="0.25">
      <c r="A1724" s="1">
        <v>44812</v>
      </c>
      <c r="B1724" t="s">
        <v>9</v>
      </c>
      <c r="C1724" t="s">
        <v>65</v>
      </c>
      <c r="D1724" t="s">
        <v>20</v>
      </c>
      <c r="E1724">
        <v>405</v>
      </c>
      <c r="F1724">
        <f t="shared" si="52"/>
        <v>1012.5</v>
      </c>
      <c r="G1724">
        <f>SUMIF($D$2:$D1724,$D1724,$E$2:$E1724)</f>
        <v>9787</v>
      </c>
      <c r="H1724">
        <f t="shared" si="53"/>
        <v>0</v>
      </c>
    </row>
    <row r="1725" spans="1:8" x14ac:dyDescent="0.25">
      <c r="A1725" s="1">
        <v>44812</v>
      </c>
      <c r="B1725" t="s">
        <v>9</v>
      </c>
      <c r="C1725" t="s">
        <v>65</v>
      </c>
      <c r="D1725" t="s">
        <v>42</v>
      </c>
      <c r="E1725">
        <v>53</v>
      </c>
      <c r="F1725">
        <f t="shared" si="52"/>
        <v>132.5</v>
      </c>
      <c r="G1725">
        <f>SUMIF($D$2:$D1725,$D1725,$E$2:$E1725)</f>
        <v>8781</v>
      </c>
      <c r="H1725">
        <f t="shared" si="53"/>
        <v>0</v>
      </c>
    </row>
    <row r="1726" spans="1:8" x14ac:dyDescent="0.25">
      <c r="A1726" s="1">
        <v>44812</v>
      </c>
      <c r="B1726" t="s">
        <v>14</v>
      </c>
      <c r="C1726" t="s">
        <v>65</v>
      </c>
      <c r="D1726" t="s">
        <v>50</v>
      </c>
      <c r="E1726">
        <v>180</v>
      </c>
      <c r="F1726">
        <f t="shared" si="52"/>
        <v>630</v>
      </c>
      <c r="G1726">
        <f>SUMIF($D$2:$D1726,$D1726,$E$2:$E1726)</f>
        <v>8756</v>
      </c>
      <c r="H1726">
        <f t="shared" si="53"/>
        <v>0</v>
      </c>
    </row>
    <row r="1727" spans="1:8" x14ac:dyDescent="0.25">
      <c r="A1727" s="1">
        <v>44812</v>
      </c>
      <c r="B1727" t="s">
        <v>11</v>
      </c>
      <c r="C1727" t="s">
        <v>65</v>
      </c>
      <c r="D1727" t="s">
        <v>38</v>
      </c>
      <c r="E1727">
        <v>94</v>
      </c>
      <c r="F1727">
        <f t="shared" si="52"/>
        <v>235</v>
      </c>
      <c r="G1727">
        <f>SUMIF($D$2:$D1727,$D1727,$E$2:$E1727)</f>
        <v>12047</v>
      </c>
      <c r="H1727">
        <f t="shared" si="53"/>
        <v>0</v>
      </c>
    </row>
    <row r="1728" spans="1:8" x14ac:dyDescent="0.25">
      <c r="A1728" s="1">
        <v>44812</v>
      </c>
      <c r="B1728" t="s">
        <v>3</v>
      </c>
      <c r="C1728" t="s">
        <v>65</v>
      </c>
      <c r="D1728" t="s">
        <v>47</v>
      </c>
      <c r="E1728">
        <v>346</v>
      </c>
      <c r="F1728">
        <f t="shared" si="52"/>
        <v>1107.2</v>
      </c>
      <c r="G1728">
        <f>SUMIF($D$2:$D1728,$D1728,$E$2:$E1728)</f>
        <v>7587</v>
      </c>
      <c r="H1728">
        <f t="shared" si="53"/>
        <v>0</v>
      </c>
    </row>
    <row r="1729" spans="1:8" x14ac:dyDescent="0.25">
      <c r="A1729" s="1">
        <v>44812</v>
      </c>
      <c r="B1729" t="s">
        <v>11</v>
      </c>
      <c r="C1729" t="s">
        <v>65</v>
      </c>
      <c r="D1729" t="s">
        <v>16</v>
      </c>
      <c r="E1729">
        <v>396</v>
      </c>
      <c r="F1729">
        <f t="shared" si="52"/>
        <v>990</v>
      </c>
      <c r="G1729">
        <f>SUMIF($D$2:$D1729,$D1729,$E$2:$E1729)</f>
        <v>10939</v>
      </c>
      <c r="H1729">
        <f t="shared" si="53"/>
        <v>0</v>
      </c>
    </row>
    <row r="1730" spans="1:8" x14ac:dyDescent="0.25">
      <c r="A1730" s="1">
        <v>44812</v>
      </c>
      <c r="B1730" t="s">
        <v>9</v>
      </c>
      <c r="C1730" t="s">
        <v>65</v>
      </c>
      <c r="D1730" t="s">
        <v>46</v>
      </c>
      <c r="E1730">
        <v>397</v>
      </c>
      <c r="F1730">
        <f t="shared" si="52"/>
        <v>992.5</v>
      </c>
      <c r="G1730">
        <f>SUMIF($D$2:$D1730,$D1730,$E$2:$E1730)</f>
        <v>10994</v>
      </c>
      <c r="H1730">
        <f t="shared" si="53"/>
        <v>0</v>
      </c>
    </row>
    <row r="1731" spans="1:8" x14ac:dyDescent="0.25">
      <c r="A1731" s="1">
        <v>44813</v>
      </c>
      <c r="B1731" t="s">
        <v>14</v>
      </c>
      <c r="C1731" t="s">
        <v>65</v>
      </c>
      <c r="D1731" t="s">
        <v>33</v>
      </c>
      <c r="E1731">
        <v>434</v>
      </c>
      <c r="F1731">
        <f t="shared" ref="F1731:F1794" si="54">E1731* _xlfn.XLOOKUP(B1731,$I$2:$I$17,$J$2:$J$17,"0",0,1)</f>
        <v>1519</v>
      </c>
      <c r="G1731">
        <f>SUMIF($D$2:$D1731,$D1731,$E$2:$E1731)</f>
        <v>13663</v>
      </c>
      <c r="H1731">
        <f t="shared" ref="H1731:H1794" si="55">IF(AND($G1731 &gt; 15000,$G1731 &lt; 20000),5*$E1731,IF($G1731 &gt;= 20000,10*$E1731,0))</f>
        <v>0</v>
      </c>
    </row>
    <row r="1732" spans="1:8" x14ac:dyDescent="0.25">
      <c r="A1732" s="1">
        <v>44813</v>
      </c>
      <c r="B1732" t="s">
        <v>14</v>
      </c>
      <c r="C1732" t="s">
        <v>65</v>
      </c>
      <c r="D1732" t="s">
        <v>40</v>
      </c>
      <c r="E1732">
        <v>492</v>
      </c>
      <c r="F1732">
        <f t="shared" si="54"/>
        <v>1722</v>
      </c>
      <c r="G1732">
        <f>SUMIF($D$2:$D1732,$D1732,$E$2:$E1732)</f>
        <v>11958</v>
      </c>
      <c r="H1732">
        <f t="shared" si="55"/>
        <v>0</v>
      </c>
    </row>
    <row r="1733" spans="1:8" x14ac:dyDescent="0.25">
      <c r="A1733" s="1">
        <v>44813</v>
      </c>
      <c r="B1733" t="s">
        <v>14</v>
      </c>
      <c r="C1733" t="s">
        <v>65</v>
      </c>
      <c r="D1733" t="s">
        <v>22</v>
      </c>
      <c r="E1733">
        <v>398</v>
      </c>
      <c r="F1733">
        <f t="shared" si="54"/>
        <v>1393</v>
      </c>
      <c r="G1733">
        <f>SUMIF($D$2:$D1733,$D1733,$E$2:$E1733)</f>
        <v>11047</v>
      </c>
      <c r="H1733">
        <f t="shared" si="55"/>
        <v>0</v>
      </c>
    </row>
    <row r="1734" spans="1:8" x14ac:dyDescent="0.25">
      <c r="A1734" s="1">
        <v>44813</v>
      </c>
      <c r="B1734" t="s">
        <v>11</v>
      </c>
      <c r="C1734" t="s">
        <v>65</v>
      </c>
      <c r="D1734" t="s">
        <v>56</v>
      </c>
      <c r="E1734">
        <v>354</v>
      </c>
      <c r="F1734">
        <f t="shared" si="54"/>
        <v>885</v>
      </c>
      <c r="G1734">
        <f>SUMIF($D$2:$D1734,$D1734,$E$2:$E1734)</f>
        <v>10922</v>
      </c>
      <c r="H1734">
        <f t="shared" si="55"/>
        <v>0</v>
      </c>
    </row>
    <row r="1735" spans="1:8" x14ac:dyDescent="0.25">
      <c r="A1735" s="1">
        <v>44813</v>
      </c>
      <c r="B1735" t="s">
        <v>3</v>
      </c>
      <c r="C1735" t="s">
        <v>65</v>
      </c>
      <c r="D1735" t="s">
        <v>16</v>
      </c>
      <c r="E1735">
        <v>391</v>
      </c>
      <c r="F1735">
        <f t="shared" si="54"/>
        <v>1251.2</v>
      </c>
      <c r="G1735">
        <f>SUMIF($D$2:$D1735,$D1735,$E$2:$E1735)</f>
        <v>11330</v>
      </c>
      <c r="H1735">
        <f t="shared" si="55"/>
        <v>0</v>
      </c>
    </row>
    <row r="1736" spans="1:8" x14ac:dyDescent="0.25">
      <c r="A1736" s="1">
        <v>44813</v>
      </c>
      <c r="B1736" t="s">
        <v>11</v>
      </c>
      <c r="C1736" t="s">
        <v>65</v>
      </c>
      <c r="D1736" t="s">
        <v>62</v>
      </c>
      <c r="E1736">
        <v>268</v>
      </c>
      <c r="F1736">
        <f t="shared" si="54"/>
        <v>670</v>
      </c>
      <c r="G1736">
        <f>SUMIF($D$2:$D1736,$D1736,$E$2:$E1736)</f>
        <v>10028</v>
      </c>
      <c r="H1736">
        <f t="shared" si="55"/>
        <v>0</v>
      </c>
    </row>
    <row r="1737" spans="1:8" x14ac:dyDescent="0.25">
      <c r="A1737" s="1">
        <v>44813</v>
      </c>
      <c r="B1737" t="s">
        <v>11</v>
      </c>
      <c r="C1737" t="s">
        <v>65</v>
      </c>
      <c r="D1737" t="s">
        <v>35</v>
      </c>
      <c r="E1737">
        <v>203</v>
      </c>
      <c r="F1737">
        <f t="shared" si="54"/>
        <v>507.5</v>
      </c>
      <c r="G1737">
        <f>SUMIF($D$2:$D1737,$D1737,$E$2:$E1737)</f>
        <v>10083</v>
      </c>
      <c r="H1737">
        <f t="shared" si="55"/>
        <v>0</v>
      </c>
    </row>
    <row r="1738" spans="1:8" x14ac:dyDescent="0.25">
      <c r="A1738" s="1">
        <v>44813</v>
      </c>
      <c r="B1738" t="s">
        <v>3</v>
      </c>
      <c r="C1738" t="s">
        <v>65</v>
      </c>
      <c r="D1738" t="s">
        <v>21</v>
      </c>
      <c r="E1738">
        <v>380</v>
      </c>
      <c r="F1738">
        <f t="shared" si="54"/>
        <v>1216</v>
      </c>
      <c r="G1738">
        <f>SUMIF($D$2:$D1738,$D1738,$E$2:$E1738)</f>
        <v>10065</v>
      </c>
      <c r="H1738">
        <f t="shared" si="55"/>
        <v>0</v>
      </c>
    </row>
    <row r="1739" spans="1:8" x14ac:dyDescent="0.25">
      <c r="A1739" s="1">
        <v>44813</v>
      </c>
      <c r="B1739" t="s">
        <v>14</v>
      </c>
      <c r="C1739" t="s">
        <v>65</v>
      </c>
      <c r="D1739" t="s">
        <v>54</v>
      </c>
      <c r="E1739">
        <v>481</v>
      </c>
      <c r="F1739">
        <f t="shared" si="54"/>
        <v>1683.5</v>
      </c>
      <c r="G1739">
        <f>SUMIF($D$2:$D1739,$D1739,$E$2:$E1739)</f>
        <v>12259</v>
      </c>
      <c r="H1739">
        <f t="shared" si="55"/>
        <v>0</v>
      </c>
    </row>
    <row r="1740" spans="1:8" x14ac:dyDescent="0.25">
      <c r="A1740" s="1">
        <v>44814</v>
      </c>
      <c r="B1740" t="s">
        <v>14</v>
      </c>
      <c r="C1740" t="s">
        <v>65</v>
      </c>
      <c r="D1740" t="s">
        <v>48</v>
      </c>
      <c r="E1740">
        <v>161</v>
      </c>
      <c r="F1740">
        <f t="shared" si="54"/>
        <v>563.5</v>
      </c>
      <c r="G1740">
        <f>SUMIF($D$2:$D1740,$D1740,$E$2:$E1740)</f>
        <v>8766</v>
      </c>
      <c r="H1740">
        <f t="shared" si="55"/>
        <v>0</v>
      </c>
    </row>
    <row r="1741" spans="1:8" x14ac:dyDescent="0.25">
      <c r="A1741" s="1">
        <v>44814</v>
      </c>
      <c r="B1741" t="s">
        <v>14</v>
      </c>
      <c r="C1741" t="s">
        <v>65</v>
      </c>
      <c r="D1741" t="s">
        <v>57</v>
      </c>
      <c r="E1741">
        <v>410</v>
      </c>
      <c r="F1741">
        <f t="shared" si="54"/>
        <v>1435</v>
      </c>
      <c r="G1741">
        <f>SUMIF($D$2:$D1741,$D1741,$E$2:$E1741)</f>
        <v>14003</v>
      </c>
      <c r="H1741">
        <f t="shared" si="55"/>
        <v>0</v>
      </c>
    </row>
    <row r="1742" spans="1:8" x14ac:dyDescent="0.25">
      <c r="A1742" s="1">
        <v>44814</v>
      </c>
      <c r="B1742" t="s">
        <v>9</v>
      </c>
      <c r="C1742" t="s">
        <v>65</v>
      </c>
      <c r="D1742" t="s">
        <v>16</v>
      </c>
      <c r="E1742">
        <v>108</v>
      </c>
      <c r="F1742">
        <f t="shared" si="54"/>
        <v>270</v>
      </c>
      <c r="G1742">
        <f>SUMIF($D$2:$D1742,$D1742,$E$2:$E1742)</f>
        <v>11438</v>
      </c>
      <c r="H1742">
        <f t="shared" si="55"/>
        <v>0</v>
      </c>
    </row>
    <row r="1743" spans="1:8" x14ac:dyDescent="0.25">
      <c r="A1743" s="1">
        <v>44814</v>
      </c>
      <c r="B1743" t="s">
        <v>14</v>
      </c>
      <c r="C1743" t="s">
        <v>65</v>
      </c>
      <c r="D1743" t="s">
        <v>31</v>
      </c>
      <c r="E1743">
        <v>458</v>
      </c>
      <c r="F1743">
        <f t="shared" si="54"/>
        <v>1603</v>
      </c>
      <c r="G1743">
        <f>SUMIF($D$2:$D1743,$D1743,$E$2:$E1743)</f>
        <v>13857</v>
      </c>
      <c r="H1743">
        <f t="shared" si="55"/>
        <v>0</v>
      </c>
    </row>
    <row r="1744" spans="1:8" x14ac:dyDescent="0.25">
      <c r="A1744" s="1">
        <v>44814</v>
      </c>
      <c r="B1744" t="s">
        <v>1</v>
      </c>
      <c r="C1744" t="s">
        <v>65</v>
      </c>
      <c r="D1744" t="s">
        <v>28</v>
      </c>
      <c r="E1744">
        <v>129</v>
      </c>
      <c r="F1744">
        <f t="shared" si="54"/>
        <v>412.8</v>
      </c>
      <c r="G1744">
        <f>SUMIF($D$2:$D1744,$D1744,$E$2:$E1744)</f>
        <v>10150</v>
      </c>
      <c r="H1744">
        <f t="shared" si="55"/>
        <v>0</v>
      </c>
    </row>
    <row r="1745" spans="1:8" x14ac:dyDescent="0.25">
      <c r="A1745" s="1">
        <v>44816</v>
      </c>
      <c r="B1745" t="s">
        <v>1</v>
      </c>
      <c r="C1745" t="s">
        <v>65</v>
      </c>
      <c r="D1745" t="s">
        <v>46</v>
      </c>
      <c r="E1745">
        <v>227</v>
      </c>
      <c r="F1745">
        <f t="shared" si="54"/>
        <v>726.40000000000009</v>
      </c>
      <c r="G1745">
        <f>SUMIF($D$2:$D1745,$D1745,$E$2:$E1745)</f>
        <v>11221</v>
      </c>
      <c r="H1745">
        <f t="shared" si="55"/>
        <v>0</v>
      </c>
    </row>
    <row r="1746" spans="1:8" x14ac:dyDescent="0.25">
      <c r="A1746" s="1">
        <v>44816</v>
      </c>
      <c r="B1746" t="s">
        <v>9</v>
      </c>
      <c r="C1746" t="s">
        <v>65</v>
      </c>
      <c r="D1746" t="s">
        <v>44</v>
      </c>
      <c r="E1746">
        <v>370</v>
      </c>
      <c r="F1746">
        <f t="shared" si="54"/>
        <v>925</v>
      </c>
      <c r="G1746">
        <f>SUMIF($D$2:$D1746,$D1746,$E$2:$E1746)</f>
        <v>12842</v>
      </c>
      <c r="H1746">
        <f t="shared" si="55"/>
        <v>0</v>
      </c>
    </row>
    <row r="1747" spans="1:8" x14ac:dyDescent="0.25">
      <c r="A1747" s="1">
        <v>44816</v>
      </c>
      <c r="B1747" t="s">
        <v>1</v>
      </c>
      <c r="C1747" t="s">
        <v>65</v>
      </c>
      <c r="D1747" t="s">
        <v>67</v>
      </c>
      <c r="E1747">
        <v>18</v>
      </c>
      <c r="F1747">
        <f t="shared" si="54"/>
        <v>57.6</v>
      </c>
      <c r="G1747">
        <f>SUMIF($D$2:$D1747,$D1747,$E$2:$E1747)</f>
        <v>12278</v>
      </c>
      <c r="H1747">
        <f t="shared" si="55"/>
        <v>0</v>
      </c>
    </row>
    <row r="1748" spans="1:8" x14ac:dyDescent="0.25">
      <c r="A1748" s="1">
        <v>44816</v>
      </c>
      <c r="B1748" t="s">
        <v>14</v>
      </c>
      <c r="C1748" t="s">
        <v>65</v>
      </c>
      <c r="D1748" t="s">
        <v>45</v>
      </c>
      <c r="E1748">
        <v>398</v>
      </c>
      <c r="F1748">
        <f t="shared" si="54"/>
        <v>1393</v>
      </c>
      <c r="G1748">
        <f>SUMIF($D$2:$D1748,$D1748,$E$2:$E1748)</f>
        <v>10700</v>
      </c>
      <c r="H1748">
        <f t="shared" si="55"/>
        <v>0</v>
      </c>
    </row>
    <row r="1749" spans="1:8" x14ac:dyDescent="0.25">
      <c r="A1749" s="1">
        <v>44816</v>
      </c>
      <c r="B1749" t="s">
        <v>14</v>
      </c>
      <c r="C1749" t="s">
        <v>65</v>
      </c>
      <c r="D1749" t="s">
        <v>64</v>
      </c>
      <c r="E1749">
        <v>401</v>
      </c>
      <c r="F1749">
        <f t="shared" si="54"/>
        <v>1403.5</v>
      </c>
      <c r="G1749">
        <f>SUMIF($D$2:$D1749,$D1749,$E$2:$E1749)</f>
        <v>11400</v>
      </c>
      <c r="H1749">
        <f t="shared" si="55"/>
        <v>0</v>
      </c>
    </row>
    <row r="1750" spans="1:8" x14ac:dyDescent="0.25">
      <c r="A1750" s="1">
        <v>44816</v>
      </c>
      <c r="B1750" t="s">
        <v>3</v>
      </c>
      <c r="C1750" t="s">
        <v>65</v>
      </c>
      <c r="D1750" t="s">
        <v>67</v>
      </c>
      <c r="E1750">
        <v>443</v>
      </c>
      <c r="F1750">
        <f t="shared" si="54"/>
        <v>1417.6000000000001</v>
      </c>
      <c r="G1750">
        <f>SUMIF($D$2:$D1750,$D1750,$E$2:$E1750)</f>
        <v>12721</v>
      </c>
      <c r="H1750">
        <f t="shared" si="55"/>
        <v>0</v>
      </c>
    </row>
    <row r="1751" spans="1:8" x14ac:dyDescent="0.25">
      <c r="A1751" s="1">
        <v>44816</v>
      </c>
      <c r="B1751" t="s">
        <v>14</v>
      </c>
      <c r="C1751" t="s">
        <v>65</v>
      </c>
      <c r="D1751" t="s">
        <v>20</v>
      </c>
      <c r="E1751">
        <v>29</v>
      </c>
      <c r="F1751">
        <f t="shared" si="54"/>
        <v>101.5</v>
      </c>
      <c r="G1751">
        <f>SUMIF($D$2:$D1751,$D1751,$E$2:$E1751)</f>
        <v>9816</v>
      </c>
      <c r="H1751">
        <f t="shared" si="55"/>
        <v>0</v>
      </c>
    </row>
    <row r="1752" spans="1:8" x14ac:dyDescent="0.25">
      <c r="A1752" s="1">
        <v>44816</v>
      </c>
      <c r="B1752" t="s">
        <v>14</v>
      </c>
      <c r="C1752" t="s">
        <v>65</v>
      </c>
      <c r="D1752" t="s">
        <v>54</v>
      </c>
      <c r="E1752">
        <v>433</v>
      </c>
      <c r="F1752">
        <f t="shared" si="54"/>
        <v>1515.5</v>
      </c>
      <c r="G1752">
        <f>SUMIF($D$2:$D1752,$D1752,$E$2:$E1752)</f>
        <v>12692</v>
      </c>
      <c r="H1752">
        <f t="shared" si="55"/>
        <v>0</v>
      </c>
    </row>
    <row r="1753" spans="1:8" x14ac:dyDescent="0.25">
      <c r="A1753" s="1">
        <v>44816</v>
      </c>
      <c r="B1753" t="s">
        <v>3</v>
      </c>
      <c r="C1753" t="s">
        <v>65</v>
      </c>
      <c r="D1753" t="s">
        <v>60</v>
      </c>
      <c r="E1753">
        <v>80</v>
      </c>
      <c r="F1753">
        <f t="shared" si="54"/>
        <v>256</v>
      </c>
      <c r="G1753">
        <f>SUMIF($D$2:$D1753,$D1753,$E$2:$E1753)</f>
        <v>12466</v>
      </c>
      <c r="H1753">
        <f t="shared" si="55"/>
        <v>0</v>
      </c>
    </row>
    <row r="1754" spans="1:8" x14ac:dyDescent="0.25">
      <c r="A1754" s="1">
        <v>44816</v>
      </c>
      <c r="B1754" t="s">
        <v>3</v>
      </c>
      <c r="C1754" t="s">
        <v>65</v>
      </c>
      <c r="D1754" t="s">
        <v>67</v>
      </c>
      <c r="E1754">
        <v>83</v>
      </c>
      <c r="F1754">
        <f t="shared" si="54"/>
        <v>265.60000000000002</v>
      </c>
      <c r="G1754">
        <f>SUMIF($D$2:$D1754,$D1754,$E$2:$E1754)</f>
        <v>12804</v>
      </c>
      <c r="H1754">
        <f t="shared" si="55"/>
        <v>0</v>
      </c>
    </row>
    <row r="1755" spans="1:8" x14ac:dyDescent="0.25">
      <c r="A1755" s="1">
        <v>44817</v>
      </c>
      <c r="B1755" t="s">
        <v>14</v>
      </c>
      <c r="C1755" t="s">
        <v>65</v>
      </c>
      <c r="D1755" t="s">
        <v>56</v>
      </c>
      <c r="E1755">
        <v>420</v>
      </c>
      <c r="F1755">
        <f t="shared" si="54"/>
        <v>1470</v>
      </c>
      <c r="G1755">
        <f>SUMIF($D$2:$D1755,$D1755,$E$2:$E1755)</f>
        <v>11342</v>
      </c>
      <c r="H1755">
        <f t="shared" si="55"/>
        <v>0</v>
      </c>
    </row>
    <row r="1756" spans="1:8" x14ac:dyDescent="0.25">
      <c r="A1756" s="1">
        <v>44817</v>
      </c>
      <c r="B1756" t="s">
        <v>14</v>
      </c>
      <c r="C1756" t="s">
        <v>65</v>
      </c>
      <c r="D1756" t="s">
        <v>61</v>
      </c>
      <c r="E1756">
        <v>404</v>
      </c>
      <c r="F1756">
        <f t="shared" si="54"/>
        <v>1414</v>
      </c>
      <c r="G1756">
        <f>SUMIF($D$2:$D1756,$D1756,$E$2:$E1756)</f>
        <v>11995</v>
      </c>
      <c r="H1756">
        <f t="shared" si="55"/>
        <v>0</v>
      </c>
    </row>
    <row r="1757" spans="1:8" x14ac:dyDescent="0.25">
      <c r="A1757" s="1">
        <v>44817</v>
      </c>
      <c r="B1757" t="s">
        <v>14</v>
      </c>
      <c r="C1757" t="s">
        <v>65</v>
      </c>
      <c r="D1757" t="s">
        <v>47</v>
      </c>
      <c r="E1757">
        <v>401</v>
      </c>
      <c r="F1757">
        <f t="shared" si="54"/>
        <v>1403.5</v>
      </c>
      <c r="G1757">
        <f>SUMIF($D$2:$D1757,$D1757,$E$2:$E1757)</f>
        <v>7988</v>
      </c>
      <c r="H1757">
        <f t="shared" si="55"/>
        <v>0</v>
      </c>
    </row>
    <row r="1758" spans="1:8" x14ac:dyDescent="0.25">
      <c r="A1758" s="1">
        <v>44817</v>
      </c>
      <c r="B1758" t="s">
        <v>1</v>
      </c>
      <c r="C1758" t="s">
        <v>65</v>
      </c>
      <c r="D1758" t="s">
        <v>19</v>
      </c>
      <c r="E1758">
        <v>423</v>
      </c>
      <c r="F1758">
        <f t="shared" si="54"/>
        <v>1353.6000000000001</v>
      </c>
      <c r="G1758">
        <f>SUMIF($D$2:$D1758,$D1758,$E$2:$E1758)</f>
        <v>6365</v>
      </c>
      <c r="H1758">
        <f t="shared" si="55"/>
        <v>0</v>
      </c>
    </row>
    <row r="1759" spans="1:8" x14ac:dyDescent="0.25">
      <c r="A1759" s="1">
        <v>44817</v>
      </c>
      <c r="B1759" t="s">
        <v>9</v>
      </c>
      <c r="C1759" t="s">
        <v>65</v>
      </c>
      <c r="D1759" t="s">
        <v>20</v>
      </c>
      <c r="E1759">
        <v>201</v>
      </c>
      <c r="F1759">
        <f t="shared" si="54"/>
        <v>502.5</v>
      </c>
      <c r="G1759">
        <f>SUMIF($D$2:$D1759,$D1759,$E$2:$E1759)</f>
        <v>10017</v>
      </c>
      <c r="H1759">
        <f t="shared" si="55"/>
        <v>0</v>
      </c>
    </row>
    <row r="1760" spans="1:8" x14ac:dyDescent="0.25">
      <c r="A1760" s="1">
        <v>44818</v>
      </c>
      <c r="B1760" t="s">
        <v>3</v>
      </c>
      <c r="C1760" t="s">
        <v>65</v>
      </c>
      <c r="D1760" t="s">
        <v>33</v>
      </c>
      <c r="E1760">
        <v>393</v>
      </c>
      <c r="F1760">
        <f t="shared" si="54"/>
        <v>1257.6000000000001</v>
      </c>
      <c r="G1760">
        <f>SUMIF($D$2:$D1760,$D1760,$E$2:$E1760)</f>
        <v>14056</v>
      </c>
      <c r="H1760">
        <f t="shared" si="55"/>
        <v>0</v>
      </c>
    </row>
    <row r="1761" spans="1:8" x14ac:dyDescent="0.25">
      <c r="A1761" s="1">
        <v>44818</v>
      </c>
      <c r="B1761" t="s">
        <v>1</v>
      </c>
      <c r="C1761" t="s">
        <v>65</v>
      </c>
      <c r="D1761" t="s">
        <v>50</v>
      </c>
      <c r="E1761">
        <v>455</v>
      </c>
      <c r="F1761">
        <f t="shared" si="54"/>
        <v>1456</v>
      </c>
      <c r="G1761">
        <f>SUMIF($D$2:$D1761,$D1761,$E$2:$E1761)</f>
        <v>9211</v>
      </c>
      <c r="H1761">
        <f t="shared" si="55"/>
        <v>0</v>
      </c>
    </row>
    <row r="1762" spans="1:8" x14ac:dyDescent="0.25">
      <c r="A1762" s="1">
        <v>44819</v>
      </c>
      <c r="B1762" t="s">
        <v>9</v>
      </c>
      <c r="C1762" t="s">
        <v>65</v>
      </c>
      <c r="D1762" t="s">
        <v>25</v>
      </c>
      <c r="E1762">
        <v>345</v>
      </c>
      <c r="F1762">
        <f t="shared" si="54"/>
        <v>862.5</v>
      </c>
      <c r="G1762">
        <f>SUMIF($D$2:$D1762,$D1762,$E$2:$E1762)</f>
        <v>9933</v>
      </c>
      <c r="H1762">
        <f t="shared" si="55"/>
        <v>0</v>
      </c>
    </row>
    <row r="1763" spans="1:8" x14ac:dyDescent="0.25">
      <c r="A1763" s="1">
        <v>44819</v>
      </c>
      <c r="B1763" t="s">
        <v>9</v>
      </c>
      <c r="C1763" t="s">
        <v>65</v>
      </c>
      <c r="D1763" t="s">
        <v>42</v>
      </c>
      <c r="E1763">
        <v>260</v>
      </c>
      <c r="F1763">
        <f t="shared" si="54"/>
        <v>650</v>
      </c>
      <c r="G1763">
        <f>SUMIF($D$2:$D1763,$D1763,$E$2:$E1763)</f>
        <v>9041</v>
      </c>
      <c r="H1763">
        <f t="shared" si="55"/>
        <v>0</v>
      </c>
    </row>
    <row r="1764" spans="1:8" x14ac:dyDescent="0.25">
      <c r="A1764" s="1">
        <v>44819</v>
      </c>
      <c r="B1764" t="s">
        <v>11</v>
      </c>
      <c r="C1764" t="s">
        <v>65</v>
      </c>
      <c r="D1764" t="s">
        <v>30</v>
      </c>
      <c r="E1764">
        <v>203</v>
      </c>
      <c r="F1764">
        <f t="shared" si="54"/>
        <v>507.5</v>
      </c>
      <c r="G1764">
        <f>SUMIF($D$2:$D1764,$D1764,$E$2:$E1764)</f>
        <v>11179</v>
      </c>
      <c r="H1764">
        <f t="shared" si="55"/>
        <v>0</v>
      </c>
    </row>
    <row r="1765" spans="1:8" x14ac:dyDescent="0.25">
      <c r="A1765" s="1">
        <v>44819</v>
      </c>
      <c r="B1765" t="s">
        <v>11</v>
      </c>
      <c r="C1765" t="s">
        <v>65</v>
      </c>
      <c r="D1765" t="s">
        <v>51</v>
      </c>
      <c r="E1765">
        <v>334</v>
      </c>
      <c r="F1765">
        <f t="shared" si="54"/>
        <v>835</v>
      </c>
      <c r="G1765">
        <f>SUMIF($D$2:$D1765,$D1765,$E$2:$E1765)</f>
        <v>13298</v>
      </c>
      <c r="H1765">
        <f t="shared" si="55"/>
        <v>0</v>
      </c>
    </row>
    <row r="1766" spans="1:8" x14ac:dyDescent="0.25">
      <c r="A1766" s="1">
        <v>44819</v>
      </c>
      <c r="B1766" t="s">
        <v>11</v>
      </c>
      <c r="C1766" t="s">
        <v>65</v>
      </c>
      <c r="D1766" t="s">
        <v>29</v>
      </c>
      <c r="E1766">
        <v>284</v>
      </c>
      <c r="F1766">
        <f t="shared" si="54"/>
        <v>710</v>
      </c>
      <c r="G1766">
        <f>SUMIF($D$2:$D1766,$D1766,$E$2:$E1766)</f>
        <v>16368</v>
      </c>
      <c r="H1766">
        <f t="shared" si="55"/>
        <v>1420</v>
      </c>
    </row>
    <row r="1767" spans="1:8" x14ac:dyDescent="0.25">
      <c r="A1767" s="1">
        <v>44819</v>
      </c>
      <c r="B1767" t="s">
        <v>14</v>
      </c>
      <c r="C1767" t="s">
        <v>65</v>
      </c>
      <c r="D1767" t="s">
        <v>52</v>
      </c>
      <c r="E1767">
        <v>487</v>
      </c>
      <c r="F1767">
        <f t="shared" si="54"/>
        <v>1704.5</v>
      </c>
      <c r="G1767">
        <f>SUMIF($D$2:$D1767,$D1767,$E$2:$E1767)</f>
        <v>10588</v>
      </c>
      <c r="H1767">
        <f t="shared" si="55"/>
        <v>0</v>
      </c>
    </row>
    <row r="1768" spans="1:8" x14ac:dyDescent="0.25">
      <c r="A1768" s="1">
        <v>44819</v>
      </c>
      <c r="B1768" t="s">
        <v>3</v>
      </c>
      <c r="C1768" t="s">
        <v>65</v>
      </c>
      <c r="D1768" t="s">
        <v>51</v>
      </c>
      <c r="E1768">
        <v>138</v>
      </c>
      <c r="F1768">
        <f t="shared" si="54"/>
        <v>441.6</v>
      </c>
      <c r="G1768">
        <f>SUMIF($D$2:$D1768,$D1768,$E$2:$E1768)</f>
        <v>13436</v>
      </c>
      <c r="H1768">
        <f t="shared" si="55"/>
        <v>0</v>
      </c>
    </row>
    <row r="1769" spans="1:8" x14ac:dyDescent="0.25">
      <c r="A1769" s="1">
        <v>44819</v>
      </c>
      <c r="B1769" t="s">
        <v>11</v>
      </c>
      <c r="C1769" t="s">
        <v>65</v>
      </c>
      <c r="D1769" t="s">
        <v>41</v>
      </c>
      <c r="E1769">
        <v>196</v>
      </c>
      <c r="F1769">
        <f t="shared" si="54"/>
        <v>490</v>
      </c>
      <c r="G1769">
        <f>SUMIF($D$2:$D1769,$D1769,$E$2:$E1769)</f>
        <v>10168</v>
      </c>
      <c r="H1769">
        <f t="shared" si="55"/>
        <v>0</v>
      </c>
    </row>
    <row r="1770" spans="1:8" x14ac:dyDescent="0.25">
      <c r="A1770" s="1">
        <v>44820</v>
      </c>
      <c r="B1770" t="s">
        <v>3</v>
      </c>
      <c r="C1770" t="s">
        <v>65</v>
      </c>
      <c r="D1770" t="s">
        <v>53</v>
      </c>
      <c r="E1770">
        <v>355</v>
      </c>
      <c r="F1770">
        <f t="shared" si="54"/>
        <v>1136</v>
      </c>
      <c r="G1770">
        <f>SUMIF($D$2:$D1770,$D1770,$E$2:$E1770)</f>
        <v>11970</v>
      </c>
      <c r="H1770">
        <f t="shared" si="55"/>
        <v>0</v>
      </c>
    </row>
    <row r="1771" spans="1:8" x14ac:dyDescent="0.25">
      <c r="A1771" s="1">
        <v>44820</v>
      </c>
      <c r="B1771" t="s">
        <v>3</v>
      </c>
      <c r="C1771" t="s">
        <v>65</v>
      </c>
      <c r="D1771" t="s">
        <v>36</v>
      </c>
      <c r="E1771">
        <v>348</v>
      </c>
      <c r="F1771">
        <f t="shared" si="54"/>
        <v>1113.6000000000001</v>
      </c>
      <c r="G1771">
        <f>SUMIF($D$2:$D1771,$D1771,$E$2:$E1771)</f>
        <v>11377</v>
      </c>
      <c r="H1771">
        <f t="shared" si="55"/>
        <v>0</v>
      </c>
    </row>
    <row r="1772" spans="1:8" x14ac:dyDescent="0.25">
      <c r="A1772" s="1">
        <v>44820</v>
      </c>
      <c r="B1772" t="s">
        <v>14</v>
      </c>
      <c r="C1772" t="s">
        <v>65</v>
      </c>
      <c r="D1772" t="s">
        <v>54</v>
      </c>
      <c r="E1772">
        <v>15</v>
      </c>
      <c r="F1772">
        <f t="shared" si="54"/>
        <v>52.5</v>
      </c>
      <c r="G1772">
        <f>SUMIF($D$2:$D1772,$D1772,$E$2:$E1772)</f>
        <v>12707</v>
      </c>
      <c r="H1772">
        <f t="shared" si="55"/>
        <v>0</v>
      </c>
    </row>
    <row r="1773" spans="1:8" x14ac:dyDescent="0.25">
      <c r="A1773" s="1">
        <v>44820</v>
      </c>
      <c r="B1773" t="s">
        <v>1</v>
      </c>
      <c r="C1773" t="s">
        <v>65</v>
      </c>
      <c r="D1773" t="s">
        <v>47</v>
      </c>
      <c r="E1773">
        <v>475</v>
      </c>
      <c r="F1773">
        <f t="shared" si="54"/>
        <v>1520</v>
      </c>
      <c r="G1773">
        <f>SUMIF($D$2:$D1773,$D1773,$E$2:$E1773)</f>
        <v>8463</v>
      </c>
      <c r="H1773">
        <f t="shared" si="55"/>
        <v>0</v>
      </c>
    </row>
    <row r="1774" spans="1:8" x14ac:dyDescent="0.25">
      <c r="A1774" s="1">
        <v>44820</v>
      </c>
      <c r="B1774" t="s">
        <v>14</v>
      </c>
      <c r="C1774" t="s">
        <v>65</v>
      </c>
      <c r="D1774" t="s">
        <v>56</v>
      </c>
      <c r="E1774">
        <v>234</v>
      </c>
      <c r="F1774">
        <f t="shared" si="54"/>
        <v>819</v>
      </c>
      <c r="G1774">
        <f>SUMIF($D$2:$D1774,$D1774,$E$2:$E1774)</f>
        <v>11576</v>
      </c>
      <c r="H1774">
        <f t="shared" si="55"/>
        <v>0</v>
      </c>
    </row>
    <row r="1775" spans="1:8" x14ac:dyDescent="0.25">
      <c r="A1775" s="1">
        <v>44820</v>
      </c>
      <c r="B1775" t="s">
        <v>14</v>
      </c>
      <c r="C1775" t="s">
        <v>65</v>
      </c>
      <c r="D1775" t="s">
        <v>45</v>
      </c>
      <c r="E1775">
        <v>198</v>
      </c>
      <c r="F1775">
        <f t="shared" si="54"/>
        <v>693</v>
      </c>
      <c r="G1775">
        <f>SUMIF($D$2:$D1775,$D1775,$E$2:$E1775)</f>
        <v>10898</v>
      </c>
      <c r="H1775">
        <f t="shared" si="55"/>
        <v>0</v>
      </c>
    </row>
    <row r="1776" spans="1:8" x14ac:dyDescent="0.25">
      <c r="A1776" s="1">
        <v>44821</v>
      </c>
      <c r="B1776" t="s">
        <v>14</v>
      </c>
      <c r="C1776" t="s">
        <v>65</v>
      </c>
      <c r="D1776" t="s">
        <v>67</v>
      </c>
      <c r="E1776">
        <v>459</v>
      </c>
      <c r="F1776">
        <f t="shared" si="54"/>
        <v>1606.5</v>
      </c>
      <c r="G1776">
        <f>SUMIF($D$2:$D1776,$D1776,$E$2:$E1776)</f>
        <v>13263</v>
      </c>
      <c r="H1776">
        <f t="shared" si="55"/>
        <v>0</v>
      </c>
    </row>
    <row r="1777" spans="1:8" x14ac:dyDescent="0.25">
      <c r="A1777" s="1">
        <v>44821</v>
      </c>
      <c r="B1777" t="s">
        <v>14</v>
      </c>
      <c r="C1777" t="s">
        <v>65</v>
      </c>
      <c r="D1777" t="s">
        <v>25</v>
      </c>
      <c r="E1777">
        <v>299</v>
      </c>
      <c r="F1777">
        <f t="shared" si="54"/>
        <v>1046.5</v>
      </c>
      <c r="G1777">
        <f>SUMIF($D$2:$D1777,$D1777,$E$2:$E1777)</f>
        <v>10232</v>
      </c>
      <c r="H1777">
        <f t="shared" si="55"/>
        <v>0</v>
      </c>
    </row>
    <row r="1778" spans="1:8" x14ac:dyDescent="0.25">
      <c r="A1778" s="1">
        <v>44821</v>
      </c>
      <c r="B1778" t="s">
        <v>11</v>
      </c>
      <c r="C1778" t="s">
        <v>65</v>
      </c>
      <c r="D1778" t="s">
        <v>53</v>
      </c>
      <c r="E1778">
        <v>138</v>
      </c>
      <c r="F1778">
        <f t="shared" si="54"/>
        <v>345</v>
      </c>
      <c r="G1778">
        <f>SUMIF($D$2:$D1778,$D1778,$E$2:$E1778)</f>
        <v>12108</v>
      </c>
      <c r="H1778">
        <f t="shared" si="55"/>
        <v>0</v>
      </c>
    </row>
    <row r="1779" spans="1:8" x14ac:dyDescent="0.25">
      <c r="A1779" s="1">
        <v>44821</v>
      </c>
      <c r="B1779" t="s">
        <v>9</v>
      </c>
      <c r="C1779" t="s">
        <v>65</v>
      </c>
      <c r="D1779" t="s">
        <v>23</v>
      </c>
      <c r="E1779">
        <v>173</v>
      </c>
      <c r="F1779">
        <f t="shared" si="54"/>
        <v>432.5</v>
      </c>
      <c r="G1779">
        <f>SUMIF($D$2:$D1779,$D1779,$E$2:$E1779)</f>
        <v>9014</v>
      </c>
      <c r="H1779">
        <f t="shared" si="55"/>
        <v>0</v>
      </c>
    </row>
    <row r="1780" spans="1:8" x14ac:dyDescent="0.25">
      <c r="A1780" s="1">
        <v>44821</v>
      </c>
      <c r="B1780" t="s">
        <v>14</v>
      </c>
      <c r="C1780" t="s">
        <v>65</v>
      </c>
      <c r="D1780" t="s">
        <v>25</v>
      </c>
      <c r="E1780">
        <v>126</v>
      </c>
      <c r="F1780">
        <f t="shared" si="54"/>
        <v>441</v>
      </c>
      <c r="G1780">
        <f>SUMIF($D$2:$D1780,$D1780,$E$2:$E1780)</f>
        <v>10358</v>
      </c>
      <c r="H1780">
        <f t="shared" si="55"/>
        <v>0</v>
      </c>
    </row>
    <row r="1781" spans="1:8" x14ac:dyDescent="0.25">
      <c r="A1781" s="1">
        <v>44821</v>
      </c>
      <c r="B1781" t="s">
        <v>14</v>
      </c>
      <c r="C1781" t="s">
        <v>65</v>
      </c>
      <c r="D1781" t="s">
        <v>22</v>
      </c>
      <c r="E1781">
        <v>88</v>
      </c>
      <c r="F1781">
        <f t="shared" si="54"/>
        <v>308</v>
      </c>
      <c r="G1781">
        <f>SUMIF($D$2:$D1781,$D1781,$E$2:$E1781)</f>
        <v>11135</v>
      </c>
      <c r="H1781">
        <f t="shared" si="55"/>
        <v>0</v>
      </c>
    </row>
    <row r="1782" spans="1:8" x14ac:dyDescent="0.25">
      <c r="A1782" s="1">
        <v>44821</v>
      </c>
      <c r="B1782" t="s">
        <v>11</v>
      </c>
      <c r="C1782" t="s">
        <v>65</v>
      </c>
      <c r="D1782" t="s">
        <v>47</v>
      </c>
      <c r="E1782">
        <v>129</v>
      </c>
      <c r="F1782">
        <f t="shared" si="54"/>
        <v>322.5</v>
      </c>
      <c r="G1782">
        <f>SUMIF($D$2:$D1782,$D1782,$E$2:$E1782)</f>
        <v>8592</v>
      </c>
      <c r="H1782">
        <f t="shared" si="55"/>
        <v>0</v>
      </c>
    </row>
    <row r="1783" spans="1:8" x14ac:dyDescent="0.25">
      <c r="A1783" s="1">
        <v>44821</v>
      </c>
      <c r="B1783" t="s">
        <v>3</v>
      </c>
      <c r="C1783" t="s">
        <v>65</v>
      </c>
      <c r="D1783" t="s">
        <v>45</v>
      </c>
      <c r="E1783">
        <v>325</v>
      </c>
      <c r="F1783">
        <f t="shared" si="54"/>
        <v>1040</v>
      </c>
      <c r="G1783">
        <f>SUMIF($D$2:$D1783,$D1783,$E$2:$E1783)</f>
        <v>11223</v>
      </c>
      <c r="H1783">
        <f t="shared" si="55"/>
        <v>0</v>
      </c>
    </row>
    <row r="1784" spans="1:8" x14ac:dyDescent="0.25">
      <c r="A1784" s="1">
        <v>44821</v>
      </c>
      <c r="B1784" t="s">
        <v>14</v>
      </c>
      <c r="C1784" t="s">
        <v>65</v>
      </c>
      <c r="D1784" t="s">
        <v>54</v>
      </c>
      <c r="E1784">
        <v>324</v>
      </c>
      <c r="F1784">
        <f t="shared" si="54"/>
        <v>1134</v>
      </c>
      <c r="G1784">
        <f>SUMIF($D$2:$D1784,$D1784,$E$2:$E1784)</f>
        <v>13031</v>
      </c>
      <c r="H1784">
        <f t="shared" si="55"/>
        <v>0</v>
      </c>
    </row>
    <row r="1785" spans="1:8" x14ac:dyDescent="0.25">
      <c r="A1785" s="1">
        <v>44821</v>
      </c>
      <c r="B1785" t="s">
        <v>14</v>
      </c>
      <c r="C1785" t="s">
        <v>65</v>
      </c>
      <c r="D1785" t="s">
        <v>54</v>
      </c>
      <c r="E1785">
        <v>497</v>
      </c>
      <c r="F1785">
        <f t="shared" si="54"/>
        <v>1739.5</v>
      </c>
      <c r="G1785">
        <f>SUMIF($D$2:$D1785,$D1785,$E$2:$E1785)</f>
        <v>13528</v>
      </c>
      <c r="H1785">
        <f t="shared" si="55"/>
        <v>0</v>
      </c>
    </row>
    <row r="1786" spans="1:8" x14ac:dyDescent="0.25">
      <c r="A1786" s="1">
        <v>44823</v>
      </c>
      <c r="B1786" t="s">
        <v>3</v>
      </c>
      <c r="C1786" t="s">
        <v>65</v>
      </c>
      <c r="D1786" t="s">
        <v>60</v>
      </c>
      <c r="E1786">
        <v>62</v>
      </c>
      <c r="F1786">
        <f t="shared" si="54"/>
        <v>198.4</v>
      </c>
      <c r="G1786">
        <f>SUMIF($D$2:$D1786,$D1786,$E$2:$E1786)</f>
        <v>12528</v>
      </c>
      <c r="H1786">
        <f t="shared" si="55"/>
        <v>0</v>
      </c>
    </row>
    <row r="1787" spans="1:8" x14ac:dyDescent="0.25">
      <c r="A1787" s="1">
        <v>44823</v>
      </c>
      <c r="B1787" t="s">
        <v>9</v>
      </c>
      <c r="C1787" t="s">
        <v>65</v>
      </c>
      <c r="D1787" t="s">
        <v>42</v>
      </c>
      <c r="E1787">
        <v>164</v>
      </c>
      <c r="F1787">
        <f t="shared" si="54"/>
        <v>410</v>
      </c>
      <c r="G1787">
        <f>SUMIF($D$2:$D1787,$D1787,$E$2:$E1787)</f>
        <v>9205</v>
      </c>
      <c r="H1787">
        <f t="shared" si="55"/>
        <v>0</v>
      </c>
    </row>
    <row r="1788" spans="1:8" x14ac:dyDescent="0.25">
      <c r="A1788" s="1">
        <v>44823</v>
      </c>
      <c r="B1788" t="s">
        <v>1</v>
      </c>
      <c r="C1788" t="s">
        <v>65</v>
      </c>
      <c r="D1788" t="s">
        <v>59</v>
      </c>
      <c r="E1788">
        <v>101</v>
      </c>
      <c r="F1788">
        <f t="shared" si="54"/>
        <v>323.20000000000005</v>
      </c>
      <c r="G1788">
        <f>SUMIF($D$2:$D1788,$D1788,$E$2:$E1788)</f>
        <v>7885</v>
      </c>
      <c r="H1788">
        <f t="shared" si="55"/>
        <v>0</v>
      </c>
    </row>
    <row r="1789" spans="1:8" x14ac:dyDescent="0.25">
      <c r="A1789" s="1">
        <v>44823</v>
      </c>
      <c r="B1789" t="s">
        <v>9</v>
      </c>
      <c r="C1789" t="s">
        <v>65</v>
      </c>
      <c r="D1789" t="s">
        <v>46</v>
      </c>
      <c r="E1789">
        <v>37</v>
      </c>
      <c r="F1789">
        <f t="shared" si="54"/>
        <v>92.5</v>
      </c>
      <c r="G1789">
        <f>SUMIF($D$2:$D1789,$D1789,$E$2:$E1789)</f>
        <v>11258</v>
      </c>
      <c r="H1789">
        <f t="shared" si="55"/>
        <v>0</v>
      </c>
    </row>
    <row r="1790" spans="1:8" x14ac:dyDescent="0.25">
      <c r="A1790" s="1">
        <v>44823</v>
      </c>
      <c r="B1790" t="s">
        <v>14</v>
      </c>
      <c r="C1790" t="s">
        <v>65</v>
      </c>
      <c r="D1790" t="s">
        <v>45</v>
      </c>
      <c r="E1790">
        <v>200</v>
      </c>
      <c r="F1790">
        <f t="shared" si="54"/>
        <v>700</v>
      </c>
      <c r="G1790">
        <f>SUMIF($D$2:$D1790,$D1790,$E$2:$E1790)</f>
        <v>11423</v>
      </c>
      <c r="H1790">
        <f t="shared" si="55"/>
        <v>0</v>
      </c>
    </row>
    <row r="1791" spans="1:8" x14ac:dyDescent="0.25">
      <c r="A1791" s="1">
        <v>44823</v>
      </c>
      <c r="B1791" t="s">
        <v>14</v>
      </c>
      <c r="C1791" t="s">
        <v>65</v>
      </c>
      <c r="D1791" t="s">
        <v>25</v>
      </c>
      <c r="E1791">
        <v>303</v>
      </c>
      <c r="F1791">
        <f t="shared" si="54"/>
        <v>1060.5</v>
      </c>
      <c r="G1791">
        <f>SUMIF($D$2:$D1791,$D1791,$E$2:$E1791)</f>
        <v>10661</v>
      </c>
      <c r="H1791">
        <f t="shared" si="55"/>
        <v>0</v>
      </c>
    </row>
    <row r="1792" spans="1:8" x14ac:dyDescent="0.25">
      <c r="A1792" s="1">
        <v>44823</v>
      </c>
      <c r="B1792" t="s">
        <v>11</v>
      </c>
      <c r="C1792" t="s">
        <v>65</v>
      </c>
      <c r="D1792" t="s">
        <v>30</v>
      </c>
      <c r="E1792">
        <v>325</v>
      </c>
      <c r="F1792">
        <f t="shared" si="54"/>
        <v>812.5</v>
      </c>
      <c r="G1792">
        <f>SUMIF($D$2:$D1792,$D1792,$E$2:$E1792)</f>
        <v>11504</v>
      </c>
      <c r="H1792">
        <f t="shared" si="55"/>
        <v>0</v>
      </c>
    </row>
    <row r="1793" spans="1:8" x14ac:dyDescent="0.25">
      <c r="A1793" s="1">
        <v>44823</v>
      </c>
      <c r="B1793" t="s">
        <v>11</v>
      </c>
      <c r="C1793" t="s">
        <v>65</v>
      </c>
      <c r="D1793" t="s">
        <v>35</v>
      </c>
      <c r="E1793">
        <v>394</v>
      </c>
      <c r="F1793">
        <f t="shared" si="54"/>
        <v>985</v>
      </c>
      <c r="G1793">
        <f>SUMIF($D$2:$D1793,$D1793,$E$2:$E1793)</f>
        <v>10477</v>
      </c>
      <c r="H1793">
        <f t="shared" si="55"/>
        <v>0</v>
      </c>
    </row>
    <row r="1794" spans="1:8" x14ac:dyDescent="0.25">
      <c r="A1794" s="1">
        <v>44823</v>
      </c>
      <c r="B1794" t="s">
        <v>9</v>
      </c>
      <c r="C1794" t="s">
        <v>65</v>
      </c>
      <c r="D1794" t="s">
        <v>45</v>
      </c>
      <c r="E1794">
        <v>353</v>
      </c>
      <c r="F1794">
        <f t="shared" si="54"/>
        <v>882.5</v>
      </c>
      <c r="G1794">
        <f>SUMIF($D$2:$D1794,$D1794,$E$2:$E1794)</f>
        <v>11776</v>
      </c>
      <c r="H1794">
        <f t="shared" si="55"/>
        <v>0</v>
      </c>
    </row>
    <row r="1795" spans="1:8" x14ac:dyDescent="0.25">
      <c r="A1795" s="1">
        <v>44823</v>
      </c>
      <c r="B1795" t="s">
        <v>14</v>
      </c>
      <c r="C1795" t="s">
        <v>65</v>
      </c>
      <c r="D1795" t="s">
        <v>21</v>
      </c>
      <c r="E1795">
        <v>432</v>
      </c>
      <c r="F1795">
        <f t="shared" ref="F1795:F1858" si="56">E1795* _xlfn.XLOOKUP(B1795,$I$2:$I$17,$J$2:$J$17,"0",0,1)</f>
        <v>1512</v>
      </c>
      <c r="G1795">
        <f>SUMIF($D$2:$D1795,$D1795,$E$2:$E1795)</f>
        <v>10497</v>
      </c>
      <c r="H1795">
        <f t="shared" ref="H1795:H1858" si="57">IF(AND($G1795 &gt; 15000,$G1795 &lt; 20000),5*$E1795,IF($G1795 &gt;= 20000,10*$E1795,0))</f>
        <v>0</v>
      </c>
    </row>
    <row r="1796" spans="1:8" x14ac:dyDescent="0.25">
      <c r="A1796" s="1">
        <v>44823</v>
      </c>
      <c r="B1796" t="s">
        <v>3</v>
      </c>
      <c r="C1796" t="s">
        <v>65</v>
      </c>
      <c r="D1796" t="s">
        <v>48</v>
      </c>
      <c r="E1796">
        <v>306</v>
      </c>
      <c r="F1796">
        <f t="shared" si="56"/>
        <v>979.2</v>
      </c>
      <c r="G1796">
        <f>SUMIF($D$2:$D1796,$D1796,$E$2:$E1796)</f>
        <v>9072</v>
      </c>
      <c r="H1796">
        <f t="shared" si="57"/>
        <v>0</v>
      </c>
    </row>
    <row r="1797" spans="1:8" x14ac:dyDescent="0.25">
      <c r="A1797" s="1">
        <v>44823</v>
      </c>
      <c r="B1797" t="s">
        <v>14</v>
      </c>
      <c r="C1797" t="s">
        <v>65</v>
      </c>
      <c r="D1797" t="s">
        <v>29</v>
      </c>
      <c r="E1797">
        <v>82</v>
      </c>
      <c r="F1797">
        <f t="shared" si="56"/>
        <v>287</v>
      </c>
      <c r="G1797">
        <f>SUMIF($D$2:$D1797,$D1797,$E$2:$E1797)</f>
        <v>16450</v>
      </c>
      <c r="H1797">
        <f t="shared" si="57"/>
        <v>410</v>
      </c>
    </row>
    <row r="1798" spans="1:8" x14ac:dyDescent="0.25">
      <c r="A1798" s="1">
        <v>44824</v>
      </c>
      <c r="B1798" t="s">
        <v>11</v>
      </c>
      <c r="C1798" t="s">
        <v>65</v>
      </c>
      <c r="D1798" t="s">
        <v>42</v>
      </c>
      <c r="E1798">
        <v>498</v>
      </c>
      <c r="F1798">
        <f t="shared" si="56"/>
        <v>1245</v>
      </c>
      <c r="G1798">
        <f>SUMIF($D$2:$D1798,$D1798,$E$2:$E1798)</f>
        <v>9703</v>
      </c>
      <c r="H1798">
        <f t="shared" si="57"/>
        <v>0</v>
      </c>
    </row>
    <row r="1799" spans="1:8" x14ac:dyDescent="0.25">
      <c r="A1799" s="1">
        <v>44824</v>
      </c>
      <c r="B1799" t="s">
        <v>9</v>
      </c>
      <c r="C1799" t="s">
        <v>65</v>
      </c>
      <c r="D1799" t="s">
        <v>18</v>
      </c>
      <c r="E1799">
        <v>82</v>
      </c>
      <c r="F1799">
        <f t="shared" si="56"/>
        <v>205</v>
      </c>
      <c r="G1799">
        <f>SUMIF($D$2:$D1799,$D1799,$E$2:$E1799)</f>
        <v>10871</v>
      </c>
      <c r="H1799">
        <f t="shared" si="57"/>
        <v>0</v>
      </c>
    </row>
    <row r="1800" spans="1:8" x14ac:dyDescent="0.25">
      <c r="A1800" s="1">
        <v>44825</v>
      </c>
      <c r="B1800" t="s">
        <v>1</v>
      </c>
      <c r="C1800" t="s">
        <v>65</v>
      </c>
      <c r="D1800" t="s">
        <v>34</v>
      </c>
      <c r="E1800">
        <v>215</v>
      </c>
      <c r="F1800">
        <f t="shared" si="56"/>
        <v>688</v>
      </c>
      <c r="G1800">
        <f>SUMIF($D$2:$D1800,$D1800,$E$2:$E1800)</f>
        <v>11863</v>
      </c>
      <c r="H1800">
        <f t="shared" si="57"/>
        <v>0</v>
      </c>
    </row>
    <row r="1801" spans="1:8" x14ac:dyDescent="0.25">
      <c r="A1801" s="1">
        <v>44825</v>
      </c>
      <c r="B1801" t="s">
        <v>9</v>
      </c>
      <c r="C1801" t="s">
        <v>65</v>
      </c>
      <c r="D1801" t="s">
        <v>47</v>
      </c>
      <c r="E1801">
        <v>107</v>
      </c>
      <c r="F1801">
        <f t="shared" si="56"/>
        <v>267.5</v>
      </c>
      <c r="G1801">
        <f>SUMIF($D$2:$D1801,$D1801,$E$2:$E1801)</f>
        <v>8699</v>
      </c>
      <c r="H1801">
        <f t="shared" si="57"/>
        <v>0</v>
      </c>
    </row>
    <row r="1802" spans="1:8" x14ac:dyDescent="0.25">
      <c r="A1802" s="1">
        <v>44825</v>
      </c>
      <c r="B1802" t="s">
        <v>9</v>
      </c>
      <c r="C1802" t="s">
        <v>65</v>
      </c>
      <c r="D1802" t="s">
        <v>26</v>
      </c>
      <c r="E1802">
        <v>399</v>
      </c>
      <c r="F1802">
        <f t="shared" si="56"/>
        <v>997.5</v>
      </c>
      <c r="G1802">
        <f>SUMIF($D$2:$D1802,$D1802,$E$2:$E1802)</f>
        <v>14942</v>
      </c>
      <c r="H1802">
        <f t="shared" si="57"/>
        <v>0</v>
      </c>
    </row>
    <row r="1803" spans="1:8" x14ac:dyDescent="0.25">
      <c r="A1803" s="1">
        <v>44825</v>
      </c>
      <c r="B1803" t="s">
        <v>1</v>
      </c>
      <c r="C1803" t="s">
        <v>65</v>
      </c>
      <c r="D1803" t="s">
        <v>42</v>
      </c>
      <c r="E1803">
        <v>307</v>
      </c>
      <c r="F1803">
        <f t="shared" si="56"/>
        <v>982.40000000000009</v>
      </c>
      <c r="G1803">
        <f>SUMIF($D$2:$D1803,$D1803,$E$2:$E1803)</f>
        <v>10010</v>
      </c>
      <c r="H1803">
        <f t="shared" si="57"/>
        <v>0</v>
      </c>
    </row>
    <row r="1804" spans="1:8" x14ac:dyDescent="0.25">
      <c r="A1804" s="1">
        <v>44825</v>
      </c>
      <c r="B1804" t="s">
        <v>3</v>
      </c>
      <c r="C1804" t="s">
        <v>65</v>
      </c>
      <c r="D1804" t="s">
        <v>66</v>
      </c>
      <c r="E1804">
        <v>211</v>
      </c>
      <c r="F1804">
        <f t="shared" si="56"/>
        <v>675.2</v>
      </c>
      <c r="G1804">
        <f>SUMIF($D$2:$D1804,$D1804,$E$2:$E1804)</f>
        <v>11899</v>
      </c>
      <c r="H1804">
        <f t="shared" si="57"/>
        <v>0</v>
      </c>
    </row>
    <row r="1805" spans="1:8" x14ac:dyDescent="0.25">
      <c r="A1805" s="1">
        <v>44825</v>
      </c>
      <c r="B1805" t="s">
        <v>1</v>
      </c>
      <c r="C1805" t="s">
        <v>65</v>
      </c>
      <c r="D1805" t="s">
        <v>41</v>
      </c>
      <c r="E1805">
        <v>401</v>
      </c>
      <c r="F1805">
        <f t="shared" si="56"/>
        <v>1283.2</v>
      </c>
      <c r="G1805">
        <f>SUMIF($D$2:$D1805,$D1805,$E$2:$E1805)</f>
        <v>10569</v>
      </c>
      <c r="H1805">
        <f t="shared" si="57"/>
        <v>0</v>
      </c>
    </row>
    <row r="1806" spans="1:8" x14ac:dyDescent="0.25">
      <c r="A1806" s="1">
        <v>44825</v>
      </c>
      <c r="B1806" t="s">
        <v>3</v>
      </c>
      <c r="C1806" t="s">
        <v>65</v>
      </c>
      <c r="D1806" t="s">
        <v>28</v>
      </c>
      <c r="E1806">
        <v>164</v>
      </c>
      <c r="F1806">
        <f t="shared" si="56"/>
        <v>524.80000000000007</v>
      </c>
      <c r="G1806">
        <f>SUMIF($D$2:$D1806,$D1806,$E$2:$E1806)</f>
        <v>10314</v>
      </c>
      <c r="H1806">
        <f t="shared" si="57"/>
        <v>0</v>
      </c>
    </row>
    <row r="1807" spans="1:8" x14ac:dyDescent="0.25">
      <c r="A1807" s="1">
        <v>44825</v>
      </c>
      <c r="B1807" t="s">
        <v>14</v>
      </c>
      <c r="C1807" t="s">
        <v>65</v>
      </c>
      <c r="D1807" t="s">
        <v>24</v>
      </c>
      <c r="E1807">
        <v>281</v>
      </c>
      <c r="F1807">
        <f t="shared" si="56"/>
        <v>983.5</v>
      </c>
      <c r="G1807">
        <f>SUMIF($D$2:$D1807,$D1807,$E$2:$E1807)</f>
        <v>9836</v>
      </c>
      <c r="H1807">
        <f t="shared" si="57"/>
        <v>0</v>
      </c>
    </row>
    <row r="1808" spans="1:8" x14ac:dyDescent="0.25">
      <c r="A1808" s="1">
        <v>44825</v>
      </c>
      <c r="B1808" t="s">
        <v>14</v>
      </c>
      <c r="C1808" t="s">
        <v>65</v>
      </c>
      <c r="D1808" t="s">
        <v>60</v>
      </c>
      <c r="E1808">
        <v>236</v>
      </c>
      <c r="F1808">
        <f t="shared" si="56"/>
        <v>826</v>
      </c>
      <c r="G1808">
        <f>SUMIF($D$2:$D1808,$D1808,$E$2:$E1808)</f>
        <v>12764</v>
      </c>
      <c r="H1808">
        <f t="shared" si="57"/>
        <v>0</v>
      </c>
    </row>
    <row r="1809" spans="1:8" x14ac:dyDescent="0.25">
      <c r="A1809" s="1">
        <v>44825</v>
      </c>
      <c r="B1809" t="s">
        <v>9</v>
      </c>
      <c r="C1809" t="s">
        <v>65</v>
      </c>
      <c r="D1809" t="s">
        <v>30</v>
      </c>
      <c r="E1809">
        <v>458</v>
      </c>
      <c r="F1809">
        <f t="shared" si="56"/>
        <v>1145</v>
      </c>
      <c r="G1809">
        <f>SUMIF($D$2:$D1809,$D1809,$E$2:$E1809)</f>
        <v>11962</v>
      </c>
      <c r="H1809">
        <f t="shared" si="57"/>
        <v>0</v>
      </c>
    </row>
    <row r="1810" spans="1:8" x14ac:dyDescent="0.25">
      <c r="A1810" s="1">
        <v>44825</v>
      </c>
      <c r="B1810" t="s">
        <v>3</v>
      </c>
      <c r="C1810" t="s">
        <v>65</v>
      </c>
      <c r="D1810" t="s">
        <v>21</v>
      </c>
      <c r="E1810">
        <v>136</v>
      </c>
      <c r="F1810">
        <f t="shared" si="56"/>
        <v>435.20000000000005</v>
      </c>
      <c r="G1810">
        <f>SUMIF($D$2:$D1810,$D1810,$E$2:$E1810)</f>
        <v>10633</v>
      </c>
      <c r="H1810">
        <f t="shared" si="57"/>
        <v>0</v>
      </c>
    </row>
    <row r="1811" spans="1:8" x14ac:dyDescent="0.25">
      <c r="A1811" s="1">
        <v>44825</v>
      </c>
      <c r="B1811" t="s">
        <v>14</v>
      </c>
      <c r="C1811" t="s">
        <v>65</v>
      </c>
      <c r="D1811" t="s">
        <v>41</v>
      </c>
      <c r="E1811">
        <v>150</v>
      </c>
      <c r="F1811">
        <f t="shared" si="56"/>
        <v>525</v>
      </c>
      <c r="G1811">
        <f>SUMIF($D$2:$D1811,$D1811,$E$2:$E1811)</f>
        <v>10719</v>
      </c>
      <c r="H1811">
        <f t="shared" si="57"/>
        <v>0</v>
      </c>
    </row>
    <row r="1812" spans="1:8" x14ac:dyDescent="0.25">
      <c r="A1812" s="1">
        <v>44826</v>
      </c>
      <c r="B1812" t="s">
        <v>3</v>
      </c>
      <c r="C1812" t="s">
        <v>65</v>
      </c>
      <c r="D1812" t="s">
        <v>62</v>
      </c>
      <c r="E1812">
        <v>263</v>
      </c>
      <c r="F1812">
        <f t="shared" si="56"/>
        <v>841.6</v>
      </c>
      <c r="G1812">
        <f>SUMIF($D$2:$D1812,$D1812,$E$2:$E1812)</f>
        <v>10291</v>
      </c>
      <c r="H1812">
        <f t="shared" si="57"/>
        <v>0</v>
      </c>
    </row>
    <row r="1813" spans="1:8" x14ac:dyDescent="0.25">
      <c r="A1813" s="1">
        <v>44826</v>
      </c>
      <c r="B1813" t="s">
        <v>3</v>
      </c>
      <c r="C1813" t="s">
        <v>65</v>
      </c>
      <c r="D1813" t="s">
        <v>60</v>
      </c>
      <c r="E1813">
        <v>24</v>
      </c>
      <c r="F1813">
        <f t="shared" si="56"/>
        <v>76.800000000000011</v>
      </c>
      <c r="G1813">
        <f>SUMIF($D$2:$D1813,$D1813,$E$2:$E1813)</f>
        <v>12788</v>
      </c>
      <c r="H1813">
        <f t="shared" si="57"/>
        <v>0</v>
      </c>
    </row>
    <row r="1814" spans="1:8" x14ac:dyDescent="0.25">
      <c r="A1814" s="1">
        <v>44826</v>
      </c>
      <c r="B1814" t="s">
        <v>1</v>
      </c>
      <c r="C1814" t="s">
        <v>65</v>
      </c>
      <c r="D1814" t="s">
        <v>63</v>
      </c>
      <c r="E1814">
        <v>374</v>
      </c>
      <c r="F1814">
        <f t="shared" si="56"/>
        <v>1196.8</v>
      </c>
      <c r="G1814">
        <f>SUMIF($D$2:$D1814,$D1814,$E$2:$E1814)</f>
        <v>9589</v>
      </c>
      <c r="H1814">
        <f t="shared" si="57"/>
        <v>0</v>
      </c>
    </row>
    <row r="1815" spans="1:8" x14ac:dyDescent="0.25">
      <c r="A1815" s="1">
        <v>44826</v>
      </c>
      <c r="B1815" t="s">
        <v>1</v>
      </c>
      <c r="C1815" t="s">
        <v>65</v>
      </c>
      <c r="D1815" t="s">
        <v>45</v>
      </c>
      <c r="E1815">
        <v>101</v>
      </c>
      <c r="F1815">
        <f t="shared" si="56"/>
        <v>323.20000000000005</v>
      </c>
      <c r="G1815">
        <f>SUMIF($D$2:$D1815,$D1815,$E$2:$E1815)</f>
        <v>11877</v>
      </c>
      <c r="H1815">
        <f t="shared" si="57"/>
        <v>0</v>
      </c>
    </row>
    <row r="1816" spans="1:8" x14ac:dyDescent="0.25">
      <c r="A1816" s="1">
        <v>44826</v>
      </c>
      <c r="B1816" t="s">
        <v>1</v>
      </c>
      <c r="C1816" t="s">
        <v>65</v>
      </c>
      <c r="D1816" t="s">
        <v>61</v>
      </c>
      <c r="E1816">
        <v>156</v>
      </c>
      <c r="F1816">
        <f t="shared" si="56"/>
        <v>499.20000000000005</v>
      </c>
      <c r="G1816">
        <f>SUMIF($D$2:$D1816,$D1816,$E$2:$E1816)</f>
        <v>12151</v>
      </c>
      <c r="H1816">
        <f t="shared" si="57"/>
        <v>0</v>
      </c>
    </row>
    <row r="1817" spans="1:8" x14ac:dyDescent="0.25">
      <c r="A1817" s="1">
        <v>44826</v>
      </c>
      <c r="B1817" t="s">
        <v>14</v>
      </c>
      <c r="C1817" t="s">
        <v>65</v>
      </c>
      <c r="D1817" t="s">
        <v>57</v>
      </c>
      <c r="E1817">
        <v>481</v>
      </c>
      <c r="F1817">
        <f t="shared" si="56"/>
        <v>1683.5</v>
      </c>
      <c r="G1817">
        <f>SUMIF($D$2:$D1817,$D1817,$E$2:$E1817)</f>
        <v>14484</v>
      </c>
      <c r="H1817">
        <f t="shared" si="57"/>
        <v>0</v>
      </c>
    </row>
    <row r="1818" spans="1:8" x14ac:dyDescent="0.25">
      <c r="A1818" s="1">
        <v>44826</v>
      </c>
      <c r="B1818" t="s">
        <v>14</v>
      </c>
      <c r="C1818" t="s">
        <v>65</v>
      </c>
      <c r="D1818" t="s">
        <v>66</v>
      </c>
      <c r="E1818">
        <v>464</v>
      </c>
      <c r="F1818">
        <f t="shared" si="56"/>
        <v>1624</v>
      </c>
      <c r="G1818">
        <f>SUMIF($D$2:$D1818,$D1818,$E$2:$E1818)</f>
        <v>12363</v>
      </c>
      <c r="H1818">
        <f t="shared" si="57"/>
        <v>0</v>
      </c>
    </row>
    <row r="1819" spans="1:8" x14ac:dyDescent="0.25">
      <c r="A1819" s="1">
        <v>44826</v>
      </c>
      <c r="B1819" t="s">
        <v>11</v>
      </c>
      <c r="C1819" t="s">
        <v>65</v>
      </c>
      <c r="D1819" t="s">
        <v>34</v>
      </c>
      <c r="E1819">
        <v>449</v>
      </c>
      <c r="F1819">
        <f t="shared" si="56"/>
        <v>1122.5</v>
      </c>
      <c r="G1819">
        <f>SUMIF($D$2:$D1819,$D1819,$E$2:$E1819)</f>
        <v>12312</v>
      </c>
      <c r="H1819">
        <f t="shared" si="57"/>
        <v>0</v>
      </c>
    </row>
    <row r="1820" spans="1:8" x14ac:dyDescent="0.25">
      <c r="A1820" s="1">
        <v>44826</v>
      </c>
      <c r="B1820" t="s">
        <v>9</v>
      </c>
      <c r="C1820" t="s">
        <v>65</v>
      </c>
      <c r="D1820" t="s">
        <v>24</v>
      </c>
      <c r="E1820">
        <v>290</v>
      </c>
      <c r="F1820">
        <f t="shared" si="56"/>
        <v>725</v>
      </c>
      <c r="G1820">
        <f>SUMIF($D$2:$D1820,$D1820,$E$2:$E1820)</f>
        <v>10126</v>
      </c>
      <c r="H1820">
        <f t="shared" si="57"/>
        <v>0</v>
      </c>
    </row>
    <row r="1821" spans="1:8" x14ac:dyDescent="0.25">
      <c r="A1821" s="1">
        <v>44826</v>
      </c>
      <c r="B1821" t="s">
        <v>9</v>
      </c>
      <c r="C1821" t="s">
        <v>65</v>
      </c>
      <c r="D1821" t="s">
        <v>16</v>
      </c>
      <c r="E1821">
        <v>165</v>
      </c>
      <c r="F1821">
        <f t="shared" si="56"/>
        <v>412.5</v>
      </c>
      <c r="G1821">
        <f>SUMIF($D$2:$D1821,$D1821,$E$2:$E1821)</f>
        <v>11603</v>
      </c>
      <c r="H1821">
        <f t="shared" si="57"/>
        <v>0</v>
      </c>
    </row>
    <row r="1822" spans="1:8" x14ac:dyDescent="0.25">
      <c r="A1822" s="1">
        <v>44826</v>
      </c>
      <c r="B1822" t="s">
        <v>14</v>
      </c>
      <c r="C1822" t="s">
        <v>65</v>
      </c>
      <c r="D1822" t="s">
        <v>36</v>
      </c>
      <c r="E1822">
        <v>446</v>
      </c>
      <c r="F1822">
        <f t="shared" si="56"/>
        <v>1561</v>
      </c>
      <c r="G1822">
        <f>SUMIF($D$2:$D1822,$D1822,$E$2:$E1822)</f>
        <v>11823</v>
      </c>
      <c r="H1822">
        <f t="shared" si="57"/>
        <v>0</v>
      </c>
    </row>
    <row r="1823" spans="1:8" x14ac:dyDescent="0.25">
      <c r="A1823" s="1">
        <v>44827</v>
      </c>
      <c r="B1823" t="s">
        <v>3</v>
      </c>
      <c r="C1823" t="s">
        <v>65</v>
      </c>
      <c r="D1823" t="s">
        <v>48</v>
      </c>
      <c r="E1823">
        <v>149</v>
      </c>
      <c r="F1823">
        <f t="shared" si="56"/>
        <v>476.8</v>
      </c>
      <c r="G1823">
        <f>SUMIF($D$2:$D1823,$D1823,$E$2:$E1823)</f>
        <v>9221</v>
      </c>
      <c r="H1823">
        <f t="shared" si="57"/>
        <v>0</v>
      </c>
    </row>
    <row r="1824" spans="1:8" x14ac:dyDescent="0.25">
      <c r="A1824" s="1">
        <v>44827</v>
      </c>
      <c r="B1824" t="s">
        <v>14</v>
      </c>
      <c r="C1824" t="s">
        <v>65</v>
      </c>
      <c r="D1824" t="s">
        <v>33</v>
      </c>
      <c r="E1824">
        <v>242</v>
      </c>
      <c r="F1824">
        <f t="shared" si="56"/>
        <v>847</v>
      </c>
      <c r="G1824">
        <f>SUMIF($D$2:$D1824,$D1824,$E$2:$E1824)</f>
        <v>14298</v>
      </c>
      <c r="H1824">
        <f t="shared" si="57"/>
        <v>0</v>
      </c>
    </row>
    <row r="1825" spans="1:8" x14ac:dyDescent="0.25">
      <c r="A1825" s="1">
        <v>44827</v>
      </c>
      <c r="B1825" t="s">
        <v>3</v>
      </c>
      <c r="C1825" t="s">
        <v>65</v>
      </c>
      <c r="D1825" t="s">
        <v>22</v>
      </c>
      <c r="E1825">
        <v>370</v>
      </c>
      <c r="F1825">
        <f t="shared" si="56"/>
        <v>1184</v>
      </c>
      <c r="G1825">
        <f>SUMIF($D$2:$D1825,$D1825,$E$2:$E1825)</f>
        <v>11505</v>
      </c>
      <c r="H1825">
        <f t="shared" si="57"/>
        <v>0</v>
      </c>
    </row>
    <row r="1826" spans="1:8" x14ac:dyDescent="0.25">
      <c r="A1826" s="1">
        <v>44827</v>
      </c>
      <c r="B1826" t="s">
        <v>14</v>
      </c>
      <c r="C1826" t="s">
        <v>65</v>
      </c>
      <c r="D1826" t="s">
        <v>35</v>
      </c>
      <c r="E1826">
        <v>364</v>
      </c>
      <c r="F1826">
        <f t="shared" si="56"/>
        <v>1274</v>
      </c>
      <c r="G1826">
        <f>SUMIF($D$2:$D1826,$D1826,$E$2:$E1826)</f>
        <v>10841</v>
      </c>
      <c r="H1826">
        <f t="shared" si="57"/>
        <v>0</v>
      </c>
    </row>
    <row r="1827" spans="1:8" x14ac:dyDescent="0.25">
      <c r="A1827" s="1">
        <v>44827</v>
      </c>
      <c r="B1827" t="s">
        <v>14</v>
      </c>
      <c r="C1827" t="s">
        <v>65</v>
      </c>
      <c r="D1827" t="s">
        <v>43</v>
      </c>
      <c r="E1827">
        <v>56</v>
      </c>
      <c r="F1827">
        <f t="shared" si="56"/>
        <v>196</v>
      </c>
      <c r="G1827">
        <f>SUMIF($D$2:$D1827,$D1827,$E$2:$E1827)</f>
        <v>9169</v>
      </c>
      <c r="H1827">
        <f t="shared" si="57"/>
        <v>0</v>
      </c>
    </row>
    <row r="1828" spans="1:8" x14ac:dyDescent="0.25">
      <c r="A1828" s="1">
        <v>44827</v>
      </c>
      <c r="B1828" t="s">
        <v>9</v>
      </c>
      <c r="C1828" t="s">
        <v>65</v>
      </c>
      <c r="D1828" t="s">
        <v>60</v>
      </c>
      <c r="E1828">
        <v>294</v>
      </c>
      <c r="F1828">
        <f t="shared" si="56"/>
        <v>735</v>
      </c>
      <c r="G1828">
        <f>SUMIF($D$2:$D1828,$D1828,$E$2:$E1828)</f>
        <v>13082</v>
      </c>
      <c r="H1828">
        <f t="shared" si="57"/>
        <v>0</v>
      </c>
    </row>
    <row r="1829" spans="1:8" x14ac:dyDescent="0.25">
      <c r="A1829" s="1">
        <v>44827</v>
      </c>
      <c r="B1829" t="s">
        <v>14</v>
      </c>
      <c r="C1829" t="s">
        <v>65</v>
      </c>
      <c r="D1829" t="s">
        <v>62</v>
      </c>
      <c r="E1829">
        <v>305</v>
      </c>
      <c r="F1829">
        <f t="shared" si="56"/>
        <v>1067.5</v>
      </c>
      <c r="G1829">
        <f>SUMIF($D$2:$D1829,$D1829,$E$2:$E1829)</f>
        <v>10596</v>
      </c>
      <c r="H1829">
        <f t="shared" si="57"/>
        <v>0</v>
      </c>
    </row>
    <row r="1830" spans="1:8" x14ac:dyDescent="0.25">
      <c r="A1830" s="1">
        <v>44827</v>
      </c>
      <c r="B1830" t="s">
        <v>14</v>
      </c>
      <c r="C1830" t="s">
        <v>65</v>
      </c>
      <c r="D1830" t="s">
        <v>29</v>
      </c>
      <c r="E1830">
        <v>333</v>
      </c>
      <c r="F1830">
        <f t="shared" si="56"/>
        <v>1165.5</v>
      </c>
      <c r="G1830">
        <f>SUMIF($D$2:$D1830,$D1830,$E$2:$E1830)</f>
        <v>16783</v>
      </c>
      <c r="H1830">
        <f t="shared" si="57"/>
        <v>1665</v>
      </c>
    </row>
    <row r="1831" spans="1:8" x14ac:dyDescent="0.25">
      <c r="A1831" s="1">
        <v>44827</v>
      </c>
      <c r="B1831" t="s">
        <v>3</v>
      </c>
      <c r="C1831" t="s">
        <v>65</v>
      </c>
      <c r="D1831" t="s">
        <v>41</v>
      </c>
      <c r="E1831">
        <v>198</v>
      </c>
      <c r="F1831">
        <f t="shared" si="56"/>
        <v>633.6</v>
      </c>
      <c r="G1831">
        <f>SUMIF($D$2:$D1831,$D1831,$E$2:$E1831)</f>
        <v>10917</v>
      </c>
      <c r="H1831">
        <f t="shared" si="57"/>
        <v>0</v>
      </c>
    </row>
    <row r="1832" spans="1:8" x14ac:dyDescent="0.25">
      <c r="A1832" s="1">
        <v>44827</v>
      </c>
      <c r="B1832" t="s">
        <v>3</v>
      </c>
      <c r="C1832" t="s">
        <v>65</v>
      </c>
      <c r="D1832" t="s">
        <v>49</v>
      </c>
      <c r="E1832">
        <v>477</v>
      </c>
      <c r="F1832">
        <f t="shared" si="56"/>
        <v>1526.4</v>
      </c>
      <c r="G1832">
        <f>SUMIF($D$2:$D1832,$D1832,$E$2:$E1832)</f>
        <v>10908</v>
      </c>
      <c r="H1832">
        <f t="shared" si="57"/>
        <v>0</v>
      </c>
    </row>
    <row r="1833" spans="1:8" x14ac:dyDescent="0.25">
      <c r="A1833" s="1">
        <v>44827</v>
      </c>
      <c r="B1833" t="s">
        <v>11</v>
      </c>
      <c r="C1833" t="s">
        <v>65</v>
      </c>
      <c r="D1833" t="s">
        <v>52</v>
      </c>
      <c r="E1833">
        <v>32</v>
      </c>
      <c r="F1833">
        <f t="shared" si="56"/>
        <v>80</v>
      </c>
      <c r="G1833">
        <f>SUMIF($D$2:$D1833,$D1833,$E$2:$E1833)</f>
        <v>10620</v>
      </c>
      <c r="H1833">
        <f t="shared" si="57"/>
        <v>0</v>
      </c>
    </row>
    <row r="1834" spans="1:8" x14ac:dyDescent="0.25">
      <c r="A1834" s="1">
        <v>44828</v>
      </c>
      <c r="B1834" t="s">
        <v>14</v>
      </c>
      <c r="C1834" t="s">
        <v>65</v>
      </c>
      <c r="D1834" t="s">
        <v>54</v>
      </c>
      <c r="E1834">
        <v>417</v>
      </c>
      <c r="F1834">
        <f t="shared" si="56"/>
        <v>1459.5</v>
      </c>
      <c r="G1834">
        <f>SUMIF($D$2:$D1834,$D1834,$E$2:$E1834)</f>
        <v>13945</v>
      </c>
      <c r="H1834">
        <f t="shared" si="57"/>
        <v>0</v>
      </c>
    </row>
    <row r="1835" spans="1:8" x14ac:dyDescent="0.25">
      <c r="A1835" s="1">
        <v>44828</v>
      </c>
      <c r="B1835" t="s">
        <v>3</v>
      </c>
      <c r="C1835" t="s">
        <v>65</v>
      </c>
      <c r="D1835" t="s">
        <v>32</v>
      </c>
      <c r="E1835">
        <v>342</v>
      </c>
      <c r="F1835">
        <f t="shared" si="56"/>
        <v>1094.4000000000001</v>
      </c>
      <c r="G1835">
        <f>SUMIF($D$2:$D1835,$D1835,$E$2:$E1835)</f>
        <v>11462</v>
      </c>
      <c r="H1835">
        <f t="shared" si="57"/>
        <v>0</v>
      </c>
    </row>
    <row r="1836" spans="1:8" x14ac:dyDescent="0.25">
      <c r="A1836" s="1">
        <v>44828</v>
      </c>
      <c r="B1836" t="s">
        <v>1</v>
      </c>
      <c r="C1836" t="s">
        <v>65</v>
      </c>
      <c r="D1836" t="s">
        <v>25</v>
      </c>
      <c r="E1836">
        <v>485</v>
      </c>
      <c r="F1836">
        <f t="shared" si="56"/>
        <v>1552</v>
      </c>
      <c r="G1836">
        <f>SUMIF($D$2:$D1836,$D1836,$E$2:$E1836)</f>
        <v>11146</v>
      </c>
      <c r="H1836">
        <f t="shared" si="57"/>
        <v>0</v>
      </c>
    </row>
    <row r="1837" spans="1:8" x14ac:dyDescent="0.25">
      <c r="A1837" s="1">
        <v>44828</v>
      </c>
      <c r="B1837" t="s">
        <v>3</v>
      </c>
      <c r="C1837" t="s">
        <v>65</v>
      </c>
      <c r="D1837" t="s">
        <v>29</v>
      </c>
      <c r="E1837">
        <v>89</v>
      </c>
      <c r="F1837">
        <f t="shared" si="56"/>
        <v>284.8</v>
      </c>
      <c r="G1837">
        <f>SUMIF($D$2:$D1837,$D1837,$E$2:$E1837)</f>
        <v>16872</v>
      </c>
      <c r="H1837">
        <f t="shared" si="57"/>
        <v>445</v>
      </c>
    </row>
    <row r="1838" spans="1:8" x14ac:dyDescent="0.25">
      <c r="A1838" s="1">
        <v>44828</v>
      </c>
      <c r="B1838" t="s">
        <v>9</v>
      </c>
      <c r="C1838" t="s">
        <v>65</v>
      </c>
      <c r="D1838" t="s">
        <v>26</v>
      </c>
      <c r="E1838">
        <v>26</v>
      </c>
      <c r="F1838">
        <f t="shared" si="56"/>
        <v>65</v>
      </c>
      <c r="G1838">
        <f>SUMIF($D$2:$D1838,$D1838,$E$2:$E1838)</f>
        <v>14968</v>
      </c>
      <c r="H1838">
        <f t="shared" si="57"/>
        <v>0</v>
      </c>
    </row>
    <row r="1839" spans="1:8" x14ac:dyDescent="0.25">
      <c r="A1839" s="1">
        <v>44828</v>
      </c>
      <c r="B1839" t="s">
        <v>3</v>
      </c>
      <c r="C1839" t="s">
        <v>65</v>
      </c>
      <c r="D1839" t="s">
        <v>22</v>
      </c>
      <c r="E1839">
        <v>298</v>
      </c>
      <c r="F1839">
        <f t="shared" si="56"/>
        <v>953.6</v>
      </c>
      <c r="G1839">
        <f>SUMIF($D$2:$D1839,$D1839,$E$2:$E1839)</f>
        <v>11803</v>
      </c>
      <c r="H1839">
        <f t="shared" si="57"/>
        <v>0</v>
      </c>
    </row>
    <row r="1840" spans="1:8" x14ac:dyDescent="0.25">
      <c r="A1840" s="1">
        <v>44830</v>
      </c>
      <c r="B1840" t="s">
        <v>1</v>
      </c>
      <c r="C1840" t="s">
        <v>65</v>
      </c>
      <c r="D1840" t="s">
        <v>29</v>
      </c>
      <c r="E1840">
        <v>57</v>
      </c>
      <c r="F1840">
        <f t="shared" si="56"/>
        <v>182.4</v>
      </c>
      <c r="G1840">
        <f>SUMIF($D$2:$D1840,$D1840,$E$2:$E1840)</f>
        <v>16929</v>
      </c>
      <c r="H1840">
        <f t="shared" si="57"/>
        <v>285</v>
      </c>
    </row>
    <row r="1841" spans="1:8" x14ac:dyDescent="0.25">
      <c r="A1841" s="1">
        <v>44830</v>
      </c>
      <c r="B1841" t="s">
        <v>9</v>
      </c>
      <c r="C1841" t="s">
        <v>65</v>
      </c>
      <c r="D1841" t="s">
        <v>52</v>
      </c>
      <c r="E1841">
        <v>21</v>
      </c>
      <c r="F1841">
        <f t="shared" si="56"/>
        <v>52.5</v>
      </c>
      <c r="G1841">
        <f>SUMIF($D$2:$D1841,$D1841,$E$2:$E1841)</f>
        <v>10641</v>
      </c>
      <c r="H1841">
        <f t="shared" si="57"/>
        <v>0</v>
      </c>
    </row>
    <row r="1842" spans="1:8" x14ac:dyDescent="0.25">
      <c r="A1842" s="1">
        <v>44830</v>
      </c>
      <c r="B1842" t="s">
        <v>3</v>
      </c>
      <c r="C1842" t="s">
        <v>65</v>
      </c>
      <c r="D1842" t="s">
        <v>44</v>
      </c>
      <c r="E1842">
        <v>444</v>
      </c>
      <c r="F1842">
        <f t="shared" si="56"/>
        <v>1420.8000000000002</v>
      </c>
      <c r="G1842">
        <f>SUMIF($D$2:$D1842,$D1842,$E$2:$E1842)</f>
        <v>13286</v>
      </c>
      <c r="H1842">
        <f t="shared" si="57"/>
        <v>0</v>
      </c>
    </row>
    <row r="1843" spans="1:8" x14ac:dyDescent="0.25">
      <c r="A1843" s="1">
        <v>44830</v>
      </c>
      <c r="B1843" t="s">
        <v>14</v>
      </c>
      <c r="C1843" t="s">
        <v>65</v>
      </c>
      <c r="D1843" t="s">
        <v>16</v>
      </c>
      <c r="E1843">
        <v>20</v>
      </c>
      <c r="F1843">
        <f t="shared" si="56"/>
        <v>70</v>
      </c>
      <c r="G1843">
        <f>SUMIF($D$2:$D1843,$D1843,$E$2:$E1843)</f>
        <v>11623</v>
      </c>
      <c r="H1843">
        <f t="shared" si="57"/>
        <v>0</v>
      </c>
    </row>
    <row r="1844" spans="1:8" x14ac:dyDescent="0.25">
      <c r="A1844" s="1">
        <v>44830</v>
      </c>
      <c r="B1844" t="s">
        <v>3</v>
      </c>
      <c r="C1844" t="s">
        <v>65</v>
      </c>
      <c r="D1844" t="s">
        <v>52</v>
      </c>
      <c r="E1844">
        <v>104</v>
      </c>
      <c r="F1844">
        <f t="shared" si="56"/>
        <v>332.8</v>
      </c>
      <c r="G1844">
        <f>SUMIF($D$2:$D1844,$D1844,$E$2:$E1844)</f>
        <v>10745</v>
      </c>
      <c r="H1844">
        <f t="shared" si="57"/>
        <v>0</v>
      </c>
    </row>
    <row r="1845" spans="1:8" x14ac:dyDescent="0.25">
      <c r="A1845" s="1">
        <v>44830</v>
      </c>
      <c r="B1845" t="s">
        <v>14</v>
      </c>
      <c r="C1845" t="s">
        <v>65</v>
      </c>
      <c r="D1845" t="s">
        <v>38</v>
      </c>
      <c r="E1845">
        <v>469</v>
      </c>
      <c r="F1845">
        <f t="shared" si="56"/>
        <v>1641.5</v>
      </c>
      <c r="G1845">
        <f>SUMIF($D$2:$D1845,$D1845,$E$2:$E1845)</f>
        <v>12516</v>
      </c>
      <c r="H1845">
        <f t="shared" si="57"/>
        <v>0</v>
      </c>
    </row>
    <row r="1846" spans="1:8" x14ac:dyDescent="0.25">
      <c r="A1846" s="1">
        <v>44830</v>
      </c>
      <c r="B1846" t="s">
        <v>3</v>
      </c>
      <c r="C1846" t="s">
        <v>65</v>
      </c>
      <c r="D1846" t="s">
        <v>40</v>
      </c>
      <c r="E1846">
        <v>137</v>
      </c>
      <c r="F1846">
        <f t="shared" si="56"/>
        <v>438.40000000000003</v>
      </c>
      <c r="G1846">
        <f>SUMIF($D$2:$D1846,$D1846,$E$2:$E1846)</f>
        <v>12095</v>
      </c>
      <c r="H1846">
        <f t="shared" si="57"/>
        <v>0</v>
      </c>
    </row>
    <row r="1847" spans="1:8" x14ac:dyDescent="0.25">
      <c r="A1847" s="1">
        <v>44830</v>
      </c>
      <c r="B1847" t="s">
        <v>9</v>
      </c>
      <c r="C1847" t="s">
        <v>65</v>
      </c>
      <c r="D1847" t="s">
        <v>22</v>
      </c>
      <c r="E1847">
        <v>495</v>
      </c>
      <c r="F1847">
        <f t="shared" si="56"/>
        <v>1237.5</v>
      </c>
      <c r="G1847">
        <f>SUMIF($D$2:$D1847,$D1847,$E$2:$E1847)</f>
        <v>12298</v>
      </c>
      <c r="H1847">
        <f t="shared" si="57"/>
        <v>0</v>
      </c>
    </row>
    <row r="1848" spans="1:8" x14ac:dyDescent="0.25">
      <c r="A1848" s="1">
        <v>44830</v>
      </c>
      <c r="B1848" t="s">
        <v>1</v>
      </c>
      <c r="C1848" t="s">
        <v>65</v>
      </c>
      <c r="D1848" t="s">
        <v>38</v>
      </c>
      <c r="E1848">
        <v>247</v>
      </c>
      <c r="F1848">
        <f t="shared" si="56"/>
        <v>790.40000000000009</v>
      </c>
      <c r="G1848">
        <f>SUMIF($D$2:$D1848,$D1848,$E$2:$E1848)</f>
        <v>12763</v>
      </c>
      <c r="H1848">
        <f t="shared" si="57"/>
        <v>0</v>
      </c>
    </row>
    <row r="1849" spans="1:8" x14ac:dyDescent="0.25">
      <c r="A1849" s="1">
        <v>44830</v>
      </c>
      <c r="B1849" t="s">
        <v>3</v>
      </c>
      <c r="C1849" t="s">
        <v>65</v>
      </c>
      <c r="D1849" t="s">
        <v>49</v>
      </c>
      <c r="E1849">
        <v>19</v>
      </c>
      <c r="F1849">
        <f t="shared" si="56"/>
        <v>60.800000000000004</v>
      </c>
      <c r="G1849">
        <f>SUMIF($D$2:$D1849,$D1849,$E$2:$E1849)</f>
        <v>10927</v>
      </c>
      <c r="H1849">
        <f t="shared" si="57"/>
        <v>0</v>
      </c>
    </row>
    <row r="1850" spans="1:8" x14ac:dyDescent="0.25">
      <c r="A1850" s="1">
        <v>44831</v>
      </c>
      <c r="B1850" t="s">
        <v>1</v>
      </c>
      <c r="C1850" t="s">
        <v>65</v>
      </c>
      <c r="D1850" t="s">
        <v>47</v>
      </c>
      <c r="E1850">
        <v>88</v>
      </c>
      <c r="F1850">
        <f t="shared" si="56"/>
        <v>281.60000000000002</v>
      </c>
      <c r="G1850">
        <f>SUMIF($D$2:$D1850,$D1850,$E$2:$E1850)</f>
        <v>8787</v>
      </c>
      <c r="H1850">
        <f t="shared" si="57"/>
        <v>0</v>
      </c>
    </row>
    <row r="1851" spans="1:8" x14ac:dyDescent="0.25">
      <c r="A1851" s="1">
        <v>44831</v>
      </c>
      <c r="B1851" t="s">
        <v>1</v>
      </c>
      <c r="C1851" t="s">
        <v>65</v>
      </c>
      <c r="D1851" t="s">
        <v>38</v>
      </c>
      <c r="E1851">
        <v>269</v>
      </c>
      <c r="F1851">
        <f t="shared" si="56"/>
        <v>860.80000000000007</v>
      </c>
      <c r="G1851">
        <f>SUMIF($D$2:$D1851,$D1851,$E$2:$E1851)</f>
        <v>13032</v>
      </c>
      <c r="H1851">
        <f t="shared" si="57"/>
        <v>0</v>
      </c>
    </row>
    <row r="1852" spans="1:8" x14ac:dyDescent="0.25">
      <c r="A1852" s="1">
        <v>44831</v>
      </c>
      <c r="B1852" t="s">
        <v>1</v>
      </c>
      <c r="C1852" t="s">
        <v>65</v>
      </c>
      <c r="D1852" t="s">
        <v>20</v>
      </c>
      <c r="E1852">
        <v>266</v>
      </c>
      <c r="F1852">
        <f t="shared" si="56"/>
        <v>851.2</v>
      </c>
      <c r="G1852">
        <f>SUMIF($D$2:$D1852,$D1852,$E$2:$E1852)</f>
        <v>10283</v>
      </c>
      <c r="H1852">
        <f t="shared" si="57"/>
        <v>0</v>
      </c>
    </row>
    <row r="1853" spans="1:8" x14ac:dyDescent="0.25">
      <c r="A1853" s="1">
        <v>44831</v>
      </c>
      <c r="B1853" t="s">
        <v>14</v>
      </c>
      <c r="C1853" t="s">
        <v>65</v>
      </c>
      <c r="D1853" t="s">
        <v>67</v>
      </c>
      <c r="E1853">
        <v>367</v>
      </c>
      <c r="F1853">
        <f t="shared" si="56"/>
        <v>1284.5</v>
      </c>
      <c r="G1853">
        <f>SUMIF($D$2:$D1853,$D1853,$E$2:$E1853)</f>
        <v>13630</v>
      </c>
      <c r="H1853">
        <f t="shared" si="57"/>
        <v>0</v>
      </c>
    </row>
    <row r="1854" spans="1:8" x14ac:dyDescent="0.25">
      <c r="A1854" s="1">
        <v>44831</v>
      </c>
      <c r="B1854" t="s">
        <v>14</v>
      </c>
      <c r="C1854" t="s">
        <v>65</v>
      </c>
      <c r="D1854" t="s">
        <v>52</v>
      </c>
      <c r="E1854">
        <v>484</v>
      </c>
      <c r="F1854">
        <f t="shared" si="56"/>
        <v>1694</v>
      </c>
      <c r="G1854">
        <f>SUMIF($D$2:$D1854,$D1854,$E$2:$E1854)</f>
        <v>11229</v>
      </c>
      <c r="H1854">
        <f t="shared" si="57"/>
        <v>0</v>
      </c>
    </row>
    <row r="1855" spans="1:8" x14ac:dyDescent="0.25">
      <c r="A1855" s="1">
        <v>44831</v>
      </c>
      <c r="B1855" t="s">
        <v>14</v>
      </c>
      <c r="C1855" t="s">
        <v>65</v>
      </c>
      <c r="D1855" t="s">
        <v>48</v>
      </c>
      <c r="E1855">
        <v>159</v>
      </c>
      <c r="F1855">
        <f t="shared" si="56"/>
        <v>556.5</v>
      </c>
      <c r="G1855">
        <f>SUMIF($D$2:$D1855,$D1855,$E$2:$E1855)</f>
        <v>9380</v>
      </c>
      <c r="H1855">
        <f t="shared" si="57"/>
        <v>0</v>
      </c>
    </row>
    <row r="1856" spans="1:8" x14ac:dyDescent="0.25">
      <c r="A1856" s="1">
        <v>44831</v>
      </c>
      <c r="B1856" t="s">
        <v>1</v>
      </c>
      <c r="C1856" t="s">
        <v>65</v>
      </c>
      <c r="D1856" t="s">
        <v>44</v>
      </c>
      <c r="E1856">
        <v>215</v>
      </c>
      <c r="F1856">
        <f t="shared" si="56"/>
        <v>688</v>
      </c>
      <c r="G1856">
        <f>SUMIF($D$2:$D1856,$D1856,$E$2:$E1856)</f>
        <v>13501</v>
      </c>
      <c r="H1856">
        <f t="shared" si="57"/>
        <v>0</v>
      </c>
    </row>
    <row r="1857" spans="1:8" x14ac:dyDescent="0.25">
      <c r="A1857" s="1">
        <v>44832</v>
      </c>
      <c r="B1857" t="s">
        <v>1</v>
      </c>
      <c r="C1857" t="s">
        <v>65</v>
      </c>
      <c r="D1857" t="s">
        <v>19</v>
      </c>
      <c r="E1857">
        <v>418</v>
      </c>
      <c r="F1857">
        <f t="shared" si="56"/>
        <v>1337.6000000000001</v>
      </c>
      <c r="G1857">
        <f>SUMIF($D$2:$D1857,$D1857,$E$2:$E1857)</f>
        <v>6783</v>
      </c>
      <c r="H1857">
        <f t="shared" si="57"/>
        <v>0</v>
      </c>
    </row>
    <row r="1858" spans="1:8" x14ac:dyDescent="0.25">
      <c r="A1858" s="1">
        <v>44832</v>
      </c>
      <c r="B1858" t="s">
        <v>3</v>
      </c>
      <c r="C1858" t="s">
        <v>65</v>
      </c>
      <c r="D1858" t="s">
        <v>59</v>
      </c>
      <c r="E1858">
        <v>340</v>
      </c>
      <c r="F1858">
        <f t="shared" si="56"/>
        <v>1088</v>
      </c>
      <c r="G1858">
        <f>SUMIF($D$2:$D1858,$D1858,$E$2:$E1858)</f>
        <v>8225</v>
      </c>
      <c r="H1858">
        <f t="shared" si="57"/>
        <v>0</v>
      </c>
    </row>
    <row r="1859" spans="1:8" x14ac:dyDescent="0.25">
      <c r="A1859" s="1">
        <v>44832</v>
      </c>
      <c r="B1859" t="s">
        <v>9</v>
      </c>
      <c r="C1859" t="s">
        <v>65</v>
      </c>
      <c r="D1859" t="s">
        <v>64</v>
      </c>
      <c r="E1859">
        <v>289</v>
      </c>
      <c r="F1859">
        <f t="shared" ref="F1859:F1922" si="58">E1859* _xlfn.XLOOKUP(B1859,$I$2:$I$17,$J$2:$J$17,"0",0,1)</f>
        <v>722.5</v>
      </c>
      <c r="G1859">
        <f>SUMIF($D$2:$D1859,$D1859,$E$2:$E1859)</f>
        <v>11689</v>
      </c>
      <c r="H1859">
        <f t="shared" ref="H1859:H1922" si="59">IF(AND($G1859 &gt; 15000,$G1859 &lt; 20000),5*$E1859,IF($G1859 &gt;= 20000,10*$E1859,0))</f>
        <v>0</v>
      </c>
    </row>
    <row r="1860" spans="1:8" x14ac:dyDescent="0.25">
      <c r="A1860" s="1">
        <v>44833</v>
      </c>
      <c r="B1860" t="s">
        <v>11</v>
      </c>
      <c r="C1860" t="s">
        <v>65</v>
      </c>
      <c r="D1860" t="s">
        <v>33</v>
      </c>
      <c r="E1860">
        <v>364</v>
      </c>
      <c r="F1860">
        <f t="shared" si="58"/>
        <v>910</v>
      </c>
      <c r="G1860">
        <f>SUMIF($D$2:$D1860,$D1860,$E$2:$E1860)</f>
        <v>14662</v>
      </c>
      <c r="H1860">
        <f t="shared" si="59"/>
        <v>0</v>
      </c>
    </row>
    <row r="1861" spans="1:8" x14ac:dyDescent="0.25">
      <c r="A1861" s="1">
        <v>44833</v>
      </c>
      <c r="B1861" t="s">
        <v>14</v>
      </c>
      <c r="C1861" t="s">
        <v>65</v>
      </c>
      <c r="D1861" t="s">
        <v>64</v>
      </c>
      <c r="E1861">
        <v>494</v>
      </c>
      <c r="F1861">
        <f t="shared" si="58"/>
        <v>1729</v>
      </c>
      <c r="G1861">
        <f>SUMIF($D$2:$D1861,$D1861,$E$2:$E1861)</f>
        <v>12183</v>
      </c>
      <c r="H1861">
        <f t="shared" si="59"/>
        <v>0</v>
      </c>
    </row>
    <row r="1862" spans="1:8" x14ac:dyDescent="0.25">
      <c r="A1862" s="1">
        <v>44833</v>
      </c>
      <c r="B1862" t="s">
        <v>14</v>
      </c>
      <c r="C1862" t="s">
        <v>65</v>
      </c>
      <c r="D1862" t="s">
        <v>59</v>
      </c>
      <c r="E1862">
        <v>226</v>
      </c>
      <c r="F1862">
        <f t="shared" si="58"/>
        <v>791</v>
      </c>
      <c r="G1862">
        <f>SUMIF($D$2:$D1862,$D1862,$E$2:$E1862)</f>
        <v>8451</v>
      </c>
      <c r="H1862">
        <f t="shared" si="59"/>
        <v>0</v>
      </c>
    </row>
    <row r="1863" spans="1:8" x14ac:dyDescent="0.25">
      <c r="A1863" s="1">
        <v>44833</v>
      </c>
      <c r="B1863" t="s">
        <v>3</v>
      </c>
      <c r="C1863" t="s">
        <v>65</v>
      </c>
      <c r="D1863" t="s">
        <v>52</v>
      </c>
      <c r="E1863">
        <v>29</v>
      </c>
      <c r="F1863">
        <f t="shared" si="58"/>
        <v>92.800000000000011</v>
      </c>
      <c r="G1863">
        <f>SUMIF($D$2:$D1863,$D1863,$E$2:$E1863)</f>
        <v>11258</v>
      </c>
      <c r="H1863">
        <f t="shared" si="59"/>
        <v>0</v>
      </c>
    </row>
    <row r="1864" spans="1:8" x14ac:dyDescent="0.25">
      <c r="A1864" s="1">
        <v>44833</v>
      </c>
      <c r="B1864" t="s">
        <v>14</v>
      </c>
      <c r="C1864" t="s">
        <v>65</v>
      </c>
      <c r="D1864" t="s">
        <v>48</v>
      </c>
      <c r="E1864">
        <v>225</v>
      </c>
      <c r="F1864">
        <f t="shared" si="58"/>
        <v>787.5</v>
      </c>
      <c r="G1864">
        <f>SUMIF($D$2:$D1864,$D1864,$E$2:$E1864)</f>
        <v>9605</v>
      </c>
      <c r="H1864">
        <f t="shared" si="59"/>
        <v>0</v>
      </c>
    </row>
    <row r="1865" spans="1:8" x14ac:dyDescent="0.25">
      <c r="A1865" s="1">
        <v>44834</v>
      </c>
      <c r="B1865" t="s">
        <v>14</v>
      </c>
      <c r="C1865" t="s">
        <v>65</v>
      </c>
      <c r="D1865" t="s">
        <v>24</v>
      </c>
      <c r="E1865">
        <v>128</v>
      </c>
      <c r="F1865">
        <f t="shared" si="58"/>
        <v>448</v>
      </c>
      <c r="G1865">
        <f>SUMIF($D$2:$D1865,$D1865,$E$2:$E1865)</f>
        <v>10254</v>
      </c>
      <c r="H1865">
        <f t="shared" si="59"/>
        <v>0</v>
      </c>
    </row>
    <row r="1866" spans="1:8" x14ac:dyDescent="0.25">
      <c r="A1866" s="1">
        <v>44834</v>
      </c>
      <c r="B1866" t="s">
        <v>1</v>
      </c>
      <c r="C1866" t="s">
        <v>65</v>
      </c>
      <c r="D1866" t="s">
        <v>21</v>
      </c>
      <c r="E1866">
        <v>333</v>
      </c>
      <c r="F1866">
        <f t="shared" si="58"/>
        <v>1065.6000000000001</v>
      </c>
      <c r="G1866">
        <f>SUMIF($D$2:$D1866,$D1866,$E$2:$E1866)</f>
        <v>10966</v>
      </c>
      <c r="H1866">
        <f t="shared" si="59"/>
        <v>0</v>
      </c>
    </row>
    <row r="1867" spans="1:8" x14ac:dyDescent="0.25">
      <c r="A1867" s="1">
        <v>44834</v>
      </c>
      <c r="B1867" t="s">
        <v>14</v>
      </c>
      <c r="C1867" t="s">
        <v>65</v>
      </c>
      <c r="D1867" t="s">
        <v>19</v>
      </c>
      <c r="E1867">
        <v>291</v>
      </c>
      <c r="F1867">
        <f t="shared" si="58"/>
        <v>1018.5</v>
      </c>
      <c r="G1867">
        <f>SUMIF($D$2:$D1867,$D1867,$E$2:$E1867)</f>
        <v>7074</v>
      </c>
      <c r="H1867">
        <f t="shared" si="59"/>
        <v>0</v>
      </c>
    </row>
    <row r="1868" spans="1:8" x14ac:dyDescent="0.25">
      <c r="A1868" s="1">
        <v>44834</v>
      </c>
      <c r="B1868" t="s">
        <v>14</v>
      </c>
      <c r="C1868" t="s">
        <v>65</v>
      </c>
      <c r="D1868" t="s">
        <v>54</v>
      </c>
      <c r="E1868">
        <v>397</v>
      </c>
      <c r="F1868">
        <f t="shared" si="58"/>
        <v>1389.5</v>
      </c>
      <c r="G1868">
        <f>SUMIF($D$2:$D1868,$D1868,$E$2:$E1868)</f>
        <v>14342</v>
      </c>
      <c r="H1868">
        <f t="shared" si="59"/>
        <v>0</v>
      </c>
    </row>
    <row r="1869" spans="1:8" x14ac:dyDescent="0.25">
      <c r="A1869" s="1">
        <v>44834</v>
      </c>
      <c r="B1869" t="s">
        <v>14</v>
      </c>
      <c r="C1869" t="s">
        <v>65</v>
      </c>
      <c r="D1869" t="s">
        <v>39</v>
      </c>
      <c r="E1869">
        <v>253</v>
      </c>
      <c r="F1869">
        <f t="shared" si="58"/>
        <v>885.5</v>
      </c>
      <c r="G1869">
        <f>SUMIF($D$2:$D1869,$D1869,$E$2:$E1869)</f>
        <v>10092</v>
      </c>
      <c r="H1869">
        <f t="shared" si="59"/>
        <v>0</v>
      </c>
    </row>
    <row r="1870" spans="1:8" x14ac:dyDescent="0.25">
      <c r="A1870" s="1">
        <v>44835</v>
      </c>
      <c r="B1870" t="s">
        <v>14</v>
      </c>
      <c r="C1870" t="s">
        <v>65</v>
      </c>
      <c r="D1870" t="s">
        <v>52</v>
      </c>
      <c r="E1870">
        <v>137</v>
      </c>
      <c r="F1870">
        <f t="shared" si="58"/>
        <v>479.5</v>
      </c>
      <c r="G1870">
        <f>SUMIF($D$2:$D1870,$D1870,$E$2:$E1870)</f>
        <v>11395</v>
      </c>
      <c r="H1870">
        <f t="shared" si="59"/>
        <v>0</v>
      </c>
    </row>
    <row r="1871" spans="1:8" x14ac:dyDescent="0.25">
      <c r="A1871" s="1">
        <v>44835</v>
      </c>
      <c r="B1871" t="s">
        <v>14</v>
      </c>
      <c r="C1871" t="s">
        <v>65</v>
      </c>
      <c r="D1871" t="s">
        <v>40</v>
      </c>
      <c r="E1871">
        <v>198</v>
      </c>
      <c r="F1871">
        <f t="shared" si="58"/>
        <v>693</v>
      </c>
      <c r="G1871">
        <f>SUMIF($D$2:$D1871,$D1871,$E$2:$E1871)</f>
        <v>12293</v>
      </c>
      <c r="H1871">
        <f t="shared" si="59"/>
        <v>0</v>
      </c>
    </row>
    <row r="1872" spans="1:8" x14ac:dyDescent="0.25">
      <c r="A1872" s="1">
        <v>44835</v>
      </c>
      <c r="B1872" t="s">
        <v>14</v>
      </c>
      <c r="C1872" t="s">
        <v>65</v>
      </c>
      <c r="D1872" t="s">
        <v>56</v>
      </c>
      <c r="E1872">
        <v>338</v>
      </c>
      <c r="F1872">
        <f t="shared" si="58"/>
        <v>1183</v>
      </c>
      <c r="G1872">
        <f>SUMIF($D$2:$D1872,$D1872,$E$2:$E1872)</f>
        <v>11914</v>
      </c>
      <c r="H1872">
        <f t="shared" si="59"/>
        <v>0</v>
      </c>
    </row>
    <row r="1873" spans="1:8" x14ac:dyDescent="0.25">
      <c r="A1873" s="1">
        <v>44835</v>
      </c>
      <c r="B1873" t="s">
        <v>1</v>
      </c>
      <c r="C1873" t="s">
        <v>65</v>
      </c>
      <c r="D1873" t="s">
        <v>48</v>
      </c>
      <c r="E1873">
        <v>226</v>
      </c>
      <c r="F1873">
        <f t="shared" si="58"/>
        <v>723.2</v>
      </c>
      <c r="G1873">
        <f>SUMIF($D$2:$D1873,$D1873,$E$2:$E1873)</f>
        <v>9831</v>
      </c>
      <c r="H1873">
        <f t="shared" si="59"/>
        <v>0</v>
      </c>
    </row>
    <row r="1874" spans="1:8" x14ac:dyDescent="0.25">
      <c r="A1874" s="1">
        <v>44835</v>
      </c>
      <c r="B1874" t="s">
        <v>1</v>
      </c>
      <c r="C1874" t="s">
        <v>65</v>
      </c>
      <c r="D1874" t="s">
        <v>67</v>
      </c>
      <c r="E1874">
        <v>280</v>
      </c>
      <c r="F1874">
        <f t="shared" si="58"/>
        <v>896</v>
      </c>
      <c r="G1874">
        <f>SUMIF($D$2:$D1874,$D1874,$E$2:$E1874)</f>
        <v>13910</v>
      </c>
      <c r="H1874">
        <f t="shared" si="59"/>
        <v>0</v>
      </c>
    </row>
    <row r="1875" spans="1:8" x14ac:dyDescent="0.25">
      <c r="A1875" s="1">
        <v>44835</v>
      </c>
      <c r="B1875" t="s">
        <v>3</v>
      </c>
      <c r="C1875" t="s">
        <v>65</v>
      </c>
      <c r="D1875" t="s">
        <v>52</v>
      </c>
      <c r="E1875">
        <v>415</v>
      </c>
      <c r="F1875">
        <f t="shared" si="58"/>
        <v>1328</v>
      </c>
      <c r="G1875">
        <f>SUMIF($D$2:$D1875,$D1875,$E$2:$E1875)</f>
        <v>11810</v>
      </c>
      <c r="H1875">
        <f t="shared" si="59"/>
        <v>0</v>
      </c>
    </row>
    <row r="1876" spans="1:8" x14ac:dyDescent="0.25">
      <c r="A1876" s="1">
        <v>44835</v>
      </c>
      <c r="B1876" t="s">
        <v>3</v>
      </c>
      <c r="C1876" t="s">
        <v>65</v>
      </c>
      <c r="D1876" t="s">
        <v>63</v>
      </c>
      <c r="E1876">
        <v>187</v>
      </c>
      <c r="F1876">
        <f t="shared" si="58"/>
        <v>598.4</v>
      </c>
      <c r="G1876">
        <f>SUMIF($D$2:$D1876,$D1876,$E$2:$E1876)</f>
        <v>9776</v>
      </c>
      <c r="H1876">
        <f t="shared" si="59"/>
        <v>0</v>
      </c>
    </row>
    <row r="1877" spans="1:8" x14ac:dyDescent="0.25">
      <c r="A1877" s="1">
        <v>44835</v>
      </c>
      <c r="B1877" t="s">
        <v>14</v>
      </c>
      <c r="C1877" t="s">
        <v>65</v>
      </c>
      <c r="D1877" t="s">
        <v>47</v>
      </c>
      <c r="E1877">
        <v>174</v>
      </c>
      <c r="F1877">
        <f t="shared" si="58"/>
        <v>609</v>
      </c>
      <c r="G1877">
        <f>SUMIF($D$2:$D1877,$D1877,$E$2:$E1877)</f>
        <v>8961</v>
      </c>
      <c r="H1877">
        <f t="shared" si="59"/>
        <v>0</v>
      </c>
    </row>
    <row r="1878" spans="1:8" x14ac:dyDescent="0.25">
      <c r="A1878" s="1">
        <v>44835</v>
      </c>
      <c r="B1878" t="s">
        <v>3</v>
      </c>
      <c r="C1878" t="s">
        <v>65</v>
      </c>
      <c r="D1878" t="s">
        <v>53</v>
      </c>
      <c r="E1878">
        <v>471</v>
      </c>
      <c r="F1878">
        <f t="shared" si="58"/>
        <v>1507.2</v>
      </c>
      <c r="G1878">
        <f>SUMIF($D$2:$D1878,$D1878,$E$2:$E1878)</f>
        <v>12579</v>
      </c>
      <c r="H1878">
        <f t="shared" si="59"/>
        <v>0</v>
      </c>
    </row>
    <row r="1879" spans="1:8" x14ac:dyDescent="0.25">
      <c r="A1879" s="1">
        <v>44835</v>
      </c>
      <c r="B1879" t="s">
        <v>3</v>
      </c>
      <c r="C1879" t="s">
        <v>65</v>
      </c>
      <c r="D1879" t="s">
        <v>55</v>
      </c>
      <c r="E1879">
        <v>131</v>
      </c>
      <c r="F1879">
        <f t="shared" si="58"/>
        <v>419.20000000000005</v>
      </c>
      <c r="G1879">
        <f>SUMIF($D$2:$D1879,$D1879,$E$2:$E1879)</f>
        <v>9529</v>
      </c>
      <c r="H1879">
        <f t="shared" si="59"/>
        <v>0</v>
      </c>
    </row>
    <row r="1880" spans="1:8" x14ac:dyDescent="0.25">
      <c r="A1880" s="1">
        <v>44837</v>
      </c>
      <c r="B1880" t="s">
        <v>9</v>
      </c>
      <c r="C1880" t="s">
        <v>65</v>
      </c>
      <c r="D1880" t="s">
        <v>21</v>
      </c>
      <c r="E1880">
        <v>238</v>
      </c>
      <c r="F1880">
        <f t="shared" si="58"/>
        <v>595</v>
      </c>
      <c r="G1880">
        <f>SUMIF($D$2:$D1880,$D1880,$E$2:$E1880)</f>
        <v>11204</v>
      </c>
      <c r="H1880">
        <f t="shared" si="59"/>
        <v>0</v>
      </c>
    </row>
    <row r="1881" spans="1:8" x14ac:dyDescent="0.25">
      <c r="A1881" s="1">
        <v>44837</v>
      </c>
      <c r="B1881" t="s">
        <v>1</v>
      </c>
      <c r="C1881" t="s">
        <v>65</v>
      </c>
      <c r="D1881" t="s">
        <v>45</v>
      </c>
      <c r="E1881">
        <v>433</v>
      </c>
      <c r="F1881">
        <f t="shared" si="58"/>
        <v>1385.6000000000001</v>
      </c>
      <c r="G1881">
        <f>SUMIF($D$2:$D1881,$D1881,$E$2:$E1881)</f>
        <v>12310</v>
      </c>
      <c r="H1881">
        <f t="shared" si="59"/>
        <v>0</v>
      </c>
    </row>
    <row r="1882" spans="1:8" x14ac:dyDescent="0.25">
      <c r="A1882" s="1">
        <v>44837</v>
      </c>
      <c r="B1882" t="s">
        <v>14</v>
      </c>
      <c r="C1882" t="s">
        <v>65</v>
      </c>
      <c r="D1882" t="s">
        <v>33</v>
      </c>
      <c r="E1882">
        <v>314</v>
      </c>
      <c r="F1882">
        <f t="shared" si="58"/>
        <v>1099</v>
      </c>
      <c r="G1882">
        <f>SUMIF($D$2:$D1882,$D1882,$E$2:$E1882)</f>
        <v>14976</v>
      </c>
      <c r="H1882">
        <f t="shared" si="59"/>
        <v>0</v>
      </c>
    </row>
    <row r="1883" spans="1:8" x14ac:dyDescent="0.25">
      <c r="A1883" s="1">
        <v>44837</v>
      </c>
      <c r="B1883" t="s">
        <v>1</v>
      </c>
      <c r="C1883" t="s">
        <v>65</v>
      </c>
      <c r="D1883" t="s">
        <v>25</v>
      </c>
      <c r="E1883">
        <v>90</v>
      </c>
      <c r="F1883">
        <f t="shared" si="58"/>
        <v>288</v>
      </c>
      <c r="G1883">
        <f>SUMIF($D$2:$D1883,$D1883,$E$2:$E1883)</f>
        <v>11236</v>
      </c>
      <c r="H1883">
        <f t="shared" si="59"/>
        <v>0</v>
      </c>
    </row>
    <row r="1884" spans="1:8" x14ac:dyDescent="0.25">
      <c r="A1884" s="1">
        <v>44837</v>
      </c>
      <c r="B1884" t="s">
        <v>1</v>
      </c>
      <c r="C1884" t="s">
        <v>65</v>
      </c>
      <c r="D1884" t="s">
        <v>20</v>
      </c>
      <c r="E1884">
        <v>95</v>
      </c>
      <c r="F1884">
        <f t="shared" si="58"/>
        <v>304</v>
      </c>
      <c r="G1884">
        <f>SUMIF($D$2:$D1884,$D1884,$E$2:$E1884)</f>
        <v>10378</v>
      </c>
      <c r="H1884">
        <f t="shared" si="59"/>
        <v>0</v>
      </c>
    </row>
    <row r="1885" spans="1:8" x14ac:dyDescent="0.25">
      <c r="A1885" s="1">
        <v>44837</v>
      </c>
      <c r="B1885" t="s">
        <v>3</v>
      </c>
      <c r="C1885" t="s">
        <v>65</v>
      </c>
      <c r="D1885" t="s">
        <v>67</v>
      </c>
      <c r="E1885">
        <v>408</v>
      </c>
      <c r="F1885">
        <f t="shared" si="58"/>
        <v>1305.6000000000001</v>
      </c>
      <c r="G1885">
        <f>SUMIF($D$2:$D1885,$D1885,$E$2:$E1885)</f>
        <v>14318</v>
      </c>
      <c r="H1885">
        <f t="shared" si="59"/>
        <v>0</v>
      </c>
    </row>
    <row r="1886" spans="1:8" x14ac:dyDescent="0.25">
      <c r="A1886" s="1">
        <v>44837</v>
      </c>
      <c r="B1886" t="s">
        <v>14</v>
      </c>
      <c r="C1886" t="s">
        <v>65</v>
      </c>
      <c r="D1886" t="s">
        <v>34</v>
      </c>
      <c r="E1886">
        <v>423</v>
      </c>
      <c r="F1886">
        <f t="shared" si="58"/>
        <v>1480.5</v>
      </c>
      <c r="G1886">
        <f>SUMIF($D$2:$D1886,$D1886,$E$2:$E1886)</f>
        <v>12735</v>
      </c>
      <c r="H1886">
        <f t="shared" si="59"/>
        <v>0</v>
      </c>
    </row>
    <row r="1887" spans="1:8" x14ac:dyDescent="0.25">
      <c r="A1887" s="1">
        <v>44837</v>
      </c>
      <c r="B1887" t="s">
        <v>3</v>
      </c>
      <c r="C1887" t="s">
        <v>65</v>
      </c>
      <c r="D1887" t="s">
        <v>45</v>
      </c>
      <c r="E1887">
        <v>179</v>
      </c>
      <c r="F1887">
        <f t="shared" si="58"/>
        <v>572.80000000000007</v>
      </c>
      <c r="G1887">
        <f>SUMIF($D$2:$D1887,$D1887,$E$2:$E1887)</f>
        <v>12489</v>
      </c>
      <c r="H1887">
        <f t="shared" si="59"/>
        <v>0</v>
      </c>
    </row>
    <row r="1888" spans="1:8" x14ac:dyDescent="0.25">
      <c r="A1888" s="1">
        <v>44837</v>
      </c>
      <c r="B1888" t="s">
        <v>3</v>
      </c>
      <c r="C1888" t="s">
        <v>65</v>
      </c>
      <c r="D1888" t="s">
        <v>43</v>
      </c>
      <c r="E1888">
        <v>400</v>
      </c>
      <c r="F1888">
        <f t="shared" si="58"/>
        <v>1280</v>
      </c>
      <c r="G1888">
        <f>SUMIF($D$2:$D1888,$D1888,$E$2:$E1888)</f>
        <v>9569</v>
      </c>
      <c r="H1888">
        <f t="shared" si="59"/>
        <v>0</v>
      </c>
    </row>
    <row r="1889" spans="1:8" x14ac:dyDescent="0.25">
      <c r="A1889" s="1">
        <v>44837</v>
      </c>
      <c r="B1889" t="s">
        <v>1</v>
      </c>
      <c r="C1889" t="s">
        <v>65</v>
      </c>
      <c r="D1889" t="s">
        <v>28</v>
      </c>
      <c r="E1889">
        <v>217</v>
      </c>
      <c r="F1889">
        <f t="shared" si="58"/>
        <v>694.40000000000009</v>
      </c>
      <c r="G1889">
        <f>SUMIF($D$2:$D1889,$D1889,$E$2:$E1889)</f>
        <v>10531</v>
      </c>
      <c r="H1889">
        <f t="shared" si="59"/>
        <v>0</v>
      </c>
    </row>
    <row r="1890" spans="1:8" x14ac:dyDescent="0.25">
      <c r="A1890" s="1">
        <v>44837</v>
      </c>
      <c r="B1890" t="s">
        <v>9</v>
      </c>
      <c r="C1890" t="s">
        <v>65</v>
      </c>
      <c r="D1890" t="s">
        <v>44</v>
      </c>
      <c r="E1890">
        <v>46</v>
      </c>
      <c r="F1890">
        <f t="shared" si="58"/>
        <v>115</v>
      </c>
      <c r="G1890">
        <f>SUMIF($D$2:$D1890,$D1890,$E$2:$E1890)</f>
        <v>13547</v>
      </c>
      <c r="H1890">
        <f t="shared" si="59"/>
        <v>0</v>
      </c>
    </row>
    <row r="1891" spans="1:8" x14ac:dyDescent="0.25">
      <c r="A1891" s="1">
        <v>44837</v>
      </c>
      <c r="B1891" t="s">
        <v>3</v>
      </c>
      <c r="C1891" t="s">
        <v>65</v>
      </c>
      <c r="D1891" t="s">
        <v>54</v>
      </c>
      <c r="E1891">
        <v>139</v>
      </c>
      <c r="F1891">
        <f t="shared" si="58"/>
        <v>444.8</v>
      </c>
      <c r="G1891">
        <f>SUMIF($D$2:$D1891,$D1891,$E$2:$E1891)</f>
        <v>14481</v>
      </c>
      <c r="H1891">
        <f t="shared" si="59"/>
        <v>0</v>
      </c>
    </row>
    <row r="1892" spans="1:8" x14ac:dyDescent="0.25">
      <c r="A1892" s="1">
        <v>44837</v>
      </c>
      <c r="B1892" t="s">
        <v>3</v>
      </c>
      <c r="C1892" t="s">
        <v>65</v>
      </c>
      <c r="D1892" t="s">
        <v>20</v>
      </c>
      <c r="E1892">
        <v>171</v>
      </c>
      <c r="F1892">
        <f t="shared" si="58"/>
        <v>547.20000000000005</v>
      </c>
      <c r="G1892">
        <f>SUMIF($D$2:$D1892,$D1892,$E$2:$E1892)</f>
        <v>10549</v>
      </c>
      <c r="H1892">
        <f t="shared" si="59"/>
        <v>0</v>
      </c>
    </row>
    <row r="1893" spans="1:8" x14ac:dyDescent="0.25">
      <c r="A1893" s="1">
        <v>44837</v>
      </c>
      <c r="B1893" t="s">
        <v>14</v>
      </c>
      <c r="C1893" t="s">
        <v>65</v>
      </c>
      <c r="D1893" t="s">
        <v>29</v>
      </c>
      <c r="E1893">
        <v>384</v>
      </c>
      <c r="F1893">
        <f t="shared" si="58"/>
        <v>1344</v>
      </c>
      <c r="G1893">
        <f>SUMIF($D$2:$D1893,$D1893,$E$2:$E1893)</f>
        <v>17313</v>
      </c>
      <c r="H1893">
        <f t="shared" si="59"/>
        <v>1920</v>
      </c>
    </row>
    <row r="1894" spans="1:8" x14ac:dyDescent="0.25">
      <c r="A1894" s="1">
        <v>44837</v>
      </c>
      <c r="B1894" t="s">
        <v>3</v>
      </c>
      <c r="C1894" t="s">
        <v>65</v>
      </c>
      <c r="D1894" t="s">
        <v>26</v>
      </c>
      <c r="E1894">
        <v>374</v>
      </c>
      <c r="F1894">
        <f t="shared" si="58"/>
        <v>1196.8</v>
      </c>
      <c r="G1894">
        <f>SUMIF($D$2:$D1894,$D1894,$E$2:$E1894)</f>
        <v>15342</v>
      </c>
      <c r="H1894">
        <f t="shared" si="59"/>
        <v>1870</v>
      </c>
    </row>
    <row r="1895" spans="1:8" x14ac:dyDescent="0.25">
      <c r="A1895" s="1">
        <v>44837</v>
      </c>
      <c r="B1895" t="s">
        <v>9</v>
      </c>
      <c r="C1895" t="s">
        <v>65</v>
      </c>
      <c r="D1895" t="s">
        <v>62</v>
      </c>
      <c r="E1895">
        <v>80</v>
      </c>
      <c r="F1895">
        <f t="shared" si="58"/>
        <v>200</v>
      </c>
      <c r="G1895">
        <f>SUMIF($D$2:$D1895,$D1895,$E$2:$E1895)</f>
        <v>10676</v>
      </c>
      <c r="H1895">
        <f t="shared" si="59"/>
        <v>0</v>
      </c>
    </row>
    <row r="1896" spans="1:8" x14ac:dyDescent="0.25">
      <c r="A1896" s="1">
        <v>44837</v>
      </c>
      <c r="B1896" t="s">
        <v>1</v>
      </c>
      <c r="C1896" t="s">
        <v>65</v>
      </c>
      <c r="D1896" t="s">
        <v>31</v>
      </c>
      <c r="E1896">
        <v>243</v>
      </c>
      <c r="F1896">
        <f t="shared" si="58"/>
        <v>777.6</v>
      </c>
      <c r="G1896">
        <f>SUMIF($D$2:$D1896,$D1896,$E$2:$E1896)</f>
        <v>14100</v>
      </c>
      <c r="H1896">
        <f t="shared" si="59"/>
        <v>0</v>
      </c>
    </row>
    <row r="1897" spans="1:8" x14ac:dyDescent="0.25">
      <c r="A1897" s="1">
        <v>44838</v>
      </c>
      <c r="B1897" t="s">
        <v>1</v>
      </c>
      <c r="C1897" t="s">
        <v>65</v>
      </c>
      <c r="D1897" t="s">
        <v>24</v>
      </c>
      <c r="E1897">
        <v>84</v>
      </c>
      <c r="F1897">
        <f t="shared" si="58"/>
        <v>268.8</v>
      </c>
      <c r="G1897">
        <f>SUMIF($D$2:$D1897,$D1897,$E$2:$E1897)</f>
        <v>10338</v>
      </c>
      <c r="H1897">
        <f t="shared" si="59"/>
        <v>0</v>
      </c>
    </row>
    <row r="1898" spans="1:8" x14ac:dyDescent="0.25">
      <c r="A1898" s="1">
        <v>44838</v>
      </c>
      <c r="B1898" t="s">
        <v>14</v>
      </c>
      <c r="C1898" t="s">
        <v>65</v>
      </c>
      <c r="D1898" t="s">
        <v>22</v>
      </c>
      <c r="E1898">
        <v>35</v>
      </c>
      <c r="F1898">
        <f t="shared" si="58"/>
        <v>122.5</v>
      </c>
      <c r="G1898">
        <f>SUMIF($D$2:$D1898,$D1898,$E$2:$E1898)</f>
        <v>12333</v>
      </c>
      <c r="H1898">
        <f t="shared" si="59"/>
        <v>0</v>
      </c>
    </row>
    <row r="1899" spans="1:8" x14ac:dyDescent="0.25">
      <c r="A1899" s="1">
        <v>44838</v>
      </c>
      <c r="B1899" t="s">
        <v>14</v>
      </c>
      <c r="C1899" t="s">
        <v>65</v>
      </c>
      <c r="D1899" t="s">
        <v>55</v>
      </c>
      <c r="E1899">
        <v>337</v>
      </c>
      <c r="F1899">
        <f t="shared" si="58"/>
        <v>1179.5</v>
      </c>
      <c r="G1899">
        <f>SUMIF($D$2:$D1899,$D1899,$E$2:$E1899)</f>
        <v>9866</v>
      </c>
      <c r="H1899">
        <f t="shared" si="59"/>
        <v>0</v>
      </c>
    </row>
    <row r="1900" spans="1:8" x14ac:dyDescent="0.25">
      <c r="A1900" s="1">
        <v>44838</v>
      </c>
      <c r="B1900" t="s">
        <v>14</v>
      </c>
      <c r="C1900" t="s">
        <v>65</v>
      </c>
      <c r="D1900" t="s">
        <v>53</v>
      </c>
      <c r="E1900">
        <v>312</v>
      </c>
      <c r="F1900">
        <f t="shared" si="58"/>
        <v>1092</v>
      </c>
      <c r="G1900">
        <f>SUMIF($D$2:$D1900,$D1900,$E$2:$E1900)</f>
        <v>12891</v>
      </c>
      <c r="H1900">
        <f t="shared" si="59"/>
        <v>0</v>
      </c>
    </row>
    <row r="1901" spans="1:8" x14ac:dyDescent="0.25">
      <c r="A1901" s="1">
        <v>44839</v>
      </c>
      <c r="B1901" t="s">
        <v>3</v>
      </c>
      <c r="C1901" t="s">
        <v>65</v>
      </c>
      <c r="D1901" t="s">
        <v>39</v>
      </c>
      <c r="E1901">
        <v>107</v>
      </c>
      <c r="F1901">
        <f t="shared" si="58"/>
        <v>342.40000000000003</v>
      </c>
      <c r="G1901">
        <f>SUMIF($D$2:$D1901,$D1901,$E$2:$E1901)</f>
        <v>10199</v>
      </c>
      <c r="H1901">
        <f t="shared" si="59"/>
        <v>0</v>
      </c>
    </row>
    <row r="1902" spans="1:8" x14ac:dyDescent="0.25">
      <c r="A1902" s="1">
        <v>44839</v>
      </c>
      <c r="B1902" t="s">
        <v>3</v>
      </c>
      <c r="C1902" t="s">
        <v>65</v>
      </c>
      <c r="D1902" t="s">
        <v>36</v>
      </c>
      <c r="E1902">
        <v>354</v>
      </c>
      <c r="F1902">
        <f t="shared" si="58"/>
        <v>1132.8</v>
      </c>
      <c r="G1902">
        <f>SUMIF($D$2:$D1902,$D1902,$E$2:$E1902)</f>
        <v>12177</v>
      </c>
      <c r="H1902">
        <f t="shared" si="59"/>
        <v>0</v>
      </c>
    </row>
    <row r="1903" spans="1:8" x14ac:dyDescent="0.25">
      <c r="A1903" s="1">
        <v>44839</v>
      </c>
      <c r="B1903" t="s">
        <v>3</v>
      </c>
      <c r="C1903" t="s">
        <v>65</v>
      </c>
      <c r="D1903" t="s">
        <v>59</v>
      </c>
      <c r="E1903">
        <v>372</v>
      </c>
      <c r="F1903">
        <f t="shared" si="58"/>
        <v>1190.4000000000001</v>
      </c>
      <c r="G1903">
        <f>SUMIF($D$2:$D1903,$D1903,$E$2:$E1903)</f>
        <v>8823</v>
      </c>
      <c r="H1903">
        <f t="shared" si="59"/>
        <v>0</v>
      </c>
    </row>
    <row r="1904" spans="1:8" x14ac:dyDescent="0.25">
      <c r="A1904" s="1">
        <v>44839</v>
      </c>
      <c r="B1904" t="s">
        <v>14</v>
      </c>
      <c r="C1904" t="s">
        <v>65</v>
      </c>
      <c r="D1904" t="s">
        <v>54</v>
      </c>
      <c r="E1904">
        <v>96</v>
      </c>
      <c r="F1904">
        <f t="shared" si="58"/>
        <v>336</v>
      </c>
      <c r="G1904">
        <f>SUMIF($D$2:$D1904,$D1904,$E$2:$E1904)</f>
        <v>14577</v>
      </c>
      <c r="H1904">
        <f t="shared" si="59"/>
        <v>0</v>
      </c>
    </row>
    <row r="1905" spans="1:8" x14ac:dyDescent="0.25">
      <c r="A1905" s="1">
        <v>44839</v>
      </c>
      <c r="B1905" t="s">
        <v>14</v>
      </c>
      <c r="C1905" t="s">
        <v>65</v>
      </c>
      <c r="D1905" t="s">
        <v>19</v>
      </c>
      <c r="E1905">
        <v>436</v>
      </c>
      <c r="F1905">
        <f t="shared" si="58"/>
        <v>1526</v>
      </c>
      <c r="G1905">
        <f>SUMIF($D$2:$D1905,$D1905,$E$2:$E1905)</f>
        <v>7510</v>
      </c>
      <c r="H1905">
        <f t="shared" si="59"/>
        <v>0</v>
      </c>
    </row>
    <row r="1906" spans="1:8" x14ac:dyDescent="0.25">
      <c r="A1906" s="1">
        <v>44839</v>
      </c>
      <c r="B1906" t="s">
        <v>1</v>
      </c>
      <c r="C1906" t="s">
        <v>65</v>
      </c>
      <c r="D1906" t="s">
        <v>57</v>
      </c>
      <c r="E1906">
        <v>181</v>
      </c>
      <c r="F1906">
        <f t="shared" si="58"/>
        <v>579.20000000000005</v>
      </c>
      <c r="G1906">
        <f>SUMIF($D$2:$D1906,$D1906,$E$2:$E1906)</f>
        <v>14665</v>
      </c>
      <c r="H1906">
        <f t="shared" si="59"/>
        <v>0</v>
      </c>
    </row>
    <row r="1907" spans="1:8" x14ac:dyDescent="0.25">
      <c r="A1907" s="1">
        <v>44839</v>
      </c>
      <c r="B1907" t="s">
        <v>9</v>
      </c>
      <c r="C1907" t="s">
        <v>65</v>
      </c>
      <c r="D1907" t="s">
        <v>25</v>
      </c>
      <c r="E1907">
        <v>170</v>
      </c>
      <c r="F1907">
        <f t="shared" si="58"/>
        <v>425</v>
      </c>
      <c r="G1907">
        <f>SUMIF($D$2:$D1907,$D1907,$E$2:$E1907)</f>
        <v>11406</v>
      </c>
      <c r="H1907">
        <f t="shared" si="59"/>
        <v>0</v>
      </c>
    </row>
    <row r="1908" spans="1:8" x14ac:dyDescent="0.25">
      <c r="A1908" s="1">
        <v>44839</v>
      </c>
      <c r="B1908" t="s">
        <v>1</v>
      </c>
      <c r="C1908" t="s">
        <v>65</v>
      </c>
      <c r="D1908" t="s">
        <v>45</v>
      </c>
      <c r="E1908">
        <v>132</v>
      </c>
      <c r="F1908">
        <f t="shared" si="58"/>
        <v>422.40000000000003</v>
      </c>
      <c r="G1908">
        <f>SUMIF($D$2:$D1908,$D1908,$E$2:$E1908)</f>
        <v>12621</v>
      </c>
      <c r="H1908">
        <f t="shared" si="59"/>
        <v>0</v>
      </c>
    </row>
    <row r="1909" spans="1:8" x14ac:dyDescent="0.25">
      <c r="A1909" s="1">
        <v>44839</v>
      </c>
      <c r="B1909" t="s">
        <v>1</v>
      </c>
      <c r="C1909" t="s">
        <v>65</v>
      </c>
      <c r="D1909" t="s">
        <v>46</v>
      </c>
      <c r="E1909">
        <v>135</v>
      </c>
      <c r="F1909">
        <f t="shared" si="58"/>
        <v>432</v>
      </c>
      <c r="G1909">
        <f>SUMIF($D$2:$D1909,$D1909,$E$2:$E1909)</f>
        <v>11393</v>
      </c>
      <c r="H1909">
        <f t="shared" si="59"/>
        <v>0</v>
      </c>
    </row>
    <row r="1910" spans="1:8" x14ac:dyDescent="0.25">
      <c r="A1910" s="1">
        <v>44839</v>
      </c>
      <c r="B1910" t="s">
        <v>11</v>
      </c>
      <c r="C1910" t="s">
        <v>65</v>
      </c>
      <c r="D1910" t="s">
        <v>22</v>
      </c>
      <c r="E1910">
        <v>177</v>
      </c>
      <c r="F1910">
        <f t="shared" si="58"/>
        <v>442.5</v>
      </c>
      <c r="G1910">
        <f>SUMIF($D$2:$D1910,$D1910,$E$2:$E1910)</f>
        <v>12510</v>
      </c>
      <c r="H1910">
        <f t="shared" si="59"/>
        <v>0</v>
      </c>
    </row>
    <row r="1911" spans="1:8" x14ac:dyDescent="0.25">
      <c r="A1911" s="1">
        <v>44839</v>
      </c>
      <c r="B1911" t="s">
        <v>14</v>
      </c>
      <c r="C1911" t="s">
        <v>65</v>
      </c>
      <c r="D1911" t="s">
        <v>26</v>
      </c>
      <c r="E1911">
        <v>259</v>
      </c>
      <c r="F1911">
        <f t="shared" si="58"/>
        <v>906.5</v>
      </c>
      <c r="G1911">
        <f>SUMIF($D$2:$D1911,$D1911,$E$2:$E1911)</f>
        <v>15601</v>
      </c>
      <c r="H1911">
        <f t="shared" si="59"/>
        <v>1295</v>
      </c>
    </row>
    <row r="1912" spans="1:8" x14ac:dyDescent="0.25">
      <c r="A1912" s="1">
        <v>44840</v>
      </c>
      <c r="B1912" t="s">
        <v>14</v>
      </c>
      <c r="C1912" t="s">
        <v>65</v>
      </c>
      <c r="D1912" t="s">
        <v>55</v>
      </c>
      <c r="E1912">
        <v>163</v>
      </c>
      <c r="F1912">
        <f t="shared" si="58"/>
        <v>570.5</v>
      </c>
      <c r="G1912">
        <f>SUMIF($D$2:$D1912,$D1912,$E$2:$E1912)</f>
        <v>10029</v>
      </c>
      <c r="H1912">
        <f t="shared" si="59"/>
        <v>0</v>
      </c>
    </row>
    <row r="1913" spans="1:8" x14ac:dyDescent="0.25">
      <c r="A1913" s="1">
        <v>44840</v>
      </c>
      <c r="B1913" t="s">
        <v>14</v>
      </c>
      <c r="C1913" t="s">
        <v>65</v>
      </c>
      <c r="D1913" t="s">
        <v>44</v>
      </c>
      <c r="E1913">
        <v>465</v>
      </c>
      <c r="F1913">
        <f t="shared" si="58"/>
        <v>1627.5</v>
      </c>
      <c r="G1913">
        <f>SUMIF($D$2:$D1913,$D1913,$E$2:$E1913)</f>
        <v>14012</v>
      </c>
      <c r="H1913">
        <f t="shared" si="59"/>
        <v>0</v>
      </c>
    </row>
    <row r="1914" spans="1:8" x14ac:dyDescent="0.25">
      <c r="A1914" s="1">
        <v>44841</v>
      </c>
      <c r="B1914" t="s">
        <v>1</v>
      </c>
      <c r="C1914" t="s">
        <v>65</v>
      </c>
      <c r="D1914" t="s">
        <v>28</v>
      </c>
      <c r="E1914">
        <v>252</v>
      </c>
      <c r="F1914">
        <f t="shared" si="58"/>
        <v>806.40000000000009</v>
      </c>
      <c r="G1914">
        <f>SUMIF($D$2:$D1914,$D1914,$E$2:$E1914)</f>
        <v>10783</v>
      </c>
      <c r="H1914">
        <f t="shared" si="59"/>
        <v>0</v>
      </c>
    </row>
    <row r="1915" spans="1:8" x14ac:dyDescent="0.25">
      <c r="A1915" s="1">
        <v>44841</v>
      </c>
      <c r="B1915" t="s">
        <v>9</v>
      </c>
      <c r="C1915" t="s">
        <v>65</v>
      </c>
      <c r="D1915" t="s">
        <v>66</v>
      </c>
      <c r="E1915">
        <v>425</v>
      </c>
      <c r="F1915">
        <f t="shared" si="58"/>
        <v>1062.5</v>
      </c>
      <c r="G1915">
        <f>SUMIF($D$2:$D1915,$D1915,$E$2:$E1915)</f>
        <v>12788</v>
      </c>
      <c r="H1915">
        <f t="shared" si="59"/>
        <v>0</v>
      </c>
    </row>
    <row r="1916" spans="1:8" x14ac:dyDescent="0.25">
      <c r="A1916" s="1">
        <v>44841</v>
      </c>
      <c r="B1916" t="s">
        <v>3</v>
      </c>
      <c r="C1916" t="s">
        <v>65</v>
      </c>
      <c r="D1916" t="s">
        <v>54</v>
      </c>
      <c r="E1916">
        <v>124</v>
      </c>
      <c r="F1916">
        <f t="shared" si="58"/>
        <v>396.8</v>
      </c>
      <c r="G1916">
        <f>SUMIF($D$2:$D1916,$D1916,$E$2:$E1916)</f>
        <v>14701</v>
      </c>
      <c r="H1916">
        <f t="shared" si="59"/>
        <v>0</v>
      </c>
    </row>
    <row r="1917" spans="1:8" x14ac:dyDescent="0.25">
      <c r="A1917" s="1">
        <v>44842</v>
      </c>
      <c r="B1917" t="s">
        <v>14</v>
      </c>
      <c r="C1917" t="s">
        <v>65</v>
      </c>
      <c r="D1917" t="s">
        <v>45</v>
      </c>
      <c r="E1917">
        <v>268</v>
      </c>
      <c r="F1917">
        <f t="shared" si="58"/>
        <v>938</v>
      </c>
      <c r="G1917">
        <f>SUMIF($D$2:$D1917,$D1917,$E$2:$E1917)</f>
        <v>12889</v>
      </c>
      <c r="H1917">
        <f t="shared" si="59"/>
        <v>0</v>
      </c>
    </row>
    <row r="1918" spans="1:8" x14ac:dyDescent="0.25">
      <c r="A1918" s="1">
        <v>44842</v>
      </c>
      <c r="B1918" t="s">
        <v>9</v>
      </c>
      <c r="C1918" t="s">
        <v>65</v>
      </c>
      <c r="D1918" t="s">
        <v>48</v>
      </c>
      <c r="E1918">
        <v>460</v>
      </c>
      <c r="F1918">
        <f t="shared" si="58"/>
        <v>1150</v>
      </c>
      <c r="G1918">
        <f>SUMIF($D$2:$D1918,$D1918,$E$2:$E1918)</f>
        <v>10291</v>
      </c>
      <c r="H1918">
        <f t="shared" si="59"/>
        <v>0</v>
      </c>
    </row>
    <row r="1919" spans="1:8" x14ac:dyDescent="0.25">
      <c r="A1919" s="1">
        <v>44842</v>
      </c>
      <c r="B1919" t="s">
        <v>3</v>
      </c>
      <c r="C1919" t="s">
        <v>65</v>
      </c>
      <c r="D1919" t="s">
        <v>24</v>
      </c>
      <c r="E1919">
        <v>24</v>
      </c>
      <c r="F1919">
        <f t="shared" si="58"/>
        <v>76.800000000000011</v>
      </c>
      <c r="G1919">
        <f>SUMIF($D$2:$D1919,$D1919,$E$2:$E1919)</f>
        <v>10362</v>
      </c>
      <c r="H1919">
        <f t="shared" si="59"/>
        <v>0</v>
      </c>
    </row>
    <row r="1920" spans="1:8" x14ac:dyDescent="0.25">
      <c r="A1920" s="1">
        <v>44842</v>
      </c>
      <c r="B1920" t="s">
        <v>9</v>
      </c>
      <c r="C1920" t="s">
        <v>65</v>
      </c>
      <c r="D1920" t="s">
        <v>25</v>
      </c>
      <c r="E1920">
        <v>466</v>
      </c>
      <c r="F1920">
        <f t="shared" si="58"/>
        <v>1165</v>
      </c>
      <c r="G1920">
        <f>SUMIF($D$2:$D1920,$D1920,$E$2:$E1920)</f>
        <v>11872</v>
      </c>
      <c r="H1920">
        <f t="shared" si="59"/>
        <v>0</v>
      </c>
    </row>
    <row r="1921" spans="1:8" x14ac:dyDescent="0.25">
      <c r="A1921" s="1">
        <v>44842</v>
      </c>
      <c r="B1921" t="s">
        <v>11</v>
      </c>
      <c r="C1921" t="s">
        <v>65</v>
      </c>
      <c r="D1921" t="s">
        <v>41</v>
      </c>
      <c r="E1921">
        <v>260</v>
      </c>
      <c r="F1921">
        <f t="shared" si="58"/>
        <v>650</v>
      </c>
      <c r="G1921">
        <f>SUMIF($D$2:$D1921,$D1921,$E$2:$E1921)</f>
        <v>11177</v>
      </c>
      <c r="H1921">
        <f t="shared" si="59"/>
        <v>0</v>
      </c>
    </row>
    <row r="1922" spans="1:8" x14ac:dyDescent="0.25">
      <c r="A1922" s="1">
        <v>44842</v>
      </c>
      <c r="B1922" t="s">
        <v>11</v>
      </c>
      <c r="C1922" t="s">
        <v>65</v>
      </c>
      <c r="D1922" t="s">
        <v>50</v>
      </c>
      <c r="E1922">
        <v>343</v>
      </c>
      <c r="F1922">
        <f t="shared" si="58"/>
        <v>857.5</v>
      </c>
      <c r="G1922">
        <f>SUMIF($D$2:$D1922,$D1922,$E$2:$E1922)</f>
        <v>9554</v>
      </c>
      <c r="H1922">
        <f t="shared" si="59"/>
        <v>0</v>
      </c>
    </row>
    <row r="1923" spans="1:8" x14ac:dyDescent="0.25">
      <c r="A1923" s="1">
        <v>44842</v>
      </c>
      <c r="B1923" t="s">
        <v>14</v>
      </c>
      <c r="C1923" t="s">
        <v>65</v>
      </c>
      <c r="D1923" t="s">
        <v>37</v>
      </c>
      <c r="E1923">
        <v>430</v>
      </c>
      <c r="F1923" t="str">
        <f>D1998</f>
        <v>192-09-72-275</v>
      </c>
      <c r="G1923">
        <f>SUMIF($D$2:$D1923,$D1923,$E$2:$E1923)</f>
        <v>11473</v>
      </c>
      <c r="H1923">
        <f t="shared" ref="H1923:H1986" si="60">IF(AND($G1923 &gt; 15000,$G1923 &lt; 20000),5*$E1923,IF($G1923 &gt;= 20000,10*$E1923,0))</f>
        <v>0</v>
      </c>
    </row>
    <row r="1924" spans="1:8" x14ac:dyDescent="0.25">
      <c r="A1924" s="1">
        <v>44844</v>
      </c>
      <c r="B1924" t="s">
        <v>9</v>
      </c>
      <c r="C1924" t="s">
        <v>65</v>
      </c>
      <c r="D1924" t="s">
        <v>30</v>
      </c>
      <c r="E1924">
        <v>146</v>
      </c>
      <c r="F1924">
        <f t="shared" ref="F1924:F1986" si="61">E1924* _xlfn.XLOOKUP(B1924,$I$2:$I$17,$J$2:$J$17,"0",0,1)</f>
        <v>365</v>
      </c>
      <c r="G1924">
        <f>SUMIF($D$2:$D1924,$D1924,$E$2:$E1924)</f>
        <v>12108</v>
      </c>
      <c r="H1924">
        <f t="shared" si="60"/>
        <v>0</v>
      </c>
    </row>
    <row r="1925" spans="1:8" x14ac:dyDescent="0.25">
      <c r="A1925" s="1">
        <v>44844</v>
      </c>
      <c r="B1925" t="s">
        <v>1</v>
      </c>
      <c r="C1925" t="s">
        <v>65</v>
      </c>
      <c r="D1925" t="s">
        <v>62</v>
      </c>
      <c r="E1925">
        <v>400</v>
      </c>
      <c r="F1925">
        <f t="shared" si="61"/>
        <v>1280</v>
      </c>
      <c r="G1925">
        <f>SUMIF($D$2:$D1925,$D1925,$E$2:$E1925)</f>
        <v>11076</v>
      </c>
      <c r="H1925">
        <f t="shared" si="60"/>
        <v>0</v>
      </c>
    </row>
    <row r="1926" spans="1:8" x14ac:dyDescent="0.25">
      <c r="A1926" s="1">
        <v>44844</v>
      </c>
      <c r="B1926" t="s">
        <v>3</v>
      </c>
      <c r="C1926" t="s">
        <v>65</v>
      </c>
      <c r="D1926" t="s">
        <v>51</v>
      </c>
      <c r="E1926">
        <v>306</v>
      </c>
      <c r="F1926">
        <f t="shared" si="61"/>
        <v>979.2</v>
      </c>
      <c r="G1926">
        <f>SUMIF($D$2:$D1926,$D1926,$E$2:$E1926)</f>
        <v>13742</v>
      </c>
      <c r="H1926">
        <f t="shared" si="60"/>
        <v>0</v>
      </c>
    </row>
    <row r="1927" spans="1:8" x14ac:dyDescent="0.25">
      <c r="A1927" s="1">
        <v>44844</v>
      </c>
      <c r="B1927" t="s">
        <v>3</v>
      </c>
      <c r="C1927" t="s">
        <v>65</v>
      </c>
      <c r="D1927" t="s">
        <v>38</v>
      </c>
      <c r="E1927">
        <v>340</v>
      </c>
      <c r="F1927">
        <f t="shared" si="61"/>
        <v>1088</v>
      </c>
      <c r="G1927">
        <f>SUMIF($D$2:$D1927,$D1927,$E$2:$E1927)</f>
        <v>13372</v>
      </c>
      <c r="H1927">
        <f t="shared" si="60"/>
        <v>0</v>
      </c>
    </row>
    <row r="1928" spans="1:8" x14ac:dyDescent="0.25">
      <c r="A1928" s="1">
        <v>44844</v>
      </c>
      <c r="B1928" t="s">
        <v>9</v>
      </c>
      <c r="C1928" t="s">
        <v>65</v>
      </c>
      <c r="D1928" t="s">
        <v>66</v>
      </c>
      <c r="E1928">
        <v>385</v>
      </c>
      <c r="F1928">
        <f t="shared" si="61"/>
        <v>962.5</v>
      </c>
      <c r="G1928">
        <f>SUMIF($D$2:$D1928,$D1928,$E$2:$E1928)</f>
        <v>13173</v>
      </c>
      <c r="H1928">
        <f t="shared" si="60"/>
        <v>0</v>
      </c>
    </row>
    <row r="1929" spans="1:8" x14ac:dyDescent="0.25">
      <c r="A1929" s="1">
        <v>44844</v>
      </c>
      <c r="B1929" t="s">
        <v>1</v>
      </c>
      <c r="C1929" t="s">
        <v>65</v>
      </c>
      <c r="D1929" t="s">
        <v>37</v>
      </c>
      <c r="E1929">
        <v>413</v>
      </c>
      <c r="F1929">
        <f t="shared" si="61"/>
        <v>1321.6000000000001</v>
      </c>
      <c r="G1929">
        <f>SUMIF($D$2:$D1929,$D1929,$E$2:$E1929)</f>
        <v>11886</v>
      </c>
      <c r="H1929">
        <f t="shared" si="60"/>
        <v>0</v>
      </c>
    </row>
    <row r="1930" spans="1:8" x14ac:dyDescent="0.25">
      <c r="A1930" s="1">
        <v>44844</v>
      </c>
      <c r="B1930" t="s">
        <v>1</v>
      </c>
      <c r="C1930" t="s">
        <v>65</v>
      </c>
      <c r="D1930" t="s">
        <v>48</v>
      </c>
      <c r="E1930">
        <v>343</v>
      </c>
      <c r="F1930">
        <f t="shared" si="61"/>
        <v>1097.6000000000001</v>
      </c>
      <c r="G1930">
        <f>SUMIF($D$2:$D1930,$D1930,$E$2:$E1930)</f>
        <v>10634</v>
      </c>
      <c r="H1930">
        <f t="shared" si="60"/>
        <v>0</v>
      </c>
    </row>
    <row r="1931" spans="1:8" x14ac:dyDescent="0.25">
      <c r="A1931" s="1">
        <v>44844</v>
      </c>
      <c r="B1931" t="s">
        <v>14</v>
      </c>
      <c r="C1931" t="s">
        <v>65</v>
      </c>
      <c r="D1931" t="s">
        <v>32</v>
      </c>
      <c r="E1931">
        <v>178</v>
      </c>
      <c r="F1931">
        <f t="shared" si="61"/>
        <v>623</v>
      </c>
      <c r="G1931">
        <f>SUMIF($D$2:$D1931,$D1931,$E$2:$E1931)</f>
        <v>11640</v>
      </c>
      <c r="H1931">
        <f t="shared" si="60"/>
        <v>0</v>
      </c>
    </row>
    <row r="1932" spans="1:8" x14ac:dyDescent="0.25">
      <c r="A1932" s="1">
        <v>44844</v>
      </c>
      <c r="B1932" t="s">
        <v>14</v>
      </c>
      <c r="C1932" t="s">
        <v>65</v>
      </c>
      <c r="D1932" t="s">
        <v>25</v>
      </c>
      <c r="E1932">
        <v>492</v>
      </c>
      <c r="F1932">
        <f t="shared" si="61"/>
        <v>1722</v>
      </c>
      <c r="G1932">
        <f>SUMIF($D$2:$D1932,$D1932,$E$2:$E1932)</f>
        <v>12364</v>
      </c>
      <c r="H1932">
        <f t="shared" si="60"/>
        <v>0</v>
      </c>
    </row>
    <row r="1933" spans="1:8" x14ac:dyDescent="0.25">
      <c r="A1933" s="1">
        <v>44844</v>
      </c>
      <c r="B1933" t="s">
        <v>1</v>
      </c>
      <c r="C1933" t="s">
        <v>65</v>
      </c>
      <c r="D1933" t="s">
        <v>30</v>
      </c>
      <c r="E1933">
        <v>468</v>
      </c>
      <c r="F1933">
        <f t="shared" si="61"/>
        <v>1497.6000000000001</v>
      </c>
      <c r="G1933">
        <f>SUMIF($D$2:$D1933,$D1933,$E$2:$E1933)</f>
        <v>12576</v>
      </c>
      <c r="H1933">
        <f t="shared" si="60"/>
        <v>0</v>
      </c>
    </row>
    <row r="1934" spans="1:8" x14ac:dyDescent="0.25">
      <c r="A1934" s="1">
        <v>44844</v>
      </c>
      <c r="B1934" t="s">
        <v>14</v>
      </c>
      <c r="C1934" t="s">
        <v>65</v>
      </c>
      <c r="D1934" t="s">
        <v>57</v>
      </c>
      <c r="E1934">
        <v>189</v>
      </c>
      <c r="F1934">
        <f t="shared" si="61"/>
        <v>661.5</v>
      </c>
      <c r="G1934">
        <f>SUMIF($D$2:$D1934,$D1934,$E$2:$E1934)</f>
        <v>14854</v>
      </c>
      <c r="H1934">
        <f t="shared" si="60"/>
        <v>0</v>
      </c>
    </row>
    <row r="1935" spans="1:8" x14ac:dyDescent="0.25">
      <c r="A1935" s="1">
        <v>44845</v>
      </c>
      <c r="B1935" t="s">
        <v>11</v>
      </c>
      <c r="C1935" t="s">
        <v>65</v>
      </c>
      <c r="D1935" t="s">
        <v>28</v>
      </c>
      <c r="E1935">
        <v>438</v>
      </c>
      <c r="F1935">
        <f t="shared" si="61"/>
        <v>1095</v>
      </c>
      <c r="G1935">
        <f>SUMIF($D$2:$D1935,$D1935,$E$2:$E1935)</f>
        <v>11221</v>
      </c>
      <c r="H1935">
        <f t="shared" si="60"/>
        <v>0</v>
      </c>
    </row>
    <row r="1936" spans="1:8" x14ac:dyDescent="0.25">
      <c r="A1936" s="1">
        <v>44845</v>
      </c>
      <c r="B1936" t="s">
        <v>11</v>
      </c>
      <c r="C1936" t="s">
        <v>65</v>
      </c>
      <c r="D1936" t="s">
        <v>48</v>
      </c>
      <c r="E1936">
        <v>305</v>
      </c>
      <c r="F1936">
        <f t="shared" si="61"/>
        <v>762.5</v>
      </c>
      <c r="G1936">
        <f>SUMIF($D$2:$D1936,$D1936,$E$2:$E1936)</f>
        <v>10939</v>
      </c>
      <c r="H1936">
        <f t="shared" si="60"/>
        <v>0</v>
      </c>
    </row>
    <row r="1937" spans="1:8" x14ac:dyDescent="0.25">
      <c r="A1937" s="1">
        <v>44846</v>
      </c>
      <c r="B1937" t="s">
        <v>14</v>
      </c>
      <c r="C1937" t="s">
        <v>65</v>
      </c>
      <c r="D1937" t="s">
        <v>29</v>
      </c>
      <c r="E1937">
        <v>141</v>
      </c>
      <c r="F1937">
        <f t="shared" si="61"/>
        <v>493.5</v>
      </c>
      <c r="G1937">
        <f>SUMIF($D$2:$D1937,$D1937,$E$2:$E1937)</f>
        <v>17454</v>
      </c>
      <c r="H1937">
        <f t="shared" si="60"/>
        <v>705</v>
      </c>
    </row>
    <row r="1938" spans="1:8" x14ac:dyDescent="0.25">
      <c r="A1938" s="1">
        <v>44846</v>
      </c>
      <c r="B1938" t="s">
        <v>14</v>
      </c>
      <c r="C1938" t="s">
        <v>65</v>
      </c>
      <c r="D1938" t="s">
        <v>31</v>
      </c>
      <c r="E1938">
        <v>238</v>
      </c>
      <c r="F1938">
        <f t="shared" si="61"/>
        <v>833</v>
      </c>
      <c r="G1938">
        <f>SUMIF($D$2:$D1938,$D1938,$E$2:$E1938)</f>
        <v>14338</v>
      </c>
      <c r="H1938">
        <f t="shared" si="60"/>
        <v>0</v>
      </c>
    </row>
    <row r="1939" spans="1:8" x14ac:dyDescent="0.25">
      <c r="A1939" s="1">
        <v>44846</v>
      </c>
      <c r="B1939" t="s">
        <v>11</v>
      </c>
      <c r="C1939" t="s">
        <v>65</v>
      </c>
      <c r="D1939" t="s">
        <v>39</v>
      </c>
      <c r="E1939">
        <v>425</v>
      </c>
      <c r="F1939">
        <f t="shared" si="61"/>
        <v>1062.5</v>
      </c>
      <c r="G1939">
        <f>SUMIF($D$2:$D1939,$D1939,$E$2:$E1939)</f>
        <v>10624</v>
      </c>
      <c r="H1939">
        <f t="shared" si="60"/>
        <v>0</v>
      </c>
    </row>
    <row r="1940" spans="1:8" x14ac:dyDescent="0.25">
      <c r="A1940" s="1">
        <v>44846</v>
      </c>
      <c r="B1940" t="s">
        <v>11</v>
      </c>
      <c r="C1940" t="s">
        <v>65</v>
      </c>
      <c r="D1940" t="s">
        <v>54</v>
      </c>
      <c r="E1940">
        <v>416</v>
      </c>
      <c r="F1940">
        <f t="shared" si="61"/>
        <v>1040</v>
      </c>
      <c r="G1940">
        <f>SUMIF($D$2:$D1940,$D1940,$E$2:$E1940)</f>
        <v>15117</v>
      </c>
      <c r="H1940">
        <f t="shared" si="60"/>
        <v>2080</v>
      </c>
    </row>
    <row r="1941" spans="1:8" x14ac:dyDescent="0.25">
      <c r="A1941" s="1">
        <v>44846</v>
      </c>
      <c r="B1941" t="s">
        <v>3</v>
      </c>
      <c r="C1941" t="s">
        <v>65</v>
      </c>
      <c r="D1941" t="s">
        <v>50</v>
      </c>
      <c r="E1941">
        <v>32</v>
      </c>
      <c r="F1941">
        <f t="shared" si="61"/>
        <v>102.4</v>
      </c>
      <c r="G1941">
        <f>SUMIF($D$2:$D1941,$D1941,$E$2:$E1941)</f>
        <v>9586</v>
      </c>
      <c r="H1941">
        <f t="shared" si="60"/>
        <v>0</v>
      </c>
    </row>
    <row r="1942" spans="1:8" x14ac:dyDescent="0.25">
      <c r="A1942" s="1">
        <v>44846</v>
      </c>
      <c r="B1942" t="s">
        <v>3</v>
      </c>
      <c r="C1942" t="s">
        <v>65</v>
      </c>
      <c r="D1942" t="s">
        <v>32</v>
      </c>
      <c r="E1942">
        <v>292</v>
      </c>
      <c r="F1942">
        <f t="shared" si="61"/>
        <v>934.40000000000009</v>
      </c>
      <c r="G1942">
        <f>SUMIF($D$2:$D1942,$D1942,$E$2:$E1942)</f>
        <v>11932</v>
      </c>
      <c r="H1942">
        <f t="shared" si="60"/>
        <v>0</v>
      </c>
    </row>
    <row r="1943" spans="1:8" x14ac:dyDescent="0.25">
      <c r="A1943" s="1">
        <v>44846</v>
      </c>
      <c r="B1943" t="s">
        <v>14</v>
      </c>
      <c r="C1943" t="s">
        <v>65</v>
      </c>
      <c r="D1943" t="s">
        <v>21</v>
      </c>
      <c r="E1943">
        <v>475</v>
      </c>
      <c r="F1943">
        <f t="shared" si="61"/>
        <v>1662.5</v>
      </c>
      <c r="G1943">
        <f>SUMIF($D$2:$D1943,$D1943,$E$2:$E1943)</f>
        <v>11679</v>
      </c>
      <c r="H1943">
        <f t="shared" si="60"/>
        <v>0</v>
      </c>
    </row>
    <row r="1944" spans="1:8" x14ac:dyDescent="0.25">
      <c r="A1944" s="1">
        <v>44847</v>
      </c>
      <c r="B1944" t="s">
        <v>9</v>
      </c>
      <c r="C1944" t="s">
        <v>65</v>
      </c>
      <c r="D1944" t="s">
        <v>51</v>
      </c>
      <c r="E1944">
        <v>478</v>
      </c>
      <c r="F1944">
        <f t="shared" si="61"/>
        <v>1195</v>
      </c>
      <c r="G1944">
        <f>SUMIF($D$2:$D1944,$D1944,$E$2:$E1944)</f>
        <v>14220</v>
      </c>
      <c r="H1944">
        <f t="shared" si="60"/>
        <v>0</v>
      </c>
    </row>
    <row r="1945" spans="1:8" x14ac:dyDescent="0.25">
      <c r="A1945" s="1">
        <v>44847</v>
      </c>
      <c r="B1945" t="s">
        <v>14</v>
      </c>
      <c r="C1945" t="s">
        <v>65</v>
      </c>
      <c r="D1945" t="s">
        <v>41</v>
      </c>
      <c r="E1945">
        <v>395</v>
      </c>
      <c r="F1945">
        <f t="shared" si="61"/>
        <v>1382.5</v>
      </c>
      <c r="G1945">
        <f>SUMIF($D$2:$D1945,$D1945,$E$2:$E1945)</f>
        <v>11572</v>
      </c>
      <c r="H1945">
        <f t="shared" si="60"/>
        <v>0</v>
      </c>
    </row>
    <row r="1946" spans="1:8" x14ac:dyDescent="0.25">
      <c r="A1946" s="1">
        <v>44847</v>
      </c>
      <c r="B1946" t="s">
        <v>9</v>
      </c>
      <c r="C1946" t="s">
        <v>65</v>
      </c>
      <c r="D1946" t="s">
        <v>27</v>
      </c>
      <c r="E1946">
        <v>234</v>
      </c>
      <c r="F1946">
        <f t="shared" si="61"/>
        <v>585</v>
      </c>
      <c r="G1946">
        <f>SUMIF($D$2:$D1946,$D1946,$E$2:$E1946)</f>
        <v>10655</v>
      </c>
      <c r="H1946">
        <f t="shared" si="60"/>
        <v>0</v>
      </c>
    </row>
    <row r="1947" spans="1:8" x14ac:dyDescent="0.25">
      <c r="A1947" s="1">
        <v>44847</v>
      </c>
      <c r="B1947" t="s">
        <v>9</v>
      </c>
      <c r="C1947" t="s">
        <v>65</v>
      </c>
      <c r="D1947" t="s">
        <v>35</v>
      </c>
      <c r="E1947">
        <v>454</v>
      </c>
      <c r="F1947">
        <f t="shared" si="61"/>
        <v>1135</v>
      </c>
      <c r="G1947">
        <f>SUMIF($D$2:$D1947,$D1947,$E$2:$E1947)</f>
        <v>11295</v>
      </c>
      <c r="H1947">
        <f t="shared" si="60"/>
        <v>0</v>
      </c>
    </row>
    <row r="1948" spans="1:8" x14ac:dyDescent="0.25">
      <c r="A1948" s="1">
        <v>44847</v>
      </c>
      <c r="B1948" t="s">
        <v>9</v>
      </c>
      <c r="C1948" t="s">
        <v>65</v>
      </c>
      <c r="D1948" t="s">
        <v>28</v>
      </c>
      <c r="E1948">
        <v>379</v>
      </c>
      <c r="F1948">
        <f t="shared" si="61"/>
        <v>947.5</v>
      </c>
      <c r="G1948">
        <f>SUMIF($D$2:$D1948,$D1948,$E$2:$E1948)</f>
        <v>11600</v>
      </c>
      <c r="H1948">
        <f t="shared" si="60"/>
        <v>0</v>
      </c>
    </row>
    <row r="1949" spans="1:8" x14ac:dyDescent="0.25">
      <c r="A1949" s="1">
        <v>44847</v>
      </c>
      <c r="B1949" t="s">
        <v>11</v>
      </c>
      <c r="C1949" t="s">
        <v>65</v>
      </c>
      <c r="D1949" t="s">
        <v>54</v>
      </c>
      <c r="E1949">
        <v>17</v>
      </c>
      <c r="F1949">
        <f t="shared" si="61"/>
        <v>42.5</v>
      </c>
      <c r="G1949">
        <f>SUMIF($D$2:$D1949,$D1949,$E$2:$E1949)</f>
        <v>15134</v>
      </c>
      <c r="H1949">
        <f t="shared" si="60"/>
        <v>85</v>
      </c>
    </row>
    <row r="1950" spans="1:8" x14ac:dyDescent="0.25">
      <c r="A1950" s="1">
        <v>44848</v>
      </c>
      <c r="B1950" t="s">
        <v>9</v>
      </c>
      <c r="C1950" t="s">
        <v>65</v>
      </c>
      <c r="D1950" t="s">
        <v>21</v>
      </c>
      <c r="E1950">
        <v>232</v>
      </c>
      <c r="F1950">
        <f t="shared" si="61"/>
        <v>580</v>
      </c>
      <c r="G1950">
        <f>SUMIF($D$2:$D1950,$D1950,$E$2:$E1950)</f>
        <v>11911</v>
      </c>
      <c r="H1950">
        <f t="shared" si="60"/>
        <v>0</v>
      </c>
    </row>
    <row r="1951" spans="1:8" x14ac:dyDescent="0.25">
      <c r="A1951" s="1">
        <v>44848</v>
      </c>
      <c r="B1951" t="s">
        <v>14</v>
      </c>
      <c r="C1951" t="s">
        <v>65</v>
      </c>
      <c r="D1951" t="s">
        <v>55</v>
      </c>
      <c r="E1951">
        <v>499</v>
      </c>
      <c r="F1951">
        <f t="shared" si="61"/>
        <v>1746.5</v>
      </c>
      <c r="G1951">
        <f>SUMIF($D$2:$D1951,$D1951,$E$2:$E1951)</f>
        <v>10528</v>
      </c>
      <c r="H1951">
        <f t="shared" si="60"/>
        <v>0</v>
      </c>
    </row>
    <row r="1952" spans="1:8" x14ac:dyDescent="0.25">
      <c r="A1952" s="1">
        <v>44848</v>
      </c>
      <c r="B1952" t="s">
        <v>14</v>
      </c>
      <c r="C1952" t="s">
        <v>65</v>
      </c>
      <c r="D1952" t="s">
        <v>64</v>
      </c>
      <c r="E1952">
        <v>458</v>
      </c>
      <c r="F1952">
        <f t="shared" si="61"/>
        <v>1603</v>
      </c>
      <c r="G1952">
        <f>SUMIF($D$2:$D1952,$D1952,$E$2:$E1952)</f>
        <v>12641</v>
      </c>
      <c r="H1952">
        <f t="shared" si="60"/>
        <v>0</v>
      </c>
    </row>
    <row r="1953" spans="1:8" x14ac:dyDescent="0.25">
      <c r="A1953" s="1">
        <v>44848</v>
      </c>
      <c r="B1953" t="s">
        <v>1</v>
      </c>
      <c r="C1953" t="s">
        <v>65</v>
      </c>
      <c r="D1953" t="s">
        <v>37</v>
      </c>
      <c r="E1953">
        <v>110</v>
      </c>
      <c r="F1953">
        <f t="shared" si="61"/>
        <v>352</v>
      </c>
      <c r="G1953">
        <f>SUMIF($D$2:$D1953,$D1953,$E$2:$E1953)</f>
        <v>11996</v>
      </c>
      <c r="H1953">
        <f t="shared" si="60"/>
        <v>0</v>
      </c>
    </row>
    <row r="1954" spans="1:8" x14ac:dyDescent="0.25">
      <c r="A1954" s="1">
        <v>44848</v>
      </c>
      <c r="B1954" t="s">
        <v>11</v>
      </c>
      <c r="C1954" t="s">
        <v>65</v>
      </c>
      <c r="D1954" t="s">
        <v>24</v>
      </c>
      <c r="E1954">
        <v>254</v>
      </c>
      <c r="F1954">
        <f t="shared" si="61"/>
        <v>635</v>
      </c>
      <c r="G1954">
        <f>SUMIF($D$2:$D1954,$D1954,$E$2:$E1954)</f>
        <v>10616</v>
      </c>
      <c r="H1954">
        <f t="shared" si="60"/>
        <v>0</v>
      </c>
    </row>
    <row r="1955" spans="1:8" x14ac:dyDescent="0.25">
      <c r="A1955" s="1">
        <v>44849</v>
      </c>
      <c r="B1955" t="s">
        <v>9</v>
      </c>
      <c r="C1955" t="s">
        <v>65</v>
      </c>
      <c r="D1955" t="s">
        <v>25</v>
      </c>
      <c r="E1955">
        <v>346</v>
      </c>
      <c r="F1955">
        <f t="shared" si="61"/>
        <v>865</v>
      </c>
      <c r="G1955">
        <f>SUMIF($D$2:$D1955,$D1955,$E$2:$E1955)</f>
        <v>12710</v>
      </c>
      <c r="H1955">
        <f t="shared" si="60"/>
        <v>0</v>
      </c>
    </row>
    <row r="1956" spans="1:8" x14ac:dyDescent="0.25">
      <c r="A1956" s="1">
        <v>44849</v>
      </c>
      <c r="B1956" t="s">
        <v>9</v>
      </c>
      <c r="C1956" t="s">
        <v>65</v>
      </c>
      <c r="D1956" t="s">
        <v>37</v>
      </c>
      <c r="E1956">
        <v>423</v>
      </c>
      <c r="F1956">
        <f t="shared" si="61"/>
        <v>1057.5</v>
      </c>
      <c r="G1956">
        <f>SUMIF($D$2:$D1956,$D1956,$E$2:$E1956)</f>
        <v>12419</v>
      </c>
      <c r="H1956">
        <f t="shared" si="60"/>
        <v>0</v>
      </c>
    </row>
    <row r="1957" spans="1:8" x14ac:dyDescent="0.25">
      <c r="A1957" s="1">
        <v>44849</v>
      </c>
      <c r="B1957" t="s">
        <v>14</v>
      </c>
      <c r="C1957" t="s">
        <v>65</v>
      </c>
      <c r="D1957" t="s">
        <v>33</v>
      </c>
      <c r="E1957">
        <v>386</v>
      </c>
      <c r="F1957">
        <f t="shared" si="61"/>
        <v>1351</v>
      </c>
      <c r="G1957">
        <f>SUMIF($D$2:$D1957,$D1957,$E$2:$E1957)</f>
        <v>15362</v>
      </c>
      <c r="H1957">
        <f t="shared" si="60"/>
        <v>1930</v>
      </c>
    </row>
    <row r="1958" spans="1:8" x14ac:dyDescent="0.25">
      <c r="A1958" s="1">
        <v>44849</v>
      </c>
      <c r="B1958" t="s">
        <v>14</v>
      </c>
      <c r="C1958" t="s">
        <v>65</v>
      </c>
      <c r="D1958" t="s">
        <v>44</v>
      </c>
      <c r="E1958">
        <v>487</v>
      </c>
      <c r="F1958">
        <f t="shared" si="61"/>
        <v>1704.5</v>
      </c>
      <c r="G1958">
        <f>SUMIF($D$2:$D1958,$D1958,$E$2:$E1958)</f>
        <v>14499</v>
      </c>
      <c r="H1958">
        <f t="shared" si="60"/>
        <v>0</v>
      </c>
    </row>
    <row r="1959" spans="1:8" x14ac:dyDescent="0.25">
      <c r="A1959" s="1">
        <v>44849</v>
      </c>
      <c r="B1959" t="s">
        <v>14</v>
      </c>
      <c r="C1959" t="s">
        <v>65</v>
      </c>
      <c r="D1959" t="s">
        <v>41</v>
      </c>
      <c r="E1959">
        <v>388</v>
      </c>
      <c r="F1959">
        <f t="shared" si="61"/>
        <v>1358</v>
      </c>
      <c r="G1959">
        <f>SUMIF($D$2:$D1959,$D1959,$E$2:$E1959)</f>
        <v>11960</v>
      </c>
      <c r="H1959">
        <f t="shared" si="60"/>
        <v>0</v>
      </c>
    </row>
    <row r="1960" spans="1:8" x14ac:dyDescent="0.25">
      <c r="A1960" s="1">
        <v>44849</v>
      </c>
      <c r="B1960" t="s">
        <v>14</v>
      </c>
      <c r="C1960" t="s">
        <v>65</v>
      </c>
      <c r="D1960" t="s">
        <v>28</v>
      </c>
      <c r="E1960">
        <v>168</v>
      </c>
      <c r="F1960">
        <f t="shared" si="61"/>
        <v>588</v>
      </c>
      <c r="G1960">
        <f>SUMIF($D$2:$D1960,$D1960,$E$2:$E1960)</f>
        <v>11768</v>
      </c>
      <c r="H1960">
        <f t="shared" si="60"/>
        <v>0</v>
      </c>
    </row>
    <row r="1961" spans="1:8" x14ac:dyDescent="0.25">
      <c r="A1961" s="1">
        <v>44849</v>
      </c>
      <c r="B1961" t="s">
        <v>14</v>
      </c>
      <c r="C1961" t="s">
        <v>65</v>
      </c>
      <c r="D1961" t="s">
        <v>48</v>
      </c>
      <c r="E1961">
        <v>356</v>
      </c>
      <c r="F1961">
        <f t="shared" si="61"/>
        <v>1246</v>
      </c>
      <c r="G1961">
        <f>SUMIF($D$2:$D1961,$D1961,$E$2:$E1961)</f>
        <v>11295</v>
      </c>
      <c r="H1961">
        <f t="shared" si="60"/>
        <v>0</v>
      </c>
    </row>
    <row r="1962" spans="1:8" x14ac:dyDescent="0.25">
      <c r="A1962" s="1">
        <v>44851</v>
      </c>
      <c r="B1962" t="s">
        <v>14</v>
      </c>
      <c r="C1962" t="s">
        <v>65</v>
      </c>
      <c r="D1962" t="s">
        <v>31</v>
      </c>
      <c r="E1962">
        <v>338</v>
      </c>
      <c r="F1962">
        <f t="shared" si="61"/>
        <v>1183</v>
      </c>
      <c r="G1962">
        <f>SUMIF($D$2:$D1962,$D1962,$E$2:$E1962)</f>
        <v>14676</v>
      </c>
      <c r="H1962">
        <f t="shared" si="60"/>
        <v>0</v>
      </c>
    </row>
    <row r="1963" spans="1:8" x14ac:dyDescent="0.25">
      <c r="A1963" s="1">
        <v>44851</v>
      </c>
      <c r="B1963" t="s">
        <v>1</v>
      </c>
      <c r="C1963" t="s">
        <v>65</v>
      </c>
      <c r="D1963" t="s">
        <v>55</v>
      </c>
      <c r="E1963">
        <v>86</v>
      </c>
      <c r="F1963">
        <f t="shared" si="61"/>
        <v>275.2</v>
      </c>
      <c r="G1963">
        <f>SUMIF($D$2:$D1963,$D1963,$E$2:$E1963)</f>
        <v>10614</v>
      </c>
      <c r="H1963">
        <f t="shared" si="60"/>
        <v>0</v>
      </c>
    </row>
    <row r="1964" spans="1:8" x14ac:dyDescent="0.25">
      <c r="A1964" s="1">
        <v>44851</v>
      </c>
      <c r="B1964" t="s">
        <v>3</v>
      </c>
      <c r="C1964" t="s">
        <v>65</v>
      </c>
      <c r="D1964" t="s">
        <v>66</v>
      </c>
      <c r="E1964">
        <v>251</v>
      </c>
      <c r="F1964">
        <f t="shared" si="61"/>
        <v>803.2</v>
      </c>
      <c r="G1964">
        <f>SUMIF($D$2:$D1964,$D1964,$E$2:$E1964)</f>
        <v>13424</v>
      </c>
      <c r="H1964">
        <f t="shared" si="60"/>
        <v>0</v>
      </c>
    </row>
    <row r="1965" spans="1:8" x14ac:dyDescent="0.25">
      <c r="A1965" s="1">
        <v>44851</v>
      </c>
      <c r="B1965" t="s">
        <v>11</v>
      </c>
      <c r="C1965" t="s">
        <v>65</v>
      </c>
      <c r="D1965" t="s">
        <v>49</v>
      </c>
      <c r="E1965">
        <v>30</v>
      </c>
      <c r="F1965">
        <f t="shared" si="61"/>
        <v>75</v>
      </c>
      <c r="G1965">
        <f>SUMIF($D$2:$D1965,$D1965,$E$2:$E1965)</f>
        <v>10957</v>
      </c>
      <c r="H1965">
        <f t="shared" si="60"/>
        <v>0</v>
      </c>
    </row>
    <row r="1966" spans="1:8" x14ac:dyDescent="0.25">
      <c r="A1966" s="1">
        <v>44851</v>
      </c>
      <c r="B1966" t="s">
        <v>11</v>
      </c>
      <c r="C1966" t="s">
        <v>65</v>
      </c>
      <c r="D1966" t="s">
        <v>39</v>
      </c>
      <c r="E1966">
        <v>364</v>
      </c>
      <c r="F1966">
        <f t="shared" si="61"/>
        <v>910</v>
      </c>
      <c r="G1966">
        <f>SUMIF($D$2:$D1966,$D1966,$E$2:$E1966)</f>
        <v>10988</v>
      </c>
      <c r="H1966">
        <f t="shared" si="60"/>
        <v>0</v>
      </c>
    </row>
    <row r="1967" spans="1:8" x14ac:dyDescent="0.25">
      <c r="A1967" s="1">
        <v>44851</v>
      </c>
      <c r="B1967" t="s">
        <v>14</v>
      </c>
      <c r="C1967" t="s">
        <v>65</v>
      </c>
      <c r="D1967" t="s">
        <v>56</v>
      </c>
      <c r="E1967">
        <v>396</v>
      </c>
      <c r="F1967">
        <f t="shared" si="61"/>
        <v>1386</v>
      </c>
      <c r="G1967">
        <f>SUMIF($D$2:$D1967,$D1967,$E$2:$E1967)</f>
        <v>12310</v>
      </c>
      <c r="H1967">
        <f t="shared" si="60"/>
        <v>0</v>
      </c>
    </row>
    <row r="1968" spans="1:8" x14ac:dyDescent="0.25">
      <c r="A1968" s="1">
        <v>44851</v>
      </c>
      <c r="B1968" t="s">
        <v>14</v>
      </c>
      <c r="C1968" t="s">
        <v>65</v>
      </c>
      <c r="D1968" t="s">
        <v>64</v>
      </c>
      <c r="E1968">
        <v>38</v>
      </c>
      <c r="F1968">
        <f t="shared" si="61"/>
        <v>133</v>
      </c>
      <c r="G1968">
        <f>SUMIF($D$2:$D1968,$D1968,$E$2:$E1968)</f>
        <v>12679</v>
      </c>
      <c r="H1968">
        <f t="shared" si="60"/>
        <v>0</v>
      </c>
    </row>
    <row r="1969" spans="1:8" x14ac:dyDescent="0.25">
      <c r="A1969" s="1">
        <v>44851</v>
      </c>
      <c r="B1969" t="s">
        <v>14</v>
      </c>
      <c r="C1969" t="s">
        <v>65</v>
      </c>
      <c r="D1969" t="s">
        <v>53</v>
      </c>
      <c r="E1969">
        <v>350</v>
      </c>
      <c r="F1969">
        <f t="shared" si="61"/>
        <v>1225</v>
      </c>
      <c r="G1969">
        <f>SUMIF($D$2:$D1969,$D1969,$E$2:$E1969)</f>
        <v>13241</v>
      </c>
      <c r="H1969">
        <f t="shared" si="60"/>
        <v>0</v>
      </c>
    </row>
    <row r="1970" spans="1:8" x14ac:dyDescent="0.25">
      <c r="A1970" s="1">
        <v>44851</v>
      </c>
      <c r="B1970" t="s">
        <v>1</v>
      </c>
      <c r="C1970" t="s">
        <v>65</v>
      </c>
      <c r="D1970" t="s">
        <v>32</v>
      </c>
      <c r="E1970">
        <v>263</v>
      </c>
      <c r="F1970">
        <f t="shared" si="61"/>
        <v>841.6</v>
      </c>
      <c r="G1970">
        <f>SUMIF($D$2:$D1970,$D1970,$E$2:$E1970)</f>
        <v>12195</v>
      </c>
      <c r="H1970">
        <f t="shared" si="60"/>
        <v>0</v>
      </c>
    </row>
    <row r="1971" spans="1:8" x14ac:dyDescent="0.25">
      <c r="A1971" s="1">
        <v>44851</v>
      </c>
      <c r="B1971" t="s">
        <v>1</v>
      </c>
      <c r="C1971" t="s">
        <v>65</v>
      </c>
      <c r="D1971" t="s">
        <v>18</v>
      </c>
      <c r="E1971">
        <v>208</v>
      </c>
      <c r="F1971">
        <f t="shared" si="61"/>
        <v>665.6</v>
      </c>
      <c r="G1971">
        <f>SUMIF($D$2:$D1971,$D1971,$E$2:$E1971)</f>
        <v>11079</v>
      </c>
      <c r="H1971">
        <f t="shared" si="60"/>
        <v>0</v>
      </c>
    </row>
    <row r="1972" spans="1:8" x14ac:dyDescent="0.25">
      <c r="A1972" s="1">
        <v>44851</v>
      </c>
      <c r="B1972" t="s">
        <v>3</v>
      </c>
      <c r="C1972" t="s">
        <v>65</v>
      </c>
      <c r="D1972" t="s">
        <v>57</v>
      </c>
      <c r="E1972">
        <v>253</v>
      </c>
      <c r="F1972">
        <f t="shared" si="61"/>
        <v>809.6</v>
      </c>
      <c r="G1972">
        <f>SUMIF($D$2:$D1972,$D1972,$E$2:$E1972)</f>
        <v>15107</v>
      </c>
      <c r="H1972">
        <f t="shared" si="60"/>
        <v>1265</v>
      </c>
    </row>
    <row r="1973" spans="1:8" x14ac:dyDescent="0.25">
      <c r="A1973" s="1">
        <v>44851</v>
      </c>
      <c r="B1973" t="s">
        <v>3</v>
      </c>
      <c r="C1973" t="s">
        <v>65</v>
      </c>
      <c r="D1973" t="s">
        <v>18</v>
      </c>
      <c r="E1973">
        <v>361</v>
      </c>
      <c r="F1973">
        <f t="shared" si="61"/>
        <v>1155.2</v>
      </c>
      <c r="G1973">
        <f>SUMIF($D$2:$D1973,$D1973,$E$2:$E1973)</f>
        <v>11440</v>
      </c>
      <c r="H1973">
        <f t="shared" si="60"/>
        <v>0</v>
      </c>
    </row>
    <row r="1974" spans="1:8" x14ac:dyDescent="0.25">
      <c r="A1974" s="1">
        <v>44851</v>
      </c>
      <c r="B1974" t="s">
        <v>11</v>
      </c>
      <c r="C1974" t="s">
        <v>65</v>
      </c>
      <c r="D1974" t="s">
        <v>34</v>
      </c>
      <c r="E1974">
        <v>373</v>
      </c>
      <c r="F1974">
        <f t="shared" si="61"/>
        <v>932.5</v>
      </c>
      <c r="G1974">
        <f>SUMIF($D$2:$D1974,$D1974,$E$2:$E1974)</f>
        <v>13108</v>
      </c>
      <c r="H1974">
        <f t="shared" si="60"/>
        <v>0</v>
      </c>
    </row>
    <row r="1975" spans="1:8" x14ac:dyDescent="0.25">
      <c r="A1975" s="1">
        <v>44851</v>
      </c>
      <c r="B1975" t="s">
        <v>11</v>
      </c>
      <c r="C1975" t="s">
        <v>65</v>
      </c>
      <c r="D1975" t="s">
        <v>25</v>
      </c>
      <c r="E1975">
        <v>57</v>
      </c>
      <c r="F1975">
        <f t="shared" si="61"/>
        <v>142.5</v>
      </c>
      <c r="G1975">
        <f>SUMIF($D$2:$D1975,$D1975,$E$2:$E1975)</f>
        <v>12767</v>
      </c>
      <c r="H1975">
        <f t="shared" si="60"/>
        <v>0</v>
      </c>
    </row>
    <row r="1976" spans="1:8" x14ac:dyDescent="0.25">
      <c r="A1976" s="1">
        <v>44852</v>
      </c>
      <c r="B1976" t="s">
        <v>9</v>
      </c>
      <c r="C1976" t="s">
        <v>65</v>
      </c>
      <c r="D1976" t="s">
        <v>21</v>
      </c>
      <c r="E1976">
        <v>15</v>
      </c>
      <c r="F1976">
        <f t="shared" si="61"/>
        <v>37.5</v>
      </c>
      <c r="G1976">
        <f>SUMIF($D$2:$D1976,$D1976,$E$2:$E1976)</f>
        <v>11926</v>
      </c>
      <c r="H1976">
        <f t="shared" si="60"/>
        <v>0</v>
      </c>
    </row>
    <row r="1977" spans="1:8" x14ac:dyDescent="0.25">
      <c r="A1977" s="1">
        <v>44852</v>
      </c>
      <c r="B1977" t="s">
        <v>9</v>
      </c>
      <c r="C1977" t="s">
        <v>65</v>
      </c>
      <c r="D1977" t="s">
        <v>51</v>
      </c>
      <c r="E1977">
        <v>72</v>
      </c>
      <c r="F1977">
        <f t="shared" si="61"/>
        <v>180</v>
      </c>
      <c r="G1977">
        <f>SUMIF($D$2:$D1977,$D1977,$E$2:$E1977)</f>
        <v>14292</v>
      </c>
      <c r="H1977">
        <f t="shared" si="60"/>
        <v>0</v>
      </c>
    </row>
    <row r="1978" spans="1:8" x14ac:dyDescent="0.25">
      <c r="A1978" s="1">
        <v>44852</v>
      </c>
      <c r="B1978" t="s">
        <v>3</v>
      </c>
      <c r="C1978" t="s">
        <v>65</v>
      </c>
      <c r="D1978" t="s">
        <v>57</v>
      </c>
      <c r="E1978">
        <v>269</v>
      </c>
      <c r="F1978">
        <f t="shared" si="61"/>
        <v>860.80000000000007</v>
      </c>
      <c r="G1978">
        <f>SUMIF($D$2:$D1978,$D1978,$E$2:$E1978)</f>
        <v>15376</v>
      </c>
      <c r="H1978">
        <f t="shared" si="60"/>
        <v>1345</v>
      </c>
    </row>
    <row r="1979" spans="1:8" x14ac:dyDescent="0.25">
      <c r="A1979" s="1">
        <v>44852</v>
      </c>
      <c r="B1979" t="s">
        <v>9</v>
      </c>
      <c r="C1979" t="s">
        <v>65</v>
      </c>
      <c r="D1979" t="s">
        <v>24</v>
      </c>
      <c r="E1979">
        <v>342</v>
      </c>
      <c r="F1979">
        <f t="shared" si="61"/>
        <v>855</v>
      </c>
      <c r="G1979">
        <f>SUMIF($D$2:$D1979,$D1979,$E$2:$E1979)</f>
        <v>10958</v>
      </c>
      <c r="H1979">
        <f t="shared" si="60"/>
        <v>0</v>
      </c>
    </row>
    <row r="1980" spans="1:8" x14ac:dyDescent="0.25">
      <c r="A1980" s="1">
        <v>44852</v>
      </c>
      <c r="B1980" t="s">
        <v>14</v>
      </c>
      <c r="C1980" t="s">
        <v>65</v>
      </c>
      <c r="D1980" t="s">
        <v>30</v>
      </c>
      <c r="E1980">
        <v>207</v>
      </c>
      <c r="F1980">
        <f t="shared" si="61"/>
        <v>724.5</v>
      </c>
      <c r="G1980">
        <f>SUMIF($D$2:$D1980,$D1980,$E$2:$E1980)</f>
        <v>12783</v>
      </c>
      <c r="H1980">
        <f t="shared" si="60"/>
        <v>0</v>
      </c>
    </row>
    <row r="1981" spans="1:8" x14ac:dyDescent="0.25">
      <c r="A1981" s="1">
        <v>44852</v>
      </c>
      <c r="B1981" t="s">
        <v>1</v>
      </c>
      <c r="C1981" t="s">
        <v>65</v>
      </c>
      <c r="D1981" t="s">
        <v>64</v>
      </c>
      <c r="E1981">
        <v>308</v>
      </c>
      <c r="F1981">
        <f t="shared" si="61"/>
        <v>985.6</v>
      </c>
      <c r="G1981">
        <f>SUMIF($D$2:$D1981,$D1981,$E$2:$E1981)</f>
        <v>12987</v>
      </c>
      <c r="H1981">
        <f t="shared" si="60"/>
        <v>0</v>
      </c>
    </row>
    <row r="1982" spans="1:8" x14ac:dyDescent="0.25">
      <c r="A1982" s="1">
        <v>44852</v>
      </c>
      <c r="B1982" t="s">
        <v>9</v>
      </c>
      <c r="C1982" t="s">
        <v>65</v>
      </c>
      <c r="D1982" t="s">
        <v>23</v>
      </c>
      <c r="E1982">
        <v>274</v>
      </c>
      <c r="F1982">
        <f t="shared" si="61"/>
        <v>685</v>
      </c>
      <c r="G1982">
        <f>SUMIF($D$2:$D1982,$D1982,$E$2:$E1982)</f>
        <v>9288</v>
      </c>
      <c r="H1982">
        <f t="shared" si="60"/>
        <v>0</v>
      </c>
    </row>
    <row r="1983" spans="1:8" x14ac:dyDescent="0.25">
      <c r="A1983" s="1">
        <v>44853</v>
      </c>
      <c r="B1983" t="s">
        <v>1</v>
      </c>
      <c r="C1983" t="s">
        <v>65</v>
      </c>
      <c r="D1983" t="s">
        <v>34</v>
      </c>
      <c r="E1983">
        <v>26</v>
      </c>
      <c r="F1983">
        <f t="shared" si="61"/>
        <v>83.2</v>
      </c>
      <c r="G1983">
        <f>SUMIF($D$2:$D1983,$D1983,$E$2:$E1983)</f>
        <v>13134</v>
      </c>
      <c r="H1983">
        <f t="shared" si="60"/>
        <v>0</v>
      </c>
    </row>
    <row r="1984" spans="1:8" x14ac:dyDescent="0.25">
      <c r="A1984" s="1">
        <v>44853</v>
      </c>
      <c r="B1984" t="s">
        <v>14</v>
      </c>
      <c r="C1984" t="s">
        <v>65</v>
      </c>
      <c r="D1984" t="s">
        <v>42</v>
      </c>
      <c r="E1984">
        <v>490</v>
      </c>
      <c r="F1984">
        <f t="shared" si="61"/>
        <v>1715</v>
      </c>
      <c r="G1984">
        <f>SUMIF($D$2:$D1984,$D1984,$E$2:$E1984)</f>
        <v>10500</v>
      </c>
      <c r="H1984">
        <f t="shared" si="60"/>
        <v>0</v>
      </c>
    </row>
    <row r="1985" spans="1:8" x14ac:dyDescent="0.25">
      <c r="A1985" s="1">
        <v>44853</v>
      </c>
      <c r="B1985" t="s">
        <v>14</v>
      </c>
      <c r="C1985" t="s">
        <v>65</v>
      </c>
      <c r="D1985" t="s">
        <v>64</v>
      </c>
      <c r="E1985">
        <v>52</v>
      </c>
      <c r="F1985">
        <f t="shared" si="61"/>
        <v>182</v>
      </c>
      <c r="G1985">
        <f>SUMIF($D$2:$D1985,$D1985,$E$2:$E1985)</f>
        <v>13039</v>
      </c>
      <c r="H1985">
        <f t="shared" si="60"/>
        <v>0</v>
      </c>
    </row>
    <row r="1986" spans="1:8" x14ac:dyDescent="0.25">
      <c r="A1986" s="1">
        <v>44853</v>
      </c>
      <c r="B1986" t="s">
        <v>3</v>
      </c>
      <c r="C1986" t="s">
        <v>65</v>
      </c>
      <c r="D1986" t="s">
        <v>52</v>
      </c>
      <c r="E1986">
        <v>457</v>
      </c>
      <c r="F1986">
        <f t="shared" si="61"/>
        <v>1462.4</v>
      </c>
      <c r="G1986">
        <f>SUMIF($D$2:$D1986,$D1986,$E$2:$E1986)</f>
        <v>12267</v>
      </c>
      <c r="H1986">
        <f t="shared" si="60"/>
        <v>0</v>
      </c>
    </row>
    <row r="1987" spans="1:8" x14ac:dyDescent="0.25">
      <c r="A1987" s="1">
        <v>44853</v>
      </c>
      <c r="B1987" t="s">
        <v>1</v>
      </c>
      <c r="C1987" t="s">
        <v>65</v>
      </c>
      <c r="D1987" t="s">
        <v>34</v>
      </c>
      <c r="E1987">
        <v>347</v>
      </c>
      <c r="F1987">
        <f t="shared" ref="F1987:F2050" si="62">E1987* _xlfn.XLOOKUP(B1987,$I$2:$I$17,$J$2:$J$17,"0",0,1)</f>
        <v>1110.4000000000001</v>
      </c>
      <c r="G1987">
        <f>SUMIF($D$2:$D1987,$D1987,$E$2:$E1987)</f>
        <v>13481</v>
      </c>
      <c r="H1987">
        <f t="shared" ref="H1987:H2050" si="63">IF(AND($G1987 &gt; 15000,$G1987 &lt; 20000),5*$E1987,IF($G1987 &gt;= 20000,10*$E1987,0))</f>
        <v>0</v>
      </c>
    </row>
    <row r="1988" spans="1:8" x14ac:dyDescent="0.25">
      <c r="A1988" s="1">
        <v>44853</v>
      </c>
      <c r="B1988" t="s">
        <v>11</v>
      </c>
      <c r="C1988" t="s">
        <v>65</v>
      </c>
      <c r="D1988" t="s">
        <v>44</v>
      </c>
      <c r="E1988">
        <v>24</v>
      </c>
      <c r="F1988">
        <f t="shared" si="62"/>
        <v>60</v>
      </c>
      <c r="G1988">
        <f>SUMIF($D$2:$D1988,$D1988,$E$2:$E1988)</f>
        <v>14523</v>
      </c>
      <c r="H1988">
        <f t="shared" si="63"/>
        <v>0</v>
      </c>
    </row>
    <row r="1989" spans="1:8" x14ac:dyDescent="0.25">
      <c r="A1989" s="1">
        <v>44853</v>
      </c>
      <c r="B1989" t="s">
        <v>9</v>
      </c>
      <c r="C1989" t="s">
        <v>65</v>
      </c>
      <c r="D1989" t="s">
        <v>30</v>
      </c>
      <c r="E1989">
        <v>117</v>
      </c>
      <c r="F1989">
        <f t="shared" si="62"/>
        <v>292.5</v>
      </c>
      <c r="G1989">
        <f>SUMIF($D$2:$D1989,$D1989,$E$2:$E1989)</f>
        <v>12900</v>
      </c>
      <c r="H1989">
        <f t="shared" si="63"/>
        <v>0</v>
      </c>
    </row>
    <row r="1990" spans="1:8" x14ac:dyDescent="0.25">
      <c r="A1990" s="1">
        <v>44854</v>
      </c>
      <c r="B1990" t="s">
        <v>11</v>
      </c>
      <c r="C1990" t="s">
        <v>65</v>
      </c>
      <c r="D1990" t="s">
        <v>44</v>
      </c>
      <c r="E1990">
        <v>376</v>
      </c>
      <c r="F1990">
        <f t="shared" si="62"/>
        <v>940</v>
      </c>
      <c r="G1990">
        <f>SUMIF($D$2:$D1990,$D1990,$E$2:$E1990)</f>
        <v>14899</v>
      </c>
      <c r="H1990">
        <f t="shared" si="63"/>
        <v>0</v>
      </c>
    </row>
    <row r="1991" spans="1:8" x14ac:dyDescent="0.25">
      <c r="A1991" s="1">
        <v>44854</v>
      </c>
      <c r="B1991" t="s">
        <v>1</v>
      </c>
      <c r="C1991" t="s">
        <v>65</v>
      </c>
      <c r="D1991" t="s">
        <v>49</v>
      </c>
      <c r="E1991">
        <v>398</v>
      </c>
      <c r="F1991">
        <f t="shared" si="62"/>
        <v>1273.6000000000001</v>
      </c>
      <c r="G1991">
        <f>SUMIF($D$2:$D1991,$D1991,$E$2:$E1991)</f>
        <v>11355</v>
      </c>
      <c r="H1991">
        <f t="shared" si="63"/>
        <v>0</v>
      </c>
    </row>
    <row r="1992" spans="1:8" x14ac:dyDescent="0.25">
      <c r="A1992" s="1">
        <v>44855</v>
      </c>
      <c r="B1992" t="s">
        <v>9</v>
      </c>
      <c r="C1992" t="s">
        <v>65</v>
      </c>
      <c r="D1992" t="s">
        <v>18</v>
      </c>
      <c r="E1992">
        <v>421</v>
      </c>
      <c r="F1992">
        <f t="shared" si="62"/>
        <v>1052.5</v>
      </c>
      <c r="G1992">
        <f>SUMIF($D$2:$D1992,$D1992,$E$2:$E1992)</f>
        <v>11861</v>
      </c>
      <c r="H1992">
        <f t="shared" si="63"/>
        <v>0</v>
      </c>
    </row>
    <row r="1993" spans="1:8" x14ac:dyDescent="0.25">
      <c r="A1993" s="1">
        <v>44855</v>
      </c>
      <c r="B1993" t="s">
        <v>14</v>
      </c>
      <c r="C1993" t="s">
        <v>65</v>
      </c>
      <c r="D1993" t="s">
        <v>54</v>
      </c>
      <c r="E1993">
        <v>27</v>
      </c>
      <c r="F1993">
        <f t="shared" si="62"/>
        <v>94.5</v>
      </c>
      <c r="G1993">
        <f>SUMIF($D$2:$D1993,$D1993,$E$2:$E1993)</f>
        <v>15161</v>
      </c>
      <c r="H1993">
        <f t="shared" si="63"/>
        <v>135</v>
      </c>
    </row>
    <row r="1994" spans="1:8" x14ac:dyDescent="0.25">
      <c r="A1994" s="1">
        <v>44855</v>
      </c>
      <c r="B1994" t="s">
        <v>11</v>
      </c>
      <c r="C1994" t="s">
        <v>65</v>
      </c>
      <c r="D1994" t="s">
        <v>40</v>
      </c>
      <c r="E1994">
        <v>259</v>
      </c>
      <c r="F1994">
        <f t="shared" si="62"/>
        <v>647.5</v>
      </c>
      <c r="G1994">
        <f>SUMIF($D$2:$D1994,$D1994,$E$2:$E1994)</f>
        <v>12552</v>
      </c>
      <c r="H1994">
        <f t="shared" si="63"/>
        <v>0</v>
      </c>
    </row>
    <row r="1995" spans="1:8" x14ac:dyDescent="0.25">
      <c r="A1995" s="1">
        <v>44855</v>
      </c>
      <c r="B1995" t="s">
        <v>14</v>
      </c>
      <c r="C1995" t="s">
        <v>65</v>
      </c>
      <c r="D1995" t="s">
        <v>59</v>
      </c>
      <c r="E1995">
        <v>248</v>
      </c>
      <c r="F1995">
        <f t="shared" si="62"/>
        <v>868</v>
      </c>
      <c r="G1995">
        <f>SUMIF($D$2:$D1995,$D1995,$E$2:$E1995)</f>
        <v>9071</v>
      </c>
      <c r="H1995">
        <f t="shared" si="63"/>
        <v>0</v>
      </c>
    </row>
    <row r="1996" spans="1:8" x14ac:dyDescent="0.25">
      <c r="A1996" s="1">
        <v>44855</v>
      </c>
      <c r="B1996" t="s">
        <v>3</v>
      </c>
      <c r="C1996" t="s">
        <v>65</v>
      </c>
      <c r="D1996" t="s">
        <v>55</v>
      </c>
      <c r="E1996">
        <v>415</v>
      </c>
      <c r="F1996">
        <f t="shared" si="62"/>
        <v>1328</v>
      </c>
      <c r="G1996">
        <f>SUMIF($D$2:$D1996,$D1996,$E$2:$E1996)</f>
        <v>11029</v>
      </c>
      <c r="H1996">
        <f t="shared" si="63"/>
        <v>0</v>
      </c>
    </row>
    <row r="1997" spans="1:8" x14ac:dyDescent="0.25">
      <c r="A1997" s="1">
        <v>44855</v>
      </c>
      <c r="B1997" t="s">
        <v>3</v>
      </c>
      <c r="C1997" t="s">
        <v>65</v>
      </c>
      <c r="D1997" t="s">
        <v>64</v>
      </c>
      <c r="E1997">
        <v>87</v>
      </c>
      <c r="F1997">
        <f t="shared" si="62"/>
        <v>278.40000000000003</v>
      </c>
      <c r="G1997">
        <f>SUMIF($D$2:$D1997,$D1997,$E$2:$E1997)</f>
        <v>13126</v>
      </c>
      <c r="H1997">
        <f t="shared" si="63"/>
        <v>0</v>
      </c>
    </row>
    <row r="1998" spans="1:8" x14ac:dyDescent="0.25">
      <c r="A1998" s="1">
        <v>44856</v>
      </c>
      <c r="B1998" t="s">
        <v>3</v>
      </c>
      <c r="C1998" t="s">
        <v>65</v>
      </c>
      <c r="D1998" t="s">
        <v>16</v>
      </c>
      <c r="E1998">
        <v>142</v>
      </c>
      <c r="F1998">
        <f t="shared" si="62"/>
        <v>454.40000000000003</v>
      </c>
      <c r="G1998">
        <f>SUMIF($D$2:$D1998,$D1998,$E$2:$E1998)</f>
        <v>11765</v>
      </c>
      <c r="H1998">
        <f t="shared" si="63"/>
        <v>0</v>
      </c>
    </row>
    <row r="1999" spans="1:8" x14ac:dyDescent="0.25">
      <c r="A1999" s="1">
        <v>44856</v>
      </c>
      <c r="B1999" t="s">
        <v>3</v>
      </c>
      <c r="C1999" t="s">
        <v>65</v>
      </c>
      <c r="D1999" t="s">
        <v>46</v>
      </c>
      <c r="E1999">
        <v>450</v>
      </c>
      <c r="F1999">
        <f t="shared" si="62"/>
        <v>1440</v>
      </c>
      <c r="G1999">
        <f>SUMIF($D$2:$D1999,$D1999,$E$2:$E1999)</f>
        <v>11843</v>
      </c>
      <c r="H1999">
        <f t="shared" si="63"/>
        <v>0</v>
      </c>
    </row>
    <row r="2000" spans="1:8" x14ac:dyDescent="0.25">
      <c r="A2000" s="1">
        <v>44856</v>
      </c>
      <c r="B2000" t="s">
        <v>3</v>
      </c>
      <c r="C2000" t="s">
        <v>65</v>
      </c>
      <c r="D2000" t="s">
        <v>44</v>
      </c>
      <c r="E2000">
        <v>357</v>
      </c>
      <c r="F2000">
        <f t="shared" si="62"/>
        <v>1142.4000000000001</v>
      </c>
      <c r="G2000">
        <f>SUMIF($D$2:$D2000,$D2000,$E$2:$E2000)</f>
        <v>15256</v>
      </c>
      <c r="H2000">
        <f t="shared" si="63"/>
        <v>1785</v>
      </c>
    </row>
    <row r="2001" spans="1:8" x14ac:dyDescent="0.25">
      <c r="A2001" s="1">
        <v>44856</v>
      </c>
      <c r="B2001" t="s">
        <v>9</v>
      </c>
      <c r="C2001" t="s">
        <v>65</v>
      </c>
      <c r="D2001" t="s">
        <v>56</v>
      </c>
      <c r="E2001">
        <v>53</v>
      </c>
      <c r="F2001">
        <f t="shared" si="62"/>
        <v>132.5</v>
      </c>
      <c r="G2001">
        <f>SUMIF($D$2:$D2001,$D2001,$E$2:$E2001)</f>
        <v>12363</v>
      </c>
      <c r="H2001">
        <f t="shared" si="63"/>
        <v>0</v>
      </c>
    </row>
    <row r="2002" spans="1:8" x14ac:dyDescent="0.25">
      <c r="A2002" s="1">
        <v>44856</v>
      </c>
      <c r="B2002" t="s">
        <v>14</v>
      </c>
      <c r="C2002" t="s">
        <v>65</v>
      </c>
      <c r="D2002" t="s">
        <v>22</v>
      </c>
      <c r="E2002">
        <v>218</v>
      </c>
      <c r="F2002">
        <f t="shared" si="62"/>
        <v>763</v>
      </c>
      <c r="G2002">
        <f>SUMIF($D$2:$D2002,$D2002,$E$2:$E2002)</f>
        <v>12728</v>
      </c>
      <c r="H2002">
        <f t="shared" si="63"/>
        <v>0</v>
      </c>
    </row>
    <row r="2003" spans="1:8" x14ac:dyDescent="0.25">
      <c r="A2003" s="1">
        <v>44856</v>
      </c>
      <c r="B2003" t="s">
        <v>14</v>
      </c>
      <c r="C2003" t="s">
        <v>65</v>
      </c>
      <c r="D2003" t="s">
        <v>37</v>
      </c>
      <c r="E2003">
        <v>396</v>
      </c>
      <c r="F2003">
        <f t="shared" si="62"/>
        <v>1386</v>
      </c>
      <c r="G2003">
        <f>SUMIF($D$2:$D2003,$D2003,$E$2:$E2003)</f>
        <v>12815</v>
      </c>
      <c r="H2003">
        <f t="shared" si="63"/>
        <v>0</v>
      </c>
    </row>
    <row r="2004" spans="1:8" x14ac:dyDescent="0.25">
      <c r="A2004" s="1">
        <v>44856</v>
      </c>
      <c r="B2004" t="s">
        <v>14</v>
      </c>
      <c r="C2004" t="s">
        <v>65</v>
      </c>
      <c r="D2004" t="s">
        <v>22</v>
      </c>
      <c r="E2004">
        <v>148</v>
      </c>
      <c r="F2004">
        <f t="shared" si="62"/>
        <v>518</v>
      </c>
      <c r="G2004">
        <f>SUMIF($D$2:$D2004,$D2004,$E$2:$E2004)</f>
        <v>12876</v>
      </c>
      <c r="H2004">
        <f t="shared" si="63"/>
        <v>0</v>
      </c>
    </row>
    <row r="2005" spans="1:8" x14ac:dyDescent="0.25">
      <c r="A2005" s="1">
        <v>44856</v>
      </c>
      <c r="B2005" t="s">
        <v>9</v>
      </c>
      <c r="C2005" t="s">
        <v>65</v>
      </c>
      <c r="D2005" t="s">
        <v>26</v>
      </c>
      <c r="E2005">
        <v>315</v>
      </c>
      <c r="F2005">
        <f t="shared" si="62"/>
        <v>787.5</v>
      </c>
      <c r="G2005">
        <f>SUMIF($D$2:$D2005,$D2005,$E$2:$E2005)</f>
        <v>15916</v>
      </c>
      <c r="H2005">
        <f t="shared" si="63"/>
        <v>1575</v>
      </c>
    </row>
    <row r="2006" spans="1:8" x14ac:dyDescent="0.25">
      <c r="A2006" s="1">
        <v>44856</v>
      </c>
      <c r="B2006" t="s">
        <v>14</v>
      </c>
      <c r="C2006" t="s">
        <v>65</v>
      </c>
      <c r="D2006" t="s">
        <v>35</v>
      </c>
      <c r="E2006">
        <v>102</v>
      </c>
      <c r="F2006">
        <f t="shared" si="62"/>
        <v>357</v>
      </c>
      <c r="G2006">
        <f>SUMIF($D$2:$D2006,$D2006,$E$2:$E2006)</f>
        <v>11397</v>
      </c>
      <c r="H2006">
        <f t="shared" si="63"/>
        <v>0</v>
      </c>
    </row>
    <row r="2007" spans="1:8" x14ac:dyDescent="0.25">
      <c r="A2007" s="1">
        <v>44858</v>
      </c>
      <c r="B2007" t="s">
        <v>9</v>
      </c>
      <c r="C2007" t="s">
        <v>65</v>
      </c>
      <c r="D2007" t="s">
        <v>62</v>
      </c>
      <c r="E2007">
        <v>47</v>
      </c>
      <c r="F2007">
        <f t="shared" si="62"/>
        <v>117.5</v>
      </c>
      <c r="G2007">
        <f>SUMIF($D$2:$D2007,$D2007,$E$2:$E2007)</f>
        <v>11123</v>
      </c>
      <c r="H2007">
        <f t="shared" si="63"/>
        <v>0</v>
      </c>
    </row>
    <row r="2008" spans="1:8" x14ac:dyDescent="0.25">
      <c r="A2008" s="1">
        <v>44858</v>
      </c>
      <c r="B2008" t="s">
        <v>3</v>
      </c>
      <c r="C2008" t="s">
        <v>65</v>
      </c>
      <c r="D2008" t="s">
        <v>27</v>
      </c>
      <c r="E2008">
        <v>336</v>
      </c>
      <c r="F2008">
        <f t="shared" si="62"/>
        <v>1075.2</v>
      </c>
      <c r="G2008">
        <f>SUMIF($D$2:$D2008,$D2008,$E$2:$E2008)</f>
        <v>10991</v>
      </c>
      <c r="H2008">
        <f t="shared" si="63"/>
        <v>0</v>
      </c>
    </row>
    <row r="2009" spans="1:8" x14ac:dyDescent="0.25">
      <c r="A2009" s="1">
        <v>44858</v>
      </c>
      <c r="B2009" t="s">
        <v>11</v>
      </c>
      <c r="C2009" t="s">
        <v>65</v>
      </c>
      <c r="D2009" t="s">
        <v>55</v>
      </c>
      <c r="E2009">
        <v>32</v>
      </c>
      <c r="F2009">
        <f t="shared" si="62"/>
        <v>80</v>
      </c>
      <c r="G2009">
        <f>SUMIF($D$2:$D2009,$D2009,$E$2:$E2009)</f>
        <v>11061</v>
      </c>
      <c r="H2009">
        <f t="shared" si="63"/>
        <v>0</v>
      </c>
    </row>
    <row r="2010" spans="1:8" x14ac:dyDescent="0.25">
      <c r="A2010" s="1">
        <v>44858</v>
      </c>
      <c r="B2010" t="s">
        <v>9</v>
      </c>
      <c r="C2010" t="s">
        <v>65</v>
      </c>
      <c r="D2010" t="s">
        <v>43</v>
      </c>
      <c r="E2010">
        <v>23</v>
      </c>
      <c r="F2010">
        <f t="shared" si="62"/>
        <v>57.5</v>
      </c>
      <c r="G2010">
        <f>SUMIF($D$2:$D2010,$D2010,$E$2:$E2010)</f>
        <v>9592</v>
      </c>
      <c r="H2010">
        <f t="shared" si="63"/>
        <v>0</v>
      </c>
    </row>
    <row r="2011" spans="1:8" x14ac:dyDescent="0.25">
      <c r="A2011" s="1">
        <v>44858</v>
      </c>
      <c r="B2011" t="s">
        <v>1</v>
      </c>
      <c r="C2011" t="s">
        <v>65</v>
      </c>
      <c r="D2011" t="s">
        <v>62</v>
      </c>
      <c r="E2011">
        <v>217</v>
      </c>
      <c r="F2011">
        <f t="shared" si="62"/>
        <v>694.40000000000009</v>
      </c>
      <c r="G2011">
        <f>SUMIF($D$2:$D2011,$D2011,$E$2:$E2011)</f>
        <v>11340</v>
      </c>
      <c r="H2011">
        <f t="shared" si="63"/>
        <v>0</v>
      </c>
    </row>
    <row r="2012" spans="1:8" x14ac:dyDescent="0.25">
      <c r="A2012" s="1">
        <v>44858</v>
      </c>
      <c r="B2012" t="s">
        <v>14</v>
      </c>
      <c r="C2012" t="s">
        <v>65</v>
      </c>
      <c r="D2012" t="s">
        <v>28</v>
      </c>
      <c r="E2012">
        <v>133</v>
      </c>
      <c r="F2012">
        <f t="shared" si="62"/>
        <v>465.5</v>
      </c>
      <c r="G2012">
        <f>SUMIF($D$2:$D2012,$D2012,$E$2:$E2012)</f>
        <v>11901</v>
      </c>
      <c r="H2012">
        <f t="shared" si="63"/>
        <v>0</v>
      </c>
    </row>
    <row r="2013" spans="1:8" x14ac:dyDescent="0.25">
      <c r="A2013" s="1">
        <v>44858</v>
      </c>
      <c r="B2013" t="s">
        <v>14</v>
      </c>
      <c r="C2013" t="s">
        <v>65</v>
      </c>
      <c r="D2013" t="s">
        <v>25</v>
      </c>
      <c r="E2013">
        <v>478</v>
      </c>
      <c r="F2013">
        <f t="shared" si="62"/>
        <v>1673</v>
      </c>
      <c r="G2013">
        <f>SUMIF($D$2:$D2013,$D2013,$E$2:$E2013)</f>
        <v>13245</v>
      </c>
      <c r="H2013">
        <f t="shared" si="63"/>
        <v>0</v>
      </c>
    </row>
    <row r="2014" spans="1:8" x14ac:dyDescent="0.25">
      <c r="A2014" s="1">
        <v>44858</v>
      </c>
      <c r="B2014" t="s">
        <v>1</v>
      </c>
      <c r="C2014" t="s">
        <v>65</v>
      </c>
      <c r="D2014" t="s">
        <v>57</v>
      </c>
      <c r="E2014">
        <v>281</v>
      </c>
      <c r="F2014">
        <f t="shared" si="62"/>
        <v>899.2</v>
      </c>
      <c r="G2014">
        <f>SUMIF($D$2:$D2014,$D2014,$E$2:$E2014)</f>
        <v>15657</v>
      </c>
      <c r="H2014">
        <f t="shared" si="63"/>
        <v>1405</v>
      </c>
    </row>
    <row r="2015" spans="1:8" x14ac:dyDescent="0.25">
      <c r="A2015" s="1">
        <v>44858</v>
      </c>
      <c r="B2015" t="s">
        <v>14</v>
      </c>
      <c r="C2015" t="s">
        <v>65</v>
      </c>
      <c r="D2015" t="s">
        <v>39</v>
      </c>
      <c r="E2015">
        <v>167</v>
      </c>
      <c r="F2015">
        <f t="shared" si="62"/>
        <v>584.5</v>
      </c>
      <c r="G2015">
        <f>SUMIF($D$2:$D2015,$D2015,$E$2:$E2015)</f>
        <v>11155</v>
      </c>
      <c r="H2015">
        <f t="shared" si="63"/>
        <v>0</v>
      </c>
    </row>
    <row r="2016" spans="1:8" x14ac:dyDescent="0.25">
      <c r="A2016" s="1">
        <v>44859</v>
      </c>
      <c r="B2016" t="s">
        <v>14</v>
      </c>
      <c r="C2016" t="s">
        <v>65</v>
      </c>
      <c r="D2016" t="s">
        <v>53</v>
      </c>
      <c r="E2016">
        <v>69</v>
      </c>
      <c r="F2016">
        <f t="shared" si="62"/>
        <v>241.5</v>
      </c>
      <c r="G2016">
        <f>SUMIF($D$2:$D2016,$D2016,$E$2:$E2016)</f>
        <v>13310</v>
      </c>
      <c r="H2016">
        <f t="shared" si="63"/>
        <v>0</v>
      </c>
    </row>
    <row r="2017" spans="1:8" x14ac:dyDescent="0.25">
      <c r="A2017" s="1">
        <v>44859</v>
      </c>
      <c r="B2017" t="s">
        <v>9</v>
      </c>
      <c r="C2017" t="s">
        <v>65</v>
      </c>
      <c r="D2017" t="s">
        <v>28</v>
      </c>
      <c r="E2017">
        <v>455</v>
      </c>
      <c r="F2017">
        <f t="shared" si="62"/>
        <v>1137.5</v>
      </c>
      <c r="G2017">
        <f>SUMIF($D$2:$D2017,$D2017,$E$2:$E2017)</f>
        <v>12356</v>
      </c>
      <c r="H2017">
        <f t="shared" si="63"/>
        <v>0</v>
      </c>
    </row>
    <row r="2018" spans="1:8" x14ac:dyDescent="0.25">
      <c r="A2018" s="1">
        <v>44859</v>
      </c>
      <c r="B2018" t="s">
        <v>9</v>
      </c>
      <c r="C2018" t="s">
        <v>65</v>
      </c>
      <c r="D2018" t="s">
        <v>45</v>
      </c>
      <c r="E2018">
        <v>492</v>
      </c>
      <c r="F2018">
        <f t="shared" si="62"/>
        <v>1230</v>
      </c>
      <c r="G2018">
        <f>SUMIF($D$2:$D2018,$D2018,$E$2:$E2018)</f>
        <v>13381</v>
      </c>
      <c r="H2018">
        <f t="shared" si="63"/>
        <v>0</v>
      </c>
    </row>
    <row r="2019" spans="1:8" x14ac:dyDescent="0.25">
      <c r="A2019" s="1">
        <v>44859</v>
      </c>
      <c r="B2019" t="s">
        <v>14</v>
      </c>
      <c r="C2019" t="s">
        <v>65</v>
      </c>
      <c r="D2019" t="s">
        <v>42</v>
      </c>
      <c r="E2019">
        <v>339</v>
      </c>
      <c r="F2019">
        <f t="shared" si="62"/>
        <v>1186.5</v>
      </c>
      <c r="G2019">
        <f>SUMIF($D$2:$D2019,$D2019,$E$2:$E2019)</f>
        <v>10839</v>
      </c>
      <c r="H2019">
        <f t="shared" si="63"/>
        <v>0</v>
      </c>
    </row>
    <row r="2020" spans="1:8" x14ac:dyDescent="0.25">
      <c r="A2020" s="1">
        <v>44860</v>
      </c>
      <c r="B2020" t="s">
        <v>9</v>
      </c>
      <c r="C2020" t="s">
        <v>65</v>
      </c>
      <c r="D2020" t="s">
        <v>34</v>
      </c>
      <c r="E2020">
        <v>192</v>
      </c>
      <c r="F2020">
        <f t="shared" si="62"/>
        <v>480</v>
      </c>
      <c r="G2020">
        <f>SUMIF($D$2:$D2020,$D2020,$E$2:$E2020)</f>
        <v>13673</v>
      </c>
      <c r="H2020">
        <f t="shared" si="63"/>
        <v>0</v>
      </c>
    </row>
    <row r="2021" spans="1:8" x14ac:dyDescent="0.25">
      <c r="A2021" s="1">
        <v>44860</v>
      </c>
      <c r="B2021" t="s">
        <v>1</v>
      </c>
      <c r="C2021" t="s">
        <v>65</v>
      </c>
      <c r="D2021" t="s">
        <v>32</v>
      </c>
      <c r="E2021">
        <v>489</v>
      </c>
      <c r="F2021">
        <f t="shared" si="62"/>
        <v>1564.8000000000002</v>
      </c>
      <c r="G2021">
        <f>SUMIF($D$2:$D2021,$D2021,$E$2:$E2021)</f>
        <v>12684</v>
      </c>
      <c r="H2021">
        <f t="shared" si="63"/>
        <v>0</v>
      </c>
    </row>
    <row r="2022" spans="1:8" x14ac:dyDescent="0.25">
      <c r="A2022" s="1">
        <v>44860</v>
      </c>
      <c r="B2022" t="s">
        <v>11</v>
      </c>
      <c r="C2022" t="s">
        <v>65</v>
      </c>
      <c r="D2022" t="s">
        <v>57</v>
      </c>
      <c r="E2022">
        <v>420</v>
      </c>
      <c r="F2022">
        <f t="shared" si="62"/>
        <v>1050</v>
      </c>
      <c r="G2022">
        <f>SUMIF($D$2:$D2022,$D2022,$E$2:$E2022)</f>
        <v>16077</v>
      </c>
      <c r="H2022">
        <f t="shared" si="63"/>
        <v>2100</v>
      </c>
    </row>
    <row r="2023" spans="1:8" x14ac:dyDescent="0.25">
      <c r="A2023" s="1">
        <v>44860</v>
      </c>
      <c r="B2023" t="s">
        <v>14</v>
      </c>
      <c r="C2023" t="s">
        <v>65</v>
      </c>
      <c r="D2023" t="s">
        <v>58</v>
      </c>
      <c r="E2023">
        <v>369</v>
      </c>
      <c r="F2023">
        <f t="shared" si="62"/>
        <v>1291.5</v>
      </c>
      <c r="G2023">
        <f>SUMIF($D$2:$D2023,$D2023,$E$2:$E2023)</f>
        <v>10763</v>
      </c>
      <c r="H2023">
        <f t="shared" si="63"/>
        <v>0</v>
      </c>
    </row>
    <row r="2024" spans="1:8" x14ac:dyDescent="0.25">
      <c r="A2024" s="1">
        <v>44861</v>
      </c>
      <c r="B2024" t="s">
        <v>14</v>
      </c>
      <c r="C2024" t="s">
        <v>65</v>
      </c>
      <c r="D2024" t="s">
        <v>61</v>
      </c>
      <c r="E2024">
        <v>164</v>
      </c>
      <c r="F2024">
        <f t="shared" si="62"/>
        <v>574</v>
      </c>
      <c r="G2024">
        <f>SUMIF($D$2:$D2024,$D2024,$E$2:$E2024)</f>
        <v>12315</v>
      </c>
      <c r="H2024">
        <f t="shared" si="63"/>
        <v>0</v>
      </c>
    </row>
    <row r="2025" spans="1:8" x14ac:dyDescent="0.25">
      <c r="A2025" s="1">
        <v>44861</v>
      </c>
      <c r="B2025" t="s">
        <v>9</v>
      </c>
      <c r="C2025" t="s">
        <v>65</v>
      </c>
      <c r="D2025" t="s">
        <v>64</v>
      </c>
      <c r="E2025">
        <v>405</v>
      </c>
      <c r="F2025">
        <f t="shared" si="62"/>
        <v>1012.5</v>
      </c>
      <c r="G2025">
        <f>SUMIF($D$2:$D2025,$D2025,$E$2:$E2025)</f>
        <v>13531</v>
      </c>
      <c r="H2025">
        <f t="shared" si="63"/>
        <v>0</v>
      </c>
    </row>
    <row r="2026" spans="1:8" x14ac:dyDescent="0.25">
      <c r="A2026" s="1">
        <v>44861</v>
      </c>
      <c r="B2026" t="s">
        <v>14</v>
      </c>
      <c r="C2026" t="s">
        <v>65</v>
      </c>
      <c r="D2026" t="s">
        <v>42</v>
      </c>
      <c r="E2026">
        <v>251</v>
      </c>
      <c r="F2026">
        <f t="shared" si="62"/>
        <v>878.5</v>
      </c>
      <c r="G2026">
        <f>SUMIF($D$2:$D2026,$D2026,$E$2:$E2026)</f>
        <v>11090</v>
      </c>
      <c r="H2026">
        <f t="shared" si="63"/>
        <v>0</v>
      </c>
    </row>
    <row r="2027" spans="1:8" x14ac:dyDescent="0.25">
      <c r="A2027" s="1">
        <v>44861</v>
      </c>
      <c r="B2027" t="s">
        <v>1</v>
      </c>
      <c r="C2027" t="s">
        <v>65</v>
      </c>
      <c r="D2027" t="s">
        <v>33</v>
      </c>
      <c r="E2027">
        <v>316</v>
      </c>
      <c r="F2027">
        <f t="shared" si="62"/>
        <v>1011.2</v>
      </c>
      <c r="G2027">
        <f>SUMIF($D$2:$D2027,$D2027,$E$2:$E2027)</f>
        <v>15678</v>
      </c>
      <c r="H2027">
        <f t="shared" si="63"/>
        <v>1580</v>
      </c>
    </row>
    <row r="2028" spans="1:8" x14ac:dyDescent="0.25">
      <c r="A2028" s="1">
        <v>44861</v>
      </c>
      <c r="B2028" t="s">
        <v>9</v>
      </c>
      <c r="C2028" t="s">
        <v>65</v>
      </c>
      <c r="D2028" t="s">
        <v>39</v>
      </c>
      <c r="E2028">
        <v>92</v>
      </c>
      <c r="F2028">
        <f t="shared" si="62"/>
        <v>230</v>
      </c>
      <c r="G2028">
        <f>SUMIF($D$2:$D2028,$D2028,$E$2:$E2028)</f>
        <v>11247</v>
      </c>
      <c r="H2028">
        <f t="shared" si="63"/>
        <v>0</v>
      </c>
    </row>
    <row r="2029" spans="1:8" x14ac:dyDescent="0.25">
      <c r="A2029" s="1">
        <v>44861</v>
      </c>
      <c r="B2029" t="s">
        <v>9</v>
      </c>
      <c r="C2029" t="s">
        <v>65</v>
      </c>
      <c r="D2029" t="s">
        <v>25</v>
      </c>
      <c r="E2029">
        <v>101</v>
      </c>
      <c r="F2029">
        <f t="shared" si="62"/>
        <v>252.5</v>
      </c>
      <c r="G2029">
        <f>SUMIF($D$2:$D2029,$D2029,$E$2:$E2029)</f>
        <v>13346</v>
      </c>
      <c r="H2029">
        <f t="shared" si="63"/>
        <v>0</v>
      </c>
    </row>
    <row r="2030" spans="1:8" x14ac:dyDescent="0.25">
      <c r="A2030" s="1">
        <v>44861</v>
      </c>
      <c r="B2030" t="s">
        <v>14</v>
      </c>
      <c r="C2030" t="s">
        <v>65</v>
      </c>
      <c r="D2030" t="s">
        <v>18</v>
      </c>
      <c r="E2030">
        <v>395</v>
      </c>
      <c r="F2030">
        <f t="shared" si="62"/>
        <v>1382.5</v>
      </c>
      <c r="G2030">
        <f>SUMIF($D$2:$D2030,$D2030,$E$2:$E2030)</f>
        <v>12256</v>
      </c>
      <c r="H2030">
        <f t="shared" si="63"/>
        <v>0</v>
      </c>
    </row>
    <row r="2031" spans="1:8" x14ac:dyDescent="0.25">
      <c r="A2031" s="1">
        <v>44861</v>
      </c>
      <c r="B2031" t="s">
        <v>3</v>
      </c>
      <c r="C2031" t="s">
        <v>65</v>
      </c>
      <c r="D2031" t="s">
        <v>28</v>
      </c>
      <c r="E2031">
        <v>365</v>
      </c>
      <c r="F2031">
        <f t="shared" si="62"/>
        <v>1168</v>
      </c>
      <c r="G2031">
        <f>SUMIF($D$2:$D2031,$D2031,$E$2:$E2031)</f>
        <v>12721</v>
      </c>
      <c r="H2031">
        <f t="shared" si="63"/>
        <v>0</v>
      </c>
    </row>
    <row r="2032" spans="1:8" x14ac:dyDescent="0.25">
      <c r="A2032" s="1">
        <v>44861</v>
      </c>
      <c r="B2032" t="s">
        <v>9</v>
      </c>
      <c r="C2032" t="s">
        <v>65</v>
      </c>
      <c r="D2032" t="s">
        <v>23</v>
      </c>
      <c r="E2032">
        <v>283</v>
      </c>
      <c r="F2032">
        <f t="shared" si="62"/>
        <v>707.5</v>
      </c>
      <c r="G2032">
        <f>SUMIF($D$2:$D2032,$D2032,$E$2:$E2032)</f>
        <v>9571</v>
      </c>
      <c r="H2032">
        <f t="shared" si="63"/>
        <v>0</v>
      </c>
    </row>
    <row r="2033" spans="1:8" x14ac:dyDescent="0.25">
      <c r="A2033" s="1">
        <v>44861</v>
      </c>
      <c r="B2033" t="s">
        <v>9</v>
      </c>
      <c r="C2033" t="s">
        <v>65</v>
      </c>
      <c r="D2033" t="s">
        <v>64</v>
      </c>
      <c r="E2033">
        <v>361</v>
      </c>
      <c r="F2033">
        <f t="shared" si="62"/>
        <v>902.5</v>
      </c>
      <c r="G2033">
        <f>SUMIF($D$2:$D2033,$D2033,$E$2:$E2033)</f>
        <v>13892</v>
      </c>
      <c r="H2033">
        <f t="shared" si="63"/>
        <v>0</v>
      </c>
    </row>
    <row r="2034" spans="1:8" x14ac:dyDescent="0.25">
      <c r="A2034" s="1">
        <v>44862</v>
      </c>
      <c r="B2034" t="s">
        <v>11</v>
      </c>
      <c r="C2034" t="s">
        <v>65</v>
      </c>
      <c r="D2034" t="s">
        <v>49</v>
      </c>
      <c r="E2034">
        <v>249</v>
      </c>
      <c r="F2034">
        <f t="shared" si="62"/>
        <v>622.5</v>
      </c>
      <c r="G2034">
        <f>SUMIF($D$2:$D2034,$D2034,$E$2:$E2034)</f>
        <v>11604</v>
      </c>
      <c r="H2034">
        <f t="shared" si="63"/>
        <v>0</v>
      </c>
    </row>
    <row r="2035" spans="1:8" x14ac:dyDescent="0.25">
      <c r="A2035" s="1">
        <v>44862</v>
      </c>
      <c r="B2035" t="s">
        <v>1</v>
      </c>
      <c r="C2035" t="s">
        <v>65</v>
      </c>
      <c r="D2035" t="s">
        <v>26</v>
      </c>
      <c r="E2035">
        <v>358</v>
      </c>
      <c r="F2035">
        <f t="shared" si="62"/>
        <v>1145.6000000000001</v>
      </c>
      <c r="G2035">
        <f>SUMIF($D$2:$D2035,$D2035,$E$2:$E2035)</f>
        <v>16274</v>
      </c>
      <c r="H2035">
        <f t="shared" si="63"/>
        <v>1790</v>
      </c>
    </row>
    <row r="2036" spans="1:8" x14ac:dyDescent="0.25">
      <c r="A2036" s="1">
        <v>44862</v>
      </c>
      <c r="B2036" t="s">
        <v>11</v>
      </c>
      <c r="C2036" t="s">
        <v>65</v>
      </c>
      <c r="D2036" t="s">
        <v>24</v>
      </c>
      <c r="E2036">
        <v>329</v>
      </c>
      <c r="F2036">
        <f t="shared" si="62"/>
        <v>822.5</v>
      </c>
      <c r="G2036">
        <f>SUMIF($D$2:$D2036,$D2036,$E$2:$E2036)</f>
        <v>11287</v>
      </c>
      <c r="H2036">
        <f t="shared" si="63"/>
        <v>0</v>
      </c>
    </row>
    <row r="2037" spans="1:8" x14ac:dyDescent="0.25">
      <c r="A2037" s="1">
        <v>44862</v>
      </c>
      <c r="B2037" t="s">
        <v>14</v>
      </c>
      <c r="C2037" t="s">
        <v>65</v>
      </c>
      <c r="D2037" t="s">
        <v>66</v>
      </c>
      <c r="E2037">
        <v>67</v>
      </c>
      <c r="F2037">
        <f t="shared" si="62"/>
        <v>234.5</v>
      </c>
      <c r="G2037">
        <f>SUMIF($D$2:$D2037,$D2037,$E$2:$E2037)</f>
        <v>13491</v>
      </c>
      <c r="H2037">
        <f t="shared" si="63"/>
        <v>0</v>
      </c>
    </row>
    <row r="2038" spans="1:8" x14ac:dyDescent="0.25">
      <c r="A2038" s="1">
        <v>44862</v>
      </c>
      <c r="B2038" t="s">
        <v>11</v>
      </c>
      <c r="C2038" t="s">
        <v>65</v>
      </c>
      <c r="D2038" t="s">
        <v>21</v>
      </c>
      <c r="E2038">
        <v>102</v>
      </c>
      <c r="F2038">
        <f t="shared" si="62"/>
        <v>255</v>
      </c>
      <c r="G2038">
        <f>SUMIF($D$2:$D2038,$D2038,$E$2:$E2038)</f>
        <v>12028</v>
      </c>
      <c r="H2038">
        <f t="shared" si="63"/>
        <v>0</v>
      </c>
    </row>
    <row r="2039" spans="1:8" x14ac:dyDescent="0.25">
      <c r="A2039" s="1">
        <v>44862</v>
      </c>
      <c r="B2039" t="s">
        <v>11</v>
      </c>
      <c r="C2039" t="s">
        <v>65</v>
      </c>
      <c r="D2039" t="s">
        <v>54</v>
      </c>
      <c r="E2039">
        <v>305</v>
      </c>
      <c r="F2039">
        <f t="shared" si="62"/>
        <v>762.5</v>
      </c>
      <c r="G2039">
        <f>SUMIF($D$2:$D2039,$D2039,$E$2:$E2039)</f>
        <v>15466</v>
      </c>
      <c r="H2039">
        <f t="shared" si="63"/>
        <v>1525</v>
      </c>
    </row>
    <row r="2040" spans="1:8" x14ac:dyDescent="0.25">
      <c r="A2040" s="1">
        <v>44863</v>
      </c>
      <c r="B2040" t="s">
        <v>14</v>
      </c>
      <c r="C2040" t="s">
        <v>65</v>
      </c>
      <c r="D2040" t="s">
        <v>25</v>
      </c>
      <c r="E2040">
        <v>228</v>
      </c>
      <c r="F2040">
        <f t="shared" si="62"/>
        <v>798</v>
      </c>
      <c r="G2040">
        <f>SUMIF($D$2:$D2040,$D2040,$E$2:$E2040)</f>
        <v>13574</v>
      </c>
      <c r="H2040">
        <f t="shared" si="63"/>
        <v>0</v>
      </c>
    </row>
    <row r="2041" spans="1:8" x14ac:dyDescent="0.25">
      <c r="A2041" s="1">
        <v>44863</v>
      </c>
      <c r="B2041" t="s">
        <v>1</v>
      </c>
      <c r="C2041" t="s">
        <v>65</v>
      </c>
      <c r="D2041" t="s">
        <v>50</v>
      </c>
      <c r="E2041">
        <v>86</v>
      </c>
      <c r="F2041">
        <f t="shared" si="62"/>
        <v>275.2</v>
      </c>
      <c r="G2041">
        <f>SUMIF($D$2:$D2041,$D2041,$E$2:$E2041)</f>
        <v>9672</v>
      </c>
      <c r="H2041">
        <f t="shared" si="63"/>
        <v>0</v>
      </c>
    </row>
    <row r="2042" spans="1:8" x14ac:dyDescent="0.25">
      <c r="A2042" s="1">
        <v>44863</v>
      </c>
      <c r="B2042" t="s">
        <v>14</v>
      </c>
      <c r="C2042" t="s">
        <v>65</v>
      </c>
      <c r="D2042" t="s">
        <v>21</v>
      </c>
      <c r="E2042">
        <v>133</v>
      </c>
      <c r="F2042">
        <f t="shared" si="62"/>
        <v>465.5</v>
      </c>
      <c r="G2042">
        <f>SUMIF($D$2:$D2042,$D2042,$E$2:$E2042)</f>
        <v>12161</v>
      </c>
      <c r="H2042">
        <f t="shared" si="63"/>
        <v>0</v>
      </c>
    </row>
    <row r="2043" spans="1:8" x14ac:dyDescent="0.25">
      <c r="A2043" s="1">
        <v>44863</v>
      </c>
      <c r="B2043" t="s">
        <v>14</v>
      </c>
      <c r="C2043" t="s">
        <v>65</v>
      </c>
      <c r="D2043" t="s">
        <v>26</v>
      </c>
      <c r="E2043">
        <v>226</v>
      </c>
      <c r="F2043">
        <f t="shared" si="62"/>
        <v>791</v>
      </c>
      <c r="G2043">
        <f>SUMIF($D$2:$D2043,$D2043,$E$2:$E2043)</f>
        <v>16500</v>
      </c>
      <c r="H2043">
        <f t="shared" si="63"/>
        <v>1130</v>
      </c>
    </row>
    <row r="2044" spans="1:8" x14ac:dyDescent="0.25">
      <c r="A2044" s="1">
        <v>44863</v>
      </c>
      <c r="B2044" t="s">
        <v>14</v>
      </c>
      <c r="C2044" t="s">
        <v>65</v>
      </c>
      <c r="D2044" t="s">
        <v>40</v>
      </c>
      <c r="E2044">
        <v>66</v>
      </c>
      <c r="F2044">
        <f t="shared" si="62"/>
        <v>231</v>
      </c>
      <c r="G2044">
        <f>SUMIF($D$2:$D2044,$D2044,$E$2:$E2044)</f>
        <v>12618</v>
      </c>
      <c r="H2044">
        <f t="shared" si="63"/>
        <v>0</v>
      </c>
    </row>
    <row r="2045" spans="1:8" x14ac:dyDescent="0.25">
      <c r="A2045" s="1">
        <v>44863</v>
      </c>
      <c r="B2045" t="s">
        <v>3</v>
      </c>
      <c r="C2045" t="s">
        <v>65</v>
      </c>
      <c r="D2045" t="s">
        <v>36</v>
      </c>
      <c r="E2045">
        <v>10</v>
      </c>
      <c r="F2045">
        <f t="shared" si="62"/>
        <v>32</v>
      </c>
      <c r="G2045">
        <f>SUMIF($D$2:$D2045,$D2045,$E$2:$E2045)</f>
        <v>12187</v>
      </c>
      <c r="H2045">
        <f t="shared" si="63"/>
        <v>0</v>
      </c>
    </row>
    <row r="2046" spans="1:8" x14ac:dyDescent="0.25">
      <c r="A2046" s="1">
        <v>44863</v>
      </c>
      <c r="B2046" t="s">
        <v>11</v>
      </c>
      <c r="C2046" t="s">
        <v>65</v>
      </c>
      <c r="D2046" t="s">
        <v>62</v>
      </c>
      <c r="E2046">
        <v>80</v>
      </c>
      <c r="F2046">
        <f t="shared" si="62"/>
        <v>200</v>
      </c>
      <c r="G2046">
        <f>SUMIF($D$2:$D2046,$D2046,$E$2:$E2046)</f>
        <v>11420</v>
      </c>
      <c r="H2046">
        <f t="shared" si="63"/>
        <v>0</v>
      </c>
    </row>
    <row r="2047" spans="1:8" x14ac:dyDescent="0.25">
      <c r="A2047" s="1">
        <v>44863</v>
      </c>
      <c r="B2047" t="s">
        <v>11</v>
      </c>
      <c r="C2047" t="s">
        <v>65</v>
      </c>
      <c r="D2047" t="s">
        <v>45</v>
      </c>
      <c r="E2047">
        <v>19</v>
      </c>
      <c r="F2047">
        <f t="shared" si="62"/>
        <v>47.5</v>
      </c>
      <c r="G2047">
        <f>SUMIF($D$2:$D2047,$D2047,$E$2:$E2047)</f>
        <v>13400</v>
      </c>
      <c r="H2047">
        <f t="shared" si="63"/>
        <v>0</v>
      </c>
    </row>
    <row r="2048" spans="1:8" x14ac:dyDescent="0.25">
      <c r="A2048" s="1">
        <v>44863</v>
      </c>
      <c r="B2048" t="s">
        <v>9</v>
      </c>
      <c r="C2048" t="s">
        <v>65</v>
      </c>
      <c r="D2048" t="s">
        <v>18</v>
      </c>
      <c r="E2048">
        <v>242</v>
      </c>
      <c r="F2048">
        <f t="shared" si="62"/>
        <v>605</v>
      </c>
      <c r="G2048">
        <f>SUMIF($D$2:$D2048,$D2048,$E$2:$E2048)</f>
        <v>12498</v>
      </c>
      <c r="H2048">
        <f t="shared" si="63"/>
        <v>0</v>
      </c>
    </row>
    <row r="2049" spans="1:8" x14ac:dyDescent="0.25">
      <c r="A2049" s="1">
        <v>44863</v>
      </c>
      <c r="B2049" t="s">
        <v>3</v>
      </c>
      <c r="C2049" t="s">
        <v>65</v>
      </c>
      <c r="D2049" t="s">
        <v>38</v>
      </c>
      <c r="E2049">
        <v>477</v>
      </c>
      <c r="F2049">
        <f t="shared" si="62"/>
        <v>1526.4</v>
      </c>
      <c r="G2049">
        <f>SUMIF($D$2:$D2049,$D2049,$E$2:$E2049)</f>
        <v>13849</v>
      </c>
      <c r="H2049">
        <f t="shared" si="63"/>
        <v>0</v>
      </c>
    </row>
    <row r="2050" spans="1:8" x14ac:dyDescent="0.25">
      <c r="A2050" s="1">
        <v>44863</v>
      </c>
      <c r="B2050" t="s">
        <v>3</v>
      </c>
      <c r="C2050" t="s">
        <v>65</v>
      </c>
      <c r="D2050" t="s">
        <v>62</v>
      </c>
      <c r="E2050">
        <v>344</v>
      </c>
      <c r="F2050">
        <f t="shared" si="62"/>
        <v>1100.8</v>
      </c>
      <c r="G2050">
        <f>SUMIF($D$2:$D2050,$D2050,$E$2:$E2050)</f>
        <v>11764</v>
      </c>
      <c r="H2050">
        <f t="shared" si="63"/>
        <v>0</v>
      </c>
    </row>
    <row r="2051" spans="1:8" x14ac:dyDescent="0.25">
      <c r="A2051" s="1">
        <v>44863</v>
      </c>
      <c r="B2051" t="s">
        <v>14</v>
      </c>
      <c r="C2051" t="s">
        <v>65</v>
      </c>
      <c r="D2051" t="s">
        <v>56</v>
      </c>
      <c r="E2051">
        <v>287</v>
      </c>
      <c r="F2051">
        <f t="shared" ref="F2051:F2114" si="64">E2051* _xlfn.XLOOKUP(B2051,$I$2:$I$17,$J$2:$J$17,"0",0,1)</f>
        <v>1004.5</v>
      </c>
      <c r="G2051">
        <f>SUMIF($D$2:$D2051,$D2051,$E$2:$E2051)</f>
        <v>12650</v>
      </c>
      <c r="H2051">
        <f t="shared" ref="H2051:H2114" si="65">IF(AND($G2051 &gt; 15000,$G2051 &lt; 20000),5*$E2051,IF($G2051 &gt;= 20000,10*$E2051,0))</f>
        <v>0</v>
      </c>
    </row>
    <row r="2052" spans="1:8" x14ac:dyDescent="0.25">
      <c r="A2052" s="1">
        <v>44863</v>
      </c>
      <c r="B2052" t="s">
        <v>11</v>
      </c>
      <c r="C2052" t="s">
        <v>65</v>
      </c>
      <c r="D2052" t="s">
        <v>59</v>
      </c>
      <c r="E2052">
        <v>395</v>
      </c>
      <c r="F2052">
        <f t="shared" si="64"/>
        <v>987.5</v>
      </c>
      <c r="G2052">
        <f>SUMIF($D$2:$D2052,$D2052,$E$2:$E2052)</f>
        <v>9466</v>
      </c>
      <c r="H2052">
        <f t="shared" si="65"/>
        <v>0</v>
      </c>
    </row>
    <row r="2053" spans="1:8" x14ac:dyDescent="0.25">
      <c r="A2053" s="1">
        <v>44863</v>
      </c>
      <c r="B2053" t="s">
        <v>1</v>
      </c>
      <c r="C2053" t="s">
        <v>65</v>
      </c>
      <c r="D2053" t="s">
        <v>26</v>
      </c>
      <c r="E2053">
        <v>479</v>
      </c>
      <c r="F2053">
        <f t="shared" si="64"/>
        <v>1532.8000000000002</v>
      </c>
      <c r="G2053">
        <f>SUMIF($D$2:$D2053,$D2053,$E$2:$E2053)</f>
        <v>16979</v>
      </c>
      <c r="H2053">
        <f t="shared" si="65"/>
        <v>2395</v>
      </c>
    </row>
    <row r="2054" spans="1:8" x14ac:dyDescent="0.25">
      <c r="A2054" s="1">
        <v>44863</v>
      </c>
      <c r="B2054" t="s">
        <v>3</v>
      </c>
      <c r="C2054" t="s">
        <v>65</v>
      </c>
      <c r="D2054" t="s">
        <v>52</v>
      </c>
      <c r="E2054">
        <v>403</v>
      </c>
      <c r="F2054">
        <f t="shared" si="64"/>
        <v>1289.6000000000001</v>
      </c>
      <c r="G2054">
        <f>SUMIF($D$2:$D2054,$D2054,$E$2:$E2054)</f>
        <v>12670</v>
      </c>
      <c r="H2054">
        <f t="shared" si="65"/>
        <v>0</v>
      </c>
    </row>
    <row r="2055" spans="1:8" x14ac:dyDescent="0.25">
      <c r="A2055" s="1">
        <v>44865</v>
      </c>
      <c r="B2055" t="s">
        <v>3</v>
      </c>
      <c r="C2055" t="s">
        <v>65</v>
      </c>
      <c r="D2055" t="s">
        <v>22</v>
      </c>
      <c r="E2055">
        <v>38</v>
      </c>
      <c r="F2055">
        <f t="shared" si="64"/>
        <v>121.60000000000001</v>
      </c>
      <c r="G2055">
        <f>SUMIF($D$2:$D2055,$D2055,$E$2:$E2055)</f>
        <v>12914</v>
      </c>
      <c r="H2055">
        <f t="shared" si="65"/>
        <v>0</v>
      </c>
    </row>
    <row r="2056" spans="1:8" x14ac:dyDescent="0.25">
      <c r="A2056" s="1">
        <v>44865</v>
      </c>
      <c r="B2056" t="s">
        <v>14</v>
      </c>
      <c r="C2056" t="s">
        <v>65</v>
      </c>
      <c r="D2056" t="s">
        <v>25</v>
      </c>
      <c r="E2056">
        <v>500</v>
      </c>
      <c r="F2056">
        <f t="shared" si="64"/>
        <v>1750</v>
      </c>
      <c r="G2056">
        <f>SUMIF($D$2:$D2056,$D2056,$E$2:$E2056)</f>
        <v>14074</v>
      </c>
      <c r="H2056">
        <f t="shared" si="65"/>
        <v>0</v>
      </c>
    </row>
    <row r="2057" spans="1:8" x14ac:dyDescent="0.25">
      <c r="A2057" s="1">
        <v>44865</v>
      </c>
      <c r="B2057" t="s">
        <v>11</v>
      </c>
      <c r="C2057" t="s">
        <v>65</v>
      </c>
      <c r="D2057" t="s">
        <v>26</v>
      </c>
      <c r="E2057">
        <v>174</v>
      </c>
      <c r="F2057">
        <f t="shared" si="64"/>
        <v>435</v>
      </c>
      <c r="G2057">
        <f>SUMIF($D$2:$D2057,$D2057,$E$2:$E2057)</f>
        <v>17153</v>
      </c>
      <c r="H2057">
        <f t="shared" si="65"/>
        <v>870</v>
      </c>
    </row>
    <row r="2058" spans="1:8" x14ac:dyDescent="0.25">
      <c r="A2058" s="1">
        <v>44865</v>
      </c>
      <c r="B2058" t="s">
        <v>1</v>
      </c>
      <c r="C2058" t="s">
        <v>65</v>
      </c>
      <c r="D2058" t="s">
        <v>44</v>
      </c>
      <c r="E2058">
        <v>243</v>
      </c>
      <c r="F2058">
        <f t="shared" si="64"/>
        <v>777.6</v>
      </c>
      <c r="G2058">
        <f>SUMIF($D$2:$D2058,$D2058,$E$2:$E2058)</f>
        <v>15499</v>
      </c>
      <c r="H2058">
        <f t="shared" si="65"/>
        <v>1215</v>
      </c>
    </row>
    <row r="2059" spans="1:8" x14ac:dyDescent="0.25">
      <c r="A2059" s="1">
        <v>44865</v>
      </c>
      <c r="B2059" t="s">
        <v>14</v>
      </c>
      <c r="C2059" t="s">
        <v>65</v>
      </c>
      <c r="D2059" t="s">
        <v>28</v>
      </c>
      <c r="E2059">
        <v>284</v>
      </c>
      <c r="F2059">
        <f t="shared" si="64"/>
        <v>994</v>
      </c>
      <c r="G2059">
        <f>SUMIF($D$2:$D2059,$D2059,$E$2:$E2059)</f>
        <v>13005</v>
      </c>
      <c r="H2059">
        <f t="shared" si="65"/>
        <v>0</v>
      </c>
    </row>
    <row r="2060" spans="1:8" x14ac:dyDescent="0.25">
      <c r="A2060" s="1">
        <v>44865</v>
      </c>
      <c r="B2060" t="s">
        <v>11</v>
      </c>
      <c r="C2060" t="s">
        <v>65</v>
      </c>
      <c r="D2060" t="s">
        <v>23</v>
      </c>
      <c r="E2060">
        <v>259</v>
      </c>
      <c r="F2060">
        <f t="shared" si="64"/>
        <v>647.5</v>
      </c>
      <c r="G2060">
        <f>SUMIF($D$2:$D2060,$D2060,$E$2:$E2060)</f>
        <v>9830</v>
      </c>
      <c r="H2060">
        <f t="shared" si="65"/>
        <v>0</v>
      </c>
    </row>
    <row r="2061" spans="1:8" x14ac:dyDescent="0.25">
      <c r="A2061" s="1">
        <v>44865</v>
      </c>
      <c r="B2061" t="s">
        <v>11</v>
      </c>
      <c r="C2061" t="s">
        <v>65</v>
      </c>
      <c r="D2061" t="s">
        <v>61</v>
      </c>
      <c r="E2061">
        <v>415</v>
      </c>
      <c r="F2061">
        <f t="shared" si="64"/>
        <v>1037.5</v>
      </c>
      <c r="G2061">
        <f>SUMIF($D$2:$D2061,$D2061,$E$2:$E2061)</f>
        <v>12730</v>
      </c>
      <c r="H2061">
        <f t="shared" si="65"/>
        <v>0</v>
      </c>
    </row>
    <row r="2062" spans="1:8" x14ac:dyDescent="0.25">
      <c r="A2062" s="1">
        <v>44865</v>
      </c>
      <c r="B2062" t="s">
        <v>9</v>
      </c>
      <c r="C2062" t="s">
        <v>65</v>
      </c>
      <c r="D2062" t="s">
        <v>31</v>
      </c>
      <c r="E2062">
        <v>194</v>
      </c>
      <c r="F2062">
        <f t="shared" si="64"/>
        <v>485</v>
      </c>
      <c r="G2062">
        <f>SUMIF($D$2:$D2062,$D2062,$E$2:$E2062)</f>
        <v>14870</v>
      </c>
      <c r="H2062">
        <f t="shared" si="65"/>
        <v>0</v>
      </c>
    </row>
    <row r="2063" spans="1:8" x14ac:dyDescent="0.25">
      <c r="A2063" s="1">
        <v>44865</v>
      </c>
      <c r="B2063" t="s">
        <v>11</v>
      </c>
      <c r="C2063" t="s">
        <v>65</v>
      </c>
      <c r="D2063" t="s">
        <v>22</v>
      </c>
      <c r="E2063">
        <v>426</v>
      </c>
      <c r="F2063">
        <f t="shared" si="64"/>
        <v>1065</v>
      </c>
      <c r="G2063">
        <f>SUMIF($D$2:$D2063,$D2063,$E$2:$E2063)</f>
        <v>13340</v>
      </c>
      <c r="H2063">
        <f t="shared" si="65"/>
        <v>0</v>
      </c>
    </row>
    <row r="2064" spans="1:8" x14ac:dyDescent="0.25">
      <c r="A2064" s="1">
        <v>44865</v>
      </c>
      <c r="B2064" t="s">
        <v>3</v>
      </c>
      <c r="C2064" t="s">
        <v>65</v>
      </c>
      <c r="D2064" t="s">
        <v>32</v>
      </c>
      <c r="E2064">
        <v>41</v>
      </c>
      <c r="F2064">
        <f t="shared" si="64"/>
        <v>131.20000000000002</v>
      </c>
      <c r="G2064">
        <f>SUMIF($D$2:$D2064,$D2064,$E$2:$E2064)</f>
        <v>12725</v>
      </c>
      <c r="H2064">
        <f t="shared" si="65"/>
        <v>0</v>
      </c>
    </row>
    <row r="2065" spans="1:8" x14ac:dyDescent="0.25">
      <c r="A2065" s="1">
        <v>44865</v>
      </c>
      <c r="B2065" t="s">
        <v>14</v>
      </c>
      <c r="C2065" t="s">
        <v>65</v>
      </c>
      <c r="D2065" t="s">
        <v>40</v>
      </c>
      <c r="E2065">
        <v>280</v>
      </c>
      <c r="F2065">
        <f t="shared" si="64"/>
        <v>980</v>
      </c>
      <c r="G2065">
        <f>SUMIF($D$2:$D2065,$D2065,$E$2:$E2065)</f>
        <v>12898</v>
      </c>
      <c r="H2065">
        <f t="shared" si="65"/>
        <v>0</v>
      </c>
    </row>
    <row r="2066" spans="1:8" x14ac:dyDescent="0.25">
      <c r="A2066" s="1">
        <v>44865</v>
      </c>
      <c r="B2066" t="s">
        <v>9</v>
      </c>
      <c r="C2066" t="s">
        <v>65</v>
      </c>
      <c r="D2066" t="s">
        <v>49</v>
      </c>
      <c r="E2066">
        <v>267</v>
      </c>
      <c r="F2066">
        <f t="shared" si="64"/>
        <v>667.5</v>
      </c>
      <c r="G2066">
        <f>SUMIF($D$2:$D2066,$D2066,$E$2:$E2066)</f>
        <v>11871</v>
      </c>
      <c r="H2066">
        <f t="shared" si="65"/>
        <v>0</v>
      </c>
    </row>
    <row r="2067" spans="1:8" x14ac:dyDescent="0.25">
      <c r="A2067" s="1">
        <v>44865</v>
      </c>
      <c r="B2067" t="s">
        <v>1</v>
      </c>
      <c r="C2067" t="s">
        <v>65</v>
      </c>
      <c r="D2067" t="s">
        <v>60</v>
      </c>
      <c r="E2067">
        <v>370</v>
      </c>
      <c r="F2067">
        <f t="shared" si="64"/>
        <v>1184</v>
      </c>
      <c r="G2067">
        <f>SUMIF($D$2:$D2067,$D2067,$E$2:$E2067)</f>
        <v>13452</v>
      </c>
      <c r="H2067">
        <f t="shared" si="65"/>
        <v>0</v>
      </c>
    </row>
    <row r="2068" spans="1:8" x14ac:dyDescent="0.25">
      <c r="A2068" s="1">
        <v>44865</v>
      </c>
      <c r="B2068" t="s">
        <v>3</v>
      </c>
      <c r="C2068" t="s">
        <v>65</v>
      </c>
      <c r="D2068" t="s">
        <v>44</v>
      </c>
      <c r="E2068">
        <v>115</v>
      </c>
      <c r="F2068">
        <f t="shared" si="64"/>
        <v>368</v>
      </c>
      <c r="G2068">
        <f>SUMIF($D$2:$D2068,$D2068,$E$2:$E2068)</f>
        <v>15614</v>
      </c>
      <c r="H2068">
        <f t="shared" si="65"/>
        <v>575</v>
      </c>
    </row>
    <row r="2069" spans="1:8" x14ac:dyDescent="0.25">
      <c r="A2069" s="1">
        <v>44865</v>
      </c>
      <c r="B2069" t="s">
        <v>1</v>
      </c>
      <c r="C2069" t="s">
        <v>65</v>
      </c>
      <c r="D2069" t="s">
        <v>33</v>
      </c>
      <c r="E2069">
        <v>446</v>
      </c>
      <c r="F2069">
        <f t="shared" si="64"/>
        <v>1427.2</v>
      </c>
      <c r="G2069">
        <f>SUMIF($D$2:$D2069,$D2069,$E$2:$E2069)</f>
        <v>16124</v>
      </c>
      <c r="H2069">
        <f t="shared" si="65"/>
        <v>2230</v>
      </c>
    </row>
    <row r="2070" spans="1:8" x14ac:dyDescent="0.25">
      <c r="A2070" s="1">
        <v>44865</v>
      </c>
      <c r="B2070" t="s">
        <v>9</v>
      </c>
      <c r="C2070" t="s">
        <v>65</v>
      </c>
      <c r="D2070" t="s">
        <v>24</v>
      </c>
      <c r="E2070">
        <v>127</v>
      </c>
      <c r="F2070">
        <f t="shared" si="64"/>
        <v>317.5</v>
      </c>
      <c r="G2070">
        <f>SUMIF($D$2:$D2070,$D2070,$E$2:$E2070)</f>
        <v>11414</v>
      </c>
      <c r="H2070">
        <f t="shared" si="65"/>
        <v>0</v>
      </c>
    </row>
    <row r="2071" spans="1:8" x14ac:dyDescent="0.25">
      <c r="A2071" s="1">
        <v>44865</v>
      </c>
      <c r="B2071" t="s">
        <v>9</v>
      </c>
      <c r="C2071" t="s">
        <v>65</v>
      </c>
      <c r="D2071" t="s">
        <v>36</v>
      </c>
      <c r="E2071">
        <v>246</v>
      </c>
      <c r="F2071">
        <f t="shared" si="64"/>
        <v>615</v>
      </c>
      <c r="G2071">
        <f>SUMIF($D$2:$D2071,$D2071,$E$2:$E2071)</f>
        <v>12433</v>
      </c>
      <c r="H2071">
        <f t="shared" si="65"/>
        <v>0</v>
      </c>
    </row>
    <row r="2072" spans="1:8" x14ac:dyDescent="0.25">
      <c r="A2072" s="1">
        <v>44865</v>
      </c>
      <c r="B2072" t="s">
        <v>9</v>
      </c>
      <c r="C2072" t="s">
        <v>65</v>
      </c>
      <c r="D2072" t="s">
        <v>47</v>
      </c>
      <c r="E2072">
        <v>98</v>
      </c>
      <c r="F2072">
        <f t="shared" si="64"/>
        <v>245</v>
      </c>
      <c r="G2072">
        <f>SUMIF($D$2:$D2072,$D2072,$E$2:$E2072)</f>
        <v>9059</v>
      </c>
      <c r="H2072">
        <f t="shared" si="65"/>
        <v>0</v>
      </c>
    </row>
    <row r="2073" spans="1:8" x14ac:dyDescent="0.25">
      <c r="A2073" s="1">
        <v>44865</v>
      </c>
      <c r="B2073" t="s">
        <v>11</v>
      </c>
      <c r="C2073" t="s">
        <v>65</v>
      </c>
      <c r="D2073" t="s">
        <v>35</v>
      </c>
      <c r="E2073">
        <v>475</v>
      </c>
      <c r="F2073">
        <f t="shared" si="64"/>
        <v>1187.5</v>
      </c>
      <c r="G2073">
        <f>SUMIF($D$2:$D2073,$D2073,$E$2:$E2073)</f>
        <v>11872</v>
      </c>
      <c r="H2073">
        <f t="shared" si="65"/>
        <v>0</v>
      </c>
    </row>
    <row r="2074" spans="1:8" x14ac:dyDescent="0.25">
      <c r="A2074" s="1">
        <v>44866</v>
      </c>
      <c r="B2074" t="s">
        <v>14</v>
      </c>
      <c r="C2074" t="s">
        <v>65</v>
      </c>
      <c r="D2074" t="s">
        <v>18</v>
      </c>
      <c r="E2074">
        <v>444</v>
      </c>
      <c r="F2074">
        <f t="shared" si="64"/>
        <v>1554</v>
      </c>
      <c r="G2074">
        <f>SUMIF($D$2:$D2074,$D2074,$E$2:$E2074)</f>
        <v>12942</v>
      </c>
      <c r="H2074">
        <f t="shared" si="65"/>
        <v>0</v>
      </c>
    </row>
    <row r="2075" spans="1:8" x14ac:dyDescent="0.25">
      <c r="A2075" s="1">
        <v>44866</v>
      </c>
      <c r="B2075" t="s">
        <v>14</v>
      </c>
      <c r="C2075" t="s">
        <v>65</v>
      </c>
      <c r="D2075" t="s">
        <v>53</v>
      </c>
      <c r="E2075">
        <v>244</v>
      </c>
      <c r="F2075">
        <f t="shared" si="64"/>
        <v>854</v>
      </c>
      <c r="G2075">
        <f>SUMIF($D$2:$D2075,$D2075,$E$2:$E2075)</f>
        <v>13554</v>
      </c>
      <c r="H2075">
        <f t="shared" si="65"/>
        <v>0</v>
      </c>
    </row>
    <row r="2076" spans="1:8" x14ac:dyDescent="0.25">
      <c r="A2076" s="1">
        <v>44866</v>
      </c>
      <c r="B2076" t="s">
        <v>11</v>
      </c>
      <c r="C2076" t="s">
        <v>65</v>
      </c>
      <c r="D2076" t="s">
        <v>47</v>
      </c>
      <c r="E2076">
        <v>424</v>
      </c>
      <c r="F2076">
        <f t="shared" si="64"/>
        <v>1060</v>
      </c>
      <c r="G2076">
        <f>SUMIF($D$2:$D2076,$D2076,$E$2:$E2076)</f>
        <v>9483</v>
      </c>
      <c r="H2076">
        <f t="shared" si="65"/>
        <v>0</v>
      </c>
    </row>
    <row r="2077" spans="1:8" x14ac:dyDescent="0.25">
      <c r="A2077" s="1">
        <v>44866</v>
      </c>
      <c r="B2077" t="s">
        <v>11</v>
      </c>
      <c r="C2077" t="s">
        <v>65</v>
      </c>
      <c r="D2077" t="s">
        <v>26</v>
      </c>
      <c r="E2077">
        <v>390</v>
      </c>
      <c r="F2077">
        <f t="shared" si="64"/>
        <v>975</v>
      </c>
      <c r="G2077">
        <f>SUMIF($D$2:$D2077,$D2077,$E$2:$E2077)</f>
        <v>17543</v>
      </c>
      <c r="H2077">
        <f t="shared" si="65"/>
        <v>1950</v>
      </c>
    </row>
    <row r="2078" spans="1:8" x14ac:dyDescent="0.25">
      <c r="A2078" s="1">
        <v>44866</v>
      </c>
      <c r="B2078" t="s">
        <v>1</v>
      </c>
      <c r="C2078" t="s">
        <v>65</v>
      </c>
      <c r="D2078" t="s">
        <v>38</v>
      </c>
      <c r="E2078">
        <v>128</v>
      </c>
      <c r="F2078">
        <f t="shared" si="64"/>
        <v>409.6</v>
      </c>
      <c r="G2078">
        <f>SUMIF($D$2:$D2078,$D2078,$E$2:$E2078)</f>
        <v>13977</v>
      </c>
      <c r="H2078">
        <f t="shared" si="65"/>
        <v>0</v>
      </c>
    </row>
    <row r="2079" spans="1:8" x14ac:dyDescent="0.25">
      <c r="A2079" s="1">
        <v>44867</v>
      </c>
      <c r="B2079" t="s">
        <v>3</v>
      </c>
      <c r="C2079" t="s">
        <v>65</v>
      </c>
      <c r="D2079" t="s">
        <v>56</v>
      </c>
      <c r="E2079">
        <v>190</v>
      </c>
      <c r="F2079">
        <f t="shared" si="64"/>
        <v>608</v>
      </c>
      <c r="G2079">
        <f>SUMIF($D$2:$D2079,$D2079,$E$2:$E2079)</f>
        <v>12840</v>
      </c>
      <c r="H2079">
        <f t="shared" si="65"/>
        <v>0</v>
      </c>
    </row>
    <row r="2080" spans="1:8" x14ac:dyDescent="0.25">
      <c r="A2080" s="1">
        <v>44867</v>
      </c>
      <c r="B2080" t="s">
        <v>3</v>
      </c>
      <c r="C2080" t="s">
        <v>65</v>
      </c>
      <c r="D2080" t="s">
        <v>24</v>
      </c>
      <c r="E2080">
        <v>298</v>
      </c>
      <c r="F2080">
        <f t="shared" si="64"/>
        <v>953.6</v>
      </c>
      <c r="G2080">
        <f>SUMIF($D$2:$D2080,$D2080,$E$2:$E2080)</f>
        <v>11712</v>
      </c>
      <c r="H2080">
        <f t="shared" si="65"/>
        <v>0</v>
      </c>
    </row>
    <row r="2081" spans="1:8" x14ac:dyDescent="0.25">
      <c r="A2081" s="1">
        <v>44867</v>
      </c>
      <c r="B2081" t="s">
        <v>1</v>
      </c>
      <c r="C2081" t="s">
        <v>65</v>
      </c>
      <c r="D2081" t="s">
        <v>51</v>
      </c>
      <c r="E2081">
        <v>282</v>
      </c>
      <c r="F2081">
        <f t="shared" si="64"/>
        <v>902.40000000000009</v>
      </c>
      <c r="G2081">
        <f>SUMIF($D$2:$D2081,$D2081,$E$2:$E2081)</f>
        <v>14574</v>
      </c>
      <c r="H2081">
        <f t="shared" si="65"/>
        <v>0</v>
      </c>
    </row>
    <row r="2082" spans="1:8" x14ac:dyDescent="0.25">
      <c r="A2082" s="1">
        <v>44867</v>
      </c>
      <c r="B2082" t="s">
        <v>11</v>
      </c>
      <c r="C2082" t="s">
        <v>65</v>
      </c>
      <c r="D2082" t="s">
        <v>40</v>
      </c>
      <c r="E2082">
        <v>403</v>
      </c>
      <c r="F2082">
        <f t="shared" si="64"/>
        <v>1007.5</v>
      </c>
      <c r="G2082">
        <f>SUMIF($D$2:$D2082,$D2082,$E$2:$E2082)</f>
        <v>13301</v>
      </c>
      <c r="H2082">
        <f t="shared" si="65"/>
        <v>0</v>
      </c>
    </row>
    <row r="2083" spans="1:8" x14ac:dyDescent="0.25">
      <c r="A2083" s="1">
        <v>44867</v>
      </c>
      <c r="B2083" t="s">
        <v>1</v>
      </c>
      <c r="C2083" t="s">
        <v>65</v>
      </c>
      <c r="D2083" t="s">
        <v>31</v>
      </c>
      <c r="E2083">
        <v>327</v>
      </c>
      <c r="F2083">
        <f t="shared" si="64"/>
        <v>1046.4000000000001</v>
      </c>
      <c r="G2083">
        <f>SUMIF($D$2:$D2083,$D2083,$E$2:$E2083)</f>
        <v>15197</v>
      </c>
      <c r="H2083">
        <f t="shared" si="65"/>
        <v>1635</v>
      </c>
    </row>
    <row r="2084" spans="1:8" x14ac:dyDescent="0.25">
      <c r="A2084" s="1">
        <v>44867</v>
      </c>
      <c r="B2084" t="s">
        <v>9</v>
      </c>
      <c r="C2084" t="s">
        <v>65</v>
      </c>
      <c r="D2084" t="s">
        <v>54</v>
      </c>
      <c r="E2084">
        <v>236</v>
      </c>
      <c r="F2084">
        <f t="shared" si="64"/>
        <v>590</v>
      </c>
      <c r="G2084">
        <f>SUMIF($D$2:$D2084,$D2084,$E$2:$E2084)</f>
        <v>15702</v>
      </c>
      <c r="H2084">
        <f t="shared" si="65"/>
        <v>1180</v>
      </c>
    </row>
    <row r="2085" spans="1:8" x14ac:dyDescent="0.25">
      <c r="A2085" s="1">
        <v>44868</v>
      </c>
      <c r="B2085" t="s">
        <v>1</v>
      </c>
      <c r="C2085" t="s">
        <v>65</v>
      </c>
      <c r="D2085" t="s">
        <v>30</v>
      </c>
      <c r="E2085">
        <v>413</v>
      </c>
      <c r="F2085">
        <f t="shared" si="64"/>
        <v>1321.6000000000001</v>
      </c>
      <c r="G2085">
        <f>SUMIF($D$2:$D2085,$D2085,$E$2:$E2085)</f>
        <v>13313</v>
      </c>
      <c r="H2085">
        <f t="shared" si="65"/>
        <v>0</v>
      </c>
    </row>
    <row r="2086" spans="1:8" x14ac:dyDescent="0.25">
      <c r="A2086" s="1">
        <v>44868</v>
      </c>
      <c r="B2086" t="s">
        <v>9</v>
      </c>
      <c r="C2086" t="s">
        <v>65</v>
      </c>
      <c r="D2086" t="s">
        <v>62</v>
      </c>
      <c r="E2086">
        <v>207</v>
      </c>
      <c r="F2086">
        <f t="shared" si="64"/>
        <v>517.5</v>
      </c>
      <c r="G2086">
        <f>SUMIF($D$2:$D2086,$D2086,$E$2:$E2086)</f>
        <v>11971</v>
      </c>
      <c r="H2086">
        <f t="shared" si="65"/>
        <v>0</v>
      </c>
    </row>
    <row r="2087" spans="1:8" x14ac:dyDescent="0.25">
      <c r="A2087" s="1">
        <v>44868</v>
      </c>
      <c r="B2087" t="s">
        <v>3</v>
      </c>
      <c r="C2087" t="s">
        <v>65</v>
      </c>
      <c r="D2087" t="s">
        <v>52</v>
      </c>
      <c r="E2087">
        <v>68</v>
      </c>
      <c r="F2087">
        <f t="shared" si="64"/>
        <v>217.60000000000002</v>
      </c>
      <c r="G2087">
        <f>SUMIF($D$2:$D2087,$D2087,$E$2:$E2087)</f>
        <v>12738</v>
      </c>
      <c r="H2087">
        <f t="shared" si="65"/>
        <v>0</v>
      </c>
    </row>
    <row r="2088" spans="1:8" x14ac:dyDescent="0.25">
      <c r="A2088" s="1">
        <v>44868</v>
      </c>
      <c r="B2088" t="s">
        <v>14</v>
      </c>
      <c r="C2088" t="s">
        <v>65</v>
      </c>
      <c r="D2088" t="s">
        <v>47</v>
      </c>
      <c r="E2088">
        <v>169</v>
      </c>
      <c r="F2088">
        <f t="shared" si="64"/>
        <v>591.5</v>
      </c>
      <c r="G2088">
        <f>SUMIF($D$2:$D2088,$D2088,$E$2:$E2088)</f>
        <v>9652</v>
      </c>
      <c r="H2088">
        <f t="shared" si="65"/>
        <v>0</v>
      </c>
    </row>
    <row r="2089" spans="1:8" x14ac:dyDescent="0.25">
      <c r="A2089" s="1">
        <v>44869</v>
      </c>
      <c r="B2089" t="s">
        <v>3</v>
      </c>
      <c r="C2089" t="s">
        <v>65</v>
      </c>
      <c r="D2089" t="s">
        <v>32</v>
      </c>
      <c r="E2089">
        <v>179</v>
      </c>
      <c r="F2089">
        <f t="shared" si="64"/>
        <v>572.80000000000007</v>
      </c>
      <c r="G2089">
        <f>SUMIF($D$2:$D2089,$D2089,$E$2:$E2089)</f>
        <v>12904</v>
      </c>
      <c r="H2089">
        <f t="shared" si="65"/>
        <v>0</v>
      </c>
    </row>
    <row r="2090" spans="1:8" x14ac:dyDescent="0.25">
      <c r="A2090" s="1">
        <v>44869</v>
      </c>
      <c r="B2090" t="s">
        <v>1</v>
      </c>
      <c r="C2090" t="s">
        <v>65</v>
      </c>
      <c r="D2090" t="s">
        <v>33</v>
      </c>
      <c r="E2090">
        <v>467</v>
      </c>
      <c r="F2090">
        <f t="shared" si="64"/>
        <v>1494.4</v>
      </c>
      <c r="G2090">
        <f>SUMIF($D$2:$D2090,$D2090,$E$2:$E2090)</f>
        <v>16591</v>
      </c>
      <c r="H2090">
        <f t="shared" si="65"/>
        <v>2335</v>
      </c>
    </row>
    <row r="2091" spans="1:8" x14ac:dyDescent="0.25">
      <c r="A2091" s="1">
        <v>44869</v>
      </c>
      <c r="B2091" t="s">
        <v>9</v>
      </c>
      <c r="C2091" t="s">
        <v>65</v>
      </c>
      <c r="D2091" t="s">
        <v>63</v>
      </c>
      <c r="E2091">
        <v>25</v>
      </c>
      <c r="F2091">
        <f t="shared" si="64"/>
        <v>62.5</v>
      </c>
      <c r="G2091">
        <f>SUMIF($D$2:$D2091,$D2091,$E$2:$E2091)</f>
        <v>9801</v>
      </c>
      <c r="H2091">
        <f t="shared" si="65"/>
        <v>0</v>
      </c>
    </row>
    <row r="2092" spans="1:8" x14ac:dyDescent="0.25">
      <c r="A2092" s="1">
        <v>44869</v>
      </c>
      <c r="B2092" t="s">
        <v>14</v>
      </c>
      <c r="C2092" t="s">
        <v>65</v>
      </c>
      <c r="D2092" t="s">
        <v>26</v>
      </c>
      <c r="E2092">
        <v>214</v>
      </c>
      <c r="F2092">
        <f t="shared" si="64"/>
        <v>749</v>
      </c>
      <c r="G2092">
        <f>SUMIF($D$2:$D2092,$D2092,$E$2:$E2092)</f>
        <v>17757</v>
      </c>
      <c r="H2092">
        <f t="shared" si="65"/>
        <v>1070</v>
      </c>
    </row>
    <row r="2093" spans="1:8" x14ac:dyDescent="0.25">
      <c r="A2093" s="1">
        <v>44869</v>
      </c>
      <c r="B2093" t="s">
        <v>14</v>
      </c>
      <c r="C2093" t="s">
        <v>65</v>
      </c>
      <c r="D2093" t="s">
        <v>20</v>
      </c>
      <c r="E2093">
        <v>401</v>
      </c>
      <c r="F2093">
        <f t="shared" si="64"/>
        <v>1403.5</v>
      </c>
      <c r="G2093">
        <f>SUMIF($D$2:$D2093,$D2093,$E$2:$E2093)</f>
        <v>10950</v>
      </c>
      <c r="H2093">
        <f t="shared" si="65"/>
        <v>0</v>
      </c>
    </row>
    <row r="2094" spans="1:8" x14ac:dyDescent="0.25">
      <c r="A2094" s="1">
        <v>44869</v>
      </c>
      <c r="B2094" t="s">
        <v>9</v>
      </c>
      <c r="C2094" t="s">
        <v>65</v>
      </c>
      <c r="D2094" t="s">
        <v>53</v>
      </c>
      <c r="E2094">
        <v>224</v>
      </c>
      <c r="F2094">
        <f t="shared" si="64"/>
        <v>560</v>
      </c>
      <c r="G2094">
        <f>SUMIF($D$2:$D2094,$D2094,$E$2:$E2094)</f>
        <v>13778</v>
      </c>
      <c r="H2094">
        <f t="shared" si="65"/>
        <v>0</v>
      </c>
    </row>
    <row r="2095" spans="1:8" x14ac:dyDescent="0.25">
      <c r="A2095" s="1">
        <v>44869</v>
      </c>
      <c r="B2095" t="s">
        <v>11</v>
      </c>
      <c r="C2095" t="s">
        <v>65</v>
      </c>
      <c r="D2095" t="s">
        <v>34</v>
      </c>
      <c r="E2095">
        <v>426</v>
      </c>
      <c r="F2095">
        <f t="shared" si="64"/>
        <v>1065</v>
      </c>
      <c r="G2095">
        <f>SUMIF($D$2:$D2095,$D2095,$E$2:$E2095)</f>
        <v>14099</v>
      </c>
      <c r="H2095">
        <f t="shared" si="65"/>
        <v>0</v>
      </c>
    </row>
    <row r="2096" spans="1:8" x14ac:dyDescent="0.25">
      <c r="A2096" s="1">
        <v>44869</v>
      </c>
      <c r="B2096" t="s">
        <v>9</v>
      </c>
      <c r="C2096" t="s">
        <v>65</v>
      </c>
      <c r="D2096" t="s">
        <v>25</v>
      </c>
      <c r="E2096">
        <v>393</v>
      </c>
      <c r="F2096">
        <f t="shared" si="64"/>
        <v>982.5</v>
      </c>
      <c r="G2096">
        <f>SUMIF($D$2:$D2096,$D2096,$E$2:$E2096)</f>
        <v>14467</v>
      </c>
      <c r="H2096">
        <f t="shared" si="65"/>
        <v>0</v>
      </c>
    </row>
    <row r="2097" spans="1:8" x14ac:dyDescent="0.25">
      <c r="A2097" s="1">
        <v>44869</v>
      </c>
      <c r="B2097" t="s">
        <v>3</v>
      </c>
      <c r="C2097" t="s">
        <v>65</v>
      </c>
      <c r="D2097" t="s">
        <v>43</v>
      </c>
      <c r="E2097">
        <v>119</v>
      </c>
      <c r="F2097">
        <f t="shared" si="64"/>
        <v>380.8</v>
      </c>
      <c r="G2097">
        <f>SUMIF($D$2:$D2097,$D2097,$E$2:$E2097)</f>
        <v>9711</v>
      </c>
      <c r="H2097">
        <f t="shared" si="65"/>
        <v>0</v>
      </c>
    </row>
    <row r="2098" spans="1:8" x14ac:dyDescent="0.25">
      <c r="A2098" s="1">
        <v>44869</v>
      </c>
      <c r="B2098" t="s">
        <v>14</v>
      </c>
      <c r="C2098" t="s">
        <v>65</v>
      </c>
      <c r="D2098" t="s">
        <v>44</v>
      </c>
      <c r="E2098">
        <v>250</v>
      </c>
      <c r="F2098">
        <f t="shared" si="64"/>
        <v>875</v>
      </c>
      <c r="G2098">
        <f>SUMIF($D$2:$D2098,$D2098,$E$2:$E2098)</f>
        <v>15864</v>
      </c>
      <c r="H2098">
        <f t="shared" si="65"/>
        <v>1250</v>
      </c>
    </row>
    <row r="2099" spans="1:8" x14ac:dyDescent="0.25">
      <c r="A2099" s="1">
        <v>44869</v>
      </c>
      <c r="B2099" t="s">
        <v>3</v>
      </c>
      <c r="C2099" t="s">
        <v>65</v>
      </c>
      <c r="D2099" t="s">
        <v>52</v>
      </c>
      <c r="E2099">
        <v>178</v>
      </c>
      <c r="F2099">
        <f t="shared" si="64"/>
        <v>569.6</v>
      </c>
      <c r="G2099">
        <f>SUMIF($D$2:$D2099,$D2099,$E$2:$E2099)</f>
        <v>12916</v>
      </c>
      <c r="H2099">
        <f t="shared" si="65"/>
        <v>0</v>
      </c>
    </row>
    <row r="2100" spans="1:8" x14ac:dyDescent="0.25">
      <c r="A2100" s="1">
        <v>44870</v>
      </c>
      <c r="B2100" t="s">
        <v>3</v>
      </c>
      <c r="C2100" t="s">
        <v>65</v>
      </c>
      <c r="D2100" t="s">
        <v>58</v>
      </c>
      <c r="E2100">
        <v>473</v>
      </c>
      <c r="F2100">
        <f t="shared" si="64"/>
        <v>1513.6000000000001</v>
      </c>
      <c r="G2100">
        <f>SUMIF($D$2:$D2100,$D2100,$E$2:$E2100)</f>
        <v>11236</v>
      </c>
      <c r="H2100">
        <f t="shared" si="65"/>
        <v>0</v>
      </c>
    </row>
    <row r="2101" spans="1:8" x14ac:dyDescent="0.25">
      <c r="A2101" s="1">
        <v>44870</v>
      </c>
      <c r="B2101" t="s">
        <v>1</v>
      </c>
      <c r="C2101" t="s">
        <v>65</v>
      </c>
      <c r="D2101" t="s">
        <v>21</v>
      </c>
      <c r="E2101">
        <v>459</v>
      </c>
      <c r="F2101">
        <f t="shared" si="64"/>
        <v>1468.8000000000002</v>
      </c>
      <c r="G2101">
        <f>SUMIF($D$2:$D2101,$D2101,$E$2:$E2101)</f>
        <v>12620</v>
      </c>
      <c r="H2101">
        <f t="shared" si="65"/>
        <v>0</v>
      </c>
    </row>
    <row r="2102" spans="1:8" x14ac:dyDescent="0.25">
      <c r="A2102" s="1">
        <v>44870</v>
      </c>
      <c r="B2102" t="s">
        <v>14</v>
      </c>
      <c r="C2102" t="s">
        <v>65</v>
      </c>
      <c r="D2102" t="s">
        <v>50</v>
      </c>
      <c r="E2102">
        <v>333</v>
      </c>
      <c r="F2102">
        <f t="shared" si="64"/>
        <v>1165.5</v>
      </c>
      <c r="G2102">
        <f>SUMIF($D$2:$D2102,$D2102,$E$2:$E2102)</f>
        <v>10005</v>
      </c>
      <c r="H2102">
        <f t="shared" si="65"/>
        <v>0</v>
      </c>
    </row>
    <row r="2103" spans="1:8" x14ac:dyDescent="0.25">
      <c r="A2103" s="1">
        <v>44870</v>
      </c>
      <c r="B2103" t="s">
        <v>3</v>
      </c>
      <c r="C2103" t="s">
        <v>65</v>
      </c>
      <c r="D2103" t="s">
        <v>28</v>
      </c>
      <c r="E2103">
        <v>178</v>
      </c>
      <c r="F2103">
        <f t="shared" si="64"/>
        <v>569.6</v>
      </c>
      <c r="G2103">
        <f>SUMIF($D$2:$D2103,$D2103,$E$2:$E2103)</f>
        <v>13183</v>
      </c>
      <c r="H2103">
        <f t="shared" si="65"/>
        <v>0</v>
      </c>
    </row>
    <row r="2104" spans="1:8" x14ac:dyDescent="0.25">
      <c r="A2104" s="1">
        <v>44870</v>
      </c>
      <c r="B2104" t="s">
        <v>14</v>
      </c>
      <c r="C2104" t="s">
        <v>65</v>
      </c>
      <c r="D2104" t="s">
        <v>30</v>
      </c>
      <c r="E2104">
        <v>482</v>
      </c>
      <c r="F2104">
        <f t="shared" si="64"/>
        <v>1687</v>
      </c>
      <c r="G2104">
        <f>SUMIF($D$2:$D2104,$D2104,$E$2:$E2104)</f>
        <v>13795</v>
      </c>
      <c r="H2104">
        <f t="shared" si="65"/>
        <v>0</v>
      </c>
    </row>
    <row r="2105" spans="1:8" x14ac:dyDescent="0.25">
      <c r="A2105" s="1">
        <v>44870</v>
      </c>
      <c r="B2105" t="s">
        <v>1</v>
      </c>
      <c r="C2105" t="s">
        <v>65</v>
      </c>
      <c r="D2105" t="s">
        <v>67</v>
      </c>
      <c r="E2105">
        <v>443</v>
      </c>
      <c r="F2105">
        <f t="shared" si="64"/>
        <v>1417.6000000000001</v>
      </c>
      <c r="G2105">
        <f>SUMIF($D$2:$D2105,$D2105,$E$2:$E2105)</f>
        <v>14761</v>
      </c>
      <c r="H2105">
        <f t="shared" si="65"/>
        <v>0</v>
      </c>
    </row>
    <row r="2106" spans="1:8" x14ac:dyDescent="0.25">
      <c r="A2106" s="1">
        <v>44870</v>
      </c>
      <c r="B2106" t="s">
        <v>3</v>
      </c>
      <c r="C2106" t="s">
        <v>65</v>
      </c>
      <c r="D2106" t="s">
        <v>21</v>
      </c>
      <c r="E2106">
        <v>297</v>
      </c>
      <c r="F2106">
        <f t="shared" si="64"/>
        <v>950.40000000000009</v>
      </c>
      <c r="G2106">
        <f>SUMIF($D$2:$D2106,$D2106,$E$2:$E2106)</f>
        <v>12917</v>
      </c>
      <c r="H2106">
        <f t="shared" si="65"/>
        <v>0</v>
      </c>
    </row>
    <row r="2107" spans="1:8" x14ac:dyDescent="0.25">
      <c r="A2107" s="1">
        <v>44870</v>
      </c>
      <c r="B2107" t="s">
        <v>3</v>
      </c>
      <c r="C2107" t="s">
        <v>65</v>
      </c>
      <c r="D2107" t="s">
        <v>54</v>
      </c>
      <c r="E2107">
        <v>279</v>
      </c>
      <c r="F2107">
        <f t="shared" si="64"/>
        <v>892.80000000000007</v>
      </c>
      <c r="G2107">
        <f>SUMIF($D$2:$D2107,$D2107,$E$2:$E2107)</f>
        <v>15981</v>
      </c>
      <c r="H2107">
        <f t="shared" si="65"/>
        <v>1395</v>
      </c>
    </row>
    <row r="2108" spans="1:8" x14ac:dyDescent="0.25">
      <c r="A2108" s="1">
        <v>44872</v>
      </c>
      <c r="B2108" t="s">
        <v>3</v>
      </c>
      <c r="C2108" t="s">
        <v>65</v>
      </c>
      <c r="D2108" t="s">
        <v>53</v>
      </c>
      <c r="E2108">
        <v>369</v>
      </c>
      <c r="F2108">
        <f t="shared" si="64"/>
        <v>1180.8</v>
      </c>
      <c r="G2108">
        <f>SUMIF($D$2:$D2108,$D2108,$E$2:$E2108)</f>
        <v>14147</v>
      </c>
      <c r="H2108">
        <f t="shared" si="65"/>
        <v>0</v>
      </c>
    </row>
    <row r="2109" spans="1:8" x14ac:dyDescent="0.25">
      <c r="A2109" s="1">
        <v>44872</v>
      </c>
      <c r="B2109" t="s">
        <v>14</v>
      </c>
      <c r="C2109" t="s">
        <v>65</v>
      </c>
      <c r="D2109" t="s">
        <v>62</v>
      </c>
      <c r="E2109">
        <v>136</v>
      </c>
      <c r="F2109">
        <f t="shared" si="64"/>
        <v>476</v>
      </c>
      <c r="G2109">
        <f>SUMIF($D$2:$D2109,$D2109,$E$2:$E2109)</f>
        <v>12107</v>
      </c>
      <c r="H2109">
        <f t="shared" si="65"/>
        <v>0</v>
      </c>
    </row>
    <row r="2110" spans="1:8" x14ac:dyDescent="0.25">
      <c r="A2110" s="1">
        <v>44872</v>
      </c>
      <c r="B2110" t="s">
        <v>1</v>
      </c>
      <c r="C2110" t="s">
        <v>65</v>
      </c>
      <c r="D2110" t="s">
        <v>42</v>
      </c>
      <c r="E2110">
        <v>23</v>
      </c>
      <c r="F2110">
        <f t="shared" si="64"/>
        <v>73.600000000000009</v>
      </c>
      <c r="G2110">
        <f>SUMIF($D$2:$D2110,$D2110,$E$2:$E2110)</f>
        <v>11113</v>
      </c>
      <c r="H2110">
        <f t="shared" si="65"/>
        <v>0</v>
      </c>
    </row>
    <row r="2111" spans="1:8" x14ac:dyDescent="0.25">
      <c r="A2111" s="1">
        <v>44872</v>
      </c>
      <c r="B2111" t="s">
        <v>14</v>
      </c>
      <c r="C2111" t="s">
        <v>65</v>
      </c>
      <c r="D2111" t="s">
        <v>57</v>
      </c>
      <c r="E2111">
        <v>413</v>
      </c>
      <c r="F2111">
        <f t="shared" si="64"/>
        <v>1445.5</v>
      </c>
      <c r="G2111">
        <f>SUMIF($D$2:$D2111,$D2111,$E$2:$E2111)</f>
        <v>16490</v>
      </c>
      <c r="H2111">
        <f t="shared" si="65"/>
        <v>2065</v>
      </c>
    </row>
    <row r="2112" spans="1:8" x14ac:dyDescent="0.25">
      <c r="A2112" s="1">
        <v>44872</v>
      </c>
      <c r="B2112" t="s">
        <v>1</v>
      </c>
      <c r="C2112" t="s">
        <v>65</v>
      </c>
      <c r="D2112" t="s">
        <v>61</v>
      </c>
      <c r="E2112">
        <v>178</v>
      </c>
      <c r="F2112">
        <f t="shared" si="64"/>
        <v>569.6</v>
      </c>
      <c r="G2112">
        <f>SUMIF($D$2:$D2112,$D2112,$E$2:$E2112)</f>
        <v>12908</v>
      </c>
      <c r="H2112">
        <f t="shared" si="65"/>
        <v>0</v>
      </c>
    </row>
    <row r="2113" spans="1:8" x14ac:dyDescent="0.25">
      <c r="A2113" s="1">
        <v>44872</v>
      </c>
      <c r="B2113" t="s">
        <v>3</v>
      </c>
      <c r="C2113" t="s">
        <v>65</v>
      </c>
      <c r="D2113" t="s">
        <v>20</v>
      </c>
      <c r="E2113">
        <v>325</v>
      </c>
      <c r="F2113">
        <f t="shared" si="64"/>
        <v>1040</v>
      </c>
      <c r="G2113">
        <f>SUMIF($D$2:$D2113,$D2113,$E$2:$E2113)</f>
        <v>11275</v>
      </c>
      <c r="H2113">
        <f t="shared" si="65"/>
        <v>0</v>
      </c>
    </row>
    <row r="2114" spans="1:8" x14ac:dyDescent="0.25">
      <c r="A2114" s="1">
        <v>44872</v>
      </c>
      <c r="B2114" t="s">
        <v>11</v>
      </c>
      <c r="C2114" t="s">
        <v>65</v>
      </c>
      <c r="D2114" t="s">
        <v>52</v>
      </c>
      <c r="E2114">
        <v>435</v>
      </c>
      <c r="F2114">
        <f t="shared" si="64"/>
        <v>1087.5</v>
      </c>
      <c r="G2114">
        <f>SUMIF($D$2:$D2114,$D2114,$E$2:$E2114)</f>
        <v>13351</v>
      </c>
      <c r="H2114">
        <f t="shared" si="65"/>
        <v>0</v>
      </c>
    </row>
    <row r="2115" spans="1:8" x14ac:dyDescent="0.25">
      <c r="A2115" s="1">
        <v>44872</v>
      </c>
      <c r="B2115" t="s">
        <v>14</v>
      </c>
      <c r="C2115" t="s">
        <v>65</v>
      </c>
      <c r="D2115" t="s">
        <v>48</v>
      </c>
      <c r="E2115">
        <v>261</v>
      </c>
      <c r="F2115">
        <f t="shared" ref="F2115:F2178" si="66">E2115* _xlfn.XLOOKUP(B2115,$I$2:$I$17,$J$2:$J$17,"0",0,1)</f>
        <v>913.5</v>
      </c>
      <c r="G2115">
        <f>SUMIF($D$2:$D2115,$D2115,$E$2:$E2115)</f>
        <v>11556</v>
      </c>
      <c r="H2115">
        <f t="shared" ref="H2115:H2178" si="67">IF(AND($G2115 &gt; 15000,$G2115 &lt; 20000),5*$E2115,IF($G2115 &gt;= 20000,10*$E2115,0))</f>
        <v>0</v>
      </c>
    </row>
    <row r="2116" spans="1:8" x14ac:dyDescent="0.25">
      <c r="A2116" s="1">
        <v>44872</v>
      </c>
      <c r="B2116" t="s">
        <v>9</v>
      </c>
      <c r="C2116" t="s">
        <v>65</v>
      </c>
      <c r="D2116" t="s">
        <v>55</v>
      </c>
      <c r="E2116">
        <v>239</v>
      </c>
      <c r="F2116">
        <f t="shared" si="66"/>
        <v>597.5</v>
      </c>
      <c r="G2116">
        <f>SUMIF($D$2:$D2116,$D2116,$E$2:$E2116)</f>
        <v>11300</v>
      </c>
      <c r="H2116">
        <f t="shared" si="67"/>
        <v>0</v>
      </c>
    </row>
    <row r="2117" spans="1:8" x14ac:dyDescent="0.25">
      <c r="A2117" s="1">
        <v>44872</v>
      </c>
      <c r="B2117" t="s">
        <v>9</v>
      </c>
      <c r="C2117" t="s">
        <v>65</v>
      </c>
      <c r="D2117" t="s">
        <v>35</v>
      </c>
      <c r="E2117">
        <v>70</v>
      </c>
      <c r="F2117">
        <f t="shared" si="66"/>
        <v>175</v>
      </c>
      <c r="G2117">
        <f>SUMIF($D$2:$D2117,$D2117,$E$2:$E2117)</f>
        <v>11942</v>
      </c>
      <c r="H2117">
        <f t="shared" si="67"/>
        <v>0</v>
      </c>
    </row>
    <row r="2118" spans="1:8" x14ac:dyDescent="0.25">
      <c r="A2118" s="1">
        <v>44872</v>
      </c>
      <c r="B2118" t="s">
        <v>9</v>
      </c>
      <c r="C2118" t="s">
        <v>65</v>
      </c>
      <c r="D2118" t="s">
        <v>67</v>
      </c>
      <c r="E2118">
        <v>454</v>
      </c>
      <c r="F2118">
        <f t="shared" si="66"/>
        <v>1135</v>
      </c>
      <c r="G2118">
        <f>SUMIF($D$2:$D2118,$D2118,$E$2:$E2118)</f>
        <v>15215</v>
      </c>
      <c r="H2118">
        <f t="shared" si="67"/>
        <v>2270</v>
      </c>
    </row>
    <row r="2119" spans="1:8" x14ac:dyDescent="0.25">
      <c r="A2119" s="1">
        <v>44872</v>
      </c>
      <c r="B2119" t="s">
        <v>1</v>
      </c>
      <c r="C2119" t="s">
        <v>65</v>
      </c>
      <c r="D2119" t="s">
        <v>20</v>
      </c>
      <c r="E2119">
        <v>164</v>
      </c>
      <c r="F2119">
        <f t="shared" si="66"/>
        <v>524.80000000000007</v>
      </c>
      <c r="G2119">
        <f>SUMIF($D$2:$D2119,$D2119,$E$2:$E2119)</f>
        <v>11439</v>
      </c>
      <c r="H2119">
        <f t="shared" si="67"/>
        <v>0</v>
      </c>
    </row>
    <row r="2120" spans="1:8" x14ac:dyDescent="0.25">
      <c r="A2120" s="1">
        <v>44872</v>
      </c>
      <c r="B2120" t="s">
        <v>1</v>
      </c>
      <c r="C2120" t="s">
        <v>65</v>
      </c>
      <c r="D2120" t="s">
        <v>64</v>
      </c>
      <c r="E2120">
        <v>488</v>
      </c>
      <c r="F2120">
        <f t="shared" si="66"/>
        <v>1561.6000000000001</v>
      </c>
      <c r="G2120">
        <f>SUMIF($D$2:$D2120,$D2120,$E$2:$E2120)</f>
        <v>14380</v>
      </c>
      <c r="H2120">
        <f t="shared" si="67"/>
        <v>0</v>
      </c>
    </row>
    <row r="2121" spans="1:8" x14ac:dyDescent="0.25">
      <c r="A2121" s="1">
        <v>44873</v>
      </c>
      <c r="B2121" t="s">
        <v>14</v>
      </c>
      <c r="C2121" t="s">
        <v>65</v>
      </c>
      <c r="D2121" t="s">
        <v>16</v>
      </c>
      <c r="E2121">
        <v>161</v>
      </c>
      <c r="F2121">
        <f t="shared" si="66"/>
        <v>563.5</v>
      </c>
      <c r="G2121">
        <f>SUMIF($D$2:$D2121,$D2121,$E$2:$E2121)</f>
        <v>11926</v>
      </c>
      <c r="H2121">
        <f t="shared" si="67"/>
        <v>0</v>
      </c>
    </row>
    <row r="2122" spans="1:8" x14ac:dyDescent="0.25">
      <c r="A2122" s="1">
        <v>44873</v>
      </c>
      <c r="B2122" t="s">
        <v>14</v>
      </c>
      <c r="C2122" t="s">
        <v>65</v>
      </c>
      <c r="D2122" t="s">
        <v>32</v>
      </c>
      <c r="E2122">
        <v>311</v>
      </c>
      <c r="F2122">
        <f t="shared" si="66"/>
        <v>1088.5</v>
      </c>
      <c r="G2122">
        <f>SUMIF($D$2:$D2122,$D2122,$E$2:$E2122)</f>
        <v>13215</v>
      </c>
      <c r="H2122">
        <f t="shared" si="67"/>
        <v>0</v>
      </c>
    </row>
    <row r="2123" spans="1:8" x14ac:dyDescent="0.25">
      <c r="A2123" s="1">
        <v>44873</v>
      </c>
      <c r="B2123" t="s">
        <v>3</v>
      </c>
      <c r="C2123" t="s">
        <v>65</v>
      </c>
      <c r="D2123" t="s">
        <v>61</v>
      </c>
      <c r="E2123">
        <v>351</v>
      </c>
      <c r="F2123">
        <f t="shared" si="66"/>
        <v>1123.2</v>
      </c>
      <c r="G2123">
        <f>SUMIF($D$2:$D2123,$D2123,$E$2:$E2123)</f>
        <v>13259</v>
      </c>
      <c r="H2123">
        <f t="shared" si="67"/>
        <v>0</v>
      </c>
    </row>
    <row r="2124" spans="1:8" x14ac:dyDescent="0.25">
      <c r="A2124" s="1">
        <v>44873</v>
      </c>
      <c r="B2124" t="s">
        <v>3</v>
      </c>
      <c r="C2124" t="s">
        <v>65</v>
      </c>
      <c r="D2124" t="s">
        <v>43</v>
      </c>
      <c r="E2124">
        <v>127</v>
      </c>
      <c r="F2124">
        <f t="shared" si="66"/>
        <v>406.40000000000003</v>
      </c>
      <c r="G2124">
        <f>SUMIF($D$2:$D2124,$D2124,$E$2:$E2124)</f>
        <v>9838</v>
      </c>
      <c r="H2124">
        <f t="shared" si="67"/>
        <v>0</v>
      </c>
    </row>
    <row r="2125" spans="1:8" x14ac:dyDescent="0.25">
      <c r="A2125" s="1">
        <v>44874</v>
      </c>
      <c r="B2125" t="s">
        <v>14</v>
      </c>
      <c r="C2125" t="s">
        <v>65</v>
      </c>
      <c r="D2125" t="s">
        <v>44</v>
      </c>
      <c r="E2125">
        <v>349</v>
      </c>
      <c r="F2125">
        <f t="shared" si="66"/>
        <v>1221.5</v>
      </c>
      <c r="G2125">
        <f>SUMIF($D$2:$D2125,$D2125,$E$2:$E2125)</f>
        <v>16213</v>
      </c>
      <c r="H2125">
        <f t="shared" si="67"/>
        <v>1745</v>
      </c>
    </row>
    <row r="2126" spans="1:8" x14ac:dyDescent="0.25">
      <c r="A2126" s="1">
        <v>44874</v>
      </c>
      <c r="B2126" t="s">
        <v>11</v>
      </c>
      <c r="C2126" t="s">
        <v>65</v>
      </c>
      <c r="D2126" t="s">
        <v>64</v>
      </c>
      <c r="E2126">
        <v>244</v>
      </c>
      <c r="F2126">
        <f t="shared" si="66"/>
        <v>610</v>
      </c>
      <c r="G2126">
        <f>SUMIF($D$2:$D2126,$D2126,$E$2:$E2126)</f>
        <v>14624</v>
      </c>
      <c r="H2126">
        <f t="shared" si="67"/>
        <v>0</v>
      </c>
    </row>
    <row r="2127" spans="1:8" x14ac:dyDescent="0.25">
      <c r="A2127" s="1">
        <v>44874</v>
      </c>
      <c r="B2127" t="s">
        <v>1</v>
      </c>
      <c r="C2127" t="s">
        <v>65</v>
      </c>
      <c r="D2127" t="s">
        <v>63</v>
      </c>
      <c r="E2127">
        <v>77</v>
      </c>
      <c r="F2127">
        <f t="shared" si="66"/>
        <v>246.4</v>
      </c>
      <c r="G2127">
        <f>SUMIF($D$2:$D2127,$D2127,$E$2:$E2127)</f>
        <v>9878</v>
      </c>
      <c r="H2127">
        <f t="shared" si="67"/>
        <v>0</v>
      </c>
    </row>
    <row r="2128" spans="1:8" x14ac:dyDescent="0.25">
      <c r="A2128" s="1">
        <v>44874</v>
      </c>
      <c r="B2128" t="s">
        <v>9</v>
      </c>
      <c r="C2128" t="s">
        <v>65</v>
      </c>
      <c r="D2128" t="s">
        <v>55</v>
      </c>
      <c r="E2128">
        <v>167</v>
      </c>
      <c r="F2128">
        <f t="shared" si="66"/>
        <v>417.5</v>
      </c>
      <c r="G2128">
        <f>SUMIF($D$2:$D2128,$D2128,$E$2:$E2128)</f>
        <v>11467</v>
      </c>
      <c r="H2128">
        <f t="shared" si="67"/>
        <v>0</v>
      </c>
    </row>
    <row r="2129" spans="1:8" x14ac:dyDescent="0.25">
      <c r="A2129" s="1">
        <v>44874</v>
      </c>
      <c r="B2129" t="s">
        <v>3</v>
      </c>
      <c r="C2129" t="s">
        <v>65</v>
      </c>
      <c r="D2129" t="s">
        <v>45</v>
      </c>
      <c r="E2129">
        <v>318</v>
      </c>
      <c r="F2129">
        <f t="shared" si="66"/>
        <v>1017.6</v>
      </c>
      <c r="G2129">
        <f>SUMIF($D$2:$D2129,$D2129,$E$2:$E2129)</f>
        <v>13718</v>
      </c>
      <c r="H2129">
        <f t="shared" si="67"/>
        <v>0</v>
      </c>
    </row>
    <row r="2130" spans="1:8" x14ac:dyDescent="0.25">
      <c r="A2130" s="1">
        <v>44874</v>
      </c>
      <c r="B2130" t="s">
        <v>9</v>
      </c>
      <c r="C2130" t="s">
        <v>65</v>
      </c>
      <c r="D2130" t="s">
        <v>29</v>
      </c>
      <c r="E2130">
        <v>465</v>
      </c>
      <c r="F2130">
        <f t="shared" si="66"/>
        <v>1162.5</v>
      </c>
      <c r="G2130">
        <f>SUMIF($D$2:$D2130,$D2130,$E$2:$E2130)</f>
        <v>17919</v>
      </c>
      <c r="H2130">
        <f t="shared" si="67"/>
        <v>2325</v>
      </c>
    </row>
    <row r="2131" spans="1:8" x14ac:dyDescent="0.25">
      <c r="A2131" s="1">
        <v>44874</v>
      </c>
      <c r="B2131" t="s">
        <v>14</v>
      </c>
      <c r="C2131" t="s">
        <v>65</v>
      </c>
      <c r="D2131" t="s">
        <v>39</v>
      </c>
      <c r="E2131">
        <v>94</v>
      </c>
      <c r="F2131">
        <f t="shared" si="66"/>
        <v>329</v>
      </c>
      <c r="G2131">
        <f>SUMIF($D$2:$D2131,$D2131,$E$2:$E2131)</f>
        <v>11341</v>
      </c>
      <c r="H2131">
        <f t="shared" si="67"/>
        <v>0</v>
      </c>
    </row>
    <row r="2132" spans="1:8" x14ac:dyDescent="0.25">
      <c r="A2132" s="1">
        <v>44875</v>
      </c>
      <c r="B2132" t="s">
        <v>14</v>
      </c>
      <c r="C2132" t="s">
        <v>65</v>
      </c>
      <c r="D2132" t="s">
        <v>22</v>
      </c>
      <c r="E2132">
        <v>437</v>
      </c>
      <c r="F2132">
        <f t="shared" si="66"/>
        <v>1529.5</v>
      </c>
      <c r="G2132">
        <f>SUMIF($D$2:$D2132,$D2132,$E$2:$E2132)</f>
        <v>13777</v>
      </c>
      <c r="H2132">
        <f t="shared" si="67"/>
        <v>0</v>
      </c>
    </row>
    <row r="2133" spans="1:8" x14ac:dyDescent="0.25">
      <c r="A2133" s="1">
        <v>44875</v>
      </c>
      <c r="B2133" t="s">
        <v>9</v>
      </c>
      <c r="C2133" t="s">
        <v>65</v>
      </c>
      <c r="D2133" t="s">
        <v>48</v>
      </c>
      <c r="E2133">
        <v>357</v>
      </c>
      <c r="F2133">
        <f t="shared" si="66"/>
        <v>892.5</v>
      </c>
      <c r="G2133">
        <f>SUMIF($D$2:$D2133,$D2133,$E$2:$E2133)</f>
        <v>11913</v>
      </c>
      <c r="H2133">
        <f t="shared" si="67"/>
        <v>0</v>
      </c>
    </row>
    <row r="2134" spans="1:8" x14ac:dyDescent="0.25">
      <c r="A2134" s="1">
        <v>44875</v>
      </c>
      <c r="B2134" t="s">
        <v>14</v>
      </c>
      <c r="C2134" t="s">
        <v>65</v>
      </c>
      <c r="D2134" t="s">
        <v>29</v>
      </c>
      <c r="E2134">
        <v>349</v>
      </c>
      <c r="F2134">
        <f t="shared" si="66"/>
        <v>1221.5</v>
      </c>
      <c r="G2134">
        <f>SUMIF($D$2:$D2134,$D2134,$E$2:$E2134)</f>
        <v>18268</v>
      </c>
      <c r="H2134">
        <f t="shared" si="67"/>
        <v>1745</v>
      </c>
    </row>
    <row r="2135" spans="1:8" x14ac:dyDescent="0.25">
      <c r="A2135" s="1">
        <v>44875</v>
      </c>
      <c r="B2135" t="s">
        <v>11</v>
      </c>
      <c r="C2135" t="s">
        <v>65</v>
      </c>
      <c r="D2135" t="s">
        <v>53</v>
      </c>
      <c r="E2135">
        <v>407</v>
      </c>
      <c r="F2135">
        <f t="shared" si="66"/>
        <v>1017.5</v>
      </c>
      <c r="G2135">
        <f>SUMIF($D$2:$D2135,$D2135,$E$2:$E2135)</f>
        <v>14554</v>
      </c>
      <c r="H2135">
        <f t="shared" si="67"/>
        <v>0</v>
      </c>
    </row>
    <row r="2136" spans="1:8" x14ac:dyDescent="0.25">
      <c r="A2136" s="1">
        <v>44875</v>
      </c>
      <c r="B2136" t="s">
        <v>3</v>
      </c>
      <c r="C2136" t="s">
        <v>65</v>
      </c>
      <c r="D2136" t="s">
        <v>57</v>
      </c>
      <c r="E2136">
        <v>66</v>
      </c>
      <c r="F2136">
        <f t="shared" si="66"/>
        <v>211.20000000000002</v>
      </c>
      <c r="G2136">
        <f>SUMIF($D$2:$D2136,$D2136,$E$2:$E2136)</f>
        <v>16556</v>
      </c>
      <c r="H2136">
        <f t="shared" si="67"/>
        <v>330</v>
      </c>
    </row>
    <row r="2137" spans="1:8" x14ac:dyDescent="0.25">
      <c r="A2137" s="1">
        <v>44875</v>
      </c>
      <c r="B2137" t="s">
        <v>11</v>
      </c>
      <c r="C2137" t="s">
        <v>65</v>
      </c>
      <c r="D2137" t="s">
        <v>59</v>
      </c>
      <c r="E2137">
        <v>286</v>
      </c>
      <c r="F2137">
        <f t="shared" si="66"/>
        <v>715</v>
      </c>
      <c r="G2137">
        <f>SUMIF($D$2:$D2137,$D2137,$E$2:$E2137)</f>
        <v>9752</v>
      </c>
      <c r="H2137">
        <f t="shared" si="67"/>
        <v>0</v>
      </c>
    </row>
    <row r="2138" spans="1:8" x14ac:dyDescent="0.25">
      <c r="A2138" s="1">
        <v>44876</v>
      </c>
      <c r="B2138" t="s">
        <v>9</v>
      </c>
      <c r="C2138" t="s">
        <v>65</v>
      </c>
      <c r="D2138" t="s">
        <v>61</v>
      </c>
      <c r="E2138">
        <v>415</v>
      </c>
      <c r="F2138">
        <f t="shared" si="66"/>
        <v>1037.5</v>
      </c>
      <c r="G2138">
        <f>SUMIF($D$2:$D2138,$D2138,$E$2:$E2138)</f>
        <v>13674</v>
      </c>
      <c r="H2138">
        <f t="shared" si="67"/>
        <v>0</v>
      </c>
    </row>
    <row r="2139" spans="1:8" x14ac:dyDescent="0.25">
      <c r="A2139" s="1">
        <v>44876</v>
      </c>
      <c r="B2139" t="s">
        <v>9</v>
      </c>
      <c r="C2139" t="s">
        <v>65</v>
      </c>
      <c r="D2139" t="s">
        <v>38</v>
      </c>
      <c r="E2139">
        <v>10</v>
      </c>
      <c r="F2139">
        <f t="shared" si="66"/>
        <v>25</v>
      </c>
      <c r="G2139">
        <f>SUMIF($D$2:$D2139,$D2139,$E$2:$E2139)</f>
        <v>13987</v>
      </c>
      <c r="H2139">
        <f t="shared" si="67"/>
        <v>0</v>
      </c>
    </row>
    <row r="2140" spans="1:8" x14ac:dyDescent="0.25">
      <c r="A2140" s="1">
        <v>44876</v>
      </c>
      <c r="B2140" t="s">
        <v>11</v>
      </c>
      <c r="C2140" t="s">
        <v>65</v>
      </c>
      <c r="D2140" t="s">
        <v>23</v>
      </c>
      <c r="E2140">
        <v>242</v>
      </c>
      <c r="F2140">
        <f t="shared" si="66"/>
        <v>605</v>
      </c>
      <c r="G2140">
        <f>SUMIF($D$2:$D2140,$D2140,$E$2:$E2140)</f>
        <v>10072</v>
      </c>
      <c r="H2140">
        <f t="shared" si="67"/>
        <v>0</v>
      </c>
    </row>
    <row r="2141" spans="1:8" x14ac:dyDescent="0.25">
      <c r="A2141" s="1">
        <v>44877</v>
      </c>
      <c r="B2141" t="s">
        <v>1</v>
      </c>
      <c r="C2141" t="s">
        <v>65</v>
      </c>
      <c r="D2141" t="s">
        <v>62</v>
      </c>
      <c r="E2141">
        <v>487</v>
      </c>
      <c r="F2141">
        <f t="shared" si="66"/>
        <v>1558.4</v>
      </c>
      <c r="G2141">
        <f>SUMIF($D$2:$D2141,$D2141,$E$2:$E2141)</f>
        <v>12594</v>
      </c>
      <c r="H2141">
        <f t="shared" si="67"/>
        <v>0</v>
      </c>
    </row>
    <row r="2142" spans="1:8" x14ac:dyDescent="0.25">
      <c r="A2142" s="1">
        <v>44877</v>
      </c>
      <c r="B2142" t="s">
        <v>3</v>
      </c>
      <c r="C2142" t="s">
        <v>65</v>
      </c>
      <c r="D2142" t="s">
        <v>29</v>
      </c>
      <c r="E2142">
        <v>262</v>
      </c>
      <c r="F2142">
        <f t="shared" si="66"/>
        <v>838.40000000000009</v>
      </c>
      <c r="G2142">
        <f>SUMIF($D$2:$D2142,$D2142,$E$2:$E2142)</f>
        <v>18530</v>
      </c>
      <c r="H2142">
        <f t="shared" si="67"/>
        <v>1310</v>
      </c>
    </row>
    <row r="2143" spans="1:8" x14ac:dyDescent="0.25">
      <c r="A2143" s="1">
        <v>44877</v>
      </c>
      <c r="B2143" t="s">
        <v>3</v>
      </c>
      <c r="C2143" t="s">
        <v>65</v>
      </c>
      <c r="D2143" t="s">
        <v>48</v>
      </c>
      <c r="E2143">
        <v>406</v>
      </c>
      <c r="F2143">
        <f t="shared" si="66"/>
        <v>1299.2</v>
      </c>
      <c r="G2143">
        <f>SUMIF($D$2:$D2143,$D2143,$E$2:$E2143)</f>
        <v>12319</v>
      </c>
      <c r="H2143">
        <f t="shared" si="67"/>
        <v>0</v>
      </c>
    </row>
    <row r="2144" spans="1:8" x14ac:dyDescent="0.25">
      <c r="A2144" s="1">
        <v>44877</v>
      </c>
      <c r="B2144" t="s">
        <v>3</v>
      </c>
      <c r="C2144" t="s">
        <v>65</v>
      </c>
      <c r="D2144" t="s">
        <v>18</v>
      </c>
      <c r="E2144">
        <v>172</v>
      </c>
      <c r="F2144">
        <f t="shared" si="66"/>
        <v>550.4</v>
      </c>
      <c r="G2144">
        <f>SUMIF($D$2:$D2144,$D2144,$E$2:$E2144)</f>
        <v>13114</v>
      </c>
      <c r="H2144">
        <f t="shared" si="67"/>
        <v>0</v>
      </c>
    </row>
    <row r="2145" spans="1:8" x14ac:dyDescent="0.25">
      <c r="A2145" s="1">
        <v>44877</v>
      </c>
      <c r="B2145" t="s">
        <v>1</v>
      </c>
      <c r="C2145" t="s">
        <v>65</v>
      </c>
      <c r="D2145" t="s">
        <v>58</v>
      </c>
      <c r="E2145">
        <v>52</v>
      </c>
      <c r="F2145">
        <f t="shared" si="66"/>
        <v>166.4</v>
      </c>
      <c r="G2145">
        <f>SUMIF($D$2:$D2145,$D2145,$E$2:$E2145)</f>
        <v>11288</v>
      </c>
      <c r="H2145">
        <f t="shared" si="67"/>
        <v>0</v>
      </c>
    </row>
    <row r="2146" spans="1:8" x14ac:dyDescent="0.25">
      <c r="A2146" s="1">
        <v>44879</v>
      </c>
      <c r="B2146" t="s">
        <v>14</v>
      </c>
      <c r="C2146" t="s">
        <v>65</v>
      </c>
      <c r="D2146" t="s">
        <v>50</v>
      </c>
      <c r="E2146">
        <v>223</v>
      </c>
      <c r="F2146">
        <f t="shared" si="66"/>
        <v>780.5</v>
      </c>
      <c r="G2146">
        <f>SUMIF($D$2:$D2146,$D2146,$E$2:$E2146)</f>
        <v>10228</v>
      </c>
      <c r="H2146">
        <f t="shared" si="67"/>
        <v>0</v>
      </c>
    </row>
    <row r="2147" spans="1:8" x14ac:dyDescent="0.25">
      <c r="A2147" s="1">
        <v>44879</v>
      </c>
      <c r="B2147" t="s">
        <v>14</v>
      </c>
      <c r="C2147" t="s">
        <v>65</v>
      </c>
      <c r="D2147" t="s">
        <v>61</v>
      </c>
      <c r="E2147">
        <v>65</v>
      </c>
      <c r="F2147">
        <f t="shared" si="66"/>
        <v>227.5</v>
      </c>
      <c r="G2147">
        <f>SUMIF($D$2:$D2147,$D2147,$E$2:$E2147)</f>
        <v>13739</v>
      </c>
      <c r="H2147">
        <f t="shared" si="67"/>
        <v>0</v>
      </c>
    </row>
    <row r="2148" spans="1:8" x14ac:dyDescent="0.25">
      <c r="A2148" s="1">
        <v>44879</v>
      </c>
      <c r="B2148" t="s">
        <v>14</v>
      </c>
      <c r="C2148" t="s">
        <v>65</v>
      </c>
      <c r="D2148" t="s">
        <v>20</v>
      </c>
      <c r="E2148">
        <v>405</v>
      </c>
      <c r="F2148">
        <f t="shared" si="66"/>
        <v>1417.5</v>
      </c>
      <c r="G2148">
        <f>SUMIF($D$2:$D2148,$D2148,$E$2:$E2148)</f>
        <v>11844</v>
      </c>
      <c r="H2148">
        <f t="shared" si="67"/>
        <v>0</v>
      </c>
    </row>
    <row r="2149" spans="1:8" x14ac:dyDescent="0.25">
      <c r="A2149" s="1">
        <v>44879</v>
      </c>
      <c r="B2149" t="s">
        <v>9</v>
      </c>
      <c r="C2149" t="s">
        <v>65</v>
      </c>
      <c r="D2149" t="s">
        <v>62</v>
      </c>
      <c r="E2149">
        <v>90</v>
      </c>
      <c r="F2149">
        <f t="shared" si="66"/>
        <v>225</v>
      </c>
      <c r="G2149">
        <f>SUMIF($D$2:$D2149,$D2149,$E$2:$E2149)</f>
        <v>12684</v>
      </c>
      <c r="H2149">
        <f t="shared" si="67"/>
        <v>0</v>
      </c>
    </row>
    <row r="2150" spans="1:8" x14ac:dyDescent="0.25">
      <c r="A2150" s="1">
        <v>44879</v>
      </c>
      <c r="B2150" t="s">
        <v>9</v>
      </c>
      <c r="C2150" t="s">
        <v>65</v>
      </c>
      <c r="D2150" t="s">
        <v>25</v>
      </c>
      <c r="E2150">
        <v>416</v>
      </c>
      <c r="F2150">
        <f t="shared" si="66"/>
        <v>1040</v>
      </c>
      <c r="G2150">
        <f>SUMIF($D$2:$D2150,$D2150,$E$2:$E2150)</f>
        <v>14883</v>
      </c>
      <c r="H2150">
        <f t="shared" si="67"/>
        <v>0</v>
      </c>
    </row>
    <row r="2151" spans="1:8" x14ac:dyDescent="0.25">
      <c r="A2151" s="1">
        <v>44879</v>
      </c>
      <c r="B2151" t="s">
        <v>14</v>
      </c>
      <c r="C2151" t="s">
        <v>65</v>
      </c>
      <c r="D2151" t="s">
        <v>19</v>
      </c>
      <c r="E2151">
        <v>43</v>
      </c>
      <c r="F2151">
        <f t="shared" si="66"/>
        <v>150.5</v>
      </c>
      <c r="G2151">
        <f>SUMIF($D$2:$D2151,$D2151,$E$2:$E2151)</f>
        <v>7553</v>
      </c>
      <c r="H2151">
        <f t="shared" si="67"/>
        <v>0</v>
      </c>
    </row>
    <row r="2152" spans="1:8" x14ac:dyDescent="0.25">
      <c r="A2152" s="1">
        <v>44879</v>
      </c>
      <c r="B2152" t="s">
        <v>1</v>
      </c>
      <c r="C2152" t="s">
        <v>65</v>
      </c>
      <c r="D2152" t="s">
        <v>55</v>
      </c>
      <c r="E2152">
        <v>423</v>
      </c>
      <c r="F2152">
        <f t="shared" si="66"/>
        <v>1353.6000000000001</v>
      </c>
      <c r="G2152">
        <f>SUMIF($D$2:$D2152,$D2152,$E$2:$E2152)</f>
        <v>11890</v>
      </c>
      <c r="H2152">
        <f t="shared" si="67"/>
        <v>0</v>
      </c>
    </row>
    <row r="2153" spans="1:8" x14ac:dyDescent="0.25">
      <c r="A2153" s="1">
        <v>44879</v>
      </c>
      <c r="B2153" t="s">
        <v>14</v>
      </c>
      <c r="C2153" t="s">
        <v>65</v>
      </c>
      <c r="D2153" t="s">
        <v>51</v>
      </c>
      <c r="E2153">
        <v>172</v>
      </c>
      <c r="F2153">
        <f t="shared" si="66"/>
        <v>602</v>
      </c>
      <c r="G2153">
        <f>SUMIF($D$2:$D2153,$D2153,$E$2:$E2153)</f>
        <v>14746</v>
      </c>
      <c r="H2153">
        <f t="shared" si="67"/>
        <v>0</v>
      </c>
    </row>
    <row r="2154" spans="1:8" x14ac:dyDescent="0.25">
      <c r="A2154" s="1">
        <v>44879</v>
      </c>
      <c r="B2154" t="s">
        <v>14</v>
      </c>
      <c r="C2154" t="s">
        <v>65</v>
      </c>
      <c r="D2154" t="s">
        <v>31</v>
      </c>
      <c r="E2154">
        <v>484</v>
      </c>
      <c r="F2154">
        <f t="shared" si="66"/>
        <v>1694</v>
      </c>
      <c r="G2154">
        <f>SUMIF($D$2:$D2154,$D2154,$E$2:$E2154)</f>
        <v>15681</v>
      </c>
      <c r="H2154">
        <f t="shared" si="67"/>
        <v>2420</v>
      </c>
    </row>
    <row r="2155" spans="1:8" x14ac:dyDescent="0.25">
      <c r="A2155" s="1">
        <v>44879</v>
      </c>
      <c r="B2155" t="s">
        <v>3</v>
      </c>
      <c r="C2155" t="s">
        <v>65</v>
      </c>
      <c r="D2155" t="s">
        <v>39</v>
      </c>
      <c r="E2155">
        <v>401</v>
      </c>
      <c r="F2155">
        <f t="shared" si="66"/>
        <v>1283.2</v>
      </c>
      <c r="G2155">
        <f>SUMIF($D$2:$D2155,$D2155,$E$2:$E2155)</f>
        <v>11742</v>
      </c>
      <c r="H2155">
        <f t="shared" si="67"/>
        <v>0</v>
      </c>
    </row>
    <row r="2156" spans="1:8" x14ac:dyDescent="0.25">
      <c r="A2156" s="1">
        <v>44879</v>
      </c>
      <c r="B2156" t="s">
        <v>14</v>
      </c>
      <c r="C2156" t="s">
        <v>65</v>
      </c>
      <c r="D2156" t="s">
        <v>49</v>
      </c>
      <c r="E2156">
        <v>230</v>
      </c>
      <c r="F2156">
        <f t="shared" si="66"/>
        <v>805</v>
      </c>
      <c r="G2156">
        <f>SUMIF($D$2:$D2156,$D2156,$E$2:$E2156)</f>
        <v>12101</v>
      </c>
      <c r="H2156">
        <f t="shared" si="67"/>
        <v>0</v>
      </c>
    </row>
    <row r="2157" spans="1:8" x14ac:dyDescent="0.25">
      <c r="A2157" s="1">
        <v>44879</v>
      </c>
      <c r="B2157" t="s">
        <v>14</v>
      </c>
      <c r="C2157" t="s">
        <v>65</v>
      </c>
      <c r="D2157" t="s">
        <v>53</v>
      </c>
      <c r="E2157">
        <v>224</v>
      </c>
      <c r="F2157">
        <f t="shared" si="66"/>
        <v>784</v>
      </c>
      <c r="G2157">
        <f>SUMIF($D$2:$D2157,$D2157,$E$2:$E2157)</f>
        <v>14778</v>
      </c>
      <c r="H2157">
        <f t="shared" si="67"/>
        <v>0</v>
      </c>
    </row>
    <row r="2158" spans="1:8" x14ac:dyDescent="0.25">
      <c r="A2158" s="1">
        <v>44880</v>
      </c>
      <c r="B2158" t="s">
        <v>1</v>
      </c>
      <c r="C2158" t="s">
        <v>65</v>
      </c>
      <c r="D2158" t="s">
        <v>18</v>
      </c>
      <c r="E2158">
        <v>264</v>
      </c>
      <c r="F2158">
        <f t="shared" si="66"/>
        <v>844.80000000000007</v>
      </c>
      <c r="G2158">
        <f>SUMIF($D$2:$D2158,$D2158,$E$2:$E2158)</f>
        <v>13378</v>
      </c>
      <c r="H2158">
        <f t="shared" si="67"/>
        <v>0</v>
      </c>
    </row>
    <row r="2159" spans="1:8" x14ac:dyDescent="0.25">
      <c r="A2159" s="1">
        <v>44880</v>
      </c>
      <c r="B2159" t="s">
        <v>14</v>
      </c>
      <c r="C2159" t="s">
        <v>65</v>
      </c>
      <c r="D2159" t="s">
        <v>30</v>
      </c>
      <c r="E2159">
        <v>276</v>
      </c>
      <c r="F2159">
        <f t="shared" si="66"/>
        <v>966</v>
      </c>
      <c r="G2159">
        <f>SUMIF($D$2:$D2159,$D2159,$E$2:$E2159)</f>
        <v>14071</v>
      </c>
      <c r="H2159">
        <f t="shared" si="67"/>
        <v>0</v>
      </c>
    </row>
    <row r="2160" spans="1:8" x14ac:dyDescent="0.25">
      <c r="A2160" s="1">
        <v>44880</v>
      </c>
      <c r="B2160" t="s">
        <v>3</v>
      </c>
      <c r="C2160" t="s">
        <v>65</v>
      </c>
      <c r="D2160" t="s">
        <v>48</v>
      </c>
      <c r="E2160">
        <v>72</v>
      </c>
      <c r="F2160">
        <f t="shared" si="66"/>
        <v>230.4</v>
      </c>
      <c r="G2160">
        <f>SUMIF($D$2:$D2160,$D2160,$E$2:$E2160)</f>
        <v>12391</v>
      </c>
      <c r="H2160">
        <f t="shared" si="67"/>
        <v>0</v>
      </c>
    </row>
    <row r="2161" spans="1:8" x14ac:dyDescent="0.25">
      <c r="A2161" s="1">
        <v>44880</v>
      </c>
      <c r="B2161" t="s">
        <v>11</v>
      </c>
      <c r="C2161" t="s">
        <v>65</v>
      </c>
      <c r="D2161" t="s">
        <v>50</v>
      </c>
      <c r="E2161">
        <v>376</v>
      </c>
      <c r="F2161">
        <f t="shared" si="66"/>
        <v>940</v>
      </c>
      <c r="G2161">
        <f>SUMIF($D$2:$D2161,$D2161,$E$2:$E2161)</f>
        <v>10604</v>
      </c>
      <c r="H2161">
        <f t="shared" si="67"/>
        <v>0</v>
      </c>
    </row>
    <row r="2162" spans="1:8" x14ac:dyDescent="0.25">
      <c r="A2162" s="1">
        <v>44880</v>
      </c>
      <c r="B2162" t="s">
        <v>11</v>
      </c>
      <c r="C2162" t="s">
        <v>65</v>
      </c>
      <c r="D2162" t="s">
        <v>50</v>
      </c>
      <c r="E2162">
        <v>494</v>
      </c>
      <c r="F2162">
        <f t="shared" si="66"/>
        <v>1235</v>
      </c>
      <c r="G2162">
        <f>SUMIF($D$2:$D2162,$D2162,$E$2:$E2162)</f>
        <v>11098</v>
      </c>
      <c r="H2162">
        <f t="shared" si="67"/>
        <v>0</v>
      </c>
    </row>
    <row r="2163" spans="1:8" x14ac:dyDescent="0.25">
      <c r="A2163" s="1">
        <v>44880</v>
      </c>
      <c r="B2163" t="s">
        <v>11</v>
      </c>
      <c r="C2163" t="s">
        <v>65</v>
      </c>
      <c r="D2163" t="s">
        <v>37</v>
      </c>
      <c r="E2163">
        <v>365</v>
      </c>
      <c r="F2163">
        <f t="shared" si="66"/>
        <v>912.5</v>
      </c>
      <c r="G2163">
        <f>SUMIF($D$2:$D2163,$D2163,$E$2:$E2163)</f>
        <v>13180</v>
      </c>
      <c r="H2163">
        <f t="shared" si="67"/>
        <v>0</v>
      </c>
    </row>
    <row r="2164" spans="1:8" x14ac:dyDescent="0.25">
      <c r="A2164" s="1">
        <v>44880</v>
      </c>
      <c r="B2164" t="s">
        <v>14</v>
      </c>
      <c r="C2164" t="s">
        <v>65</v>
      </c>
      <c r="D2164" t="s">
        <v>40</v>
      </c>
      <c r="E2164">
        <v>217</v>
      </c>
      <c r="F2164">
        <f t="shared" si="66"/>
        <v>759.5</v>
      </c>
      <c r="G2164">
        <f>SUMIF($D$2:$D2164,$D2164,$E$2:$E2164)</f>
        <v>13518</v>
      </c>
      <c r="H2164">
        <f t="shared" si="67"/>
        <v>0</v>
      </c>
    </row>
    <row r="2165" spans="1:8" x14ac:dyDescent="0.25">
      <c r="A2165" s="1">
        <v>44880</v>
      </c>
      <c r="B2165" t="s">
        <v>1</v>
      </c>
      <c r="C2165" t="s">
        <v>65</v>
      </c>
      <c r="D2165" t="s">
        <v>23</v>
      </c>
      <c r="E2165">
        <v>462</v>
      </c>
      <c r="F2165">
        <f t="shared" si="66"/>
        <v>1478.4</v>
      </c>
      <c r="G2165">
        <f>SUMIF($D$2:$D2165,$D2165,$E$2:$E2165)</f>
        <v>10534</v>
      </c>
      <c r="H2165">
        <f t="shared" si="67"/>
        <v>0</v>
      </c>
    </row>
    <row r="2166" spans="1:8" x14ac:dyDescent="0.25">
      <c r="A2166" s="1">
        <v>44880</v>
      </c>
      <c r="B2166" t="s">
        <v>11</v>
      </c>
      <c r="C2166" t="s">
        <v>65</v>
      </c>
      <c r="D2166" t="s">
        <v>51</v>
      </c>
      <c r="E2166">
        <v>465</v>
      </c>
      <c r="F2166">
        <f t="shared" si="66"/>
        <v>1162.5</v>
      </c>
      <c r="G2166">
        <f>SUMIF($D$2:$D2166,$D2166,$E$2:$E2166)</f>
        <v>15211</v>
      </c>
      <c r="H2166">
        <f t="shared" si="67"/>
        <v>2325</v>
      </c>
    </row>
    <row r="2167" spans="1:8" x14ac:dyDescent="0.25">
      <c r="A2167" s="1">
        <v>44881</v>
      </c>
      <c r="B2167" t="s">
        <v>3</v>
      </c>
      <c r="C2167" t="s">
        <v>65</v>
      </c>
      <c r="D2167" t="s">
        <v>44</v>
      </c>
      <c r="E2167">
        <v>353</v>
      </c>
      <c r="F2167">
        <f t="shared" si="66"/>
        <v>1129.6000000000001</v>
      </c>
      <c r="G2167">
        <f>SUMIF($D$2:$D2167,$D2167,$E$2:$E2167)</f>
        <v>16566</v>
      </c>
      <c r="H2167">
        <f t="shared" si="67"/>
        <v>1765</v>
      </c>
    </row>
    <row r="2168" spans="1:8" x14ac:dyDescent="0.25">
      <c r="A2168" s="1">
        <v>44881</v>
      </c>
      <c r="B2168" t="s">
        <v>14</v>
      </c>
      <c r="C2168" t="s">
        <v>65</v>
      </c>
      <c r="D2168" t="s">
        <v>61</v>
      </c>
      <c r="E2168">
        <v>376</v>
      </c>
      <c r="F2168">
        <f t="shared" si="66"/>
        <v>1316</v>
      </c>
      <c r="G2168">
        <f>SUMIF($D$2:$D2168,$D2168,$E$2:$E2168)</f>
        <v>14115</v>
      </c>
      <c r="H2168">
        <f t="shared" si="67"/>
        <v>0</v>
      </c>
    </row>
    <row r="2169" spans="1:8" x14ac:dyDescent="0.25">
      <c r="A2169" s="1">
        <v>44881</v>
      </c>
      <c r="B2169" t="s">
        <v>14</v>
      </c>
      <c r="C2169" t="s">
        <v>65</v>
      </c>
      <c r="D2169" t="s">
        <v>49</v>
      </c>
      <c r="E2169">
        <v>440</v>
      </c>
      <c r="F2169">
        <f t="shared" si="66"/>
        <v>1540</v>
      </c>
      <c r="G2169">
        <f>SUMIF($D$2:$D2169,$D2169,$E$2:$E2169)</f>
        <v>12541</v>
      </c>
      <c r="H2169">
        <f t="shared" si="67"/>
        <v>0</v>
      </c>
    </row>
    <row r="2170" spans="1:8" x14ac:dyDescent="0.25">
      <c r="A2170" s="1">
        <v>44881</v>
      </c>
      <c r="B2170" t="s">
        <v>9</v>
      </c>
      <c r="C2170" t="s">
        <v>65</v>
      </c>
      <c r="D2170" t="s">
        <v>41</v>
      </c>
      <c r="E2170">
        <v>42</v>
      </c>
      <c r="F2170">
        <f t="shared" si="66"/>
        <v>105</v>
      </c>
      <c r="G2170">
        <f>SUMIF($D$2:$D2170,$D2170,$E$2:$E2170)</f>
        <v>12002</v>
      </c>
      <c r="H2170">
        <f t="shared" si="67"/>
        <v>0</v>
      </c>
    </row>
    <row r="2171" spans="1:8" x14ac:dyDescent="0.25">
      <c r="A2171" s="1">
        <v>44881</v>
      </c>
      <c r="B2171" t="s">
        <v>14</v>
      </c>
      <c r="C2171" t="s">
        <v>65</v>
      </c>
      <c r="D2171" t="s">
        <v>51</v>
      </c>
      <c r="E2171">
        <v>356</v>
      </c>
      <c r="F2171">
        <f t="shared" si="66"/>
        <v>1246</v>
      </c>
      <c r="G2171">
        <f>SUMIF($D$2:$D2171,$D2171,$E$2:$E2171)</f>
        <v>15567</v>
      </c>
      <c r="H2171">
        <f t="shared" si="67"/>
        <v>1780</v>
      </c>
    </row>
    <row r="2172" spans="1:8" x14ac:dyDescent="0.25">
      <c r="A2172" s="1">
        <v>44881</v>
      </c>
      <c r="B2172" t="s">
        <v>9</v>
      </c>
      <c r="C2172" t="s">
        <v>65</v>
      </c>
      <c r="D2172" t="s">
        <v>24</v>
      </c>
      <c r="E2172">
        <v>109</v>
      </c>
      <c r="F2172">
        <f t="shared" si="66"/>
        <v>272.5</v>
      </c>
      <c r="G2172">
        <f>SUMIF($D$2:$D2172,$D2172,$E$2:$E2172)</f>
        <v>11821</v>
      </c>
      <c r="H2172">
        <f t="shared" si="67"/>
        <v>0</v>
      </c>
    </row>
    <row r="2173" spans="1:8" x14ac:dyDescent="0.25">
      <c r="A2173" s="1">
        <v>44881</v>
      </c>
      <c r="B2173" t="s">
        <v>9</v>
      </c>
      <c r="C2173" t="s">
        <v>65</v>
      </c>
      <c r="D2173" t="s">
        <v>40</v>
      </c>
      <c r="E2173">
        <v>372</v>
      </c>
      <c r="F2173">
        <f t="shared" si="66"/>
        <v>930</v>
      </c>
      <c r="G2173">
        <f>SUMIF($D$2:$D2173,$D2173,$E$2:$E2173)</f>
        <v>13890</v>
      </c>
      <c r="H2173">
        <f t="shared" si="67"/>
        <v>0</v>
      </c>
    </row>
    <row r="2174" spans="1:8" x14ac:dyDescent="0.25">
      <c r="A2174" s="1">
        <v>44882</v>
      </c>
      <c r="B2174" t="s">
        <v>9</v>
      </c>
      <c r="C2174" t="s">
        <v>65</v>
      </c>
      <c r="D2174" t="s">
        <v>42</v>
      </c>
      <c r="E2174">
        <v>244</v>
      </c>
      <c r="F2174">
        <f t="shared" si="66"/>
        <v>610</v>
      </c>
      <c r="G2174">
        <f>SUMIF($D$2:$D2174,$D2174,$E$2:$E2174)</f>
        <v>11357</v>
      </c>
      <c r="H2174">
        <f t="shared" si="67"/>
        <v>0</v>
      </c>
    </row>
    <row r="2175" spans="1:8" x14ac:dyDescent="0.25">
      <c r="A2175" s="1">
        <v>44882</v>
      </c>
      <c r="B2175" t="s">
        <v>3</v>
      </c>
      <c r="C2175" t="s">
        <v>65</v>
      </c>
      <c r="D2175" t="s">
        <v>64</v>
      </c>
      <c r="E2175">
        <v>469</v>
      </c>
      <c r="F2175">
        <f t="shared" si="66"/>
        <v>1500.8000000000002</v>
      </c>
      <c r="G2175">
        <f>SUMIF($D$2:$D2175,$D2175,$E$2:$E2175)</f>
        <v>15093</v>
      </c>
      <c r="H2175">
        <f t="shared" si="67"/>
        <v>2345</v>
      </c>
    </row>
    <row r="2176" spans="1:8" x14ac:dyDescent="0.25">
      <c r="A2176" s="1">
        <v>44882</v>
      </c>
      <c r="B2176" t="s">
        <v>14</v>
      </c>
      <c r="C2176" t="s">
        <v>65</v>
      </c>
      <c r="D2176" t="s">
        <v>18</v>
      </c>
      <c r="E2176">
        <v>172</v>
      </c>
      <c r="F2176">
        <f t="shared" si="66"/>
        <v>602</v>
      </c>
      <c r="G2176">
        <f>SUMIF($D$2:$D2176,$D2176,$E$2:$E2176)</f>
        <v>13550</v>
      </c>
      <c r="H2176">
        <f t="shared" si="67"/>
        <v>0</v>
      </c>
    </row>
    <row r="2177" spans="1:8" x14ac:dyDescent="0.25">
      <c r="A2177" s="1">
        <v>44882</v>
      </c>
      <c r="B2177" t="s">
        <v>14</v>
      </c>
      <c r="C2177" t="s">
        <v>65</v>
      </c>
      <c r="D2177" t="s">
        <v>46</v>
      </c>
      <c r="E2177">
        <v>452</v>
      </c>
      <c r="F2177">
        <f t="shared" si="66"/>
        <v>1582</v>
      </c>
      <c r="G2177">
        <f>SUMIF($D$2:$D2177,$D2177,$E$2:$E2177)</f>
        <v>12295</v>
      </c>
      <c r="H2177">
        <f t="shared" si="67"/>
        <v>0</v>
      </c>
    </row>
    <row r="2178" spans="1:8" x14ac:dyDescent="0.25">
      <c r="A2178" s="1">
        <v>44882</v>
      </c>
      <c r="B2178" t="s">
        <v>11</v>
      </c>
      <c r="C2178" t="s">
        <v>65</v>
      </c>
      <c r="D2178" t="s">
        <v>53</v>
      </c>
      <c r="E2178">
        <v>46</v>
      </c>
      <c r="F2178">
        <f t="shared" si="66"/>
        <v>115</v>
      </c>
      <c r="G2178">
        <f>SUMIF($D$2:$D2178,$D2178,$E$2:$E2178)</f>
        <v>14824</v>
      </c>
      <c r="H2178">
        <f t="shared" si="67"/>
        <v>0</v>
      </c>
    </row>
    <row r="2179" spans="1:8" x14ac:dyDescent="0.25">
      <c r="A2179" s="1">
        <v>44882</v>
      </c>
      <c r="B2179" t="s">
        <v>14</v>
      </c>
      <c r="C2179" t="s">
        <v>65</v>
      </c>
      <c r="D2179" t="s">
        <v>44</v>
      </c>
      <c r="E2179">
        <v>288</v>
      </c>
      <c r="F2179">
        <f t="shared" ref="F2179:F2242" si="68">E2179* _xlfn.XLOOKUP(B2179,$I$2:$I$17,$J$2:$J$17,"0",0,1)</f>
        <v>1008</v>
      </c>
      <c r="G2179">
        <f>SUMIF($D$2:$D2179,$D2179,$E$2:$E2179)</f>
        <v>16854</v>
      </c>
      <c r="H2179">
        <f t="shared" ref="H2179:H2242" si="69">IF(AND($G2179 &gt; 15000,$G2179 &lt; 20000),5*$E2179,IF($G2179 &gt;= 20000,10*$E2179,0))</f>
        <v>1440</v>
      </c>
    </row>
    <row r="2180" spans="1:8" x14ac:dyDescent="0.25">
      <c r="A2180" s="1">
        <v>44883</v>
      </c>
      <c r="B2180" t="s">
        <v>11</v>
      </c>
      <c r="C2180" t="s">
        <v>65</v>
      </c>
      <c r="D2180" t="s">
        <v>66</v>
      </c>
      <c r="E2180">
        <v>239</v>
      </c>
      <c r="F2180">
        <f t="shared" si="68"/>
        <v>597.5</v>
      </c>
      <c r="G2180">
        <f>SUMIF($D$2:$D2180,$D2180,$E$2:$E2180)</f>
        <v>13730</v>
      </c>
      <c r="H2180">
        <f t="shared" si="69"/>
        <v>0</v>
      </c>
    </row>
    <row r="2181" spans="1:8" x14ac:dyDescent="0.25">
      <c r="A2181" s="1">
        <v>44883</v>
      </c>
      <c r="B2181" t="s">
        <v>11</v>
      </c>
      <c r="C2181" t="s">
        <v>65</v>
      </c>
      <c r="D2181" t="s">
        <v>55</v>
      </c>
      <c r="E2181">
        <v>246</v>
      </c>
      <c r="F2181">
        <f t="shared" si="68"/>
        <v>615</v>
      </c>
      <c r="G2181">
        <f>SUMIF($D$2:$D2181,$D2181,$E$2:$E2181)</f>
        <v>12136</v>
      </c>
      <c r="H2181">
        <f t="shared" si="69"/>
        <v>0</v>
      </c>
    </row>
    <row r="2182" spans="1:8" x14ac:dyDescent="0.25">
      <c r="A2182" s="1">
        <v>44883</v>
      </c>
      <c r="B2182" t="s">
        <v>11</v>
      </c>
      <c r="C2182" t="s">
        <v>65</v>
      </c>
      <c r="D2182" t="s">
        <v>52</v>
      </c>
      <c r="E2182">
        <v>238</v>
      </c>
      <c r="F2182">
        <f t="shared" si="68"/>
        <v>595</v>
      </c>
      <c r="G2182">
        <f>SUMIF($D$2:$D2182,$D2182,$E$2:$E2182)</f>
        <v>13589</v>
      </c>
      <c r="H2182">
        <f t="shared" si="69"/>
        <v>0</v>
      </c>
    </row>
    <row r="2183" spans="1:8" x14ac:dyDescent="0.25">
      <c r="A2183" s="1">
        <v>44883</v>
      </c>
      <c r="B2183" t="s">
        <v>14</v>
      </c>
      <c r="C2183" t="s">
        <v>65</v>
      </c>
      <c r="D2183" t="s">
        <v>32</v>
      </c>
      <c r="E2183">
        <v>16</v>
      </c>
      <c r="F2183">
        <f t="shared" si="68"/>
        <v>56</v>
      </c>
      <c r="G2183">
        <f>SUMIF($D$2:$D2183,$D2183,$E$2:$E2183)</f>
        <v>13231</v>
      </c>
      <c r="H2183">
        <f t="shared" si="69"/>
        <v>0</v>
      </c>
    </row>
    <row r="2184" spans="1:8" x14ac:dyDescent="0.25">
      <c r="A2184" s="1">
        <v>44883</v>
      </c>
      <c r="B2184" t="s">
        <v>1</v>
      </c>
      <c r="C2184" t="s">
        <v>65</v>
      </c>
      <c r="D2184" t="s">
        <v>31</v>
      </c>
      <c r="E2184">
        <v>424</v>
      </c>
      <c r="F2184">
        <f t="shared" si="68"/>
        <v>1356.8000000000002</v>
      </c>
      <c r="G2184">
        <f>SUMIF($D$2:$D2184,$D2184,$E$2:$E2184)</f>
        <v>16105</v>
      </c>
      <c r="H2184">
        <f t="shared" si="69"/>
        <v>2120</v>
      </c>
    </row>
    <row r="2185" spans="1:8" x14ac:dyDescent="0.25">
      <c r="A2185" s="1">
        <v>44883</v>
      </c>
      <c r="B2185" t="s">
        <v>14</v>
      </c>
      <c r="C2185" t="s">
        <v>65</v>
      </c>
      <c r="D2185" t="s">
        <v>66</v>
      </c>
      <c r="E2185">
        <v>388</v>
      </c>
      <c r="F2185">
        <f t="shared" si="68"/>
        <v>1358</v>
      </c>
      <c r="G2185">
        <f>SUMIF($D$2:$D2185,$D2185,$E$2:$E2185)</f>
        <v>14118</v>
      </c>
      <c r="H2185">
        <f t="shared" si="69"/>
        <v>0</v>
      </c>
    </row>
    <row r="2186" spans="1:8" x14ac:dyDescent="0.25">
      <c r="A2186" s="1">
        <v>44883</v>
      </c>
      <c r="B2186" t="s">
        <v>3</v>
      </c>
      <c r="C2186" t="s">
        <v>65</v>
      </c>
      <c r="D2186" t="s">
        <v>56</v>
      </c>
      <c r="E2186">
        <v>462</v>
      </c>
      <c r="F2186">
        <f t="shared" si="68"/>
        <v>1478.4</v>
      </c>
      <c r="G2186">
        <f>SUMIF($D$2:$D2186,$D2186,$E$2:$E2186)</f>
        <v>13302</v>
      </c>
      <c r="H2186">
        <f t="shared" si="69"/>
        <v>0</v>
      </c>
    </row>
    <row r="2187" spans="1:8" x14ac:dyDescent="0.25">
      <c r="A2187" s="1">
        <v>44883</v>
      </c>
      <c r="B2187" t="s">
        <v>1</v>
      </c>
      <c r="C2187" t="s">
        <v>65</v>
      </c>
      <c r="D2187" t="s">
        <v>21</v>
      </c>
      <c r="E2187">
        <v>72</v>
      </c>
      <c r="F2187">
        <f t="shared" si="68"/>
        <v>230.4</v>
      </c>
      <c r="G2187">
        <f>SUMIF($D$2:$D2187,$D2187,$E$2:$E2187)</f>
        <v>12989</v>
      </c>
      <c r="H2187">
        <f t="shared" si="69"/>
        <v>0</v>
      </c>
    </row>
    <row r="2188" spans="1:8" x14ac:dyDescent="0.25">
      <c r="A2188" s="1">
        <v>44883</v>
      </c>
      <c r="B2188" t="s">
        <v>1</v>
      </c>
      <c r="C2188" t="s">
        <v>65</v>
      </c>
      <c r="D2188" t="s">
        <v>47</v>
      </c>
      <c r="E2188">
        <v>325</v>
      </c>
      <c r="F2188">
        <f t="shared" si="68"/>
        <v>1040</v>
      </c>
      <c r="G2188">
        <f>SUMIF($D$2:$D2188,$D2188,$E$2:$E2188)</f>
        <v>9977</v>
      </c>
      <c r="H2188">
        <f t="shared" si="69"/>
        <v>0</v>
      </c>
    </row>
    <row r="2189" spans="1:8" x14ac:dyDescent="0.25">
      <c r="A2189" s="1">
        <v>44883</v>
      </c>
      <c r="B2189" t="s">
        <v>11</v>
      </c>
      <c r="C2189" t="s">
        <v>65</v>
      </c>
      <c r="D2189" t="s">
        <v>32</v>
      </c>
      <c r="E2189">
        <v>417</v>
      </c>
      <c r="F2189">
        <f t="shared" si="68"/>
        <v>1042.5</v>
      </c>
      <c r="G2189">
        <f>SUMIF($D$2:$D2189,$D2189,$E$2:$E2189)</f>
        <v>13648</v>
      </c>
      <c r="H2189">
        <f t="shared" si="69"/>
        <v>0</v>
      </c>
    </row>
    <row r="2190" spans="1:8" x14ac:dyDescent="0.25">
      <c r="A2190" s="1">
        <v>44884</v>
      </c>
      <c r="B2190" t="s">
        <v>14</v>
      </c>
      <c r="C2190" t="s">
        <v>65</v>
      </c>
      <c r="D2190" t="s">
        <v>57</v>
      </c>
      <c r="E2190">
        <v>410</v>
      </c>
      <c r="F2190">
        <f t="shared" si="68"/>
        <v>1435</v>
      </c>
      <c r="G2190">
        <f>SUMIF($D$2:$D2190,$D2190,$E$2:$E2190)</f>
        <v>16966</v>
      </c>
      <c r="H2190">
        <f t="shared" si="69"/>
        <v>2050</v>
      </c>
    </row>
    <row r="2191" spans="1:8" x14ac:dyDescent="0.25">
      <c r="A2191" s="1">
        <v>44884</v>
      </c>
      <c r="B2191" t="s">
        <v>14</v>
      </c>
      <c r="C2191" t="s">
        <v>65</v>
      </c>
      <c r="D2191" t="s">
        <v>41</v>
      </c>
      <c r="E2191">
        <v>341</v>
      </c>
      <c r="F2191">
        <f t="shared" si="68"/>
        <v>1193.5</v>
      </c>
      <c r="G2191">
        <f>SUMIF($D$2:$D2191,$D2191,$E$2:$E2191)</f>
        <v>12343</v>
      </c>
      <c r="H2191">
        <f t="shared" si="69"/>
        <v>0</v>
      </c>
    </row>
    <row r="2192" spans="1:8" x14ac:dyDescent="0.25">
      <c r="A2192" s="1">
        <v>44884</v>
      </c>
      <c r="B2192" t="s">
        <v>11</v>
      </c>
      <c r="C2192" t="s">
        <v>65</v>
      </c>
      <c r="D2192" t="s">
        <v>34</v>
      </c>
      <c r="E2192">
        <v>340</v>
      </c>
      <c r="F2192">
        <f t="shared" si="68"/>
        <v>850</v>
      </c>
      <c r="G2192">
        <f>SUMIF($D$2:$D2192,$D2192,$E$2:$E2192)</f>
        <v>14439</v>
      </c>
      <c r="H2192">
        <f t="shared" si="69"/>
        <v>0</v>
      </c>
    </row>
    <row r="2193" spans="1:8" x14ac:dyDescent="0.25">
      <c r="A2193" s="1">
        <v>44884</v>
      </c>
      <c r="B2193" t="s">
        <v>14</v>
      </c>
      <c r="C2193" t="s">
        <v>65</v>
      </c>
      <c r="D2193" t="s">
        <v>49</v>
      </c>
      <c r="E2193">
        <v>84</v>
      </c>
      <c r="F2193">
        <f t="shared" si="68"/>
        <v>294</v>
      </c>
      <c r="G2193">
        <f>SUMIF($D$2:$D2193,$D2193,$E$2:$E2193)</f>
        <v>12625</v>
      </c>
      <c r="H2193">
        <f t="shared" si="69"/>
        <v>0</v>
      </c>
    </row>
    <row r="2194" spans="1:8" x14ac:dyDescent="0.25">
      <c r="A2194" s="1">
        <v>44884</v>
      </c>
      <c r="B2194" t="s">
        <v>11</v>
      </c>
      <c r="C2194" t="s">
        <v>65</v>
      </c>
      <c r="D2194" t="s">
        <v>64</v>
      </c>
      <c r="E2194">
        <v>396</v>
      </c>
      <c r="F2194">
        <f t="shared" si="68"/>
        <v>990</v>
      </c>
      <c r="G2194">
        <f>SUMIF($D$2:$D2194,$D2194,$E$2:$E2194)</f>
        <v>15489</v>
      </c>
      <c r="H2194">
        <f t="shared" si="69"/>
        <v>1980</v>
      </c>
    </row>
    <row r="2195" spans="1:8" x14ac:dyDescent="0.25">
      <c r="A2195" s="1">
        <v>44884</v>
      </c>
      <c r="B2195" t="s">
        <v>14</v>
      </c>
      <c r="C2195" t="s">
        <v>65</v>
      </c>
      <c r="D2195" t="s">
        <v>57</v>
      </c>
      <c r="E2195">
        <v>320</v>
      </c>
      <c r="F2195">
        <f t="shared" si="68"/>
        <v>1120</v>
      </c>
      <c r="G2195">
        <f>SUMIF($D$2:$D2195,$D2195,$E$2:$E2195)</f>
        <v>17286</v>
      </c>
      <c r="H2195">
        <f t="shared" si="69"/>
        <v>1600</v>
      </c>
    </row>
    <row r="2196" spans="1:8" x14ac:dyDescent="0.25">
      <c r="A2196" s="1">
        <v>44884</v>
      </c>
      <c r="B2196" t="s">
        <v>14</v>
      </c>
      <c r="C2196" t="s">
        <v>65</v>
      </c>
      <c r="D2196" t="s">
        <v>38</v>
      </c>
      <c r="E2196">
        <v>189</v>
      </c>
      <c r="F2196">
        <f t="shared" si="68"/>
        <v>661.5</v>
      </c>
      <c r="G2196">
        <f>SUMIF($D$2:$D2196,$D2196,$E$2:$E2196)</f>
        <v>14176</v>
      </c>
      <c r="H2196">
        <f t="shared" si="69"/>
        <v>0</v>
      </c>
    </row>
    <row r="2197" spans="1:8" x14ac:dyDescent="0.25">
      <c r="A2197" s="1">
        <v>44884</v>
      </c>
      <c r="B2197" t="s">
        <v>11</v>
      </c>
      <c r="C2197" t="s">
        <v>65</v>
      </c>
      <c r="D2197" t="s">
        <v>49</v>
      </c>
      <c r="E2197">
        <v>16</v>
      </c>
      <c r="F2197">
        <f t="shared" si="68"/>
        <v>40</v>
      </c>
      <c r="G2197">
        <f>SUMIF($D$2:$D2197,$D2197,$E$2:$E2197)</f>
        <v>12641</v>
      </c>
      <c r="H2197">
        <f t="shared" si="69"/>
        <v>0</v>
      </c>
    </row>
    <row r="2198" spans="1:8" x14ac:dyDescent="0.25">
      <c r="A2198" s="1">
        <v>44884</v>
      </c>
      <c r="B2198" t="s">
        <v>14</v>
      </c>
      <c r="C2198" t="s">
        <v>65</v>
      </c>
      <c r="D2198" t="s">
        <v>50</v>
      </c>
      <c r="E2198">
        <v>153</v>
      </c>
      <c r="F2198">
        <f t="shared" si="68"/>
        <v>535.5</v>
      </c>
      <c r="G2198">
        <f>SUMIF($D$2:$D2198,$D2198,$E$2:$E2198)</f>
        <v>11251</v>
      </c>
      <c r="H2198">
        <f t="shared" si="69"/>
        <v>0</v>
      </c>
    </row>
    <row r="2199" spans="1:8" x14ac:dyDescent="0.25">
      <c r="A2199" s="1">
        <v>44884</v>
      </c>
      <c r="B2199" t="s">
        <v>14</v>
      </c>
      <c r="C2199" t="s">
        <v>65</v>
      </c>
      <c r="D2199" t="s">
        <v>58</v>
      </c>
      <c r="E2199">
        <v>263</v>
      </c>
      <c r="F2199">
        <f t="shared" si="68"/>
        <v>920.5</v>
      </c>
      <c r="G2199">
        <f>SUMIF($D$2:$D2199,$D2199,$E$2:$E2199)</f>
        <v>11551</v>
      </c>
      <c r="H2199">
        <f t="shared" si="69"/>
        <v>0</v>
      </c>
    </row>
    <row r="2200" spans="1:8" x14ac:dyDescent="0.25">
      <c r="A2200" s="1">
        <v>44884</v>
      </c>
      <c r="B2200" t="s">
        <v>1</v>
      </c>
      <c r="C2200" t="s">
        <v>65</v>
      </c>
      <c r="D2200" t="s">
        <v>25</v>
      </c>
      <c r="E2200">
        <v>272</v>
      </c>
      <c r="F2200">
        <f t="shared" si="68"/>
        <v>870.40000000000009</v>
      </c>
      <c r="G2200">
        <f>SUMIF($D$2:$D2200,$D2200,$E$2:$E2200)</f>
        <v>15155</v>
      </c>
      <c r="H2200">
        <f t="shared" si="69"/>
        <v>1360</v>
      </c>
    </row>
    <row r="2201" spans="1:8" x14ac:dyDescent="0.25">
      <c r="A2201" s="1">
        <v>44886</v>
      </c>
      <c r="B2201" t="s">
        <v>14</v>
      </c>
      <c r="C2201" t="s">
        <v>65</v>
      </c>
      <c r="D2201" t="s">
        <v>28</v>
      </c>
      <c r="E2201">
        <v>14</v>
      </c>
      <c r="F2201">
        <f t="shared" si="68"/>
        <v>49</v>
      </c>
      <c r="G2201">
        <f>SUMIF($D$2:$D2201,$D2201,$E$2:$E2201)</f>
        <v>13197</v>
      </c>
      <c r="H2201">
        <f t="shared" si="69"/>
        <v>0</v>
      </c>
    </row>
    <row r="2202" spans="1:8" x14ac:dyDescent="0.25">
      <c r="A2202" s="1">
        <v>44886</v>
      </c>
      <c r="B2202" t="s">
        <v>14</v>
      </c>
      <c r="C2202" t="s">
        <v>65</v>
      </c>
      <c r="D2202" t="s">
        <v>28</v>
      </c>
      <c r="E2202">
        <v>283</v>
      </c>
      <c r="F2202">
        <f t="shared" si="68"/>
        <v>990.5</v>
      </c>
      <c r="G2202">
        <f>SUMIF($D$2:$D2202,$D2202,$E$2:$E2202)</f>
        <v>13480</v>
      </c>
      <c r="H2202">
        <f t="shared" si="69"/>
        <v>0</v>
      </c>
    </row>
    <row r="2203" spans="1:8" x14ac:dyDescent="0.25">
      <c r="A2203" s="1">
        <v>44886</v>
      </c>
      <c r="B2203" t="s">
        <v>14</v>
      </c>
      <c r="C2203" t="s">
        <v>65</v>
      </c>
      <c r="D2203" t="s">
        <v>47</v>
      </c>
      <c r="E2203">
        <v>424</v>
      </c>
      <c r="F2203">
        <f t="shared" si="68"/>
        <v>1484</v>
      </c>
      <c r="G2203">
        <f>SUMIF($D$2:$D2203,$D2203,$E$2:$E2203)</f>
        <v>10401</v>
      </c>
      <c r="H2203">
        <f t="shared" si="69"/>
        <v>0</v>
      </c>
    </row>
    <row r="2204" spans="1:8" x14ac:dyDescent="0.25">
      <c r="A2204" s="1">
        <v>44886</v>
      </c>
      <c r="B2204" t="s">
        <v>9</v>
      </c>
      <c r="C2204" t="s">
        <v>65</v>
      </c>
      <c r="D2204" t="s">
        <v>63</v>
      </c>
      <c r="E2204">
        <v>25</v>
      </c>
      <c r="F2204">
        <f t="shared" si="68"/>
        <v>62.5</v>
      </c>
      <c r="G2204">
        <f>SUMIF($D$2:$D2204,$D2204,$E$2:$E2204)</f>
        <v>9903</v>
      </c>
      <c r="H2204">
        <f t="shared" si="69"/>
        <v>0</v>
      </c>
    </row>
    <row r="2205" spans="1:8" x14ac:dyDescent="0.25">
      <c r="A2205" s="1">
        <v>44886</v>
      </c>
      <c r="B2205" t="s">
        <v>14</v>
      </c>
      <c r="C2205" t="s">
        <v>65</v>
      </c>
      <c r="D2205" t="s">
        <v>23</v>
      </c>
      <c r="E2205">
        <v>116</v>
      </c>
      <c r="F2205">
        <f t="shared" si="68"/>
        <v>406</v>
      </c>
      <c r="G2205">
        <f>SUMIF($D$2:$D2205,$D2205,$E$2:$E2205)</f>
        <v>10650</v>
      </c>
      <c r="H2205">
        <f t="shared" si="69"/>
        <v>0</v>
      </c>
    </row>
    <row r="2206" spans="1:8" x14ac:dyDescent="0.25">
      <c r="A2206" s="1">
        <v>44886</v>
      </c>
      <c r="B2206" t="s">
        <v>14</v>
      </c>
      <c r="C2206" t="s">
        <v>65</v>
      </c>
      <c r="D2206" t="s">
        <v>57</v>
      </c>
      <c r="E2206">
        <v>124</v>
      </c>
      <c r="F2206">
        <f t="shared" si="68"/>
        <v>434</v>
      </c>
      <c r="G2206">
        <f>SUMIF($D$2:$D2206,$D2206,$E$2:$E2206)</f>
        <v>17410</v>
      </c>
      <c r="H2206">
        <f t="shared" si="69"/>
        <v>620</v>
      </c>
    </row>
    <row r="2207" spans="1:8" x14ac:dyDescent="0.25">
      <c r="A2207" s="1">
        <v>44886</v>
      </c>
      <c r="B2207" t="s">
        <v>14</v>
      </c>
      <c r="C2207" t="s">
        <v>65</v>
      </c>
      <c r="D2207" t="s">
        <v>27</v>
      </c>
      <c r="E2207">
        <v>387</v>
      </c>
      <c r="F2207">
        <f t="shared" si="68"/>
        <v>1354.5</v>
      </c>
      <c r="G2207">
        <f>SUMIF($D$2:$D2207,$D2207,$E$2:$E2207)</f>
        <v>11378</v>
      </c>
      <c r="H2207">
        <f t="shared" si="69"/>
        <v>0</v>
      </c>
    </row>
    <row r="2208" spans="1:8" x14ac:dyDescent="0.25">
      <c r="A2208" s="1">
        <v>44886</v>
      </c>
      <c r="B2208" t="s">
        <v>11</v>
      </c>
      <c r="C2208" t="s">
        <v>65</v>
      </c>
      <c r="D2208" t="s">
        <v>40</v>
      </c>
      <c r="E2208">
        <v>189</v>
      </c>
      <c r="F2208">
        <f t="shared" si="68"/>
        <v>472.5</v>
      </c>
      <c r="G2208">
        <f>SUMIF($D$2:$D2208,$D2208,$E$2:$E2208)</f>
        <v>14079</v>
      </c>
      <c r="H2208">
        <f t="shared" si="69"/>
        <v>0</v>
      </c>
    </row>
    <row r="2209" spans="1:8" x14ac:dyDescent="0.25">
      <c r="A2209" s="1">
        <v>44886</v>
      </c>
      <c r="B2209" t="s">
        <v>3</v>
      </c>
      <c r="C2209" t="s">
        <v>65</v>
      </c>
      <c r="D2209" t="s">
        <v>55</v>
      </c>
      <c r="E2209">
        <v>225</v>
      </c>
      <c r="F2209">
        <f t="shared" si="68"/>
        <v>720</v>
      </c>
      <c r="G2209">
        <f>SUMIF($D$2:$D2209,$D2209,$E$2:$E2209)</f>
        <v>12361</v>
      </c>
      <c r="H2209">
        <f t="shared" si="69"/>
        <v>0</v>
      </c>
    </row>
    <row r="2210" spans="1:8" x14ac:dyDescent="0.25">
      <c r="A2210" s="1">
        <v>44886</v>
      </c>
      <c r="B2210" t="s">
        <v>3</v>
      </c>
      <c r="C2210" t="s">
        <v>65</v>
      </c>
      <c r="D2210" t="s">
        <v>35</v>
      </c>
      <c r="E2210">
        <v>435</v>
      </c>
      <c r="F2210">
        <f t="shared" si="68"/>
        <v>1392</v>
      </c>
      <c r="G2210">
        <f>SUMIF($D$2:$D2210,$D2210,$E$2:$E2210)</f>
        <v>12377</v>
      </c>
      <c r="H2210">
        <f t="shared" si="69"/>
        <v>0</v>
      </c>
    </row>
    <row r="2211" spans="1:8" x14ac:dyDescent="0.25">
      <c r="A2211" s="1">
        <v>44886</v>
      </c>
      <c r="B2211" t="s">
        <v>14</v>
      </c>
      <c r="C2211" t="s">
        <v>65</v>
      </c>
      <c r="D2211" t="s">
        <v>22</v>
      </c>
      <c r="E2211">
        <v>221</v>
      </c>
      <c r="F2211">
        <f t="shared" si="68"/>
        <v>773.5</v>
      </c>
      <c r="G2211">
        <f>SUMIF($D$2:$D2211,$D2211,$E$2:$E2211)</f>
        <v>13998</v>
      </c>
      <c r="H2211">
        <f t="shared" si="69"/>
        <v>0</v>
      </c>
    </row>
    <row r="2212" spans="1:8" x14ac:dyDescent="0.25">
      <c r="A2212" s="1">
        <v>44886</v>
      </c>
      <c r="B2212" t="s">
        <v>14</v>
      </c>
      <c r="C2212" t="s">
        <v>65</v>
      </c>
      <c r="D2212" t="s">
        <v>38</v>
      </c>
      <c r="E2212">
        <v>103</v>
      </c>
      <c r="F2212">
        <f t="shared" si="68"/>
        <v>360.5</v>
      </c>
      <c r="G2212">
        <f>SUMIF($D$2:$D2212,$D2212,$E$2:$E2212)</f>
        <v>14279</v>
      </c>
      <c r="H2212">
        <f t="shared" si="69"/>
        <v>0</v>
      </c>
    </row>
    <row r="2213" spans="1:8" x14ac:dyDescent="0.25">
      <c r="A2213" s="1">
        <v>44887</v>
      </c>
      <c r="B2213" t="s">
        <v>9</v>
      </c>
      <c r="C2213" t="s">
        <v>65</v>
      </c>
      <c r="D2213" t="s">
        <v>37</v>
      </c>
      <c r="E2213">
        <v>51</v>
      </c>
      <c r="F2213">
        <f t="shared" si="68"/>
        <v>127.5</v>
      </c>
      <c r="G2213">
        <f>SUMIF($D$2:$D2213,$D2213,$E$2:$E2213)</f>
        <v>13231</v>
      </c>
      <c r="H2213">
        <f t="shared" si="69"/>
        <v>0</v>
      </c>
    </row>
    <row r="2214" spans="1:8" x14ac:dyDescent="0.25">
      <c r="A2214" s="1">
        <v>44887</v>
      </c>
      <c r="B2214" t="s">
        <v>11</v>
      </c>
      <c r="C2214" t="s">
        <v>65</v>
      </c>
      <c r="D2214" t="s">
        <v>50</v>
      </c>
      <c r="E2214">
        <v>108</v>
      </c>
      <c r="F2214">
        <f t="shared" si="68"/>
        <v>270</v>
      </c>
      <c r="G2214">
        <f>SUMIF($D$2:$D2214,$D2214,$E$2:$E2214)</f>
        <v>11359</v>
      </c>
      <c r="H2214">
        <f t="shared" si="69"/>
        <v>0</v>
      </c>
    </row>
    <row r="2215" spans="1:8" x14ac:dyDescent="0.25">
      <c r="A2215" s="1">
        <v>44887</v>
      </c>
      <c r="B2215" t="s">
        <v>1</v>
      </c>
      <c r="C2215" t="s">
        <v>65</v>
      </c>
      <c r="D2215" t="s">
        <v>49</v>
      </c>
      <c r="E2215">
        <v>173</v>
      </c>
      <c r="F2215">
        <f t="shared" si="68"/>
        <v>553.6</v>
      </c>
      <c r="G2215">
        <f>SUMIF($D$2:$D2215,$D2215,$E$2:$E2215)</f>
        <v>12814</v>
      </c>
      <c r="H2215">
        <f t="shared" si="69"/>
        <v>0</v>
      </c>
    </row>
    <row r="2216" spans="1:8" x14ac:dyDescent="0.25">
      <c r="A2216" s="1">
        <v>44887</v>
      </c>
      <c r="B2216" t="s">
        <v>11</v>
      </c>
      <c r="C2216" t="s">
        <v>65</v>
      </c>
      <c r="D2216" t="s">
        <v>50</v>
      </c>
      <c r="E2216">
        <v>310</v>
      </c>
      <c r="F2216">
        <f t="shared" si="68"/>
        <v>775</v>
      </c>
      <c r="G2216">
        <f>SUMIF($D$2:$D2216,$D2216,$E$2:$E2216)</f>
        <v>11669</v>
      </c>
      <c r="H2216">
        <f t="shared" si="69"/>
        <v>0</v>
      </c>
    </row>
    <row r="2217" spans="1:8" x14ac:dyDescent="0.25">
      <c r="A2217" s="1">
        <v>44887</v>
      </c>
      <c r="B2217" t="s">
        <v>3</v>
      </c>
      <c r="C2217" t="s">
        <v>65</v>
      </c>
      <c r="D2217" t="s">
        <v>18</v>
      </c>
      <c r="E2217">
        <v>110</v>
      </c>
      <c r="F2217">
        <f t="shared" si="68"/>
        <v>352</v>
      </c>
      <c r="G2217">
        <f>SUMIF($D$2:$D2217,$D2217,$E$2:$E2217)</f>
        <v>13660</v>
      </c>
      <c r="H2217">
        <f t="shared" si="69"/>
        <v>0</v>
      </c>
    </row>
    <row r="2218" spans="1:8" x14ac:dyDescent="0.25">
      <c r="A2218" s="1">
        <v>44887</v>
      </c>
      <c r="B2218" t="s">
        <v>14</v>
      </c>
      <c r="C2218" t="s">
        <v>65</v>
      </c>
      <c r="D2218" t="s">
        <v>55</v>
      </c>
      <c r="E2218">
        <v>307</v>
      </c>
      <c r="F2218">
        <f t="shared" si="68"/>
        <v>1074.5</v>
      </c>
      <c r="G2218">
        <f>SUMIF($D$2:$D2218,$D2218,$E$2:$E2218)</f>
        <v>12668</v>
      </c>
      <c r="H2218">
        <f t="shared" si="69"/>
        <v>0</v>
      </c>
    </row>
    <row r="2219" spans="1:8" x14ac:dyDescent="0.25">
      <c r="A2219" s="1">
        <v>44887</v>
      </c>
      <c r="B2219" t="s">
        <v>9</v>
      </c>
      <c r="C2219" t="s">
        <v>65</v>
      </c>
      <c r="D2219" t="s">
        <v>23</v>
      </c>
      <c r="E2219">
        <v>453</v>
      </c>
      <c r="F2219">
        <f t="shared" si="68"/>
        <v>1132.5</v>
      </c>
      <c r="G2219">
        <f>SUMIF($D$2:$D2219,$D2219,$E$2:$E2219)</f>
        <v>11103</v>
      </c>
      <c r="H2219">
        <f t="shared" si="69"/>
        <v>0</v>
      </c>
    </row>
    <row r="2220" spans="1:8" x14ac:dyDescent="0.25">
      <c r="A2220" s="1">
        <v>44887</v>
      </c>
      <c r="B2220" t="s">
        <v>9</v>
      </c>
      <c r="C2220" t="s">
        <v>65</v>
      </c>
      <c r="D2220" t="s">
        <v>28</v>
      </c>
      <c r="E2220">
        <v>10</v>
      </c>
      <c r="F2220">
        <f t="shared" si="68"/>
        <v>25</v>
      </c>
      <c r="G2220">
        <f>SUMIF($D$2:$D2220,$D2220,$E$2:$E2220)</f>
        <v>13490</v>
      </c>
      <c r="H2220">
        <f t="shared" si="69"/>
        <v>0</v>
      </c>
    </row>
    <row r="2221" spans="1:8" x14ac:dyDescent="0.25">
      <c r="A2221" s="1">
        <v>44887</v>
      </c>
      <c r="B2221" t="s">
        <v>14</v>
      </c>
      <c r="C2221" t="s">
        <v>65</v>
      </c>
      <c r="D2221" t="s">
        <v>27</v>
      </c>
      <c r="E2221">
        <v>453</v>
      </c>
      <c r="F2221">
        <f t="shared" si="68"/>
        <v>1585.5</v>
      </c>
      <c r="G2221">
        <f>SUMIF($D$2:$D2221,$D2221,$E$2:$E2221)</f>
        <v>11831</v>
      </c>
      <c r="H2221">
        <f t="shared" si="69"/>
        <v>0</v>
      </c>
    </row>
    <row r="2222" spans="1:8" x14ac:dyDescent="0.25">
      <c r="A2222" s="1">
        <v>44887</v>
      </c>
      <c r="B2222" t="s">
        <v>1</v>
      </c>
      <c r="C2222" t="s">
        <v>65</v>
      </c>
      <c r="D2222" t="s">
        <v>24</v>
      </c>
      <c r="E2222">
        <v>108</v>
      </c>
      <c r="F2222">
        <f t="shared" si="68"/>
        <v>345.6</v>
      </c>
      <c r="G2222">
        <f>SUMIF($D$2:$D2222,$D2222,$E$2:$E2222)</f>
        <v>11929</v>
      </c>
      <c r="H2222">
        <f t="shared" si="69"/>
        <v>0</v>
      </c>
    </row>
    <row r="2223" spans="1:8" x14ac:dyDescent="0.25">
      <c r="A2223" s="1">
        <v>44887</v>
      </c>
      <c r="B2223" t="s">
        <v>3</v>
      </c>
      <c r="C2223" t="s">
        <v>65</v>
      </c>
      <c r="D2223" t="s">
        <v>32</v>
      </c>
      <c r="E2223">
        <v>213</v>
      </c>
      <c r="F2223">
        <f t="shared" si="68"/>
        <v>681.6</v>
      </c>
      <c r="G2223">
        <f>SUMIF($D$2:$D2223,$D2223,$E$2:$E2223)</f>
        <v>13861</v>
      </c>
      <c r="H2223">
        <f t="shared" si="69"/>
        <v>0</v>
      </c>
    </row>
    <row r="2224" spans="1:8" x14ac:dyDescent="0.25">
      <c r="A2224" s="1">
        <v>44888</v>
      </c>
      <c r="B2224" t="s">
        <v>11</v>
      </c>
      <c r="C2224" t="s">
        <v>65</v>
      </c>
      <c r="D2224" t="s">
        <v>42</v>
      </c>
      <c r="E2224">
        <v>454</v>
      </c>
      <c r="F2224">
        <f t="shared" si="68"/>
        <v>1135</v>
      </c>
      <c r="G2224">
        <f>SUMIF($D$2:$D2224,$D2224,$E$2:$E2224)</f>
        <v>11811</v>
      </c>
      <c r="H2224">
        <f t="shared" si="69"/>
        <v>0</v>
      </c>
    </row>
    <row r="2225" spans="1:8" x14ac:dyDescent="0.25">
      <c r="A2225" s="1">
        <v>44888</v>
      </c>
      <c r="B2225" t="s">
        <v>14</v>
      </c>
      <c r="C2225" t="s">
        <v>65</v>
      </c>
      <c r="D2225" t="s">
        <v>40</v>
      </c>
      <c r="E2225">
        <v>301</v>
      </c>
      <c r="F2225">
        <f t="shared" si="68"/>
        <v>1053.5</v>
      </c>
      <c r="G2225">
        <f>SUMIF($D$2:$D2225,$D2225,$E$2:$E2225)</f>
        <v>14380</v>
      </c>
      <c r="H2225">
        <f t="shared" si="69"/>
        <v>0</v>
      </c>
    </row>
    <row r="2226" spans="1:8" x14ac:dyDescent="0.25">
      <c r="A2226" s="1">
        <v>44888</v>
      </c>
      <c r="B2226" t="s">
        <v>14</v>
      </c>
      <c r="C2226" t="s">
        <v>65</v>
      </c>
      <c r="D2226" t="s">
        <v>24</v>
      </c>
      <c r="E2226">
        <v>411</v>
      </c>
      <c r="F2226">
        <f t="shared" si="68"/>
        <v>1438.5</v>
      </c>
      <c r="G2226">
        <f>SUMIF($D$2:$D2226,$D2226,$E$2:$E2226)</f>
        <v>12340</v>
      </c>
      <c r="H2226">
        <f t="shared" si="69"/>
        <v>0</v>
      </c>
    </row>
    <row r="2227" spans="1:8" x14ac:dyDescent="0.25">
      <c r="A2227" s="1">
        <v>44888</v>
      </c>
      <c r="B2227" t="s">
        <v>3</v>
      </c>
      <c r="C2227" t="s">
        <v>65</v>
      </c>
      <c r="D2227" t="s">
        <v>54</v>
      </c>
      <c r="E2227">
        <v>418</v>
      </c>
      <c r="F2227">
        <f t="shared" si="68"/>
        <v>1337.6000000000001</v>
      </c>
      <c r="G2227">
        <f>SUMIF($D$2:$D2227,$D2227,$E$2:$E2227)</f>
        <v>16399</v>
      </c>
      <c r="H2227">
        <f t="shared" si="69"/>
        <v>2090</v>
      </c>
    </row>
    <row r="2228" spans="1:8" x14ac:dyDescent="0.25">
      <c r="A2228" s="1">
        <v>44888</v>
      </c>
      <c r="B2228" t="s">
        <v>1</v>
      </c>
      <c r="C2228" t="s">
        <v>65</v>
      </c>
      <c r="D2228" t="s">
        <v>35</v>
      </c>
      <c r="E2228">
        <v>149</v>
      </c>
      <c r="F2228">
        <f t="shared" si="68"/>
        <v>476.8</v>
      </c>
      <c r="G2228">
        <f>SUMIF($D$2:$D2228,$D2228,$E$2:$E2228)</f>
        <v>12526</v>
      </c>
      <c r="H2228">
        <f t="shared" si="69"/>
        <v>0</v>
      </c>
    </row>
    <row r="2229" spans="1:8" x14ac:dyDescent="0.25">
      <c r="A2229" s="1">
        <v>44888</v>
      </c>
      <c r="B2229" t="s">
        <v>11</v>
      </c>
      <c r="C2229" t="s">
        <v>65</v>
      </c>
      <c r="D2229" t="s">
        <v>20</v>
      </c>
      <c r="E2229">
        <v>231</v>
      </c>
      <c r="F2229">
        <f t="shared" si="68"/>
        <v>577.5</v>
      </c>
      <c r="G2229">
        <f>SUMIF($D$2:$D2229,$D2229,$E$2:$E2229)</f>
        <v>12075</v>
      </c>
      <c r="H2229">
        <f t="shared" si="69"/>
        <v>0</v>
      </c>
    </row>
    <row r="2230" spans="1:8" x14ac:dyDescent="0.25">
      <c r="A2230" s="1">
        <v>44888</v>
      </c>
      <c r="B2230" t="s">
        <v>3</v>
      </c>
      <c r="C2230" t="s">
        <v>65</v>
      </c>
      <c r="D2230" t="s">
        <v>18</v>
      </c>
      <c r="E2230">
        <v>495</v>
      </c>
      <c r="F2230">
        <f t="shared" si="68"/>
        <v>1584</v>
      </c>
      <c r="G2230">
        <f>SUMIF($D$2:$D2230,$D2230,$E$2:$E2230)</f>
        <v>14155</v>
      </c>
      <c r="H2230">
        <f t="shared" si="69"/>
        <v>0</v>
      </c>
    </row>
    <row r="2231" spans="1:8" x14ac:dyDescent="0.25">
      <c r="A2231" s="1">
        <v>44888</v>
      </c>
      <c r="B2231" t="s">
        <v>3</v>
      </c>
      <c r="C2231" t="s">
        <v>65</v>
      </c>
      <c r="D2231" t="s">
        <v>44</v>
      </c>
      <c r="E2231">
        <v>107</v>
      </c>
      <c r="F2231">
        <f t="shared" si="68"/>
        <v>342.40000000000003</v>
      </c>
      <c r="G2231">
        <f>SUMIF($D$2:$D2231,$D2231,$E$2:$E2231)</f>
        <v>16961</v>
      </c>
      <c r="H2231">
        <f t="shared" si="69"/>
        <v>535</v>
      </c>
    </row>
    <row r="2232" spans="1:8" x14ac:dyDescent="0.25">
      <c r="A2232" s="1">
        <v>44889</v>
      </c>
      <c r="B2232" t="s">
        <v>3</v>
      </c>
      <c r="C2232" t="s">
        <v>65</v>
      </c>
      <c r="D2232" t="s">
        <v>52</v>
      </c>
      <c r="E2232">
        <v>150</v>
      </c>
      <c r="F2232">
        <f t="shared" si="68"/>
        <v>480</v>
      </c>
      <c r="G2232">
        <f>SUMIF($D$2:$D2232,$D2232,$E$2:$E2232)</f>
        <v>13739</v>
      </c>
      <c r="H2232">
        <f t="shared" si="69"/>
        <v>0</v>
      </c>
    </row>
    <row r="2233" spans="1:8" x14ac:dyDescent="0.25">
      <c r="A2233" s="1">
        <v>44889</v>
      </c>
      <c r="B2233" t="s">
        <v>14</v>
      </c>
      <c r="C2233" t="s">
        <v>65</v>
      </c>
      <c r="D2233" t="s">
        <v>53</v>
      </c>
      <c r="E2233">
        <v>363</v>
      </c>
      <c r="F2233">
        <f t="shared" si="68"/>
        <v>1270.5</v>
      </c>
      <c r="G2233">
        <f>SUMIF($D$2:$D2233,$D2233,$E$2:$E2233)</f>
        <v>15187</v>
      </c>
      <c r="H2233">
        <f t="shared" si="69"/>
        <v>1815</v>
      </c>
    </row>
    <row r="2234" spans="1:8" x14ac:dyDescent="0.25">
      <c r="A2234" s="1">
        <v>44889</v>
      </c>
      <c r="B2234" t="s">
        <v>14</v>
      </c>
      <c r="C2234" t="s">
        <v>65</v>
      </c>
      <c r="D2234" t="s">
        <v>37</v>
      </c>
      <c r="E2234">
        <v>48</v>
      </c>
      <c r="F2234">
        <f t="shared" si="68"/>
        <v>168</v>
      </c>
      <c r="G2234">
        <f>SUMIF($D$2:$D2234,$D2234,$E$2:$E2234)</f>
        <v>13279</v>
      </c>
      <c r="H2234">
        <f t="shared" si="69"/>
        <v>0</v>
      </c>
    </row>
    <row r="2235" spans="1:8" x14ac:dyDescent="0.25">
      <c r="A2235" s="1">
        <v>44889</v>
      </c>
      <c r="B2235" t="s">
        <v>11</v>
      </c>
      <c r="C2235" t="s">
        <v>65</v>
      </c>
      <c r="D2235" t="s">
        <v>56</v>
      </c>
      <c r="E2235">
        <v>479</v>
      </c>
      <c r="F2235">
        <f t="shared" si="68"/>
        <v>1197.5</v>
      </c>
      <c r="G2235">
        <f>SUMIF($D$2:$D2235,$D2235,$E$2:$E2235)</f>
        <v>13781</v>
      </c>
      <c r="H2235">
        <f t="shared" si="69"/>
        <v>0</v>
      </c>
    </row>
    <row r="2236" spans="1:8" x14ac:dyDescent="0.25">
      <c r="A2236" s="1">
        <v>44889</v>
      </c>
      <c r="B2236" t="s">
        <v>14</v>
      </c>
      <c r="C2236" t="s">
        <v>65</v>
      </c>
      <c r="D2236" t="s">
        <v>66</v>
      </c>
      <c r="E2236">
        <v>215</v>
      </c>
      <c r="F2236">
        <f t="shared" si="68"/>
        <v>752.5</v>
      </c>
      <c r="G2236">
        <f>SUMIF($D$2:$D2236,$D2236,$E$2:$E2236)</f>
        <v>14333</v>
      </c>
      <c r="H2236">
        <f t="shared" si="69"/>
        <v>0</v>
      </c>
    </row>
    <row r="2237" spans="1:8" x14ac:dyDescent="0.25">
      <c r="A2237" s="1">
        <v>44889</v>
      </c>
      <c r="B2237" t="s">
        <v>3</v>
      </c>
      <c r="C2237" t="s">
        <v>65</v>
      </c>
      <c r="D2237" t="s">
        <v>16</v>
      </c>
      <c r="E2237">
        <v>226</v>
      </c>
      <c r="F2237">
        <f t="shared" si="68"/>
        <v>723.2</v>
      </c>
      <c r="G2237">
        <f>SUMIF($D$2:$D2237,$D2237,$E$2:$E2237)</f>
        <v>12152</v>
      </c>
      <c r="H2237">
        <f t="shared" si="69"/>
        <v>0</v>
      </c>
    </row>
    <row r="2238" spans="1:8" x14ac:dyDescent="0.25">
      <c r="A2238" s="1">
        <v>44889</v>
      </c>
      <c r="B2238" t="s">
        <v>14</v>
      </c>
      <c r="C2238" t="s">
        <v>65</v>
      </c>
      <c r="D2238" t="s">
        <v>64</v>
      </c>
      <c r="E2238">
        <v>257</v>
      </c>
      <c r="F2238">
        <f t="shared" si="68"/>
        <v>899.5</v>
      </c>
      <c r="G2238">
        <f>SUMIF($D$2:$D2238,$D2238,$E$2:$E2238)</f>
        <v>15746</v>
      </c>
      <c r="H2238">
        <f t="shared" si="69"/>
        <v>1285</v>
      </c>
    </row>
    <row r="2239" spans="1:8" x14ac:dyDescent="0.25">
      <c r="A2239" s="1">
        <v>44890</v>
      </c>
      <c r="B2239" t="s">
        <v>14</v>
      </c>
      <c r="C2239" t="s">
        <v>65</v>
      </c>
      <c r="D2239" t="s">
        <v>29</v>
      </c>
      <c r="E2239">
        <v>44</v>
      </c>
      <c r="F2239">
        <f t="shared" si="68"/>
        <v>154</v>
      </c>
      <c r="G2239">
        <f>SUMIF($D$2:$D2239,$D2239,$E$2:$E2239)</f>
        <v>18574</v>
      </c>
      <c r="H2239">
        <f t="shared" si="69"/>
        <v>220</v>
      </c>
    </row>
    <row r="2240" spans="1:8" x14ac:dyDescent="0.25">
      <c r="A2240" s="1">
        <v>44890</v>
      </c>
      <c r="B2240" t="s">
        <v>14</v>
      </c>
      <c r="C2240" t="s">
        <v>65</v>
      </c>
      <c r="D2240" t="s">
        <v>26</v>
      </c>
      <c r="E2240">
        <v>426</v>
      </c>
      <c r="F2240">
        <f t="shared" si="68"/>
        <v>1491</v>
      </c>
      <c r="G2240">
        <f>SUMIF($D$2:$D2240,$D2240,$E$2:$E2240)</f>
        <v>18183</v>
      </c>
      <c r="H2240">
        <f t="shared" si="69"/>
        <v>2130</v>
      </c>
    </row>
    <row r="2241" spans="1:8" x14ac:dyDescent="0.25">
      <c r="A2241" s="1">
        <v>44890</v>
      </c>
      <c r="B2241" t="s">
        <v>14</v>
      </c>
      <c r="C2241" t="s">
        <v>65</v>
      </c>
      <c r="D2241" t="s">
        <v>55</v>
      </c>
      <c r="E2241">
        <v>46</v>
      </c>
      <c r="F2241">
        <f t="shared" si="68"/>
        <v>161</v>
      </c>
      <c r="G2241">
        <f>SUMIF($D$2:$D2241,$D2241,$E$2:$E2241)</f>
        <v>12714</v>
      </c>
      <c r="H2241">
        <f t="shared" si="69"/>
        <v>0</v>
      </c>
    </row>
    <row r="2242" spans="1:8" x14ac:dyDescent="0.25">
      <c r="A2242" s="1">
        <v>44890</v>
      </c>
      <c r="B2242" t="s">
        <v>9</v>
      </c>
      <c r="C2242" t="s">
        <v>65</v>
      </c>
      <c r="D2242" t="s">
        <v>44</v>
      </c>
      <c r="E2242">
        <v>73</v>
      </c>
      <c r="F2242">
        <f t="shared" si="68"/>
        <v>182.5</v>
      </c>
      <c r="G2242">
        <f>SUMIF($D$2:$D2242,$D2242,$E$2:$E2242)</f>
        <v>17034</v>
      </c>
      <c r="H2242">
        <f t="shared" si="69"/>
        <v>365</v>
      </c>
    </row>
    <row r="2243" spans="1:8" x14ac:dyDescent="0.25">
      <c r="A2243" s="1">
        <v>44890</v>
      </c>
      <c r="B2243" t="s">
        <v>1</v>
      </c>
      <c r="C2243" t="s">
        <v>65</v>
      </c>
      <c r="D2243" t="s">
        <v>41</v>
      </c>
      <c r="E2243">
        <v>132</v>
      </c>
      <c r="F2243">
        <f t="shared" ref="F2243:F2306" si="70">E2243* _xlfn.XLOOKUP(B2243,$I$2:$I$17,$J$2:$J$17,"0",0,1)</f>
        <v>422.40000000000003</v>
      </c>
      <c r="G2243">
        <f>SUMIF($D$2:$D2243,$D2243,$E$2:$E2243)</f>
        <v>12475</v>
      </c>
      <c r="H2243">
        <f t="shared" ref="H2243:H2306" si="71">IF(AND($G2243 &gt; 15000,$G2243 &lt; 20000),5*$E2243,IF($G2243 &gt;= 20000,10*$E2243,0))</f>
        <v>0</v>
      </c>
    </row>
    <row r="2244" spans="1:8" x14ac:dyDescent="0.25">
      <c r="A2244" s="1">
        <v>44890</v>
      </c>
      <c r="B2244" t="s">
        <v>14</v>
      </c>
      <c r="C2244" t="s">
        <v>65</v>
      </c>
      <c r="D2244" t="s">
        <v>38</v>
      </c>
      <c r="E2244">
        <v>461</v>
      </c>
      <c r="F2244">
        <f t="shared" si="70"/>
        <v>1613.5</v>
      </c>
      <c r="G2244">
        <f>SUMIF($D$2:$D2244,$D2244,$E$2:$E2244)</f>
        <v>14740</v>
      </c>
      <c r="H2244">
        <f t="shared" si="71"/>
        <v>0</v>
      </c>
    </row>
    <row r="2245" spans="1:8" x14ac:dyDescent="0.25">
      <c r="A2245" s="1">
        <v>44890</v>
      </c>
      <c r="B2245" t="s">
        <v>1</v>
      </c>
      <c r="C2245" t="s">
        <v>65</v>
      </c>
      <c r="D2245" t="s">
        <v>54</v>
      </c>
      <c r="E2245">
        <v>210</v>
      </c>
      <c r="F2245">
        <f t="shared" si="70"/>
        <v>672</v>
      </c>
      <c r="G2245">
        <f>SUMIF($D$2:$D2245,$D2245,$E$2:$E2245)</f>
        <v>16609</v>
      </c>
      <c r="H2245">
        <f t="shared" si="71"/>
        <v>1050</v>
      </c>
    </row>
    <row r="2246" spans="1:8" x14ac:dyDescent="0.25">
      <c r="A2246" s="1">
        <v>44890</v>
      </c>
      <c r="B2246" t="s">
        <v>3</v>
      </c>
      <c r="C2246" t="s">
        <v>65</v>
      </c>
      <c r="D2246" t="s">
        <v>39</v>
      </c>
      <c r="E2246">
        <v>258</v>
      </c>
      <c r="F2246">
        <f t="shared" si="70"/>
        <v>825.6</v>
      </c>
      <c r="G2246">
        <f>SUMIF($D$2:$D2246,$D2246,$E$2:$E2246)</f>
        <v>12000</v>
      </c>
      <c r="H2246">
        <f t="shared" si="71"/>
        <v>0</v>
      </c>
    </row>
    <row r="2247" spans="1:8" x14ac:dyDescent="0.25">
      <c r="A2247" s="1">
        <v>44890</v>
      </c>
      <c r="B2247" t="s">
        <v>3</v>
      </c>
      <c r="C2247" t="s">
        <v>65</v>
      </c>
      <c r="D2247" t="s">
        <v>60</v>
      </c>
      <c r="E2247">
        <v>369</v>
      </c>
      <c r="F2247">
        <f t="shared" si="70"/>
        <v>1180.8</v>
      </c>
      <c r="G2247">
        <f>SUMIF($D$2:$D2247,$D2247,$E$2:$E2247)</f>
        <v>13821</v>
      </c>
      <c r="H2247">
        <f t="shared" si="71"/>
        <v>0</v>
      </c>
    </row>
    <row r="2248" spans="1:8" x14ac:dyDescent="0.25">
      <c r="A2248" s="1">
        <v>44890</v>
      </c>
      <c r="B2248" t="s">
        <v>9</v>
      </c>
      <c r="C2248" t="s">
        <v>65</v>
      </c>
      <c r="D2248" t="s">
        <v>44</v>
      </c>
      <c r="E2248">
        <v>11</v>
      </c>
      <c r="F2248">
        <f t="shared" si="70"/>
        <v>27.5</v>
      </c>
      <c r="G2248">
        <f>SUMIF($D$2:$D2248,$D2248,$E$2:$E2248)</f>
        <v>17045</v>
      </c>
      <c r="H2248">
        <f t="shared" si="71"/>
        <v>55</v>
      </c>
    </row>
    <row r="2249" spans="1:8" x14ac:dyDescent="0.25">
      <c r="A2249" s="1">
        <v>44891</v>
      </c>
      <c r="B2249" t="s">
        <v>14</v>
      </c>
      <c r="C2249" t="s">
        <v>65</v>
      </c>
      <c r="D2249" t="s">
        <v>66</v>
      </c>
      <c r="E2249">
        <v>248</v>
      </c>
      <c r="F2249">
        <f t="shared" si="70"/>
        <v>868</v>
      </c>
      <c r="G2249">
        <f>SUMIF($D$2:$D2249,$D2249,$E$2:$E2249)</f>
        <v>14581</v>
      </c>
      <c r="H2249">
        <f t="shared" si="71"/>
        <v>0</v>
      </c>
    </row>
    <row r="2250" spans="1:8" x14ac:dyDescent="0.25">
      <c r="A2250" s="1">
        <v>44891</v>
      </c>
      <c r="B2250" t="s">
        <v>11</v>
      </c>
      <c r="C2250" t="s">
        <v>65</v>
      </c>
      <c r="D2250" t="s">
        <v>27</v>
      </c>
      <c r="E2250">
        <v>173</v>
      </c>
      <c r="F2250">
        <f t="shared" si="70"/>
        <v>432.5</v>
      </c>
      <c r="G2250">
        <f>SUMIF($D$2:$D2250,$D2250,$E$2:$E2250)</f>
        <v>12004</v>
      </c>
      <c r="H2250">
        <f t="shared" si="71"/>
        <v>0</v>
      </c>
    </row>
    <row r="2251" spans="1:8" x14ac:dyDescent="0.25">
      <c r="A2251" s="1">
        <v>44891</v>
      </c>
      <c r="B2251" t="s">
        <v>9</v>
      </c>
      <c r="C2251" t="s">
        <v>65</v>
      </c>
      <c r="D2251" t="s">
        <v>21</v>
      </c>
      <c r="E2251">
        <v>85</v>
      </c>
      <c r="F2251">
        <f t="shared" si="70"/>
        <v>212.5</v>
      </c>
      <c r="G2251">
        <f>SUMIF($D$2:$D2251,$D2251,$E$2:$E2251)</f>
        <v>13074</v>
      </c>
      <c r="H2251">
        <f t="shared" si="71"/>
        <v>0</v>
      </c>
    </row>
    <row r="2252" spans="1:8" x14ac:dyDescent="0.25">
      <c r="A2252" s="1">
        <v>44891</v>
      </c>
      <c r="B2252" t="s">
        <v>11</v>
      </c>
      <c r="C2252" t="s">
        <v>65</v>
      </c>
      <c r="D2252" t="s">
        <v>33</v>
      </c>
      <c r="E2252">
        <v>350</v>
      </c>
      <c r="F2252">
        <f t="shared" si="70"/>
        <v>875</v>
      </c>
      <c r="G2252">
        <f>SUMIF($D$2:$D2252,$D2252,$E$2:$E2252)</f>
        <v>16941</v>
      </c>
      <c r="H2252">
        <f t="shared" si="71"/>
        <v>1750</v>
      </c>
    </row>
    <row r="2253" spans="1:8" x14ac:dyDescent="0.25">
      <c r="A2253" s="1">
        <v>44891</v>
      </c>
      <c r="B2253" t="s">
        <v>14</v>
      </c>
      <c r="C2253" t="s">
        <v>65</v>
      </c>
      <c r="D2253" t="s">
        <v>63</v>
      </c>
      <c r="E2253">
        <v>85</v>
      </c>
      <c r="F2253">
        <f t="shared" si="70"/>
        <v>297.5</v>
      </c>
      <c r="G2253">
        <f>SUMIF($D$2:$D2253,$D2253,$E$2:$E2253)</f>
        <v>9988</v>
      </c>
      <c r="H2253">
        <f t="shared" si="71"/>
        <v>0</v>
      </c>
    </row>
    <row r="2254" spans="1:8" x14ac:dyDescent="0.25">
      <c r="A2254" s="1">
        <v>44893</v>
      </c>
      <c r="B2254" t="s">
        <v>14</v>
      </c>
      <c r="C2254" t="s">
        <v>65</v>
      </c>
      <c r="D2254" t="s">
        <v>44</v>
      </c>
      <c r="E2254">
        <v>262</v>
      </c>
      <c r="F2254">
        <f t="shared" si="70"/>
        <v>917</v>
      </c>
      <c r="G2254">
        <f>SUMIF($D$2:$D2254,$D2254,$E$2:$E2254)</f>
        <v>17307</v>
      </c>
      <c r="H2254">
        <f t="shared" si="71"/>
        <v>1310</v>
      </c>
    </row>
    <row r="2255" spans="1:8" x14ac:dyDescent="0.25">
      <c r="A2255" s="1">
        <v>44893</v>
      </c>
      <c r="B2255" t="s">
        <v>9</v>
      </c>
      <c r="C2255" t="s">
        <v>65</v>
      </c>
      <c r="D2255" t="s">
        <v>23</v>
      </c>
      <c r="E2255">
        <v>389</v>
      </c>
      <c r="F2255">
        <f t="shared" si="70"/>
        <v>972.5</v>
      </c>
      <c r="G2255">
        <f>SUMIF($D$2:$D2255,$D2255,$E$2:$E2255)</f>
        <v>11492</v>
      </c>
      <c r="H2255">
        <f t="shared" si="71"/>
        <v>0</v>
      </c>
    </row>
    <row r="2256" spans="1:8" x14ac:dyDescent="0.25">
      <c r="A2256" s="1">
        <v>44893</v>
      </c>
      <c r="B2256" t="s">
        <v>14</v>
      </c>
      <c r="C2256" t="s">
        <v>65</v>
      </c>
      <c r="D2256" t="s">
        <v>31</v>
      </c>
      <c r="E2256">
        <v>338</v>
      </c>
      <c r="F2256">
        <f t="shared" si="70"/>
        <v>1183</v>
      </c>
      <c r="G2256">
        <f>SUMIF($D$2:$D2256,$D2256,$E$2:$E2256)</f>
        <v>16443</v>
      </c>
      <c r="H2256">
        <f t="shared" si="71"/>
        <v>1690</v>
      </c>
    </row>
    <row r="2257" spans="1:8" x14ac:dyDescent="0.25">
      <c r="A2257" s="1">
        <v>44893</v>
      </c>
      <c r="B2257" t="s">
        <v>14</v>
      </c>
      <c r="C2257" t="s">
        <v>65</v>
      </c>
      <c r="D2257" t="s">
        <v>25</v>
      </c>
      <c r="E2257">
        <v>497</v>
      </c>
      <c r="F2257">
        <f t="shared" si="70"/>
        <v>1739.5</v>
      </c>
      <c r="G2257">
        <f>SUMIF($D$2:$D2257,$D2257,$E$2:$E2257)</f>
        <v>15652</v>
      </c>
      <c r="H2257">
        <f t="shared" si="71"/>
        <v>2485</v>
      </c>
    </row>
    <row r="2258" spans="1:8" x14ac:dyDescent="0.25">
      <c r="A2258" s="1">
        <v>44893</v>
      </c>
      <c r="B2258" t="s">
        <v>1</v>
      </c>
      <c r="C2258" t="s">
        <v>65</v>
      </c>
      <c r="D2258" t="s">
        <v>33</v>
      </c>
      <c r="E2258">
        <v>160</v>
      </c>
      <c r="F2258">
        <f t="shared" si="70"/>
        <v>512</v>
      </c>
      <c r="G2258">
        <f>SUMIF($D$2:$D2258,$D2258,$E$2:$E2258)</f>
        <v>17101</v>
      </c>
      <c r="H2258">
        <f t="shared" si="71"/>
        <v>800</v>
      </c>
    </row>
    <row r="2259" spans="1:8" x14ac:dyDescent="0.25">
      <c r="A2259" s="1">
        <v>44893</v>
      </c>
      <c r="B2259" t="s">
        <v>11</v>
      </c>
      <c r="C2259" t="s">
        <v>65</v>
      </c>
      <c r="D2259" t="s">
        <v>47</v>
      </c>
      <c r="E2259">
        <v>476</v>
      </c>
      <c r="F2259">
        <f t="shared" si="70"/>
        <v>1190</v>
      </c>
      <c r="G2259">
        <f>SUMIF($D$2:$D2259,$D2259,$E$2:$E2259)</f>
        <v>10877</v>
      </c>
      <c r="H2259">
        <f t="shared" si="71"/>
        <v>0</v>
      </c>
    </row>
    <row r="2260" spans="1:8" x14ac:dyDescent="0.25">
      <c r="A2260" s="1">
        <v>44893</v>
      </c>
      <c r="B2260" t="s">
        <v>3</v>
      </c>
      <c r="C2260" t="s">
        <v>65</v>
      </c>
      <c r="D2260" t="s">
        <v>66</v>
      </c>
      <c r="E2260">
        <v>345</v>
      </c>
      <c r="F2260">
        <f t="shared" si="70"/>
        <v>1104</v>
      </c>
      <c r="G2260">
        <f>SUMIF($D$2:$D2260,$D2260,$E$2:$E2260)</f>
        <v>14926</v>
      </c>
      <c r="H2260">
        <f t="shared" si="71"/>
        <v>0</v>
      </c>
    </row>
    <row r="2261" spans="1:8" x14ac:dyDescent="0.25">
      <c r="A2261" s="1">
        <v>44893</v>
      </c>
      <c r="B2261" t="s">
        <v>14</v>
      </c>
      <c r="C2261" t="s">
        <v>65</v>
      </c>
      <c r="D2261" t="s">
        <v>25</v>
      </c>
      <c r="E2261">
        <v>393</v>
      </c>
      <c r="F2261">
        <f t="shared" si="70"/>
        <v>1375.5</v>
      </c>
      <c r="G2261">
        <f>SUMIF($D$2:$D2261,$D2261,$E$2:$E2261)</f>
        <v>16045</v>
      </c>
      <c r="H2261">
        <f t="shared" si="71"/>
        <v>1965</v>
      </c>
    </row>
    <row r="2262" spans="1:8" x14ac:dyDescent="0.25">
      <c r="A2262" s="1">
        <v>44893</v>
      </c>
      <c r="B2262" t="s">
        <v>3</v>
      </c>
      <c r="C2262" t="s">
        <v>65</v>
      </c>
      <c r="D2262" t="s">
        <v>29</v>
      </c>
      <c r="E2262">
        <v>158</v>
      </c>
      <c r="F2262">
        <f t="shared" si="70"/>
        <v>505.6</v>
      </c>
      <c r="G2262">
        <f>SUMIF($D$2:$D2262,$D2262,$E$2:$E2262)</f>
        <v>18732</v>
      </c>
      <c r="H2262">
        <f t="shared" si="71"/>
        <v>790</v>
      </c>
    </row>
    <row r="2263" spans="1:8" x14ac:dyDescent="0.25">
      <c r="A2263" s="1">
        <v>44893</v>
      </c>
      <c r="B2263" t="s">
        <v>3</v>
      </c>
      <c r="C2263" t="s">
        <v>65</v>
      </c>
      <c r="D2263" t="s">
        <v>39</v>
      </c>
      <c r="E2263">
        <v>86</v>
      </c>
      <c r="F2263">
        <f t="shared" si="70"/>
        <v>275.2</v>
      </c>
      <c r="G2263">
        <f>SUMIF($D$2:$D2263,$D2263,$E$2:$E2263)</f>
        <v>12086</v>
      </c>
      <c r="H2263">
        <f t="shared" si="71"/>
        <v>0</v>
      </c>
    </row>
    <row r="2264" spans="1:8" x14ac:dyDescent="0.25">
      <c r="A2264" s="1">
        <v>44893</v>
      </c>
      <c r="B2264" t="s">
        <v>3</v>
      </c>
      <c r="C2264" t="s">
        <v>65</v>
      </c>
      <c r="D2264" t="s">
        <v>53</v>
      </c>
      <c r="E2264">
        <v>100</v>
      </c>
      <c r="F2264">
        <f t="shared" si="70"/>
        <v>320</v>
      </c>
      <c r="G2264">
        <f>SUMIF($D$2:$D2264,$D2264,$E$2:$E2264)</f>
        <v>15287</v>
      </c>
      <c r="H2264">
        <f t="shared" si="71"/>
        <v>500</v>
      </c>
    </row>
    <row r="2265" spans="1:8" x14ac:dyDescent="0.25">
      <c r="A2265" s="1">
        <v>44893</v>
      </c>
      <c r="B2265" t="s">
        <v>14</v>
      </c>
      <c r="C2265" t="s">
        <v>65</v>
      </c>
      <c r="D2265" t="s">
        <v>52</v>
      </c>
      <c r="E2265">
        <v>205</v>
      </c>
      <c r="F2265">
        <f t="shared" si="70"/>
        <v>717.5</v>
      </c>
      <c r="G2265">
        <f>SUMIF($D$2:$D2265,$D2265,$E$2:$E2265)</f>
        <v>13944</v>
      </c>
      <c r="H2265">
        <f t="shared" si="71"/>
        <v>0</v>
      </c>
    </row>
    <row r="2266" spans="1:8" x14ac:dyDescent="0.25">
      <c r="A2266" s="1">
        <v>44893</v>
      </c>
      <c r="B2266" t="s">
        <v>1</v>
      </c>
      <c r="C2266" t="s">
        <v>65</v>
      </c>
      <c r="D2266" t="s">
        <v>47</v>
      </c>
      <c r="E2266">
        <v>374</v>
      </c>
      <c r="F2266">
        <f t="shared" si="70"/>
        <v>1196.8</v>
      </c>
      <c r="G2266">
        <f>SUMIF($D$2:$D2266,$D2266,$E$2:$E2266)</f>
        <v>11251</v>
      </c>
      <c r="H2266">
        <f t="shared" si="71"/>
        <v>0</v>
      </c>
    </row>
    <row r="2267" spans="1:8" x14ac:dyDescent="0.25">
      <c r="A2267" s="1">
        <v>44893</v>
      </c>
      <c r="B2267" t="s">
        <v>9</v>
      </c>
      <c r="C2267" t="s">
        <v>65</v>
      </c>
      <c r="D2267" t="s">
        <v>64</v>
      </c>
      <c r="E2267">
        <v>118</v>
      </c>
      <c r="F2267">
        <f t="shared" si="70"/>
        <v>295</v>
      </c>
      <c r="G2267">
        <f>SUMIF($D$2:$D2267,$D2267,$E$2:$E2267)</f>
        <v>15864</v>
      </c>
      <c r="H2267">
        <f t="shared" si="71"/>
        <v>590</v>
      </c>
    </row>
    <row r="2268" spans="1:8" x14ac:dyDescent="0.25">
      <c r="A2268" s="1">
        <v>44893</v>
      </c>
      <c r="B2268" t="s">
        <v>11</v>
      </c>
      <c r="C2268" t="s">
        <v>65</v>
      </c>
      <c r="D2268" t="s">
        <v>43</v>
      </c>
      <c r="E2268">
        <v>370</v>
      </c>
      <c r="F2268">
        <f t="shared" si="70"/>
        <v>925</v>
      </c>
      <c r="G2268">
        <f>SUMIF($D$2:$D2268,$D2268,$E$2:$E2268)</f>
        <v>10208</v>
      </c>
      <c r="H2268">
        <f t="shared" si="71"/>
        <v>0</v>
      </c>
    </row>
    <row r="2269" spans="1:8" x14ac:dyDescent="0.25">
      <c r="A2269" s="1">
        <v>44893</v>
      </c>
      <c r="B2269" t="s">
        <v>3</v>
      </c>
      <c r="C2269" t="s">
        <v>65</v>
      </c>
      <c r="D2269" t="s">
        <v>34</v>
      </c>
      <c r="E2269">
        <v>362</v>
      </c>
      <c r="F2269">
        <f t="shared" si="70"/>
        <v>1158.4000000000001</v>
      </c>
      <c r="G2269">
        <f>SUMIF($D$2:$D2269,$D2269,$E$2:$E2269)</f>
        <v>14801</v>
      </c>
      <c r="H2269">
        <f t="shared" si="71"/>
        <v>0</v>
      </c>
    </row>
    <row r="2270" spans="1:8" x14ac:dyDescent="0.25">
      <c r="A2270" s="1">
        <v>44893</v>
      </c>
      <c r="B2270" t="s">
        <v>14</v>
      </c>
      <c r="C2270" t="s">
        <v>65</v>
      </c>
      <c r="D2270" t="s">
        <v>56</v>
      </c>
      <c r="E2270">
        <v>369</v>
      </c>
      <c r="F2270">
        <f t="shared" si="70"/>
        <v>1291.5</v>
      </c>
      <c r="G2270">
        <f>SUMIF($D$2:$D2270,$D2270,$E$2:$E2270)</f>
        <v>14150</v>
      </c>
      <c r="H2270">
        <f t="shared" si="71"/>
        <v>0</v>
      </c>
    </row>
    <row r="2271" spans="1:8" x14ac:dyDescent="0.25">
      <c r="A2271" s="1">
        <v>44894</v>
      </c>
      <c r="B2271" t="s">
        <v>14</v>
      </c>
      <c r="C2271" t="s">
        <v>65</v>
      </c>
      <c r="D2271" t="s">
        <v>37</v>
      </c>
      <c r="E2271">
        <v>339</v>
      </c>
      <c r="F2271">
        <f t="shared" si="70"/>
        <v>1186.5</v>
      </c>
      <c r="G2271">
        <f>SUMIF($D$2:$D2271,$D2271,$E$2:$E2271)</f>
        <v>13618</v>
      </c>
      <c r="H2271">
        <f t="shared" si="71"/>
        <v>0</v>
      </c>
    </row>
    <row r="2272" spans="1:8" x14ac:dyDescent="0.25">
      <c r="A2272" s="1">
        <v>44894</v>
      </c>
      <c r="B2272" t="s">
        <v>1</v>
      </c>
      <c r="C2272" t="s">
        <v>65</v>
      </c>
      <c r="D2272" t="s">
        <v>18</v>
      </c>
      <c r="E2272">
        <v>17</v>
      </c>
      <c r="F2272">
        <f t="shared" si="70"/>
        <v>54.400000000000006</v>
      </c>
      <c r="G2272">
        <f>SUMIF($D$2:$D2272,$D2272,$E$2:$E2272)</f>
        <v>14172</v>
      </c>
      <c r="H2272">
        <f t="shared" si="71"/>
        <v>0</v>
      </c>
    </row>
    <row r="2273" spans="1:8" x14ac:dyDescent="0.25">
      <c r="A2273" s="1">
        <v>44894</v>
      </c>
      <c r="B2273" t="s">
        <v>1</v>
      </c>
      <c r="C2273" t="s">
        <v>65</v>
      </c>
      <c r="D2273" t="s">
        <v>47</v>
      </c>
      <c r="E2273">
        <v>271</v>
      </c>
      <c r="F2273">
        <f t="shared" si="70"/>
        <v>867.2</v>
      </c>
      <c r="G2273">
        <f>SUMIF($D$2:$D2273,$D2273,$E$2:$E2273)</f>
        <v>11522</v>
      </c>
      <c r="H2273">
        <f t="shared" si="71"/>
        <v>0</v>
      </c>
    </row>
    <row r="2274" spans="1:8" x14ac:dyDescent="0.25">
      <c r="A2274" s="1">
        <v>44895</v>
      </c>
      <c r="B2274" t="s">
        <v>14</v>
      </c>
      <c r="C2274" t="s">
        <v>65</v>
      </c>
      <c r="D2274" t="s">
        <v>48</v>
      </c>
      <c r="E2274">
        <v>322</v>
      </c>
      <c r="F2274">
        <f t="shared" si="70"/>
        <v>1127</v>
      </c>
      <c r="G2274">
        <f>SUMIF($D$2:$D2274,$D2274,$E$2:$E2274)</f>
        <v>12713</v>
      </c>
      <c r="H2274">
        <f t="shared" si="71"/>
        <v>0</v>
      </c>
    </row>
    <row r="2275" spans="1:8" x14ac:dyDescent="0.25">
      <c r="A2275" s="1">
        <v>44895</v>
      </c>
      <c r="B2275" t="s">
        <v>14</v>
      </c>
      <c r="C2275" t="s">
        <v>65</v>
      </c>
      <c r="D2275" t="s">
        <v>58</v>
      </c>
      <c r="E2275">
        <v>58</v>
      </c>
      <c r="F2275">
        <f t="shared" si="70"/>
        <v>203</v>
      </c>
      <c r="G2275">
        <f>SUMIF($D$2:$D2275,$D2275,$E$2:$E2275)</f>
        <v>11609</v>
      </c>
      <c r="H2275">
        <f t="shared" si="71"/>
        <v>0</v>
      </c>
    </row>
    <row r="2276" spans="1:8" x14ac:dyDescent="0.25">
      <c r="A2276" s="1">
        <v>44895</v>
      </c>
      <c r="B2276" t="s">
        <v>3</v>
      </c>
      <c r="C2276" t="s">
        <v>65</v>
      </c>
      <c r="D2276" t="s">
        <v>43</v>
      </c>
      <c r="E2276">
        <v>372</v>
      </c>
      <c r="F2276">
        <f t="shared" si="70"/>
        <v>1190.4000000000001</v>
      </c>
      <c r="G2276">
        <f>SUMIF($D$2:$D2276,$D2276,$E$2:$E2276)</f>
        <v>10580</v>
      </c>
      <c r="H2276">
        <f t="shared" si="71"/>
        <v>0</v>
      </c>
    </row>
    <row r="2277" spans="1:8" x14ac:dyDescent="0.25">
      <c r="A2277" s="1">
        <v>44895</v>
      </c>
      <c r="B2277" t="s">
        <v>11</v>
      </c>
      <c r="C2277" t="s">
        <v>65</v>
      </c>
      <c r="D2277" t="s">
        <v>51</v>
      </c>
      <c r="E2277">
        <v>301</v>
      </c>
      <c r="F2277">
        <f t="shared" si="70"/>
        <v>752.5</v>
      </c>
      <c r="G2277">
        <f>SUMIF($D$2:$D2277,$D2277,$E$2:$E2277)</f>
        <v>15868</v>
      </c>
      <c r="H2277">
        <f t="shared" si="71"/>
        <v>1505</v>
      </c>
    </row>
    <row r="2278" spans="1:8" x14ac:dyDescent="0.25">
      <c r="A2278" s="1">
        <v>44896</v>
      </c>
      <c r="B2278" t="s">
        <v>10</v>
      </c>
      <c r="C2278" t="s">
        <v>17</v>
      </c>
      <c r="D2278" t="s">
        <v>63</v>
      </c>
      <c r="E2278">
        <v>181</v>
      </c>
      <c r="F2278">
        <f t="shared" si="70"/>
        <v>615.4</v>
      </c>
      <c r="G2278">
        <f>SUMIF($D$2:$D2278,$D2278,$E$2:$E2278)</f>
        <v>10169</v>
      </c>
      <c r="H2278">
        <f t="shared" si="71"/>
        <v>0</v>
      </c>
    </row>
    <row r="2279" spans="1:8" x14ac:dyDescent="0.25">
      <c r="A2279" s="1">
        <v>44896</v>
      </c>
      <c r="B2279" t="s">
        <v>15</v>
      </c>
      <c r="C2279" t="s">
        <v>17</v>
      </c>
      <c r="D2279" t="s">
        <v>24</v>
      </c>
      <c r="E2279">
        <v>160</v>
      </c>
      <c r="F2279">
        <f t="shared" si="70"/>
        <v>384</v>
      </c>
      <c r="G2279">
        <f>SUMIF($D$2:$D2279,$D2279,$E$2:$E2279)</f>
        <v>12500</v>
      </c>
      <c r="H2279">
        <f t="shared" si="71"/>
        <v>0</v>
      </c>
    </row>
    <row r="2280" spans="1:8" x14ac:dyDescent="0.25">
      <c r="A2280" s="1">
        <v>44896</v>
      </c>
      <c r="B2280" t="s">
        <v>10</v>
      </c>
      <c r="C2280" t="s">
        <v>17</v>
      </c>
      <c r="D2280" t="s">
        <v>20</v>
      </c>
      <c r="E2280">
        <v>219</v>
      </c>
      <c r="F2280">
        <f t="shared" si="70"/>
        <v>744.6</v>
      </c>
      <c r="G2280">
        <f>SUMIF($D$2:$D2280,$D2280,$E$2:$E2280)</f>
        <v>12294</v>
      </c>
      <c r="H2280">
        <f t="shared" si="71"/>
        <v>0</v>
      </c>
    </row>
    <row r="2281" spans="1:8" x14ac:dyDescent="0.25">
      <c r="A2281" s="1">
        <v>44896</v>
      </c>
      <c r="B2281" t="s">
        <v>0</v>
      </c>
      <c r="C2281" t="s">
        <v>17</v>
      </c>
      <c r="D2281" t="s">
        <v>43</v>
      </c>
      <c r="E2281">
        <v>296</v>
      </c>
      <c r="F2281">
        <f t="shared" si="70"/>
        <v>858.4</v>
      </c>
      <c r="G2281">
        <f>SUMIF($D$2:$D2281,$D2281,$E$2:$E2281)</f>
        <v>10876</v>
      </c>
      <c r="H2281">
        <f t="shared" si="71"/>
        <v>0</v>
      </c>
    </row>
    <row r="2282" spans="1:8" x14ac:dyDescent="0.25">
      <c r="A2282" s="1">
        <v>44896</v>
      </c>
      <c r="B2282" t="s">
        <v>5</v>
      </c>
      <c r="C2282" t="s">
        <v>17</v>
      </c>
      <c r="D2282" t="s">
        <v>64</v>
      </c>
      <c r="E2282">
        <v>458</v>
      </c>
      <c r="F2282">
        <f t="shared" si="70"/>
        <v>1557.2</v>
      </c>
      <c r="G2282">
        <f>SUMIF($D$2:$D2282,$D2282,$E$2:$E2282)</f>
        <v>16322</v>
      </c>
      <c r="H2282">
        <f t="shared" si="71"/>
        <v>2290</v>
      </c>
    </row>
    <row r="2283" spans="1:8" x14ac:dyDescent="0.25">
      <c r="A2283" s="1">
        <v>44896</v>
      </c>
      <c r="B2283" t="s">
        <v>10</v>
      </c>
      <c r="C2283" t="s">
        <v>17</v>
      </c>
      <c r="D2283" t="s">
        <v>47</v>
      </c>
      <c r="E2283">
        <v>446</v>
      </c>
      <c r="F2283">
        <f t="shared" si="70"/>
        <v>1516.3999999999999</v>
      </c>
      <c r="G2283">
        <f>SUMIF($D$2:$D2283,$D2283,$E$2:$E2283)</f>
        <v>11968</v>
      </c>
      <c r="H2283">
        <f t="shared" si="71"/>
        <v>0</v>
      </c>
    </row>
    <row r="2284" spans="1:8" x14ac:dyDescent="0.25">
      <c r="A2284" s="1">
        <v>44896</v>
      </c>
      <c r="B2284" t="s">
        <v>5</v>
      </c>
      <c r="C2284" t="s">
        <v>17</v>
      </c>
      <c r="D2284" t="s">
        <v>27</v>
      </c>
      <c r="E2284">
        <v>377</v>
      </c>
      <c r="F2284">
        <f t="shared" si="70"/>
        <v>1281.8</v>
      </c>
      <c r="G2284">
        <f>SUMIF($D$2:$D2284,$D2284,$E$2:$E2284)</f>
        <v>12381</v>
      </c>
      <c r="H2284">
        <f t="shared" si="71"/>
        <v>0</v>
      </c>
    </row>
    <row r="2285" spans="1:8" x14ac:dyDescent="0.25">
      <c r="A2285" s="1">
        <v>44896</v>
      </c>
      <c r="B2285" t="s">
        <v>2</v>
      </c>
      <c r="C2285" t="s">
        <v>17</v>
      </c>
      <c r="D2285" t="s">
        <v>36</v>
      </c>
      <c r="E2285">
        <v>480</v>
      </c>
      <c r="F2285">
        <f t="shared" si="70"/>
        <v>1536</v>
      </c>
      <c r="G2285">
        <f>SUMIF($D$2:$D2285,$D2285,$E$2:$E2285)</f>
        <v>12913</v>
      </c>
      <c r="H2285">
        <f t="shared" si="71"/>
        <v>0</v>
      </c>
    </row>
    <row r="2286" spans="1:8" x14ac:dyDescent="0.25">
      <c r="A2286" s="1">
        <v>44896</v>
      </c>
      <c r="B2286" t="s">
        <v>15</v>
      </c>
      <c r="C2286" t="s">
        <v>17</v>
      </c>
      <c r="D2286" t="s">
        <v>21</v>
      </c>
      <c r="E2286">
        <v>397</v>
      </c>
      <c r="F2286">
        <f t="shared" si="70"/>
        <v>952.8</v>
      </c>
      <c r="G2286">
        <f>SUMIF($D$2:$D2286,$D2286,$E$2:$E2286)</f>
        <v>13471</v>
      </c>
      <c r="H2286">
        <f t="shared" si="71"/>
        <v>0</v>
      </c>
    </row>
    <row r="2287" spans="1:8" x14ac:dyDescent="0.25">
      <c r="A2287" s="1">
        <v>44896</v>
      </c>
      <c r="B2287" t="s">
        <v>7</v>
      </c>
      <c r="C2287" t="s">
        <v>17</v>
      </c>
      <c r="D2287" t="s">
        <v>59</v>
      </c>
      <c r="E2287">
        <v>648</v>
      </c>
      <c r="F2287">
        <f t="shared" si="70"/>
        <v>2203.1999999999998</v>
      </c>
      <c r="G2287">
        <f>SUMIF($D$2:$D2287,$D2287,$E$2:$E2287)</f>
        <v>10400</v>
      </c>
      <c r="H2287">
        <f t="shared" si="71"/>
        <v>0</v>
      </c>
    </row>
    <row r="2288" spans="1:8" x14ac:dyDescent="0.25">
      <c r="A2288" s="1">
        <v>44897</v>
      </c>
      <c r="B2288" t="s">
        <v>6</v>
      </c>
      <c r="C2288" t="s">
        <v>17</v>
      </c>
      <c r="D2288" t="s">
        <v>18</v>
      </c>
      <c r="E2288">
        <v>458</v>
      </c>
      <c r="F2288">
        <f t="shared" si="70"/>
        <v>1557.2</v>
      </c>
      <c r="G2288">
        <f>SUMIF($D$2:$D2288,$D2288,$E$2:$E2288)</f>
        <v>14630</v>
      </c>
      <c r="H2288">
        <f t="shared" si="71"/>
        <v>0</v>
      </c>
    </row>
    <row r="2289" spans="1:8" x14ac:dyDescent="0.25">
      <c r="A2289" s="1">
        <v>44897</v>
      </c>
      <c r="B2289" t="s">
        <v>4</v>
      </c>
      <c r="C2289" t="s">
        <v>17</v>
      </c>
      <c r="D2289" t="s">
        <v>22</v>
      </c>
      <c r="E2289">
        <v>714</v>
      </c>
      <c r="F2289">
        <f t="shared" si="70"/>
        <v>2427.6</v>
      </c>
      <c r="G2289">
        <f>SUMIF($D$2:$D2289,$D2289,$E$2:$E2289)</f>
        <v>14712</v>
      </c>
      <c r="H2289">
        <f t="shared" si="71"/>
        <v>0</v>
      </c>
    </row>
    <row r="2290" spans="1:8" x14ac:dyDescent="0.25">
      <c r="A2290" s="1">
        <v>44897</v>
      </c>
      <c r="B2290" t="s">
        <v>5</v>
      </c>
      <c r="C2290" t="s">
        <v>17</v>
      </c>
      <c r="D2290" t="s">
        <v>21</v>
      </c>
      <c r="E2290">
        <v>207</v>
      </c>
      <c r="F2290">
        <f t="shared" si="70"/>
        <v>703.8</v>
      </c>
      <c r="G2290">
        <f>SUMIF($D$2:$D2290,$D2290,$E$2:$E2290)</f>
        <v>13678</v>
      </c>
      <c r="H2290">
        <f t="shared" si="71"/>
        <v>0</v>
      </c>
    </row>
    <row r="2291" spans="1:8" x14ac:dyDescent="0.25">
      <c r="A2291" s="1">
        <v>44897</v>
      </c>
      <c r="B2291" t="s">
        <v>2</v>
      </c>
      <c r="C2291" t="s">
        <v>17</v>
      </c>
      <c r="D2291" t="s">
        <v>25</v>
      </c>
      <c r="E2291">
        <v>277</v>
      </c>
      <c r="F2291">
        <f t="shared" si="70"/>
        <v>886.40000000000009</v>
      </c>
      <c r="G2291">
        <f>SUMIF($D$2:$D2291,$D2291,$E$2:$E2291)</f>
        <v>16322</v>
      </c>
      <c r="H2291">
        <f t="shared" si="71"/>
        <v>1385</v>
      </c>
    </row>
    <row r="2292" spans="1:8" x14ac:dyDescent="0.25">
      <c r="A2292" s="1">
        <v>44897</v>
      </c>
      <c r="B2292" t="s">
        <v>5</v>
      </c>
      <c r="C2292" t="s">
        <v>17</v>
      </c>
      <c r="D2292" t="s">
        <v>59</v>
      </c>
      <c r="E2292">
        <v>394</v>
      </c>
      <c r="F2292">
        <f t="shared" si="70"/>
        <v>1339.6</v>
      </c>
      <c r="G2292">
        <f>SUMIF($D$2:$D2292,$D2292,$E$2:$E2292)</f>
        <v>10794</v>
      </c>
      <c r="H2292">
        <f t="shared" si="71"/>
        <v>0</v>
      </c>
    </row>
    <row r="2293" spans="1:8" x14ac:dyDescent="0.25">
      <c r="A2293" s="1">
        <v>44897</v>
      </c>
      <c r="B2293" t="s">
        <v>8</v>
      </c>
      <c r="C2293" t="s">
        <v>17</v>
      </c>
      <c r="D2293" t="s">
        <v>34</v>
      </c>
      <c r="E2293">
        <v>418</v>
      </c>
      <c r="F2293">
        <f t="shared" si="70"/>
        <v>1463</v>
      </c>
      <c r="G2293">
        <f>SUMIF($D$2:$D2293,$D2293,$E$2:$E2293)</f>
        <v>15219</v>
      </c>
      <c r="H2293">
        <f t="shared" si="71"/>
        <v>2090</v>
      </c>
    </row>
    <row r="2294" spans="1:8" x14ac:dyDescent="0.25">
      <c r="A2294" s="1">
        <v>44897</v>
      </c>
      <c r="B2294" t="s">
        <v>7</v>
      </c>
      <c r="C2294" t="s">
        <v>17</v>
      </c>
      <c r="D2294" t="s">
        <v>45</v>
      </c>
      <c r="E2294">
        <v>398</v>
      </c>
      <c r="F2294">
        <f t="shared" si="70"/>
        <v>1353.2</v>
      </c>
      <c r="G2294">
        <f>SUMIF($D$2:$D2294,$D2294,$E$2:$E2294)</f>
        <v>14116</v>
      </c>
      <c r="H2294">
        <f t="shared" si="71"/>
        <v>0</v>
      </c>
    </row>
    <row r="2295" spans="1:8" x14ac:dyDescent="0.25">
      <c r="A2295" s="1">
        <v>44897</v>
      </c>
      <c r="B2295" t="s">
        <v>8</v>
      </c>
      <c r="C2295" t="s">
        <v>17</v>
      </c>
      <c r="D2295" t="s">
        <v>30</v>
      </c>
      <c r="E2295">
        <v>223</v>
      </c>
      <c r="F2295">
        <f t="shared" si="70"/>
        <v>780.5</v>
      </c>
      <c r="G2295">
        <f>SUMIF($D$2:$D2295,$D2295,$E$2:$E2295)</f>
        <v>14294</v>
      </c>
      <c r="H2295">
        <f t="shared" si="71"/>
        <v>0</v>
      </c>
    </row>
    <row r="2296" spans="1:8" x14ac:dyDescent="0.25">
      <c r="A2296" s="1">
        <v>44897</v>
      </c>
      <c r="B2296" t="s">
        <v>5</v>
      </c>
      <c r="C2296" t="s">
        <v>17</v>
      </c>
      <c r="D2296" t="s">
        <v>39</v>
      </c>
      <c r="E2296">
        <v>90</v>
      </c>
      <c r="F2296">
        <f t="shared" si="70"/>
        <v>306</v>
      </c>
      <c r="G2296">
        <f>SUMIF($D$2:$D2296,$D2296,$E$2:$E2296)</f>
        <v>12176</v>
      </c>
      <c r="H2296">
        <f t="shared" si="71"/>
        <v>0</v>
      </c>
    </row>
    <row r="2297" spans="1:8" x14ac:dyDescent="0.25">
      <c r="A2297" s="1">
        <v>44898</v>
      </c>
      <c r="B2297" t="s">
        <v>4</v>
      </c>
      <c r="C2297" t="s">
        <v>17</v>
      </c>
      <c r="D2297" t="s">
        <v>48</v>
      </c>
      <c r="E2297">
        <v>778</v>
      </c>
      <c r="F2297">
        <f t="shared" si="70"/>
        <v>2645.2</v>
      </c>
      <c r="G2297">
        <f>SUMIF($D$2:$D2297,$D2297,$E$2:$E2297)</f>
        <v>13491</v>
      </c>
      <c r="H2297">
        <f t="shared" si="71"/>
        <v>0</v>
      </c>
    </row>
    <row r="2298" spans="1:8" x14ac:dyDescent="0.25">
      <c r="A2298" s="1">
        <v>44898</v>
      </c>
      <c r="B2298" t="s">
        <v>7</v>
      </c>
      <c r="C2298" t="s">
        <v>17</v>
      </c>
      <c r="D2298" t="s">
        <v>58</v>
      </c>
      <c r="E2298">
        <v>582</v>
      </c>
      <c r="F2298">
        <f t="shared" si="70"/>
        <v>1978.8</v>
      </c>
      <c r="G2298">
        <f>SUMIF($D$2:$D2298,$D2298,$E$2:$E2298)</f>
        <v>12191</v>
      </c>
      <c r="H2298">
        <f t="shared" si="71"/>
        <v>0</v>
      </c>
    </row>
    <row r="2299" spans="1:8" x14ac:dyDescent="0.25">
      <c r="A2299" s="1">
        <v>44898</v>
      </c>
      <c r="B2299" t="s">
        <v>5</v>
      </c>
      <c r="C2299" t="s">
        <v>17</v>
      </c>
      <c r="D2299" t="s">
        <v>26</v>
      </c>
      <c r="E2299">
        <v>218</v>
      </c>
      <c r="F2299">
        <f t="shared" si="70"/>
        <v>741.19999999999993</v>
      </c>
      <c r="G2299">
        <f>SUMIF($D$2:$D2299,$D2299,$E$2:$E2299)</f>
        <v>18401</v>
      </c>
      <c r="H2299">
        <f t="shared" si="71"/>
        <v>1090</v>
      </c>
    </row>
    <row r="2300" spans="1:8" x14ac:dyDescent="0.25">
      <c r="A2300" s="1">
        <v>44898</v>
      </c>
      <c r="B2300" t="s">
        <v>5</v>
      </c>
      <c r="C2300" t="s">
        <v>17</v>
      </c>
      <c r="D2300" t="s">
        <v>30</v>
      </c>
      <c r="E2300">
        <v>290</v>
      </c>
      <c r="F2300">
        <f t="shared" si="70"/>
        <v>986</v>
      </c>
      <c r="G2300">
        <f>SUMIF($D$2:$D2300,$D2300,$E$2:$E2300)</f>
        <v>14584</v>
      </c>
      <c r="H2300">
        <f t="shared" si="71"/>
        <v>0</v>
      </c>
    </row>
    <row r="2301" spans="1:8" x14ac:dyDescent="0.25">
      <c r="A2301" s="1">
        <v>44898</v>
      </c>
      <c r="B2301" t="s">
        <v>10</v>
      </c>
      <c r="C2301" t="s">
        <v>17</v>
      </c>
      <c r="D2301" t="s">
        <v>33</v>
      </c>
      <c r="E2301">
        <v>437</v>
      </c>
      <c r="F2301">
        <f t="shared" si="70"/>
        <v>1485.8</v>
      </c>
      <c r="G2301">
        <f>SUMIF($D$2:$D2301,$D2301,$E$2:$E2301)</f>
        <v>17538</v>
      </c>
      <c r="H2301">
        <f t="shared" si="71"/>
        <v>2185</v>
      </c>
    </row>
    <row r="2302" spans="1:8" x14ac:dyDescent="0.25">
      <c r="A2302" s="1">
        <v>44900</v>
      </c>
      <c r="B2302" t="s">
        <v>8</v>
      </c>
      <c r="C2302" t="s">
        <v>17</v>
      </c>
      <c r="D2302" t="s">
        <v>28</v>
      </c>
      <c r="E2302">
        <v>469</v>
      </c>
      <c r="F2302">
        <f t="shared" si="70"/>
        <v>1641.5</v>
      </c>
      <c r="G2302">
        <f>SUMIF($D$2:$D2302,$D2302,$E$2:$E2302)</f>
        <v>13959</v>
      </c>
      <c r="H2302">
        <f t="shared" si="71"/>
        <v>0</v>
      </c>
    </row>
    <row r="2303" spans="1:8" x14ac:dyDescent="0.25">
      <c r="A2303" s="1">
        <v>44900</v>
      </c>
      <c r="B2303" t="s">
        <v>0</v>
      </c>
      <c r="C2303" t="s">
        <v>17</v>
      </c>
      <c r="D2303" t="s">
        <v>32</v>
      </c>
      <c r="E2303">
        <v>33</v>
      </c>
      <c r="F2303">
        <f t="shared" si="70"/>
        <v>95.7</v>
      </c>
      <c r="G2303">
        <f>SUMIF($D$2:$D2303,$D2303,$E$2:$E2303)</f>
        <v>13894</v>
      </c>
      <c r="H2303">
        <f t="shared" si="71"/>
        <v>0</v>
      </c>
    </row>
    <row r="2304" spans="1:8" x14ac:dyDescent="0.25">
      <c r="A2304" s="1">
        <v>44900</v>
      </c>
      <c r="B2304" t="s">
        <v>10</v>
      </c>
      <c r="C2304" t="s">
        <v>17</v>
      </c>
      <c r="D2304" t="s">
        <v>47</v>
      </c>
      <c r="E2304">
        <v>79</v>
      </c>
      <c r="F2304">
        <f t="shared" si="70"/>
        <v>268.59999999999997</v>
      </c>
      <c r="G2304">
        <f>SUMIF($D$2:$D2304,$D2304,$E$2:$E2304)</f>
        <v>12047</v>
      </c>
      <c r="H2304">
        <f t="shared" si="71"/>
        <v>0</v>
      </c>
    </row>
    <row r="2305" spans="1:8" x14ac:dyDescent="0.25">
      <c r="A2305" s="1">
        <v>44900</v>
      </c>
      <c r="B2305" t="s">
        <v>8</v>
      </c>
      <c r="C2305" t="s">
        <v>17</v>
      </c>
      <c r="D2305" t="s">
        <v>59</v>
      </c>
      <c r="E2305">
        <v>332</v>
      </c>
      <c r="F2305">
        <f t="shared" si="70"/>
        <v>1162</v>
      </c>
      <c r="G2305">
        <f>SUMIF($D$2:$D2305,$D2305,$E$2:$E2305)</f>
        <v>11126</v>
      </c>
      <c r="H2305">
        <f t="shared" si="71"/>
        <v>0</v>
      </c>
    </row>
    <row r="2306" spans="1:8" x14ac:dyDescent="0.25">
      <c r="A2306" s="1">
        <v>44900</v>
      </c>
      <c r="B2306" t="s">
        <v>15</v>
      </c>
      <c r="C2306" t="s">
        <v>17</v>
      </c>
      <c r="D2306" t="s">
        <v>44</v>
      </c>
      <c r="E2306">
        <v>132</v>
      </c>
      <c r="F2306">
        <f t="shared" si="70"/>
        <v>316.8</v>
      </c>
      <c r="G2306">
        <f>SUMIF($D$2:$D2306,$D2306,$E$2:$E2306)</f>
        <v>17439</v>
      </c>
      <c r="H2306">
        <f t="shared" si="71"/>
        <v>660</v>
      </c>
    </row>
    <row r="2307" spans="1:8" x14ac:dyDescent="0.25">
      <c r="A2307" s="1">
        <v>44900</v>
      </c>
      <c r="B2307" t="s">
        <v>8</v>
      </c>
      <c r="C2307" t="s">
        <v>17</v>
      </c>
      <c r="D2307" t="s">
        <v>30</v>
      </c>
      <c r="E2307">
        <v>547</v>
      </c>
      <c r="F2307">
        <f t="shared" ref="F2307:F2370" si="72">E2307* _xlfn.XLOOKUP(B2307,$I$2:$I$17,$J$2:$J$17,"0",0,1)</f>
        <v>1914.5</v>
      </c>
      <c r="G2307">
        <f>SUMIF($D$2:$D2307,$D2307,$E$2:$E2307)</f>
        <v>15131</v>
      </c>
      <c r="H2307">
        <f t="shared" ref="H2307:H2370" si="73">IF(AND($G2307 &gt; 15000,$G2307 &lt; 20000),5*$E2307,IF($G2307 &gt;= 20000,10*$E2307,0))</f>
        <v>2735</v>
      </c>
    </row>
    <row r="2308" spans="1:8" x14ac:dyDescent="0.25">
      <c r="A2308" s="1">
        <v>44900</v>
      </c>
      <c r="B2308" t="s">
        <v>10</v>
      </c>
      <c r="C2308" t="s">
        <v>17</v>
      </c>
      <c r="D2308" t="s">
        <v>22</v>
      </c>
      <c r="E2308">
        <v>295</v>
      </c>
      <c r="F2308">
        <f t="shared" si="72"/>
        <v>1003</v>
      </c>
      <c r="G2308">
        <f>SUMIF($D$2:$D2308,$D2308,$E$2:$E2308)</f>
        <v>15007</v>
      </c>
      <c r="H2308">
        <f t="shared" si="73"/>
        <v>1475</v>
      </c>
    </row>
    <row r="2309" spans="1:8" x14ac:dyDescent="0.25">
      <c r="A2309" s="1">
        <v>44900</v>
      </c>
      <c r="B2309" t="s">
        <v>7</v>
      </c>
      <c r="C2309" t="s">
        <v>17</v>
      </c>
      <c r="D2309" t="s">
        <v>64</v>
      </c>
      <c r="E2309">
        <v>540</v>
      </c>
      <c r="F2309">
        <f t="shared" si="72"/>
        <v>1836</v>
      </c>
      <c r="G2309">
        <f>SUMIF($D$2:$D2309,$D2309,$E$2:$E2309)</f>
        <v>16862</v>
      </c>
      <c r="H2309">
        <f t="shared" si="73"/>
        <v>2700</v>
      </c>
    </row>
    <row r="2310" spans="1:8" x14ac:dyDescent="0.25">
      <c r="A2310" s="1">
        <v>44900</v>
      </c>
      <c r="B2310" t="s">
        <v>7</v>
      </c>
      <c r="C2310" t="s">
        <v>17</v>
      </c>
      <c r="D2310" t="s">
        <v>35</v>
      </c>
      <c r="E2310">
        <v>222</v>
      </c>
      <c r="F2310">
        <f t="shared" si="72"/>
        <v>754.8</v>
      </c>
      <c r="G2310">
        <f>SUMIF($D$2:$D2310,$D2310,$E$2:$E2310)</f>
        <v>12748</v>
      </c>
      <c r="H2310">
        <f t="shared" si="73"/>
        <v>0</v>
      </c>
    </row>
    <row r="2311" spans="1:8" x14ac:dyDescent="0.25">
      <c r="A2311" s="1">
        <v>44900</v>
      </c>
      <c r="B2311" t="s">
        <v>10</v>
      </c>
      <c r="C2311" t="s">
        <v>17</v>
      </c>
      <c r="D2311" t="s">
        <v>39</v>
      </c>
      <c r="E2311">
        <v>394</v>
      </c>
      <c r="F2311">
        <f t="shared" si="72"/>
        <v>1339.6</v>
      </c>
      <c r="G2311">
        <f>SUMIF($D$2:$D2311,$D2311,$E$2:$E2311)</f>
        <v>12570</v>
      </c>
      <c r="H2311">
        <f t="shared" si="73"/>
        <v>0</v>
      </c>
    </row>
    <row r="2312" spans="1:8" x14ac:dyDescent="0.25">
      <c r="A2312" s="1">
        <v>44900</v>
      </c>
      <c r="B2312" t="s">
        <v>0</v>
      </c>
      <c r="C2312" t="s">
        <v>17</v>
      </c>
      <c r="D2312" t="s">
        <v>40</v>
      </c>
      <c r="E2312">
        <v>325</v>
      </c>
      <c r="F2312">
        <f t="shared" si="72"/>
        <v>942.5</v>
      </c>
      <c r="G2312">
        <f>SUMIF($D$2:$D2312,$D2312,$E$2:$E2312)</f>
        <v>14705</v>
      </c>
      <c r="H2312">
        <f t="shared" si="73"/>
        <v>0</v>
      </c>
    </row>
    <row r="2313" spans="1:8" x14ac:dyDescent="0.25">
      <c r="A2313" s="1">
        <v>44901</v>
      </c>
      <c r="B2313" t="s">
        <v>15</v>
      </c>
      <c r="C2313" t="s">
        <v>17</v>
      </c>
      <c r="D2313" t="s">
        <v>58</v>
      </c>
      <c r="E2313">
        <v>457</v>
      </c>
      <c r="F2313">
        <f t="shared" si="72"/>
        <v>1096.8</v>
      </c>
      <c r="G2313">
        <f>SUMIF($D$2:$D2313,$D2313,$E$2:$E2313)</f>
        <v>12648</v>
      </c>
      <c r="H2313">
        <f t="shared" si="73"/>
        <v>0</v>
      </c>
    </row>
    <row r="2314" spans="1:8" x14ac:dyDescent="0.25">
      <c r="A2314" s="1">
        <v>44901</v>
      </c>
      <c r="B2314" t="s">
        <v>6</v>
      </c>
      <c r="C2314" t="s">
        <v>17</v>
      </c>
      <c r="D2314" t="s">
        <v>54</v>
      </c>
      <c r="E2314">
        <v>64</v>
      </c>
      <c r="F2314">
        <f t="shared" si="72"/>
        <v>217.6</v>
      </c>
      <c r="G2314">
        <f>SUMIF($D$2:$D2314,$D2314,$E$2:$E2314)</f>
        <v>16673</v>
      </c>
      <c r="H2314">
        <f t="shared" si="73"/>
        <v>320</v>
      </c>
    </row>
    <row r="2315" spans="1:8" x14ac:dyDescent="0.25">
      <c r="A2315" s="1">
        <v>44901</v>
      </c>
      <c r="B2315" t="s">
        <v>7</v>
      </c>
      <c r="C2315" t="s">
        <v>17</v>
      </c>
      <c r="D2315" t="s">
        <v>46</v>
      </c>
      <c r="E2315">
        <v>298</v>
      </c>
      <c r="F2315">
        <f t="shared" si="72"/>
        <v>1013.1999999999999</v>
      </c>
      <c r="G2315">
        <f>SUMIF($D$2:$D2315,$D2315,$E$2:$E2315)</f>
        <v>12593</v>
      </c>
      <c r="H2315">
        <f t="shared" si="73"/>
        <v>0</v>
      </c>
    </row>
    <row r="2316" spans="1:8" x14ac:dyDescent="0.25">
      <c r="A2316" s="1">
        <v>44901</v>
      </c>
      <c r="B2316" t="s">
        <v>7</v>
      </c>
      <c r="C2316" t="s">
        <v>17</v>
      </c>
      <c r="D2316" t="s">
        <v>56</v>
      </c>
      <c r="E2316">
        <v>606</v>
      </c>
      <c r="F2316">
        <f t="shared" si="72"/>
        <v>2060.4</v>
      </c>
      <c r="G2316">
        <f>SUMIF($D$2:$D2316,$D2316,$E$2:$E2316)</f>
        <v>14756</v>
      </c>
      <c r="H2316">
        <f t="shared" si="73"/>
        <v>0</v>
      </c>
    </row>
    <row r="2317" spans="1:8" x14ac:dyDescent="0.25">
      <c r="A2317" s="1">
        <v>44901</v>
      </c>
      <c r="B2317" t="s">
        <v>8</v>
      </c>
      <c r="C2317" t="s">
        <v>17</v>
      </c>
      <c r="D2317" t="s">
        <v>56</v>
      </c>
      <c r="E2317">
        <v>276</v>
      </c>
      <c r="F2317">
        <f t="shared" si="72"/>
        <v>966</v>
      </c>
      <c r="G2317">
        <f>SUMIF($D$2:$D2317,$D2317,$E$2:$E2317)</f>
        <v>15032</v>
      </c>
      <c r="H2317">
        <f t="shared" si="73"/>
        <v>1380</v>
      </c>
    </row>
    <row r="2318" spans="1:8" x14ac:dyDescent="0.25">
      <c r="A2318" s="1">
        <v>44901</v>
      </c>
      <c r="B2318" t="s">
        <v>15</v>
      </c>
      <c r="C2318" t="s">
        <v>17</v>
      </c>
      <c r="D2318" t="s">
        <v>18</v>
      </c>
      <c r="E2318">
        <v>142</v>
      </c>
      <c r="F2318">
        <f t="shared" si="72"/>
        <v>340.8</v>
      </c>
      <c r="G2318">
        <f>SUMIF($D$2:$D2318,$D2318,$E$2:$E2318)</f>
        <v>14772</v>
      </c>
      <c r="H2318">
        <f t="shared" si="73"/>
        <v>0</v>
      </c>
    </row>
    <row r="2319" spans="1:8" x14ac:dyDescent="0.25">
      <c r="A2319" s="1">
        <v>44901</v>
      </c>
      <c r="B2319" t="s">
        <v>0</v>
      </c>
      <c r="C2319" t="s">
        <v>17</v>
      </c>
      <c r="D2319" t="s">
        <v>25</v>
      </c>
      <c r="E2319">
        <v>263</v>
      </c>
      <c r="F2319">
        <f t="shared" si="72"/>
        <v>762.69999999999993</v>
      </c>
      <c r="G2319">
        <f>SUMIF($D$2:$D2319,$D2319,$E$2:$E2319)</f>
        <v>16585</v>
      </c>
      <c r="H2319">
        <f t="shared" si="73"/>
        <v>1315</v>
      </c>
    </row>
    <row r="2320" spans="1:8" x14ac:dyDescent="0.25">
      <c r="A2320" s="1">
        <v>44901</v>
      </c>
      <c r="B2320" t="s">
        <v>5</v>
      </c>
      <c r="C2320" t="s">
        <v>17</v>
      </c>
      <c r="D2320" t="s">
        <v>48</v>
      </c>
      <c r="E2320">
        <v>81</v>
      </c>
      <c r="F2320">
        <f t="shared" si="72"/>
        <v>275.39999999999998</v>
      </c>
      <c r="G2320">
        <f>SUMIF($D$2:$D2320,$D2320,$E$2:$E2320)</f>
        <v>13572</v>
      </c>
      <c r="H2320">
        <f t="shared" si="73"/>
        <v>0</v>
      </c>
    </row>
    <row r="2321" spans="1:8" x14ac:dyDescent="0.25">
      <c r="A2321" s="1">
        <v>44901</v>
      </c>
      <c r="B2321" t="s">
        <v>10</v>
      </c>
      <c r="C2321" t="s">
        <v>17</v>
      </c>
      <c r="D2321" t="s">
        <v>32</v>
      </c>
      <c r="E2321">
        <v>347</v>
      </c>
      <c r="F2321">
        <f t="shared" si="72"/>
        <v>1179.8</v>
      </c>
      <c r="G2321">
        <f>SUMIF($D$2:$D2321,$D2321,$E$2:$E2321)</f>
        <v>14241</v>
      </c>
      <c r="H2321">
        <f t="shared" si="73"/>
        <v>0</v>
      </c>
    </row>
    <row r="2322" spans="1:8" x14ac:dyDescent="0.25">
      <c r="A2322" s="1">
        <v>44901</v>
      </c>
      <c r="B2322" t="s">
        <v>8</v>
      </c>
      <c r="C2322" t="s">
        <v>17</v>
      </c>
      <c r="D2322" t="s">
        <v>51</v>
      </c>
      <c r="E2322">
        <v>443</v>
      </c>
      <c r="F2322">
        <f t="shared" si="72"/>
        <v>1550.5</v>
      </c>
      <c r="G2322">
        <f>SUMIF($D$2:$D2322,$D2322,$E$2:$E2322)</f>
        <v>16311</v>
      </c>
      <c r="H2322">
        <f t="shared" si="73"/>
        <v>2215</v>
      </c>
    </row>
    <row r="2323" spans="1:8" x14ac:dyDescent="0.25">
      <c r="A2323" s="1">
        <v>44901</v>
      </c>
      <c r="B2323" t="s">
        <v>2</v>
      </c>
      <c r="C2323" t="s">
        <v>17</v>
      </c>
      <c r="D2323" t="s">
        <v>57</v>
      </c>
      <c r="E2323">
        <v>261</v>
      </c>
      <c r="F2323">
        <f t="shared" si="72"/>
        <v>835.2</v>
      </c>
      <c r="G2323">
        <f>SUMIF($D$2:$D2323,$D2323,$E$2:$E2323)</f>
        <v>17671</v>
      </c>
      <c r="H2323">
        <f t="shared" si="73"/>
        <v>1305</v>
      </c>
    </row>
    <row r="2324" spans="1:8" x14ac:dyDescent="0.25">
      <c r="A2324" s="1">
        <v>44902</v>
      </c>
      <c r="B2324" t="s">
        <v>8</v>
      </c>
      <c r="C2324" t="s">
        <v>17</v>
      </c>
      <c r="D2324" t="s">
        <v>56</v>
      </c>
      <c r="E2324">
        <v>389</v>
      </c>
      <c r="F2324">
        <f t="shared" si="72"/>
        <v>1361.5</v>
      </c>
      <c r="G2324">
        <f>SUMIF($D$2:$D2324,$D2324,$E$2:$E2324)</f>
        <v>15421</v>
      </c>
      <c r="H2324">
        <f t="shared" si="73"/>
        <v>1945</v>
      </c>
    </row>
    <row r="2325" spans="1:8" x14ac:dyDescent="0.25">
      <c r="A2325" s="1">
        <v>44902</v>
      </c>
      <c r="B2325" t="s">
        <v>2</v>
      </c>
      <c r="C2325" t="s">
        <v>17</v>
      </c>
      <c r="D2325" t="s">
        <v>52</v>
      </c>
      <c r="E2325">
        <v>279</v>
      </c>
      <c r="F2325">
        <f t="shared" si="72"/>
        <v>892.80000000000007</v>
      </c>
      <c r="G2325">
        <f>SUMIF($D$2:$D2325,$D2325,$E$2:$E2325)</f>
        <v>14223</v>
      </c>
      <c r="H2325">
        <f t="shared" si="73"/>
        <v>0</v>
      </c>
    </row>
    <row r="2326" spans="1:8" x14ac:dyDescent="0.25">
      <c r="A2326" s="1">
        <v>44902</v>
      </c>
      <c r="B2326" t="s">
        <v>5</v>
      </c>
      <c r="C2326" t="s">
        <v>17</v>
      </c>
      <c r="D2326" t="s">
        <v>60</v>
      </c>
      <c r="E2326">
        <v>402</v>
      </c>
      <c r="F2326">
        <f t="shared" si="72"/>
        <v>1366.8</v>
      </c>
      <c r="G2326">
        <f>SUMIF($D$2:$D2326,$D2326,$E$2:$E2326)</f>
        <v>14223</v>
      </c>
      <c r="H2326">
        <f t="shared" si="73"/>
        <v>0</v>
      </c>
    </row>
    <row r="2327" spans="1:8" x14ac:dyDescent="0.25">
      <c r="A2327" s="1">
        <v>44902</v>
      </c>
      <c r="B2327" t="s">
        <v>2</v>
      </c>
      <c r="C2327" t="s">
        <v>17</v>
      </c>
      <c r="D2327" t="s">
        <v>51</v>
      </c>
      <c r="E2327">
        <v>343</v>
      </c>
      <c r="F2327">
        <f t="shared" si="72"/>
        <v>1097.6000000000001</v>
      </c>
      <c r="G2327">
        <f>SUMIF($D$2:$D2327,$D2327,$E$2:$E2327)</f>
        <v>16654</v>
      </c>
      <c r="H2327">
        <f t="shared" si="73"/>
        <v>1715</v>
      </c>
    </row>
    <row r="2328" spans="1:8" x14ac:dyDescent="0.25">
      <c r="A2328" s="1">
        <v>44902</v>
      </c>
      <c r="B2328" t="s">
        <v>6</v>
      </c>
      <c r="C2328" t="s">
        <v>17</v>
      </c>
      <c r="D2328" t="s">
        <v>52</v>
      </c>
      <c r="E2328">
        <v>36</v>
      </c>
      <c r="F2328">
        <f t="shared" si="72"/>
        <v>122.39999999999999</v>
      </c>
      <c r="G2328">
        <f>SUMIF($D$2:$D2328,$D2328,$E$2:$E2328)</f>
        <v>14259</v>
      </c>
      <c r="H2328">
        <f t="shared" si="73"/>
        <v>0</v>
      </c>
    </row>
    <row r="2329" spans="1:8" x14ac:dyDescent="0.25">
      <c r="A2329" s="1">
        <v>44902</v>
      </c>
      <c r="B2329" t="s">
        <v>7</v>
      </c>
      <c r="C2329" t="s">
        <v>17</v>
      </c>
      <c r="D2329" t="s">
        <v>44</v>
      </c>
      <c r="E2329">
        <v>454</v>
      </c>
      <c r="F2329">
        <f t="shared" si="72"/>
        <v>1543.6</v>
      </c>
      <c r="G2329">
        <f>SUMIF($D$2:$D2329,$D2329,$E$2:$E2329)</f>
        <v>17893</v>
      </c>
      <c r="H2329">
        <f t="shared" si="73"/>
        <v>2270</v>
      </c>
    </row>
    <row r="2330" spans="1:8" x14ac:dyDescent="0.25">
      <c r="A2330" s="1">
        <v>44902</v>
      </c>
      <c r="B2330" t="s">
        <v>5</v>
      </c>
      <c r="C2330" t="s">
        <v>17</v>
      </c>
      <c r="D2330" t="s">
        <v>39</v>
      </c>
      <c r="E2330">
        <v>281</v>
      </c>
      <c r="F2330">
        <f t="shared" si="72"/>
        <v>955.4</v>
      </c>
      <c r="G2330">
        <f>SUMIF($D$2:$D2330,$D2330,$E$2:$E2330)</f>
        <v>12851</v>
      </c>
      <c r="H2330">
        <f t="shared" si="73"/>
        <v>0</v>
      </c>
    </row>
    <row r="2331" spans="1:8" x14ac:dyDescent="0.25">
      <c r="A2331" s="1">
        <v>44902</v>
      </c>
      <c r="B2331" t="s">
        <v>7</v>
      </c>
      <c r="C2331" t="s">
        <v>17</v>
      </c>
      <c r="D2331" t="s">
        <v>21</v>
      </c>
      <c r="E2331">
        <v>501</v>
      </c>
      <c r="F2331">
        <f t="shared" si="72"/>
        <v>1703.3999999999999</v>
      </c>
      <c r="G2331">
        <f>SUMIF($D$2:$D2331,$D2331,$E$2:$E2331)</f>
        <v>14179</v>
      </c>
      <c r="H2331">
        <f t="shared" si="73"/>
        <v>0</v>
      </c>
    </row>
    <row r="2332" spans="1:8" x14ac:dyDescent="0.25">
      <c r="A2332" s="1">
        <v>44902</v>
      </c>
      <c r="B2332" t="s">
        <v>6</v>
      </c>
      <c r="C2332" t="s">
        <v>17</v>
      </c>
      <c r="D2332" t="s">
        <v>41</v>
      </c>
      <c r="E2332">
        <v>22</v>
      </c>
      <c r="F2332">
        <f t="shared" si="72"/>
        <v>74.8</v>
      </c>
      <c r="G2332">
        <f>SUMIF($D$2:$D2332,$D2332,$E$2:$E2332)</f>
        <v>12497</v>
      </c>
      <c r="H2332">
        <f t="shared" si="73"/>
        <v>0</v>
      </c>
    </row>
    <row r="2333" spans="1:8" x14ac:dyDescent="0.25">
      <c r="A2333" s="1">
        <v>44902</v>
      </c>
      <c r="B2333" t="s">
        <v>5</v>
      </c>
      <c r="C2333" t="s">
        <v>17</v>
      </c>
      <c r="D2333" t="s">
        <v>29</v>
      </c>
      <c r="E2333">
        <v>247</v>
      </c>
      <c r="F2333">
        <f t="shared" si="72"/>
        <v>839.8</v>
      </c>
      <c r="G2333">
        <f>SUMIF($D$2:$D2333,$D2333,$E$2:$E2333)</f>
        <v>18979</v>
      </c>
      <c r="H2333">
        <f t="shared" si="73"/>
        <v>1235</v>
      </c>
    </row>
    <row r="2334" spans="1:8" x14ac:dyDescent="0.25">
      <c r="A2334" s="1">
        <v>44903</v>
      </c>
      <c r="B2334" t="s">
        <v>4</v>
      </c>
      <c r="C2334" t="s">
        <v>17</v>
      </c>
      <c r="D2334" t="s">
        <v>22</v>
      </c>
      <c r="E2334">
        <v>406</v>
      </c>
      <c r="F2334">
        <f t="shared" si="72"/>
        <v>1380.3999999999999</v>
      </c>
      <c r="G2334">
        <f>SUMIF($D$2:$D2334,$D2334,$E$2:$E2334)</f>
        <v>15413</v>
      </c>
      <c r="H2334">
        <f t="shared" si="73"/>
        <v>2030</v>
      </c>
    </row>
    <row r="2335" spans="1:8" x14ac:dyDescent="0.25">
      <c r="A2335" s="1">
        <v>44903</v>
      </c>
      <c r="B2335" t="s">
        <v>5</v>
      </c>
      <c r="C2335" t="s">
        <v>17</v>
      </c>
      <c r="D2335" t="s">
        <v>18</v>
      </c>
      <c r="E2335">
        <v>382</v>
      </c>
      <c r="F2335">
        <f t="shared" si="72"/>
        <v>1298.8</v>
      </c>
      <c r="G2335">
        <f>SUMIF($D$2:$D2335,$D2335,$E$2:$E2335)</f>
        <v>15154</v>
      </c>
      <c r="H2335">
        <f t="shared" si="73"/>
        <v>1910</v>
      </c>
    </row>
    <row r="2336" spans="1:8" x14ac:dyDescent="0.25">
      <c r="A2336" s="1">
        <v>44903</v>
      </c>
      <c r="B2336" t="s">
        <v>5</v>
      </c>
      <c r="C2336" t="s">
        <v>17</v>
      </c>
      <c r="D2336" t="s">
        <v>64</v>
      </c>
      <c r="E2336">
        <v>322</v>
      </c>
      <c r="F2336">
        <f t="shared" si="72"/>
        <v>1094.8</v>
      </c>
      <c r="G2336">
        <f>SUMIF($D$2:$D2336,$D2336,$E$2:$E2336)</f>
        <v>17184</v>
      </c>
      <c r="H2336">
        <f t="shared" si="73"/>
        <v>1610</v>
      </c>
    </row>
    <row r="2337" spans="1:8" x14ac:dyDescent="0.25">
      <c r="A2337" s="1">
        <v>44903</v>
      </c>
      <c r="B2337" t="s">
        <v>6</v>
      </c>
      <c r="C2337" t="s">
        <v>17</v>
      </c>
      <c r="D2337" t="s">
        <v>35</v>
      </c>
      <c r="E2337">
        <v>393</v>
      </c>
      <c r="F2337">
        <f t="shared" si="72"/>
        <v>1336.2</v>
      </c>
      <c r="G2337">
        <f>SUMIF($D$2:$D2337,$D2337,$E$2:$E2337)</f>
        <v>13141</v>
      </c>
      <c r="H2337">
        <f t="shared" si="73"/>
        <v>0</v>
      </c>
    </row>
    <row r="2338" spans="1:8" x14ac:dyDescent="0.25">
      <c r="A2338" s="1">
        <v>44903</v>
      </c>
      <c r="B2338" t="s">
        <v>5</v>
      </c>
      <c r="C2338" t="s">
        <v>17</v>
      </c>
      <c r="D2338" t="s">
        <v>57</v>
      </c>
      <c r="E2338">
        <v>109</v>
      </c>
      <c r="F2338">
        <f t="shared" si="72"/>
        <v>370.59999999999997</v>
      </c>
      <c r="G2338">
        <f>SUMIF($D$2:$D2338,$D2338,$E$2:$E2338)</f>
        <v>17780</v>
      </c>
      <c r="H2338">
        <f t="shared" si="73"/>
        <v>545</v>
      </c>
    </row>
    <row r="2339" spans="1:8" x14ac:dyDescent="0.25">
      <c r="A2339" s="1">
        <v>44903</v>
      </c>
      <c r="B2339" t="s">
        <v>8</v>
      </c>
      <c r="C2339" t="s">
        <v>17</v>
      </c>
      <c r="D2339" t="s">
        <v>31</v>
      </c>
      <c r="E2339">
        <v>421</v>
      </c>
      <c r="F2339">
        <f t="shared" si="72"/>
        <v>1473.5</v>
      </c>
      <c r="G2339">
        <f>SUMIF($D$2:$D2339,$D2339,$E$2:$E2339)</f>
        <v>16864</v>
      </c>
      <c r="H2339">
        <f t="shared" si="73"/>
        <v>2105</v>
      </c>
    </row>
    <row r="2340" spans="1:8" x14ac:dyDescent="0.25">
      <c r="A2340" s="1">
        <v>44904</v>
      </c>
      <c r="B2340" t="s">
        <v>0</v>
      </c>
      <c r="C2340" t="s">
        <v>17</v>
      </c>
      <c r="D2340" t="s">
        <v>34</v>
      </c>
      <c r="E2340">
        <v>462</v>
      </c>
      <c r="F2340">
        <f t="shared" si="72"/>
        <v>1339.8</v>
      </c>
      <c r="G2340">
        <f>SUMIF($D$2:$D2340,$D2340,$E$2:$E2340)</f>
        <v>15681</v>
      </c>
      <c r="H2340">
        <f t="shared" si="73"/>
        <v>2310</v>
      </c>
    </row>
    <row r="2341" spans="1:8" x14ac:dyDescent="0.25">
      <c r="A2341" s="1">
        <v>44904</v>
      </c>
      <c r="B2341" t="s">
        <v>0</v>
      </c>
      <c r="C2341" t="s">
        <v>17</v>
      </c>
      <c r="D2341" t="s">
        <v>28</v>
      </c>
      <c r="E2341">
        <v>263</v>
      </c>
      <c r="F2341">
        <f t="shared" si="72"/>
        <v>762.69999999999993</v>
      </c>
      <c r="G2341">
        <f>SUMIF($D$2:$D2341,$D2341,$E$2:$E2341)</f>
        <v>14222</v>
      </c>
      <c r="H2341">
        <f t="shared" si="73"/>
        <v>0</v>
      </c>
    </row>
    <row r="2342" spans="1:8" x14ac:dyDescent="0.25">
      <c r="A2342" s="1">
        <v>44904</v>
      </c>
      <c r="B2342" t="s">
        <v>5</v>
      </c>
      <c r="C2342" t="s">
        <v>17</v>
      </c>
      <c r="D2342" t="s">
        <v>39</v>
      </c>
      <c r="E2342">
        <v>65</v>
      </c>
      <c r="F2342">
        <f t="shared" si="72"/>
        <v>221</v>
      </c>
      <c r="G2342">
        <f>SUMIF($D$2:$D2342,$D2342,$E$2:$E2342)</f>
        <v>12916</v>
      </c>
      <c r="H2342">
        <f t="shared" si="73"/>
        <v>0</v>
      </c>
    </row>
    <row r="2343" spans="1:8" x14ac:dyDescent="0.25">
      <c r="A2343" s="1">
        <v>44904</v>
      </c>
      <c r="B2343" t="s">
        <v>15</v>
      </c>
      <c r="C2343" t="s">
        <v>17</v>
      </c>
      <c r="D2343" t="s">
        <v>59</v>
      </c>
      <c r="E2343">
        <v>148</v>
      </c>
      <c r="F2343">
        <f t="shared" si="72"/>
        <v>355.2</v>
      </c>
      <c r="G2343">
        <f>SUMIF($D$2:$D2343,$D2343,$E$2:$E2343)</f>
        <v>11274</v>
      </c>
      <c r="H2343">
        <f t="shared" si="73"/>
        <v>0</v>
      </c>
    </row>
    <row r="2344" spans="1:8" x14ac:dyDescent="0.25">
      <c r="A2344" s="1">
        <v>44905</v>
      </c>
      <c r="B2344" t="s">
        <v>10</v>
      </c>
      <c r="C2344" t="s">
        <v>17</v>
      </c>
      <c r="D2344" t="s">
        <v>61</v>
      </c>
      <c r="E2344">
        <v>489</v>
      </c>
      <c r="F2344">
        <f t="shared" si="72"/>
        <v>1662.6</v>
      </c>
      <c r="G2344">
        <f>SUMIF($D$2:$D2344,$D2344,$E$2:$E2344)</f>
        <v>14604</v>
      </c>
      <c r="H2344">
        <f t="shared" si="73"/>
        <v>0</v>
      </c>
    </row>
    <row r="2345" spans="1:8" x14ac:dyDescent="0.25">
      <c r="A2345" s="1">
        <v>44905</v>
      </c>
      <c r="B2345" t="s">
        <v>8</v>
      </c>
      <c r="C2345" t="s">
        <v>17</v>
      </c>
      <c r="D2345" t="s">
        <v>37</v>
      </c>
      <c r="E2345">
        <v>490</v>
      </c>
      <c r="F2345">
        <f t="shared" si="72"/>
        <v>1715</v>
      </c>
      <c r="G2345">
        <f>SUMIF($D$2:$D2345,$D2345,$E$2:$E2345)</f>
        <v>14108</v>
      </c>
      <c r="H2345">
        <f t="shared" si="73"/>
        <v>0</v>
      </c>
    </row>
    <row r="2346" spans="1:8" x14ac:dyDescent="0.25">
      <c r="A2346" s="1">
        <v>44905</v>
      </c>
      <c r="B2346" t="s">
        <v>7</v>
      </c>
      <c r="C2346" t="s">
        <v>17</v>
      </c>
      <c r="D2346" t="s">
        <v>57</v>
      </c>
      <c r="E2346">
        <v>561</v>
      </c>
      <c r="F2346">
        <f t="shared" si="72"/>
        <v>1907.3999999999999</v>
      </c>
      <c r="G2346">
        <f>SUMIF($D$2:$D2346,$D2346,$E$2:$E2346)</f>
        <v>18341</v>
      </c>
      <c r="H2346">
        <f t="shared" si="73"/>
        <v>2805</v>
      </c>
    </row>
    <row r="2347" spans="1:8" x14ac:dyDescent="0.25">
      <c r="A2347" s="1">
        <v>44905</v>
      </c>
      <c r="B2347" t="s">
        <v>4</v>
      </c>
      <c r="C2347" t="s">
        <v>17</v>
      </c>
      <c r="D2347" t="s">
        <v>60</v>
      </c>
      <c r="E2347">
        <v>465</v>
      </c>
      <c r="F2347">
        <f t="shared" si="72"/>
        <v>1581</v>
      </c>
      <c r="G2347">
        <f>SUMIF($D$2:$D2347,$D2347,$E$2:$E2347)</f>
        <v>14688</v>
      </c>
      <c r="H2347">
        <f t="shared" si="73"/>
        <v>0</v>
      </c>
    </row>
    <row r="2348" spans="1:8" x14ac:dyDescent="0.25">
      <c r="A2348" s="1">
        <v>44905</v>
      </c>
      <c r="B2348" t="s">
        <v>15</v>
      </c>
      <c r="C2348" t="s">
        <v>17</v>
      </c>
      <c r="D2348" t="s">
        <v>60</v>
      </c>
      <c r="E2348">
        <v>585</v>
      </c>
      <c r="F2348">
        <f t="shared" si="72"/>
        <v>1404</v>
      </c>
      <c r="G2348">
        <f>SUMIF($D$2:$D2348,$D2348,$E$2:$E2348)</f>
        <v>15273</v>
      </c>
      <c r="H2348">
        <f t="shared" si="73"/>
        <v>2925</v>
      </c>
    </row>
    <row r="2349" spans="1:8" x14ac:dyDescent="0.25">
      <c r="A2349" s="1">
        <v>44905</v>
      </c>
      <c r="B2349" t="s">
        <v>15</v>
      </c>
      <c r="C2349" t="s">
        <v>17</v>
      </c>
      <c r="D2349" t="s">
        <v>59</v>
      </c>
      <c r="E2349">
        <v>579</v>
      </c>
      <c r="F2349">
        <f t="shared" si="72"/>
        <v>1389.6</v>
      </c>
      <c r="G2349">
        <f>SUMIF($D$2:$D2349,$D2349,$E$2:$E2349)</f>
        <v>11853</v>
      </c>
      <c r="H2349">
        <f t="shared" si="73"/>
        <v>0</v>
      </c>
    </row>
    <row r="2350" spans="1:8" x14ac:dyDescent="0.25">
      <c r="A2350" s="1">
        <v>44905</v>
      </c>
      <c r="B2350" t="s">
        <v>15</v>
      </c>
      <c r="C2350" t="s">
        <v>17</v>
      </c>
      <c r="D2350" t="s">
        <v>64</v>
      </c>
      <c r="E2350">
        <v>382</v>
      </c>
      <c r="F2350">
        <f t="shared" si="72"/>
        <v>916.8</v>
      </c>
      <c r="G2350">
        <f>SUMIF($D$2:$D2350,$D2350,$E$2:$E2350)</f>
        <v>17566</v>
      </c>
      <c r="H2350">
        <f t="shared" si="73"/>
        <v>1910</v>
      </c>
    </row>
    <row r="2351" spans="1:8" x14ac:dyDescent="0.25">
      <c r="A2351" s="1">
        <v>44907</v>
      </c>
      <c r="B2351" t="s">
        <v>7</v>
      </c>
      <c r="C2351" t="s">
        <v>17</v>
      </c>
      <c r="D2351" t="s">
        <v>61</v>
      </c>
      <c r="E2351">
        <v>224</v>
      </c>
      <c r="F2351">
        <f t="shared" si="72"/>
        <v>761.6</v>
      </c>
      <c r="G2351">
        <f>SUMIF($D$2:$D2351,$D2351,$E$2:$E2351)</f>
        <v>14828</v>
      </c>
      <c r="H2351">
        <f t="shared" si="73"/>
        <v>0</v>
      </c>
    </row>
    <row r="2352" spans="1:8" x14ac:dyDescent="0.25">
      <c r="A2352" s="1">
        <v>44907</v>
      </c>
      <c r="B2352" t="s">
        <v>15</v>
      </c>
      <c r="C2352" t="s">
        <v>17</v>
      </c>
      <c r="D2352" t="s">
        <v>33</v>
      </c>
      <c r="E2352">
        <v>303</v>
      </c>
      <c r="F2352">
        <f t="shared" si="72"/>
        <v>727.19999999999993</v>
      </c>
      <c r="G2352">
        <f>SUMIF($D$2:$D2352,$D2352,$E$2:$E2352)</f>
        <v>17841</v>
      </c>
      <c r="H2352">
        <f t="shared" si="73"/>
        <v>1515</v>
      </c>
    </row>
    <row r="2353" spans="1:8" x14ac:dyDescent="0.25">
      <c r="A2353" s="1">
        <v>44907</v>
      </c>
      <c r="B2353" t="s">
        <v>5</v>
      </c>
      <c r="C2353" t="s">
        <v>17</v>
      </c>
      <c r="D2353" t="s">
        <v>24</v>
      </c>
      <c r="E2353">
        <v>238</v>
      </c>
      <c r="F2353">
        <f t="shared" si="72"/>
        <v>809.19999999999993</v>
      </c>
      <c r="G2353">
        <f>SUMIF($D$2:$D2353,$D2353,$E$2:$E2353)</f>
        <v>12738</v>
      </c>
      <c r="H2353">
        <f t="shared" si="73"/>
        <v>0</v>
      </c>
    </row>
    <row r="2354" spans="1:8" x14ac:dyDescent="0.25">
      <c r="A2354" s="1">
        <v>44907</v>
      </c>
      <c r="B2354" t="s">
        <v>15</v>
      </c>
      <c r="C2354" t="s">
        <v>17</v>
      </c>
      <c r="D2354" t="s">
        <v>25</v>
      </c>
      <c r="E2354">
        <v>464</v>
      </c>
      <c r="F2354">
        <f t="shared" si="72"/>
        <v>1113.5999999999999</v>
      </c>
      <c r="G2354">
        <f>SUMIF($D$2:$D2354,$D2354,$E$2:$E2354)</f>
        <v>17049</v>
      </c>
      <c r="H2354">
        <f t="shared" si="73"/>
        <v>2320</v>
      </c>
    </row>
    <row r="2355" spans="1:8" x14ac:dyDescent="0.25">
      <c r="A2355" s="1">
        <v>44907</v>
      </c>
      <c r="B2355" t="s">
        <v>4</v>
      </c>
      <c r="C2355" t="s">
        <v>17</v>
      </c>
      <c r="D2355" t="s">
        <v>33</v>
      </c>
      <c r="E2355">
        <v>579</v>
      </c>
      <c r="F2355">
        <f t="shared" si="72"/>
        <v>1968.6</v>
      </c>
      <c r="G2355">
        <f>SUMIF($D$2:$D2355,$D2355,$E$2:$E2355)</f>
        <v>18420</v>
      </c>
      <c r="H2355">
        <f t="shared" si="73"/>
        <v>2895</v>
      </c>
    </row>
    <row r="2356" spans="1:8" x14ac:dyDescent="0.25">
      <c r="A2356" s="1">
        <v>44907</v>
      </c>
      <c r="B2356" t="s">
        <v>6</v>
      </c>
      <c r="C2356" t="s">
        <v>17</v>
      </c>
      <c r="D2356" t="s">
        <v>60</v>
      </c>
      <c r="E2356">
        <v>70</v>
      </c>
      <c r="F2356">
        <f t="shared" si="72"/>
        <v>238</v>
      </c>
      <c r="G2356">
        <f>SUMIF($D$2:$D2356,$D2356,$E$2:$E2356)</f>
        <v>15343</v>
      </c>
      <c r="H2356">
        <f t="shared" si="73"/>
        <v>350</v>
      </c>
    </row>
    <row r="2357" spans="1:8" x14ac:dyDescent="0.25">
      <c r="A2357" s="1">
        <v>44907</v>
      </c>
      <c r="B2357" t="s">
        <v>8</v>
      </c>
      <c r="C2357" t="s">
        <v>17</v>
      </c>
      <c r="D2357" t="s">
        <v>53</v>
      </c>
      <c r="E2357">
        <v>654</v>
      </c>
      <c r="F2357">
        <f t="shared" si="72"/>
        <v>2289</v>
      </c>
      <c r="G2357">
        <f>SUMIF($D$2:$D2357,$D2357,$E$2:$E2357)</f>
        <v>15941</v>
      </c>
      <c r="H2357">
        <f t="shared" si="73"/>
        <v>3270</v>
      </c>
    </row>
    <row r="2358" spans="1:8" x14ac:dyDescent="0.25">
      <c r="A2358" s="1">
        <v>44907</v>
      </c>
      <c r="B2358" t="s">
        <v>7</v>
      </c>
      <c r="C2358" t="s">
        <v>17</v>
      </c>
      <c r="D2358" t="s">
        <v>41</v>
      </c>
      <c r="E2358">
        <v>364</v>
      </c>
      <c r="F2358">
        <f t="shared" si="72"/>
        <v>1237.5999999999999</v>
      </c>
      <c r="G2358">
        <f>SUMIF($D$2:$D2358,$D2358,$E$2:$E2358)</f>
        <v>12861</v>
      </c>
      <c r="H2358">
        <f t="shared" si="73"/>
        <v>0</v>
      </c>
    </row>
    <row r="2359" spans="1:8" x14ac:dyDescent="0.25">
      <c r="A2359" s="1">
        <v>44907</v>
      </c>
      <c r="B2359" t="s">
        <v>8</v>
      </c>
      <c r="C2359" t="s">
        <v>17</v>
      </c>
      <c r="D2359" t="s">
        <v>51</v>
      </c>
      <c r="E2359">
        <v>670</v>
      </c>
      <c r="F2359">
        <f t="shared" si="72"/>
        <v>2345</v>
      </c>
      <c r="G2359">
        <f>SUMIF($D$2:$D2359,$D2359,$E$2:$E2359)</f>
        <v>17324</v>
      </c>
      <c r="H2359">
        <f t="shared" si="73"/>
        <v>3350</v>
      </c>
    </row>
    <row r="2360" spans="1:8" x14ac:dyDescent="0.25">
      <c r="A2360" s="1">
        <v>44907</v>
      </c>
      <c r="B2360" t="s">
        <v>15</v>
      </c>
      <c r="C2360" t="s">
        <v>17</v>
      </c>
      <c r="D2360" t="s">
        <v>19</v>
      </c>
      <c r="E2360">
        <v>419</v>
      </c>
      <c r="F2360">
        <f t="shared" si="72"/>
        <v>1005.5999999999999</v>
      </c>
      <c r="G2360">
        <f>SUMIF($D$2:$D2360,$D2360,$E$2:$E2360)</f>
        <v>7972</v>
      </c>
      <c r="H2360">
        <f t="shared" si="73"/>
        <v>0</v>
      </c>
    </row>
    <row r="2361" spans="1:8" x14ac:dyDescent="0.25">
      <c r="A2361" s="1">
        <v>44907</v>
      </c>
      <c r="B2361" t="s">
        <v>0</v>
      </c>
      <c r="C2361" t="s">
        <v>17</v>
      </c>
      <c r="D2361" t="s">
        <v>27</v>
      </c>
      <c r="E2361">
        <v>161</v>
      </c>
      <c r="F2361">
        <f t="shared" si="72"/>
        <v>466.9</v>
      </c>
      <c r="G2361">
        <f>SUMIF($D$2:$D2361,$D2361,$E$2:$E2361)</f>
        <v>12542</v>
      </c>
      <c r="H2361">
        <f t="shared" si="73"/>
        <v>0</v>
      </c>
    </row>
    <row r="2362" spans="1:8" x14ac:dyDescent="0.25">
      <c r="A2362" s="1">
        <v>44907</v>
      </c>
      <c r="B2362" t="s">
        <v>7</v>
      </c>
      <c r="C2362" t="s">
        <v>17</v>
      </c>
      <c r="D2362" t="s">
        <v>24</v>
      </c>
      <c r="E2362">
        <v>317</v>
      </c>
      <c r="F2362">
        <f t="shared" si="72"/>
        <v>1077.8</v>
      </c>
      <c r="G2362">
        <f>SUMIF($D$2:$D2362,$D2362,$E$2:$E2362)</f>
        <v>13055</v>
      </c>
      <c r="H2362">
        <f t="shared" si="73"/>
        <v>0</v>
      </c>
    </row>
    <row r="2363" spans="1:8" x14ac:dyDescent="0.25">
      <c r="A2363" s="1">
        <v>44907</v>
      </c>
      <c r="B2363" t="s">
        <v>2</v>
      </c>
      <c r="C2363" t="s">
        <v>17</v>
      </c>
      <c r="D2363" t="s">
        <v>63</v>
      </c>
      <c r="E2363">
        <v>404</v>
      </c>
      <c r="F2363">
        <f t="shared" si="72"/>
        <v>1292.8000000000002</v>
      </c>
      <c r="G2363">
        <f>SUMIF($D$2:$D2363,$D2363,$E$2:$E2363)</f>
        <v>10573</v>
      </c>
      <c r="H2363">
        <f t="shared" si="73"/>
        <v>0</v>
      </c>
    </row>
    <row r="2364" spans="1:8" x14ac:dyDescent="0.25">
      <c r="A2364" s="1">
        <v>44908</v>
      </c>
      <c r="B2364" t="s">
        <v>15</v>
      </c>
      <c r="C2364" t="s">
        <v>17</v>
      </c>
      <c r="D2364" t="s">
        <v>62</v>
      </c>
      <c r="E2364">
        <v>459</v>
      </c>
      <c r="F2364">
        <f t="shared" si="72"/>
        <v>1101.5999999999999</v>
      </c>
      <c r="G2364">
        <f>SUMIF($D$2:$D2364,$D2364,$E$2:$E2364)</f>
        <v>13143</v>
      </c>
      <c r="H2364">
        <f t="shared" si="73"/>
        <v>0</v>
      </c>
    </row>
    <row r="2365" spans="1:8" x14ac:dyDescent="0.25">
      <c r="A2365" s="1">
        <v>44908</v>
      </c>
      <c r="B2365" t="s">
        <v>0</v>
      </c>
      <c r="C2365" t="s">
        <v>17</v>
      </c>
      <c r="D2365" t="s">
        <v>28</v>
      </c>
      <c r="E2365">
        <v>26</v>
      </c>
      <c r="F2365">
        <f t="shared" si="72"/>
        <v>75.399999999999991</v>
      </c>
      <c r="G2365">
        <f>SUMIF($D$2:$D2365,$D2365,$E$2:$E2365)</f>
        <v>14248</v>
      </c>
      <c r="H2365">
        <f t="shared" si="73"/>
        <v>0</v>
      </c>
    </row>
    <row r="2366" spans="1:8" x14ac:dyDescent="0.25">
      <c r="A2366" s="1">
        <v>44908</v>
      </c>
      <c r="B2366" t="s">
        <v>8</v>
      </c>
      <c r="C2366" t="s">
        <v>17</v>
      </c>
      <c r="D2366" t="s">
        <v>34</v>
      </c>
      <c r="E2366">
        <v>389</v>
      </c>
      <c r="F2366">
        <f t="shared" si="72"/>
        <v>1361.5</v>
      </c>
      <c r="G2366">
        <f>SUMIF($D$2:$D2366,$D2366,$E$2:$E2366)</f>
        <v>16070</v>
      </c>
      <c r="H2366">
        <f t="shared" si="73"/>
        <v>1945</v>
      </c>
    </row>
    <row r="2367" spans="1:8" x14ac:dyDescent="0.25">
      <c r="A2367" s="1">
        <v>44908</v>
      </c>
      <c r="B2367" t="s">
        <v>5</v>
      </c>
      <c r="C2367" t="s">
        <v>17</v>
      </c>
      <c r="D2367" t="s">
        <v>31</v>
      </c>
      <c r="E2367">
        <v>318</v>
      </c>
      <c r="F2367">
        <f t="shared" si="72"/>
        <v>1081.2</v>
      </c>
      <c r="G2367">
        <f>SUMIF($D$2:$D2367,$D2367,$E$2:$E2367)</f>
        <v>17182</v>
      </c>
      <c r="H2367">
        <f t="shared" si="73"/>
        <v>1590</v>
      </c>
    </row>
    <row r="2368" spans="1:8" x14ac:dyDescent="0.25">
      <c r="A2368" s="1">
        <v>44908</v>
      </c>
      <c r="B2368" t="s">
        <v>0</v>
      </c>
      <c r="C2368" t="s">
        <v>17</v>
      </c>
      <c r="D2368" t="s">
        <v>52</v>
      </c>
      <c r="E2368">
        <v>333</v>
      </c>
      <c r="F2368">
        <f t="shared" si="72"/>
        <v>965.69999999999993</v>
      </c>
      <c r="G2368">
        <f>SUMIF($D$2:$D2368,$D2368,$E$2:$E2368)</f>
        <v>14592</v>
      </c>
      <c r="H2368">
        <f t="shared" si="73"/>
        <v>0</v>
      </c>
    </row>
    <row r="2369" spans="1:8" x14ac:dyDescent="0.25">
      <c r="A2369" s="1">
        <v>44908</v>
      </c>
      <c r="B2369" t="s">
        <v>4</v>
      </c>
      <c r="C2369" t="s">
        <v>17</v>
      </c>
      <c r="D2369" t="s">
        <v>34</v>
      </c>
      <c r="E2369">
        <v>477</v>
      </c>
      <c r="F2369">
        <f t="shared" si="72"/>
        <v>1621.8</v>
      </c>
      <c r="G2369">
        <f>SUMIF($D$2:$D2369,$D2369,$E$2:$E2369)</f>
        <v>16547</v>
      </c>
      <c r="H2369">
        <f t="shared" si="73"/>
        <v>2385</v>
      </c>
    </row>
    <row r="2370" spans="1:8" x14ac:dyDescent="0.25">
      <c r="A2370" s="1">
        <v>44908</v>
      </c>
      <c r="B2370" t="s">
        <v>4</v>
      </c>
      <c r="C2370" t="s">
        <v>17</v>
      </c>
      <c r="D2370" t="s">
        <v>39</v>
      </c>
      <c r="E2370">
        <v>567</v>
      </c>
      <c r="F2370">
        <f t="shared" si="72"/>
        <v>1927.8</v>
      </c>
      <c r="G2370">
        <f>SUMIF($D$2:$D2370,$D2370,$E$2:$E2370)</f>
        <v>13483</v>
      </c>
      <c r="H2370">
        <f t="shared" si="73"/>
        <v>0</v>
      </c>
    </row>
    <row r="2371" spans="1:8" x14ac:dyDescent="0.25">
      <c r="A2371" s="1">
        <v>44908</v>
      </c>
      <c r="B2371" t="s">
        <v>10</v>
      </c>
      <c r="C2371" t="s">
        <v>17</v>
      </c>
      <c r="D2371" t="s">
        <v>23</v>
      </c>
      <c r="E2371">
        <v>256</v>
      </c>
      <c r="F2371">
        <f t="shared" ref="F2371:F2434" si="74">E2371* _xlfn.XLOOKUP(B2371,$I$2:$I$17,$J$2:$J$17,"0",0,1)</f>
        <v>870.4</v>
      </c>
      <c r="G2371">
        <f>SUMIF($D$2:$D2371,$D2371,$E$2:$E2371)</f>
        <v>11748</v>
      </c>
      <c r="H2371">
        <f t="shared" ref="H2371:H2434" si="75">IF(AND($G2371 &gt; 15000,$G2371 &lt; 20000),5*$E2371,IF($G2371 &gt;= 20000,10*$E2371,0))</f>
        <v>0</v>
      </c>
    </row>
    <row r="2372" spans="1:8" x14ac:dyDescent="0.25">
      <c r="A2372" s="1">
        <v>44908</v>
      </c>
      <c r="B2372" t="s">
        <v>0</v>
      </c>
      <c r="C2372" t="s">
        <v>17</v>
      </c>
      <c r="D2372" t="s">
        <v>41</v>
      </c>
      <c r="E2372">
        <v>377</v>
      </c>
      <c r="F2372">
        <f t="shared" si="74"/>
        <v>1093.3</v>
      </c>
      <c r="G2372">
        <f>SUMIF($D$2:$D2372,$D2372,$E$2:$E2372)</f>
        <v>13238</v>
      </c>
      <c r="H2372">
        <f t="shared" si="75"/>
        <v>0</v>
      </c>
    </row>
    <row r="2373" spans="1:8" x14ac:dyDescent="0.25">
      <c r="A2373" s="1">
        <v>44908</v>
      </c>
      <c r="B2373" t="s">
        <v>6</v>
      </c>
      <c r="C2373" t="s">
        <v>17</v>
      </c>
      <c r="D2373" t="s">
        <v>59</v>
      </c>
      <c r="E2373">
        <v>275</v>
      </c>
      <c r="F2373">
        <f t="shared" si="74"/>
        <v>935</v>
      </c>
      <c r="G2373">
        <f>SUMIF($D$2:$D2373,$D2373,$E$2:$E2373)</f>
        <v>12128</v>
      </c>
      <c r="H2373">
        <f t="shared" si="75"/>
        <v>0</v>
      </c>
    </row>
    <row r="2374" spans="1:8" x14ac:dyDescent="0.25">
      <c r="A2374" s="1">
        <v>44909</v>
      </c>
      <c r="B2374" t="s">
        <v>10</v>
      </c>
      <c r="C2374" t="s">
        <v>17</v>
      </c>
      <c r="D2374" t="s">
        <v>29</v>
      </c>
      <c r="E2374">
        <v>205</v>
      </c>
      <c r="F2374">
        <f t="shared" si="74"/>
        <v>697</v>
      </c>
      <c r="G2374">
        <f>SUMIF($D$2:$D2374,$D2374,$E$2:$E2374)</f>
        <v>19184</v>
      </c>
      <c r="H2374">
        <f t="shared" si="75"/>
        <v>1025</v>
      </c>
    </row>
    <row r="2375" spans="1:8" x14ac:dyDescent="0.25">
      <c r="A2375" s="1">
        <v>44909</v>
      </c>
      <c r="B2375" t="s">
        <v>2</v>
      </c>
      <c r="C2375" t="s">
        <v>17</v>
      </c>
      <c r="D2375" t="s">
        <v>61</v>
      </c>
      <c r="E2375">
        <v>346</v>
      </c>
      <c r="F2375">
        <f t="shared" si="74"/>
        <v>1107.2</v>
      </c>
      <c r="G2375">
        <f>SUMIF($D$2:$D2375,$D2375,$E$2:$E2375)</f>
        <v>15174</v>
      </c>
      <c r="H2375">
        <f t="shared" si="75"/>
        <v>1730</v>
      </c>
    </row>
    <row r="2376" spans="1:8" x14ac:dyDescent="0.25">
      <c r="A2376" s="1">
        <v>44909</v>
      </c>
      <c r="B2376" t="s">
        <v>4</v>
      </c>
      <c r="C2376" t="s">
        <v>17</v>
      </c>
      <c r="D2376" t="s">
        <v>41</v>
      </c>
      <c r="E2376">
        <v>432</v>
      </c>
      <c r="F2376">
        <f t="shared" si="74"/>
        <v>1468.8</v>
      </c>
      <c r="G2376">
        <f>SUMIF($D$2:$D2376,$D2376,$E$2:$E2376)</f>
        <v>13670</v>
      </c>
      <c r="H2376">
        <f t="shared" si="75"/>
        <v>0</v>
      </c>
    </row>
    <row r="2377" spans="1:8" x14ac:dyDescent="0.25">
      <c r="A2377" s="1">
        <v>44909</v>
      </c>
      <c r="B2377" t="s">
        <v>15</v>
      </c>
      <c r="C2377" t="s">
        <v>17</v>
      </c>
      <c r="D2377" t="s">
        <v>49</v>
      </c>
      <c r="E2377">
        <v>153</v>
      </c>
      <c r="F2377">
        <f t="shared" si="74"/>
        <v>367.2</v>
      </c>
      <c r="G2377">
        <f>SUMIF($D$2:$D2377,$D2377,$E$2:$E2377)</f>
        <v>12967</v>
      </c>
      <c r="H2377">
        <f t="shared" si="75"/>
        <v>0</v>
      </c>
    </row>
    <row r="2378" spans="1:8" x14ac:dyDescent="0.25">
      <c r="A2378" s="1">
        <v>44909</v>
      </c>
      <c r="B2378" t="s">
        <v>7</v>
      </c>
      <c r="C2378" t="s">
        <v>17</v>
      </c>
      <c r="D2378" t="s">
        <v>37</v>
      </c>
      <c r="E2378">
        <v>394</v>
      </c>
      <c r="F2378">
        <f t="shared" si="74"/>
        <v>1339.6</v>
      </c>
      <c r="G2378">
        <f>SUMIF($D$2:$D2378,$D2378,$E$2:$E2378)</f>
        <v>14502</v>
      </c>
      <c r="H2378">
        <f t="shared" si="75"/>
        <v>0</v>
      </c>
    </row>
    <row r="2379" spans="1:8" x14ac:dyDescent="0.25">
      <c r="A2379" s="1">
        <v>44910</v>
      </c>
      <c r="B2379" t="s">
        <v>2</v>
      </c>
      <c r="C2379" t="s">
        <v>17</v>
      </c>
      <c r="D2379" t="s">
        <v>51</v>
      </c>
      <c r="E2379">
        <v>106</v>
      </c>
      <c r="F2379">
        <f t="shared" si="74"/>
        <v>339.20000000000005</v>
      </c>
      <c r="G2379">
        <f>SUMIF($D$2:$D2379,$D2379,$E$2:$E2379)</f>
        <v>17430</v>
      </c>
      <c r="H2379">
        <f t="shared" si="75"/>
        <v>530</v>
      </c>
    </row>
    <row r="2380" spans="1:8" x14ac:dyDescent="0.25">
      <c r="A2380" s="1">
        <v>44910</v>
      </c>
      <c r="B2380" t="s">
        <v>15</v>
      </c>
      <c r="C2380" t="s">
        <v>17</v>
      </c>
      <c r="D2380" t="s">
        <v>25</v>
      </c>
      <c r="E2380">
        <v>578</v>
      </c>
      <c r="F2380">
        <f t="shared" si="74"/>
        <v>1387.2</v>
      </c>
      <c r="G2380">
        <f>SUMIF($D$2:$D2380,$D2380,$E$2:$E2380)</f>
        <v>17627</v>
      </c>
      <c r="H2380">
        <f t="shared" si="75"/>
        <v>2890</v>
      </c>
    </row>
    <row r="2381" spans="1:8" x14ac:dyDescent="0.25">
      <c r="A2381" s="1">
        <v>44910</v>
      </c>
      <c r="B2381" t="s">
        <v>8</v>
      </c>
      <c r="C2381" t="s">
        <v>17</v>
      </c>
      <c r="D2381" t="s">
        <v>57</v>
      </c>
      <c r="E2381">
        <v>337</v>
      </c>
      <c r="F2381">
        <f t="shared" si="74"/>
        <v>1179.5</v>
      </c>
      <c r="G2381">
        <f>SUMIF($D$2:$D2381,$D2381,$E$2:$E2381)</f>
        <v>18678</v>
      </c>
      <c r="H2381">
        <f t="shared" si="75"/>
        <v>1685</v>
      </c>
    </row>
    <row r="2382" spans="1:8" x14ac:dyDescent="0.25">
      <c r="A2382" s="1">
        <v>44910</v>
      </c>
      <c r="B2382" t="s">
        <v>6</v>
      </c>
      <c r="C2382" t="s">
        <v>17</v>
      </c>
      <c r="D2382" t="s">
        <v>60</v>
      </c>
      <c r="E2382">
        <v>223</v>
      </c>
      <c r="F2382">
        <f t="shared" si="74"/>
        <v>758.19999999999993</v>
      </c>
      <c r="G2382">
        <f>SUMIF($D$2:$D2382,$D2382,$E$2:$E2382)</f>
        <v>15566</v>
      </c>
      <c r="H2382">
        <f t="shared" si="75"/>
        <v>1115</v>
      </c>
    </row>
    <row r="2383" spans="1:8" x14ac:dyDescent="0.25">
      <c r="A2383" s="1">
        <v>44910</v>
      </c>
      <c r="B2383" t="s">
        <v>10</v>
      </c>
      <c r="C2383" t="s">
        <v>17</v>
      </c>
      <c r="D2383" t="s">
        <v>59</v>
      </c>
      <c r="E2383">
        <v>254</v>
      </c>
      <c r="F2383">
        <f t="shared" si="74"/>
        <v>863.6</v>
      </c>
      <c r="G2383">
        <f>SUMIF($D$2:$D2383,$D2383,$E$2:$E2383)</f>
        <v>12382</v>
      </c>
      <c r="H2383">
        <f t="shared" si="75"/>
        <v>0</v>
      </c>
    </row>
    <row r="2384" spans="1:8" x14ac:dyDescent="0.25">
      <c r="A2384" s="1">
        <v>44910</v>
      </c>
      <c r="B2384" t="s">
        <v>10</v>
      </c>
      <c r="C2384" t="s">
        <v>17</v>
      </c>
      <c r="D2384" t="s">
        <v>47</v>
      </c>
      <c r="E2384">
        <v>335</v>
      </c>
      <c r="F2384">
        <f t="shared" si="74"/>
        <v>1139</v>
      </c>
      <c r="G2384">
        <f>SUMIF($D$2:$D2384,$D2384,$E$2:$E2384)</f>
        <v>12382</v>
      </c>
      <c r="H2384">
        <f t="shared" si="75"/>
        <v>0</v>
      </c>
    </row>
    <row r="2385" spans="1:8" x14ac:dyDescent="0.25">
      <c r="A2385" s="1">
        <v>44910</v>
      </c>
      <c r="B2385" t="s">
        <v>6</v>
      </c>
      <c r="C2385" t="s">
        <v>17</v>
      </c>
      <c r="D2385" t="s">
        <v>32</v>
      </c>
      <c r="E2385">
        <v>167</v>
      </c>
      <c r="F2385">
        <f t="shared" si="74"/>
        <v>567.79999999999995</v>
      </c>
      <c r="G2385">
        <f>SUMIF($D$2:$D2385,$D2385,$E$2:$E2385)</f>
        <v>14408</v>
      </c>
      <c r="H2385">
        <f t="shared" si="75"/>
        <v>0</v>
      </c>
    </row>
    <row r="2386" spans="1:8" x14ac:dyDescent="0.25">
      <c r="A2386" s="1">
        <v>44910</v>
      </c>
      <c r="B2386" t="s">
        <v>10</v>
      </c>
      <c r="C2386" t="s">
        <v>17</v>
      </c>
      <c r="D2386" t="s">
        <v>40</v>
      </c>
      <c r="E2386">
        <v>416</v>
      </c>
      <c r="F2386">
        <f t="shared" si="74"/>
        <v>1414.3999999999999</v>
      </c>
      <c r="G2386">
        <f>SUMIF($D$2:$D2386,$D2386,$E$2:$E2386)</f>
        <v>15121</v>
      </c>
      <c r="H2386">
        <f t="shared" si="75"/>
        <v>2080</v>
      </c>
    </row>
    <row r="2387" spans="1:8" x14ac:dyDescent="0.25">
      <c r="A2387" s="1">
        <v>44911</v>
      </c>
      <c r="B2387" t="s">
        <v>2</v>
      </c>
      <c r="C2387" t="s">
        <v>17</v>
      </c>
      <c r="D2387" t="s">
        <v>34</v>
      </c>
      <c r="E2387">
        <v>25</v>
      </c>
      <c r="F2387">
        <f t="shared" si="74"/>
        <v>80</v>
      </c>
      <c r="G2387">
        <f>SUMIF($D$2:$D2387,$D2387,$E$2:$E2387)</f>
        <v>16572</v>
      </c>
      <c r="H2387">
        <f t="shared" si="75"/>
        <v>125</v>
      </c>
    </row>
    <row r="2388" spans="1:8" x14ac:dyDescent="0.25">
      <c r="A2388" s="1">
        <v>44911</v>
      </c>
      <c r="B2388" t="s">
        <v>6</v>
      </c>
      <c r="C2388" t="s">
        <v>17</v>
      </c>
      <c r="D2388" t="s">
        <v>19</v>
      </c>
      <c r="E2388">
        <v>301</v>
      </c>
      <c r="F2388">
        <f t="shared" si="74"/>
        <v>1023.4</v>
      </c>
      <c r="G2388">
        <f>SUMIF($D$2:$D2388,$D2388,$E$2:$E2388)</f>
        <v>8273</v>
      </c>
      <c r="H2388">
        <f t="shared" si="75"/>
        <v>0</v>
      </c>
    </row>
    <row r="2389" spans="1:8" x14ac:dyDescent="0.25">
      <c r="A2389" s="1">
        <v>44911</v>
      </c>
      <c r="B2389" t="s">
        <v>8</v>
      </c>
      <c r="C2389" t="s">
        <v>17</v>
      </c>
      <c r="D2389" t="s">
        <v>56</v>
      </c>
      <c r="E2389">
        <v>681</v>
      </c>
      <c r="F2389">
        <f t="shared" si="74"/>
        <v>2383.5</v>
      </c>
      <c r="G2389">
        <f>SUMIF($D$2:$D2389,$D2389,$E$2:$E2389)</f>
        <v>16102</v>
      </c>
      <c r="H2389">
        <f t="shared" si="75"/>
        <v>3405</v>
      </c>
    </row>
    <row r="2390" spans="1:8" x14ac:dyDescent="0.25">
      <c r="A2390" s="1">
        <v>44911</v>
      </c>
      <c r="B2390" t="s">
        <v>8</v>
      </c>
      <c r="C2390" t="s">
        <v>17</v>
      </c>
      <c r="D2390" t="s">
        <v>57</v>
      </c>
      <c r="E2390">
        <v>686</v>
      </c>
      <c r="F2390">
        <f t="shared" si="74"/>
        <v>2401</v>
      </c>
      <c r="G2390">
        <f>SUMIF($D$2:$D2390,$D2390,$E$2:$E2390)</f>
        <v>19364</v>
      </c>
      <c r="H2390">
        <f t="shared" si="75"/>
        <v>3430</v>
      </c>
    </row>
    <row r="2391" spans="1:8" x14ac:dyDescent="0.25">
      <c r="A2391" s="1">
        <v>44911</v>
      </c>
      <c r="B2391" t="s">
        <v>15</v>
      </c>
      <c r="C2391" t="s">
        <v>17</v>
      </c>
      <c r="D2391" t="s">
        <v>40</v>
      </c>
      <c r="E2391">
        <v>359</v>
      </c>
      <c r="F2391">
        <f t="shared" si="74"/>
        <v>861.6</v>
      </c>
      <c r="G2391">
        <f>SUMIF($D$2:$D2391,$D2391,$E$2:$E2391)</f>
        <v>15480</v>
      </c>
      <c r="H2391">
        <f t="shared" si="75"/>
        <v>1795</v>
      </c>
    </row>
    <row r="2392" spans="1:8" x14ac:dyDescent="0.25">
      <c r="A2392" s="1">
        <v>44911</v>
      </c>
      <c r="B2392" t="s">
        <v>6</v>
      </c>
      <c r="C2392" t="s">
        <v>17</v>
      </c>
      <c r="D2392" t="s">
        <v>22</v>
      </c>
      <c r="E2392">
        <v>72</v>
      </c>
      <c r="F2392">
        <f t="shared" si="74"/>
        <v>244.79999999999998</v>
      </c>
      <c r="G2392">
        <f>SUMIF($D$2:$D2392,$D2392,$E$2:$E2392)</f>
        <v>15485</v>
      </c>
      <c r="H2392">
        <f t="shared" si="75"/>
        <v>360</v>
      </c>
    </row>
    <row r="2393" spans="1:8" x14ac:dyDescent="0.25">
      <c r="A2393" s="1">
        <v>44911</v>
      </c>
      <c r="B2393" t="s">
        <v>15</v>
      </c>
      <c r="C2393" t="s">
        <v>17</v>
      </c>
      <c r="D2393" t="s">
        <v>57</v>
      </c>
      <c r="E2393">
        <v>442</v>
      </c>
      <c r="F2393">
        <f t="shared" si="74"/>
        <v>1060.8</v>
      </c>
      <c r="G2393">
        <f>SUMIF($D$2:$D2393,$D2393,$E$2:$E2393)</f>
        <v>19806</v>
      </c>
      <c r="H2393">
        <f t="shared" si="75"/>
        <v>2210</v>
      </c>
    </row>
    <row r="2394" spans="1:8" x14ac:dyDescent="0.25">
      <c r="A2394" s="1">
        <v>44911</v>
      </c>
      <c r="B2394" t="s">
        <v>4</v>
      </c>
      <c r="C2394" t="s">
        <v>17</v>
      </c>
      <c r="D2394" t="s">
        <v>47</v>
      </c>
      <c r="E2394">
        <v>645</v>
      </c>
      <c r="F2394">
        <f t="shared" si="74"/>
        <v>2193</v>
      </c>
      <c r="G2394">
        <f>SUMIF($D$2:$D2394,$D2394,$E$2:$E2394)</f>
        <v>13027</v>
      </c>
      <c r="H2394">
        <f t="shared" si="75"/>
        <v>0</v>
      </c>
    </row>
    <row r="2395" spans="1:8" x14ac:dyDescent="0.25">
      <c r="A2395" s="1">
        <v>44911</v>
      </c>
      <c r="B2395" t="s">
        <v>15</v>
      </c>
      <c r="C2395" t="s">
        <v>17</v>
      </c>
      <c r="D2395" t="s">
        <v>25</v>
      </c>
      <c r="E2395">
        <v>417</v>
      </c>
      <c r="F2395">
        <f t="shared" si="74"/>
        <v>1000.8</v>
      </c>
      <c r="G2395">
        <f>SUMIF($D$2:$D2395,$D2395,$E$2:$E2395)</f>
        <v>18044</v>
      </c>
      <c r="H2395">
        <f t="shared" si="75"/>
        <v>2085</v>
      </c>
    </row>
    <row r="2396" spans="1:8" x14ac:dyDescent="0.25">
      <c r="A2396" s="1">
        <v>44911</v>
      </c>
      <c r="B2396" t="s">
        <v>7</v>
      </c>
      <c r="C2396" t="s">
        <v>17</v>
      </c>
      <c r="D2396" t="s">
        <v>41</v>
      </c>
      <c r="E2396">
        <v>464</v>
      </c>
      <c r="F2396">
        <f t="shared" si="74"/>
        <v>1577.6</v>
      </c>
      <c r="G2396">
        <f>SUMIF($D$2:$D2396,$D2396,$E$2:$E2396)</f>
        <v>14134</v>
      </c>
      <c r="H2396">
        <f t="shared" si="75"/>
        <v>0</v>
      </c>
    </row>
    <row r="2397" spans="1:8" x14ac:dyDescent="0.25">
      <c r="A2397" s="1">
        <v>44912</v>
      </c>
      <c r="B2397" t="s">
        <v>0</v>
      </c>
      <c r="C2397" t="s">
        <v>17</v>
      </c>
      <c r="D2397" t="s">
        <v>54</v>
      </c>
      <c r="E2397">
        <v>470</v>
      </c>
      <c r="F2397">
        <f t="shared" si="74"/>
        <v>1363</v>
      </c>
      <c r="G2397">
        <f>SUMIF($D$2:$D2397,$D2397,$E$2:$E2397)</f>
        <v>17143</v>
      </c>
      <c r="H2397">
        <f t="shared" si="75"/>
        <v>2350</v>
      </c>
    </row>
    <row r="2398" spans="1:8" x14ac:dyDescent="0.25">
      <c r="A2398" s="1">
        <v>44912</v>
      </c>
      <c r="B2398" t="s">
        <v>0</v>
      </c>
      <c r="C2398" t="s">
        <v>17</v>
      </c>
      <c r="D2398" t="s">
        <v>39</v>
      </c>
      <c r="E2398">
        <v>39</v>
      </c>
      <c r="F2398">
        <f t="shared" si="74"/>
        <v>113.1</v>
      </c>
      <c r="G2398">
        <f>SUMIF($D$2:$D2398,$D2398,$E$2:$E2398)</f>
        <v>13522</v>
      </c>
      <c r="H2398">
        <f t="shared" si="75"/>
        <v>0</v>
      </c>
    </row>
    <row r="2399" spans="1:8" x14ac:dyDescent="0.25">
      <c r="A2399" s="1">
        <v>44912</v>
      </c>
      <c r="B2399" t="s">
        <v>2</v>
      </c>
      <c r="C2399" t="s">
        <v>17</v>
      </c>
      <c r="D2399" t="s">
        <v>41</v>
      </c>
      <c r="E2399">
        <v>96</v>
      </c>
      <c r="F2399">
        <f t="shared" si="74"/>
        <v>307.20000000000005</v>
      </c>
      <c r="G2399">
        <f>SUMIF($D$2:$D2399,$D2399,$E$2:$E2399)</f>
        <v>14230</v>
      </c>
      <c r="H2399">
        <f t="shared" si="75"/>
        <v>0</v>
      </c>
    </row>
    <row r="2400" spans="1:8" x14ac:dyDescent="0.25">
      <c r="A2400" s="1">
        <v>44912</v>
      </c>
      <c r="B2400" t="s">
        <v>6</v>
      </c>
      <c r="C2400" t="s">
        <v>17</v>
      </c>
      <c r="D2400" t="s">
        <v>28</v>
      </c>
      <c r="E2400">
        <v>438</v>
      </c>
      <c r="F2400">
        <f t="shared" si="74"/>
        <v>1489.2</v>
      </c>
      <c r="G2400">
        <f>SUMIF($D$2:$D2400,$D2400,$E$2:$E2400)</f>
        <v>14686</v>
      </c>
      <c r="H2400">
        <f t="shared" si="75"/>
        <v>0</v>
      </c>
    </row>
    <row r="2401" spans="1:8" x14ac:dyDescent="0.25">
      <c r="A2401" s="1">
        <v>44912</v>
      </c>
      <c r="B2401" t="s">
        <v>8</v>
      </c>
      <c r="C2401" t="s">
        <v>17</v>
      </c>
      <c r="D2401" t="s">
        <v>19</v>
      </c>
      <c r="E2401">
        <v>413</v>
      </c>
      <c r="F2401">
        <f t="shared" si="74"/>
        <v>1445.5</v>
      </c>
      <c r="G2401">
        <f>SUMIF($D$2:$D2401,$D2401,$E$2:$E2401)</f>
        <v>8686</v>
      </c>
      <c r="H2401">
        <f t="shared" si="75"/>
        <v>0</v>
      </c>
    </row>
    <row r="2402" spans="1:8" x14ac:dyDescent="0.25">
      <c r="A2402" s="1">
        <v>44912</v>
      </c>
      <c r="B2402" t="s">
        <v>0</v>
      </c>
      <c r="C2402" t="s">
        <v>17</v>
      </c>
      <c r="D2402" t="s">
        <v>54</v>
      </c>
      <c r="E2402">
        <v>153</v>
      </c>
      <c r="F2402">
        <f t="shared" si="74"/>
        <v>443.7</v>
      </c>
      <c r="G2402">
        <f>SUMIF($D$2:$D2402,$D2402,$E$2:$E2402)</f>
        <v>17296</v>
      </c>
      <c r="H2402">
        <f t="shared" si="75"/>
        <v>765</v>
      </c>
    </row>
    <row r="2403" spans="1:8" x14ac:dyDescent="0.25">
      <c r="A2403" s="1">
        <v>44914</v>
      </c>
      <c r="B2403" t="s">
        <v>10</v>
      </c>
      <c r="C2403" t="s">
        <v>17</v>
      </c>
      <c r="D2403" t="s">
        <v>33</v>
      </c>
      <c r="E2403">
        <v>418</v>
      </c>
      <c r="F2403">
        <f t="shared" si="74"/>
        <v>1421.2</v>
      </c>
      <c r="G2403">
        <f>SUMIF($D$2:$D2403,$D2403,$E$2:$E2403)</f>
        <v>18838</v>
      </c>
      <c r="H2403">
        <f t="shared" si="75"/>
        <v>2090</v>
      </c>
    </row>
    <row r="2404" spans="1:8" x14ac:dyDescent="0.25">
      <c r="A2404" s="1">
        <v>44914</v>
      </c>
      <c r="B2404" t="s">
        <v>10</v>
      </c>
      <c r="C2404" t="s">
        <v>17</v>
      </c>
      <c r="D2404" t="s">
        <v>58</v>
      </c>
      <c r="E2404">
        <v>340</v>
      </c>
      <c r="F2404">
        <f t="shared" si="74"/>
        <v>1156</v>
      </c>
      <c r="G2404">
        <f>SUMIF($D$2:$D2404,$D2404,$E$2:$E2404)</f>
        <v>12988</v>
      </c>
      <c r="H2404">
        <f t="shared" si="75"/>
        <v>0</v>
      </c>
    </row>
    <row r="2405" spans="1:8" x14ac:dyDescent="0.25">
      <c r="A2405" s="1">
        <v>44914</v>
      </c>
      <c r="B2405" t="s">
        <v>6</v>
      </c>
      <c r="C2405" t="s">
        <v>17</v>
      </c>
      <c r="D2405" t="s">
        <v>31</v>
      </c>
      <c r="E2405">
        <v>452</v>
      </c>
      <c r="F2405">
        <f t="shared" si="74"/>
        <v>1536.8</v>
      </c>
      <c r="G2405">
        <f>SUMIF($D$2:$D2405,$D2405,$E$2:$E2405)</f>
        <v>17634</v>
      </c>
      <c r="H2405">
        <f t="shared" si="75"/>
        <v>2260</v>
      </c>
    </row>
    <row r="2406" spans="1:8" x14ac:dyDescent="0.25">
      <c r="A2406" s="1">
        <v>44914</v>
      </c>
      <c r="B2406" t="s">
        <v>2</v>
      </c>
      <c r="C2406" t="s">
        <v>17</v>
      </c>
      <c r="D2406" t="s">
        <v>50</v>
      </c>
      <c r="E2406">
        <v>482</v>
      </c>
      <c r="F2406">
        <f t="shared" si="74"/>
        <v>1542.4</v>
      </c>
      <c r="G2406">
        <f>SUMIF($D$2:$D2406,$D2406,$E$2:$E2406)</f>
        <v>12151</v>
      </c>
      <c r="H2406">
        <f t="shared" si="75"/>
        <v>0</v>
      </c>
    </row>
    <row r="2407" spans="1:8" x14ac:dyDescent="0.25">
      <c r="A2407" s="1">
        <v>44914</v>
      </c>
      <c r="B2407" t="s">
        <v>7</v>
      </c>
      <c r="C2407" t="s">
        <v>17</v>
      </c>
      <c r="D2407" t="s">
        <v>55</v>
      </c>
      <c r="E2407">
        <v>283</v>
      </c>
      <c r="F2407">
        <f t="shared" si="74"/>
        <v>962.19999999999993</v>
      </c>
      <c r="G2407">
        <f>SUMIF($D$2:$D2407,$D2407,$E$2:$E2407)</f>
        <v>12997</v>
      </c>
      <c r="H2407">
        <f t="shared" si="75"/>
        <v>0</v>
      </c>
    </row>
    <row r="2408" spans="1:8" x14ac:dyDescent="0.25">
      <c r="A2408" s="1">
        <v>44914</v>
      </c>
      <c r="B2408" t="s">
        <v>10</v>
      </c>
      <c r="C2408" t="s">
        <v>17</v>
      </c>
      <c r="D2408" t="s">
        <v>33</v>
      </c>
      <c r="E2408">
        <v>272</v>
      </c>
      <c r="F2408">
        <f t="shared" si="74"/>
        <v>924.8</v>
      </c>
      <c r="G2408">
        <f>SUMIF($D$2:$D2408,$D2408,$E$2:$E2408)</f>
        <v>19110</v>
      </c>
      <c r="H2408">
        <f t="shared" si="75"/>
        <v>1360</v>
      </c>
    </row>
    <row r="2409" spans="1:8" x14ac:dyDescent="0.25">
      <c r="A2409" s="1">
        <v>44914</v>
      </c>
      <c r="B2409" t="s">
        <v>0</v>
      </c>
      <c r="C2409" t="s">
        <v>17</v>
      </c>
      <c r="D2409" t="s">
        <v>25</v>
      </c>
      <c r="E2409">
        <v>170</v>
      </c>
      <c r="F2409">
        <f t="shared" si="74"/>
        <v>493</v>
      </c>
      <c r="G2409">
        <f>SUMIF($D$2:$D2409,$D2409,$E$2:$E2409)</f>
        <v>18214</v>
      </c>
      <c r="H2409">
        <f t="shared" si="75"/>
        <v>850</v>
      </c>
    </row>
    <row r="2410" spans="1:8" x14ac:dyDescent="0.25">
      <c r="A2410" s="1">
        <v>44914</v>
      </c>
      <c r="B2410" t="s">
        <v>0</v>
      </c>
      <c r="C2410" t="s">
        <v>17</v>
      </c>
      <c r="D2410" t="s">
        <v>52</v>
      </c>
      <c r="E2410">
        <v>417</v>
      </c>
      <c r="F2410">
        <f t="shared" si="74"/>
        <v>1209.3</v>
      </c>
      <c r="G2410">
        <f>SUMIF($D$2:$D2410,$D2410,$E$2:$E2410)</f>
        <v>15009</v>
      </c>
      <c r="H2410">
        <f t="shared" si="75"/>
        <v>2085</v>
      </c>
    </row>
    <row r="2411" spans="1:8" x14ac:dyDescent="0.25">
      <c r="A2411" s="1">
        <v>44914</v>
      </c>
      <c r="B2411" t="s">
        <v>8</v>
      </c>
      <c r="C2411" t="s">
        <v>17</v>
      </c>
      <c r="D2411" t="s">
        <v>27</v>
      </c>
      <c r="E2411">
        <v>512</v>
      </c>
      <c r="F2411">
        <f t="shared" si="74"/>
        <v>1792</v>
      </c>
      <c r="G2411">
        <f>SUMIF($D$2:$D2411,$D2411,$E$2:$E2411)</f>
        <v>13054</v>
      </c>
      <c r="H2411">
        <f t="shared" si="75"/>
        <v>0</v>
      </c>
    </row>
    <row r="2412" spans="1:8" x14ac:dyDescent="0.25">
      <c r="A2412" s="1">
        <v>44914</v>
      </c>
      <c r="B2412" t="s">
        <v>0</v>
      </c>
      <c r="C2412" t="s">
        <v>17</v>
      </c>
      <c r="D2412" t="s">
        <v>57</v>
      </c>
      <c r="E2412">
        <v>261</v>
      </c>
      <c r="F2412">
        <f t="shared" si="74"/>
        <v>756.9</v>
      </c>
      <c r="G2412">
        <f>SUMIF($D$2:$D2412,$D2412,$E$2:$E2412)</f>
        <v>20067</v>
      </c>
      <c r="H2412">
        <f t="shared" si="75"/>
        <v>2610</v>
      </c>
    </row>
    <row r="2413" spans="1:8" x14ac:dyDescent="0.25">
      <c r="A2413" s="1">
        <v>44914</v>
      </c>
      <c r="B2413" t="s">
        <v>0</v>
      </c>
      <c r="C2413" t="s">
        <v>17</v>
      </c>
      <c r="D2413" t="s">
        <v>27</v>
      </c>
      <c r="E2413">
        <v>137</v>
      </c>
      <c r="F2413">
        <f t="shared" si="74"/>
        <v>397.3</v>
      </c>
      <c r="G2413">
        <f>SUMIF($D$2:$D2413,$D2413,$E$2:$E2413)</f>
        <v>13191</v>
      </c>
      <c r="H2413">
        <f t="shared" si="75"/>
        <v>0</v>
      </c>
    </row>
    <row r="2414" spans="1:8" x14ac:dyDescent="0.25">
      <c r="A2414" s="1">
        <v>44914</v>
      </c>
      <c r="B2414" t="s">
        <v>6</v>
      </c>
      <c r="C2414" t="s">
        <v>17</v>
      </c>
      <c r="D2414" t="s">
        <v>38</v>
      </c>
      <c r="E2414">
        <v>338</v>
      </c>
      <c r="F2414">
        <f t="shared" si="74"/>
        <v>1149.2</v>
      </c>
      <c r="G2414">
        <f>SUMIF($D$2:$D2414,$D2414,$E$2:$E2414)</f>
        <v>15078</v>
      </c>
      <c r="H2414">
        <f t="shared" si="75"/>
        <v>1690</v>
      </c>
    </row>
    <row r="2415" spans="1:8" x14ac:dyDescent="0.25">
      <c r="A2415" s="1">
        <v>44914</v>
      </c>
      <c r="B2415" t="s">
        <v>8</v>
      </c>
      <c r="C2415" t="s">
        <v>17</v>
      </c>
      <c r="D2415" t="s">
        <v>41</v>
      </c>
      <c r="E2415">
        <v>221</v>
      </c>
      <c r="F2415">
        <f t="shared" si="74"/>
        <v>773.5</v>
      </c>
      <c r="G2415">
        <f>SUMIF($D$2:$D2415,$D2415,$E$2:$E2415)</f>
        <v>14451</v>
      </c>
      <c r="H2415">
        <f t="shared" si="75"/>
        <v>0</v>
      </c>
    </row>
    <row r="2416" spans="1:8" x14ac:dyDescent="0.25">
      <c r="A2416" s="1">
        <v>44914</v>
      </c>
      <c r="B2416" t="s">
        <v>10</v>
      </c>
      <c r="C2416" t="s">
        <v>17</v>
      </c>
      <c r="D2416" t="s">
        <v>27</v>
      </c>
      <c r="E2416">
        <v>204</v>
      </c>
      <c r="F2416">
        <f t="shared" si="74"/>
        <v>693.6</v>
      </c>
      <c r="G2416">
        <f>SUMIF($D$2:$D2416,$D2416,$E$2:$E2416)</f>
        <v>13395</v>
      </c>
      <c r="H2416">
        <f t="shared" si="75"/>
        <v>0</v>
      </c>
    </row>
    <row r="2417" spans="1:8" x14ac:dyDescent="0.25">
      <c r="A2417" s="1">
        <v>44914</v>
      </c>
      <c r="B2417" t="s">
        <v>2</v>
      </c>
      <c r="C2417" t="s">
        <v>17</v>
      </c>
      <c r="D2417" t="s">
        <v>50</v>
      </c>
      <c r="E2417">
        <v>243</v>
      </c>
      <c r="F2417">
        <f t="shared" si="74"/>
        <v>777.6</v>
      </c>
      <c r="G2417">
        <f>SUMIF($D$2:$D2417,$D2417,$E$2:$E2417)</f>
        <v>12394</v>
      </c>
      <c r="H2417">
        <f t="shared" si="75"/>
        <v>0</v>
      </c>
    </row>
    <row r="2418" spans="1:8" x14ac:dyDescent="0.25">
      <c r="A2418" s="1">
        <v>44914</v>
      </c>
      <c r="B2418" t="s">
        <v>7</v>
      </c>
      <c r="C2418" t="s">
        <v>17</v>
      </c>
      <c r="D2418" t="s">
        <v>27</v>
      </c>
      <c r="E2418">
        <v>430</v>
      </c>
      <c r="F2418">
        <f t="shared" si="74"/>
        <v>1462</v>
      </c>
      <c r="G2418">
        <f>SUMIF($D$2:$D2418,$D2418,$E$2:$E2418)</f>
        <v>13825</v>
      </c>
      <c r="H2418">
        <f t="shared" si="75"/>
        <v>0</v>
      </c>
    </row>
    <row r="2419" spans="1:8" x14ac:dyDescent="0.25">
      <c r="A2419" s="1">
        <v>44915</v>
      </c>
      <c r="B2419" t="s">
        <v>2</v>
      </c>
      <c r="C2419" t="s">
        <v>17</v>
      </c>
      <c r="D2419" t="s">
        <v>18</v>
      </c>
      <c r="E2419">
        <v>337</v>
      </c>
      <c r="F2419">
        <f t="shared" si="74"/>
        <v>1078.4000000000001</v>
      </c>
      <c r="G2419">
        <f>SUMIF($D$2:$D2419,$D2419,$E$2:$E2419)</f>
        <v>15491</v>
      </c>
      <c r="H2419">
        <f t="shared" si="75"/>
        <v>1685</v>
      </c>
    </row>
    <row r="2420" spans="1:8" x14ac:dyDescent="0.25">
      <c r="A2420" s="1">
        <v>44915</v>
      </c>
      <c r="B2420" t="s">
        <v>4</v>
      </c>
      <c r="C2420" t="s">
        <v>17</v>
      </c>
      <c r="D2420" t="s">
        <v>38</v>
      </c>
      <c r="E2420">
        <v>689</v>
      </c>
      <c r="F2420">
        <f t="shared" si="74"/>
        <v>2342.6</v>
      </c>
      <c r="G2420">
        <f>SUMIF($D$2:$D2420,$D2420,$E$2:$E2420)</f>
        <v>15767</v>
      </c>
      <c r="H2420">
        <f t="shared" si="75"/>
        <v>3445</v>
      </c>
    </row>
    <row r="2421" spans="1:8" x14ac:dyDescent="0.25">
      <c r="A2421" s="1">
        <v>44915</v>
      </c>
      <c r="B2421" t="s">
        <v>2</v>
      </c>
      <c r="C2421" t="s">
        <v>17</v>
      </c>
      <c r="D2421" t="s">
        <v>54</v>
      </c>
      <c r="E2421">
        <v>206</v>
      </c>
      <c r="F2421">
        <f t="shared" si="74"/>
        <v>659.2</v>
      </c>
      <c r="G2421">
        <f>SUMIF($D$2:$D2421,$D2421,$E$2:$E2421)</f>
        <v>17502</v>
      </c>
      <c r="H2421">
        <f t="shared" si="75"/>
        <v>1030</v>
      </c>
    </row>
    <row r="2422" spans="1:8" x14ac:dyDescent="0.25">
      <c r="A2422" s="1">
        <v>44915</v>
      </c>
      <c r="B2422" t="s">
        <v>5</v>
      </c>
      <c r="C2422" t="s">
        <v>17</v>
      </c>
      <c r="D2422" t="s">
        <v>58</v>
      </c>
      <c r="E2422">
        <v>369</v>
      </c>
      <c r="F2422">
        <f t="shared" si="74"/>
        <v>1254.5999999999999</v>
      </c>
      <c r="G2422">
        <f>SUMIF($D$2:$D2422,$D2422,$E$2:$E2422)</f>
        <v>13357</v>
      </c>
      <c r="H2422">
        <f t="shared" si="75"/>
        <v>0</v>
      </c>
    </row>
    <row r="2423" spans="1:8" x14ac:dyDescent="0.25">
      <c r="A2423" s="1">
        <v>44915</v>
      </c>
      <c r="B2423" t="s">
        <v>7</v>
      </c>
      <c r="C2423" t="s">
        <v>17</v>
      </c>
      <c r="D2423" t="s">
        <v>57</v>
      </c>
      <c r="E2423">
        <v>590</v>
      </c>
      <c r="F2423">
        <f t="shared" si="74"/>
        <v>2006</v>
      </c>
      <c r="G2423">
        <f>SUMIF($D$2:$D2423,$D2423,$E$2:$E2423)</f>
        <v>20657</v>
      </c>
      <c r="H2423">
        <f t="shared" si="75"/>
        <v>5900</v>
      </c>
    </row>
    <row r="2424" spans="1:8" x14ac:dyDescent="0.25">
      <c r="A2424" s="1">
        <v>44915</v>
      </c>
      <c r="B2424" t="s">
        <v>5</v>
      </c>
      <c r="C2424" t="s">
        <v>17</v>
      </c>
      <c r="D2424" t="s">
        <v>22</v>
      </c>
      <c r="E2424">
        <v>356</v>
      </c>
      <c r="F2424">
        <f t="shared" si="74"/>
        <v>1210.3999999999999</v>
      </c>
      <c r="G2424">
        <f>SUMIF($D$2:$D2424,$D2424,$E$2:$E2424)</f>
        <v>15841</v>
      </c>
      <c r="H2424">
        <f t="shared" si="75"/>
        <v>1780</v>
      </c>
    </row>
    <row r="2425" spans="1:8" x14ac:dyDescent="0.25">
      <c r="A2425" s="1">
        <v>44915</v>
      </c>
      <c r="B2425" t="s">
        <v>4</v>
      </c>
      <c r="C2425" t="s">
        <v>17</v>
      </c>
      <c r="D2425" t="s">
        <v>56</v>
      </c>
      <c r="E2425">
        <v>366</v>
      </c>
      <c r="F2425">
        <f t="shared" si="74"/>
        <v>1244.3999999999999</v>
      </c>
      <c r="G2425">
        <f>SUMIF($D$2:$D2425,$D2425,$E$2:$E2425)</f>
        <v>16468</v>
      </c>
      <c r="H2425">
        <f t="shared" si="75"/>
        <v>1830</v>
      </c>
    </row>
    <row r="2426" spans="1:8" x14ac:dyDescent="0.25">
      <c r="A2426" s="1">
        <v>44916</v>
      </c>
      <c r="B2426" t="s">
        <v>0</v>
      </c>
      <c r="C2426" t="s">
        <v>17</v>
      </c>
      <c r="D2426" t="s">
        <v>55</v>
      </c>
      <c r="E2426">
        <v>216</v>
      </c>
      <c r="F2426">
        <f t="shared" si="74"/>
        <v>626.4</v>
      </c>
      <c r="G2426">
        <f>SUMIF($D$2:$D2426,$D2426,$E$2:$E2426)</f>
        <v>13213</v>
      </c>
      <c r="H2426">
        <f t="shared" si="75"/>
        <v>0</v>
      </c>
    </row>
    <row r="2427" spans="1:8" x14ac:dyDescent="0.25">
      <c r="A2427" s="1">
        <v>44916</v>
      </c>
      <c r="B2427" t="s">
        <v>8</v>
      </c>
      <c r="C2427" t="s">
        <v>17</v>
      </c>
      <c r="D2427" t="s">
        <v>34</v>
      </c>
      <c r="E2427">
        <v>320</v>
      </c>
      <c r="F2427">
        <f t="shared" si="74"/>
        <v>1120</v>
      </c>
      <c r="G2427">
        <f>SUMIF($D$2:$D2427,$D2427,$E$2:$E2427)</f>
        <v>16892</v>
      </c>
      <c r="H2427">
        <f t="shared" si="75"/>
        <v>1600</v>
      </c>
    </row>
    <row r="2428" spans="1:8" x14ac:dyDescent="0.25">
      <c r="A2428" s="1">
        <v>44916</v>
      </c>
      <c r="B2428" t="s">
        <v>2</v>
      </c>
      <c r="C2428" t="s">
        <v>17</v>
      </c>
      <c r="D2428" t="s">
        <v>31</v>
      </c>
      <c r="E2428">
        <v>165</v>
      </c>
      <c r="F2428">
        <f t="shared" si="74"/>
        <v>528</v>
      </c>
      <c r="G2428">
        <f>SUMIF($D$2:$D2428,$D2428,$E$2:$E2428)</f>
        <v>17799</v>
      </c>
      <c r="H2428">
        <f t="shared" si="75"/>
        <v>825</v>
      </c>
    </row>
    <row r="2429" spans="1:8" x14ac:dyDescent="0.25">
      <c r="A2429" s="1">
        <v>44916</v>
      </c>
      <c r="B2429" t="s">
        <v>10</v>
      </c>
      <c r="C2429" t="s">
        <v>17</v>
      </c>
      <c r="D2429" t="s">
        <v>19</v>
      </c>
      <c r="E2429">
        <v>68</v>
      </c>
      <c r="F2429">
        <f t="shared" si="74"/>
        <v>231.2</v>
      </c>
      <c r="G2429">
        <f>SUMIF($D$2:$D2429,$D2429,$E$2:$E2429)</f>
        <v>8754</v>
      </c>
      <c r="H2429">
        <f t="shared" si="75"/>
        <v>0</v>
      </c>
    </row>
    <row r="2430" spans="1:8" x14ac:dyDescent="0.25">
      <c r="A2430" s="1">
        <v>44916</v>
      </c>
      <c r="B2430" t="s">
        <v>6</v>
      </c>
      <c r="C2430" t="s">
        <v>17</v>
      </c>
      <c r="D2430" t="s">
        <v>43</v>
      </c>
      <c r="E2430">
        <v>298</v>
      </c>
      <c r="F2430">
        <f t="shared" si="74"/>
        <v>1013.1999999999999</v>
      </c>
      <c r="G2430">
        <f>SUMIF($D$2:$D2430,$D2430,$E$2:$E2430)</f>
        <v>11174</v>
      </c>
      <c r="H2430">
        <f t="shared" si="75"/>
        <v>0</v>
      </c>
    </row>
    <row r="2431" spans="1:8" x14ac:dyDescent="0.25">
      <c r="A2431" s="1">
        <v>44916</v>
      </c>
      <c r="B2431" t="s">
        <v>7</v>
      </c>
      <c r="C2431" t="s">
        <v>17</v>
      </c>
      <c r="D2431" t="s">
        <v>19</v>
      </c>
      <c r="E2431">
        <v>487</v>
      </c>
      <c r="F2431">
        <f t="shared" si="74"/>
        <v>1655.8</v>
      </c>
      <c r="G2431">
        <f>SUMIF($D$2:$D2431,$D2431,$E$2:$E2431)</f>
        <v>9241</v>
      </c>
      <c r="H2431">
        <f t="shared" si="75"/>
        <v>0</v>
      </c>
    </row>
    <row r="2432" spans="1:8" x14ac:dyDescent="0.25">
      <c r="A2432" s="1">
        <v>44917</v>
      </c>
      <c r="B2432" t="s">
        <v>7</v>
      </c>
      <c r="C2432" t="s">
        <v>17</v>
      </c>
      <c r="D2432" t="s">
        <v>30</v>
      </c>
      <c r="E2432">
        <v>494</v>
      </c>
      <c r="F2432">
        <f t="shared" si="74"/>
        <v>1679.6</v>
      </c>
      <c r="G2432">
        <f>SUMIF($D$2:$D2432,$D2432,$E$2:$E2432)</f>
        <v>15625</v>
      </c>
      <c r="H2432">
        <f t="shared" si="75"/>
        <v>2470</v>
      </c>
    </row>
    <row r="2433" spans="1:8" x14ac:dyDescent="0.25">
      <c r="A2433" s="1">
        <v>44917</v>
      </c>
      <c r="B2433" t="s">
        <v>8</v>
      </c>
      <c r="C2433" t="s">
        <v>17</v>
      </c>
      <c r="D2433" t="s">
        <v>40</v>
      </c>
      <c r="E2433">
        <v>420</v>
      </c>
      <c r="F2433">
        <f t="shared" si="74"/>
        <v>1470</v>
      </c>
      <c r="G2433">
        <f>SUMIF($D$2:$D2433,$D2433,$E$2:$E2433)</f>
        <v>15900</v>
      </c>
      <c r="H2433">
        <f t="shared" si="75"/>
        <v>2100</v>
      </c>
    </row>
    <row r="2434" spans="1:8" x14ac:dyDescent="0.25">
      <c r="A2434" s="1">
        <v>44917</v>
      </c>
      <c r="B2434" t="s">
        <v>5</v>
      </c>
      <c r="C2434" t="s">
        <v>17</v>
      </c>
      <c r="D2434" t="s">
        <v>54</v>
      </c>
      <c r="E2434">
        <v>69</v>
      </c>
      <c r="F2434">
        <f t="shared" si="74"/>
        <v>234.6</v>
      </c>
      <c r="G2434">
        <f>SUMIF($D$2:$D2434,$D2434,$E$2:$E2434)</f>
        <v>17571</v>
      </c>
      <c r="H2434">
        <f t="shared" si="75"/>
        <v>345</v>
      </c>
    </row>
    <row r="2435" spans="1:8" x14ac:dyDescent="0.25">
      <c r="A2435" s="1">
        <v>44917</v>
      </c>
      <c r="B2435" t="s">
        <v>6</v>
      </c>
      <c r="C2435" t="s">
        <v>17</v>
      </c>
      <c r="D2435" t="s">
        <v>29</v>
      </c>
      <c r="E2435">
        <v>454</v>
      </c>
      <c r="F2435">
        <f t="shared" ref="F2435:F2498" si="76">E2435* _xlfn.XLOOKUP(B2435,$I$2:$I$17,$J$2:$J$17,"0",0,1)</f>
        <v>1543.6</v>
      </c>
      <c r="G2435">
        <f>SUMIF($D$2:$D2435,$D2435,$E$2:$E2435)</f>
        <v>19638</v>
      </c>
      <c r="H2435">
        <f t="shared" ref="H2435:H2498" si="77">IF(AND($G2435 &gt; 15000,$G2435 &lt; 20000),5*$E2435,IF($G2435 &gt;= 20000,10*$E2435,0))</f>
        <v>2270</v>
      </c>
    </row>
    <row r="2436" spans="1:8" x14ac:dyDescent="0.25">
      <c r="A2436" s="1">
        <v>44918</v>
      </c>
      <c r="B2436" t="s">
        <v>4</v>
      </c>
      <c r="C2436" t="s">
        <v>17</v>
      </c>
      <c r="D2436" t="s">
        <v>18</v>
      </c>
      <c r="E2436">
        <v>549</v>
      </c>
      <c r="F2436">
        <f t="shared" si="76"/>
        <v>1866.6</v>
      </c>
      <c r="G2436">
        <f>SUMIF($D$2:$D2436,$D2436,$E$2:$E2436)</f>
        <v>16040</v>
      </c>
      <c r="H2436">
        <f t="shared" si="77"/>
        <v>2745</v>
      </c>
    </row>
    <row r="2437" spans="1:8" x14ac:dyDescent="0.25">
      <c r="A2437" s="1">
        <v>44918</v>
      </c>
      <c r="B2437" t="s">
        <v>4</v>
      </c>
      <c r="C2437" t="s">
        <v>17</v>
      </c>
      <c r="D2437" t="s">
        <v>23</v>
      </c>
      <c r="E2437">
        <v>665</v>
      </c>
      <c r="F2437">
        <f t="shared" si="76"/>
        <v>2261</v>
      </c>
      <c r="G2437">
        <f>SUMIF($D$2:$D2437,$D2437,$E$2:$E2437)</f>
        <v>12413</v>
      </c>
      <c r="H2437">
        <f t="shared" si="77"/>
        <v>0</v>
      </c>
    </row>
    <row r="2438" spans="1:8" x14ac:dyDescent="0.25">
      <c r="A2438" s="1">
        <v>44918</v>
      </c>
      <c r="B2438" t="s">
        <v>5</v>
      </c>
      <c r="C2438" t="s">
        <v>17</v>
      </c>
      <c r="D2438" t="s">
        <v>42</v>
      </c>
      <c r="E2438">
        <v>287</v>
      </c>
      <c r="F2438">
        <f t="shared" si="76"/>
        <v>975.8</v>
      </c>
      <c r="G2438">
        <f>SUMIF($D$2:$D2438,$D2438,$E$2:$E2438)</f>
        <v>12098</v>
      </c>
      <c r="H2438">
        <f t="shared" si="77"/>
        <v>0</v>
      </c>
    </row>
    <row r="2439" spans="1:8" x14ac:dyDescent="0.25">
      <c r="A2439" s="1">
        <v>44918</v>
      </c>
      <c r="B2439" t="s">
        <v>7</v>
      </c>
      <c r="C2439" t="s">
        <v>17</v>
      </c>
      <c r="D2439" t="s">
        <v>53</v>
      </c>
      <c r="E2439">
        <v>412</v>
      </c>
      <c r="F2439">
        <f t="shared" si="76"/>
        <v>1400.8</v>
      </c>
      <c r="G2439">
        <f>SUMIF($D$2:$D2439,$D2439,$E$2:$E2439)</f>
        <v>16353</v>
      </c>
      <c r="H2439">
        <f t="shared" si="77"/>
        <v>2060</v>
      </c>
    </row>
    <row r="2440" spans="1:8" x14ac:dyDescent="0.25">
      <c r="A2440" s="1">
        <v>44918</v>
      </c>
      <c r="B2440" t="s">
        <v>15</v>
      </c>
      <c r="C2440" t="s">
        <v>17</v>
      </c>
      <c r="D2440" t="s">
        <v>42</v>
      </c>
      <c r="E2440">
        <v>298</v>
      </c>
      <c r="F2440">
        <f t="shared" si="76"/>
        <v>715.19999999999993</v>
      </c>
      <c r="G2440">
        <f>SUMIF($D$2:$D2440,$D2440,$E$2:$E2440)</f>
        <v>12396</v>
      </c>
      <c r="H2440">
        <f t="shared" si="77"/>
        <v>0</v>
      </c>
    </row>
    <row r="2441" spans="1:8" x14ac:dyDescent="0.25">
      <c r="A2441" s="1">
        <v>44918</v>
      </c>
      <c r="B2441" t="s">
        <v>8</v>
      </c>
      <c r="C2441" t="s">
        <v>17</v>
      </c>
      <c r="D2441" t="s">
        <v>32</v>
      </c>
      <c r="E2441">
        <v>572</v>
      </c>
      <c r="F2441">
        <f t="shared" si="76"/>
        <v>2002</v>
      </c>
      <c r="G2441">
        <f>SUMIF($D$2:$D2441,$D2441,$E$2:$E2441)</f>
        <v>14980</v>
      </c>
      <c r="H2441">
        <f t="shared" si="77"/>
        <v>0</v>
      </c>
    </row>
    <row r="2442" spans="1:8" x14ac:dyDescent="0.25">
      <c r="A2442" s="1">
        <v>44919</v>
      </c>
      <c r="B2442" t="s">
        <v>4</v>
      </c>
      <c r="C2442" t="s">
        <v>17</v>
      </c>
      <c r="D2442" t="s">
        <v>37</v>
      </c>
      <c r="E2442">
        <v>510</v>
      </c>
      <c r="F2442">
        <f t="shared" si="76"/>
        <v>1734</v>
      </c>
      <c r="G2442">
        <f>SUMIF($D$2:$D2442,$D2442,$E$2:$E2442)</f>
        <v>15012</v>
      </c>
      <c r="H2442">
        <f t="shared" si="77"/>
        <v>2550</v>
      </c>
    </row>
    <row r="2443" spans="1:8" x14ac:dyDescent="0.25">
      <c r="A2443" s="1">
        <v>44919</v>
      </c>
      <c r="B2443" t="s">
        <v>2</v>
      </c>
      <c r="C2443" t="s">
        <v>17</v>
      </c>
      <c r="D2443" t="s">
        <v>24</v>
      </c>
      <c r="E2443">
        <v>368</v>
      </c>
      <c r="F2443">
        <f t="shared" si="76"/>
        <v>1177.6000000000001</v>
      </c>
      <c r="G2443">
        <f>SUMIF($D$2:$D2443,$D2443,$E$2:$E2443)</f>
        <v>13423</v>
      </c>
      <c r="H2443">
        <f t="shared" si="77"/>
        <v>0</v>
      </c>
    </row>
    <row r="2444" spans="1:8" x14ac:dyDescent="0.25">
      <c r="A2444" s="1">
        <v>44919</v>
      </c>
      <c r="B2444" t="s">
        <v>5</v>
      </c>
      <c r="C2444" t="s">
        <v>17</v>
      </c>
      <c r="D2444" t="s">
        <v>35</v>
      </c>
      <c r="E2444">
        <v>91</v>
      </c>
      <c r="F2444">
        <f t="shared" si="76"/>
        <v>309.39999999999998</v>
      </c>
      <c r="G2444">
        <f>SUMIF($D$2:$D2444,$D2444,$E$2:$E2444)</f>
        <v>13232</v>
      </c>
      <c r="H2444">
        <f t="shared" si="77"/>
        <v>0</v>
      </c>
    </row>
    <row r="2445" spans="1:8" x14ac:dyDescent="0.25">
      <c r="A2445" s="1">
        <v>44919</v>
      </c>
      <c r="B2445" t="s">
        <v>8</v>
      </c>
      <c r="C2445" t="s">
        <v>17</v>
      </c>
      <c r="D2445" t="s">
        <v>37</v>
      </c>
      <c r="E2445">
        <v>367</v>
      </c>
      <c r="F2445">
        <f t="shared" si="76"/>
        <v>1284.5</v>
      </c>
      <c r="G2445">
        <f>SUMIF($D$2:$D2445,$D2445,$E$2:$E2445)</f>
        <v>15379</v>
      </c>
      <c r="H2445">
        <f t="shared" si="77"/>
        <v>1835</v>
      </c>
    </row>
    <row r="2446" spans="1:8" x14ac:dyDescent="0.25">
      <c r="A2446" s="1">
        <v>44921</v>
      </c>
      <c r="B2446" t="s">
        <v>10</v>
      </c>
      <c r="C2446" t="s">
        <v>17</v>
      </c>
      <c r="D2446" t="s">
        <v>40</v>
      </c>
      <c r="E2446">
        <v>380</v>
      </c>
      <c r="F2446">
        <f t="shared" si="76"/>
        <v>1292</v>
      </c>
      <c r="G2446">
        <f>SUMIF($D$2:$D2446,$D2446,$E$2:$E2446)</f>
        <v>16280</v>
      </c>
      <c r="H2446">
        <f t="shared" si="77"/>
        <v>1900</v>
      </c>
    </row>
    <row r="2447" spans="1:8" x14ac:dyDescent="0.25">
      <c r="A2447" s="1">
        <v>44921</v>
      </c>
      <c r="B2447" t="s">
        <v>8</v>
      </c>
      <c r="C2447" t="s">
        <v>17</v>
      </c>
      <c r="D2447" t="s">
        <v>29</v>
      </c>
      <c r="E2447">
        <v>512</v>
      </c>
      <c r="F2447">
        <f t="shared" si="76"/>
        <v>1792</v>
      </c>
      <c r="G2447">
        <f>SUMIF($D$2:$D2447,$D2447,$E$2:$E2447)</f>
        <v>20150</v>
      </c>
      <c r="H2447">
        <f t="shared" si="77"/>
        <v>5120</v>
      </c>
    </row>
    <row r="2448" spans="1:8" x14ac:dyDescent="0.25">
      <c r="A2448" s="1">
        <v>44921</v>
      </c>
      <c r="B2448" t="s">
        <v>8</v>
      </c>
      <c r="C2448" t="s">
        <v>17</v>
      </c>
      <c r="D2448" t="s">
        <v>37</v>
      </c>
      <c r="E2448">
        <v>449</v>
      </c>
      <c r="F2448">
        <f t="shared" si="76"/>
        <v>1571.5</v>
      </c>
      <c r="G2448">
        <f>SUMIF($D$2:$D2448,$D2448,$E$2:$E2448)</f>
        <v>15828</v>
      </c>
      <c r="H2448">
        <f t="shared" si="77"/>
        <v>2245</v>
      </c>
    </row>
    <row r="2449" spans="1:8" x14ac:dyDescent="0.25">
      <c r="A2449" s="1">
        <v>44921</v>
      </c>
      <c r="B2449" t="s">
        <v>4</v>
      </c>
      <c r="C2449" t="s">
        <v>17</v>
      </c>
      <c r="D2449" t="s">
        <v>52</v>
      </c>
      <c r="E2449">
        <v>662</v>
      </c>
      <c r="F2449">
        <f t="shared" si="76"/>
        <v>2250.7999999999997</v>
      </c>
      <c r="G2449">
        <f>SUMIF($D$2:$D2449,$D2449,$E$2:$E2449)</f>
        <v>15671</v>
      </c>
      <c r="H2449">
        <f t="shared" si="77"/>
        <v>3310</v>
      </c>
    </row>
    <row r="2450" spans="1:8" x14ac:dyDescent="0.25">
      <c r="A2450" s="1">
        <v>44921</v>
      </c>
      <c r="B2450" t="s">
        <v>10</v>
      </c>
      <c r="C2450" t="s">
        <v>17</v>
      </c>
      <c r="D2450" t="s">
        <v>35</v>
      </c>
      <c r="E2450">
        <v>312</v>
      </c>
      <c r="F2450">
        <f t="shared" si="76"/>
        <v>1060.8</v>
      </c>
      <c r="G2450">
        <f>SUMIF($D$2:$D2450,$D2450,$E$2:$E2450)</f>
        <v>13544</v>
      </c>
      <c r="H2450">
        <f t="shared" si="77"/>
        <v>0</v>
      </c>
    </row>
    <row r="2451" spans="1:8" x14ac:dyDescent="0.25">
      <c r="A2451" s="1">
        <v>44921</v>
      </c>
      <c r="B2451" t="s">
        <v>10</v>
      </c>
      <c r="C2451" t="s">
        <v>17</v>
      </c>
      <c r="D2451" t="s">
        <v>31</v>
      </c>
      <c r="E2451">
        <v>205</v>
      </c>
      <c r="F2451">
        <f t="shared" si="76"/>
        <v>697</v>
      </c>
      <c r="G2451">
        <f>SUMIF($D$2:$D2451,$D2451,$E$2:$E2451)</f>
        <v>18004</v>
      </c>
      <c r="H2451">
        <f t="shared" si="77"/>
        <v>1025</v>
      </c>
    </row>
    <row r="2452" spans="1:8" x14ac:dyDescent="0.25">
      <c r="A2452" s="1">
        <v>44921</v>
      </c>
      <c r="B2452" t="s">
        <v>8</v>
      </c>
      <c r="C2452" t="s">
        <v>17</v>
      </c>
      <c r="D2452" t="s">
        <v>51</v>
      </c>
      <c r="E2452">
        <v>321</v>
      </c>
      <c r="F2452">
        <f t="shared" si="76"/>
        <v>1123.5</v>
      </c>
      <c r="G2452">
        <f>SUMIF($D$2:$D2452,$D2452,$E$2:$E2452)</f>
        <v>17751</v>
      </c>
      <c r="H2452">
        <f t="shared" si="77"/>
        <v>1605</v>
      </c>
    </row>
    <row r="2453" spans="1:8" x14ac:dyDescent="0.25">
      <c r="A2453" s="1">
        <v>44921</v>
      </c>
      <c r="B2453" t="s">
        <v>8</v>
      </c>
      <c r="C2453" t="s">
        <v>17</v>
      </c>
      <c r="D2453" t="s">
        <v>21</v>
      </c>
      <c r="E2453">
        <v>219</v>
      </c>
      <c r="F2453">
        <f t="shared" si="76"/>
        <v>766.5</v>
      </c>
      <c r="G2453">
        <f>SUMIF($D$2:$D2453,$D2453,$E$2:$E2453)</f>
        <v>14398</v>
      </c>
      <c r="H2453">
        <f t="shared" si="77"/>
        <v>0</v>
      </c>
    </row>
    <row r="2454" spans="1:8" x14ac:dyDescent="0.25">
      <c r="A2454" s="1">
        <v>44921</v>
      </c>
      <c r="B2454" t="s">
        <v>5</v>
      </c>
      <c r="C2454" t="s">
        <v>17</v>
      </c>
      <c r="D2454" t="s">
        <v>50</v>
      </c>
      <c r="E2454">
        <v>172</v>
      </c>
      <c r="F2454">
        <f t="shared" si="76"/>
        <v>584.79999999999995</v>
      </c>
      <c r="G2454">
        <f>SUMIF($D$2:$D2454,$D2454,$E$2:$E2454)</f>
        <v>12566</v>
      </c>
      <c r="H2454">
        <f t="shared" si="77"/>
        <v>0</v>
      </c>
    </row>
    <row r="2455" spans="1:8" x14ac:dyDescent="0.25">
      <c r="A2455" s="1">
        <v>44921</v>
      </c>
      <c r="B2455" t="s">
        <v>6</v>
      </c>
      <c r="C2455" t="s">
        <v>17</v>
      </c>
      <c r="D2455" t="s">
        <v>49</v>
      </c>
      <c r="E2455">
        <v>424</v>
      </c>
      <c r="F2455">
        <f t="shared" si="76"/>
        <v>1441.6</v>
      </c>
      <c r="G2455">
        <f>SUMIF($D$2:$D2455,$D2455,$E$2:$E2455)</f>
        <v>13391</v>
      </c>
      <c r="H2455">
        <f t="shared" si="77"/>
        <v>0</v>
      </c>
    </row>
    <row r="2456" spans="1:8" x14ac:dyDescent="0.25">
      <c r="A2456" s="1">
        <v>44921</v>
      </c>
      <c r="B2456" t="s">
        <v>2</v>
      </c>
      <c r="C2456" t="s">
        <v>17</v>
      </c>
      <c r="D2456" t="s">
        <v>32</v>
      </c>
      <c r="E2456">
        <v>401</v>
      </c>
      <c r="F2456">
        <f t="shared" si="76"/>
        <v>1283.2</v>
      </c>
      <c r="G2456">
        <f>SUMIF($D$2:$D2456,$D2456,$E$2:$E2456)</f>
        <v>15381</v>
      </c>
      <c r="H2456">
        <f t="shared" si="77"/>
        <v>2005</v>
      </c>
    </row>
    <row r="2457" spans="1:8" x14ac:dyDescent="0.25">
      <c r="A2457" s="1">
        <v>44921</v>
      </c>
      <c r="B2457" t="s">
        <v>6</v>
      </c>
      <c r="C2457" t="s">
        <v>17</v>
      </c>
      <c r="D2457" t="s">
        <v>48</v>
      </c>
      <c r="E2457">
        <v>409</v>
      </c>
      <c r="F2457">
        <f t="shared" si="76"/>
        <v>1390.6</v>
      </c>
      <c r="G2457">
        <f>SUMIF($D$2:$D2457,$D2457,$E$2:$E2457)</f>
        <v>13981</v>
      </c>
      <c r="H2457">
        <f t="shared" si="77"/>
        <v>0</v>
      </c>
    </row>
    <row r="2458" spans="1:8" x14ac:dyDescent="0.25">
      <c r="A2458" s="1">
        <v>44921</v>
      </c>
      <c r="B2458" t="s">
        <v>10</v>
      </c>
      <c r="C2458" t="s">
        <v>17</v>
      </c>
      <c r="D2458" t="s">
        <v>41</v>
      </c>
      <c r="E2458">
        <v>311</v>
      </c>
      <c r="F2458">
        <f t="shared" si="76"/>
        <v>1057.3999999999999</v>
      </c>
      <c r="G2458">
        <f>SUMIF($D$2:$D2458,$D2458,$E$2:$E2458)</f>
        <v>14762</v>
      </c>
      <c r="H2458">
        <f t="shared" si="77"/>
        <v>0</v>
      </c>
    </row>
    <row r="2459" spans="1:8" x14ac:dyDescent="0.25">
      <c r="A2459" s="1">
        <v>44921</v>
      </c>
      <c r="B2459" t="s">
        <v>6</v>
      </c>
      <c r="C2459" t="s">
        <v>17</v>
      </c>
      <c r="D2459" t="s">
        <v>47</v>
      </c>
      <c r="E2459">
        <v>75</v>
      </c>
      <c r="F2459">
        <f t="shared" si="76"/>
        <v>255</v>
      </c>
      <c r="G2459">
        <f>SUMIF($D$2:$D2459,$D2459,$E$2:$E2459)</f>
        <v>13102</v>
      </c>
      <c r="H2459">
        <f t="shared" si="77"/>
        <v>0</v>
      </c>
    </row>
    <row r="2460" spans="1:8" x14ac:dyDescent="0.25">
      <c r="A2460" s="1">
        <v>44921</v>
      </c>
      <c r="B2460" t="s">
        <v>15</v>
      </c>
      <c r="C2460" t="s">
        <v>17</v>
      </c>
      <c r="D2460" t="s">
        <v>46</v>
      </c>
      <c r="E2460">
        <v>286</v>
      </c>
      <c r="F2460">
        <f t="shared" si="76"/>
        <v>686.4</v>
      </c>
      <c r="G2460">
        <f>SUMIF($D$2:$D2460,$D2460,$E$2:$E2460)</f>
        <v>12879</v>
      </c>
      <c r="H2460">
        <f t="shared" si="77"/>
        <v>0</v>
      </c>
    </row>
    <row r="2461" spans="1:8" x14ac:dyDescent="0.25">
      <c r="A2461" s="1">
        <v>44921</v>
      </c>
      <c r="B2461" t="s">
        <v>6</v>
      </c>
      <c r="C2461" t="s">
        <v>17</v>
      </c>
      <c r="D2461" t="s">
        <v>40</v>
      </c>
      <c r="E2461">
        <v>78</v>
      </c>
      <c r="F2461">
        <f t="shared" si="76"/>
        <v>265.2</v>
      </c>
      <c r="G2461">
        <f>SUMIF($D$2:$D2461,$D2461,$E$2:$E2461)</f>
        <v>16358</v>
      </c>
      <c r="H2461">
        <f t="shared" si="77"/>
        <v>390</v>
      </c>
    </row>
    <row r="2462" spans="1:8" x14ac:dyDescent="0.25">
      <c r="A2462" s="1">
        <v>44921</v>
      </c>
      <c r="B2462" t="s">
        <v>8</v>
      </c>
      <c r="C2462" t="s">
        <v>17</v>
      </c>
      <c r="D2462" t="s">
        <v>43</v>
      </c>
      <c r="E2462">
        <v>334</v>
      </c>
      <c r="F2462">
        <f t="shared" si="76"/>
        <v>1169</v>
      </c>
      <c r="G2462">
        <f>SUMIF($D$2:$D2462,$D2462,$E$2:$E2462)</f>
        <v>11508</v>
      </c>
      <c r="H2462">
        <f t="shared" si="77"/>
        <v>0</v>
      </c>
    </row>
    <row r="2463" spans="1:8" x14ac:dyDescent="0.25">
      <c r="A2463" s="1">
        <v>44921</v>
      </c>
      <c r="B2463" t="s">
        <v>7</v>
      </c>
      <c r="C2463" t="s">
        <v>17</v>
      </c>
      <c r="D2463" t="s">
        <v>32</v>
      </c>
      <c r="E2463">
        <v>648</v>
      </c>
      <c r="F2463">
        <f t="shared" si="76"/>
        <v>2203.1999999999998</v>
      </c>
      <c r="G2463">
        <f>SUMIF($D$2:$D2463,$D2463,$E$2:$E2463)</f>
        <v>16029</v>
      </c>
      <c r="H2463">
        <f t="shared" si="77"/>
        <v>3240</v>
      </c>
    </row>
    <row r="2464" spans="1:8" x14ac:dyDescent="0.25">
      <c r="A2464" s="1">
        <v>44921</v>
      </c>
      <c r="B2464" t="s">
        <v>2</v>
      </c>
      <c r="C2464" t="s">
        <v>17</v>
      </c>
      <c r="D2464" t="s">
        <v>39</v>
      </c>
      <c r="E2464">
        <v>131</v>
      </c>
      <c r="F2464">
        <f t="shared" si="76"/>
        <v>419.20000000000005</v>
      </c>
      <c r="G2464">
        <f>SUMIF($D$2:$D2464,$D2464,$E$2:$E2464)</f>
        <v>13653</v>
      </c>
      <c r="H2464">
        <f t="shared" si="77"/>
        <v>0</v>
      </c>
    </row>
    <row r="2465" spans="1:8" x14ac:dyDescent="0.25">
      <c r="A2465" s="1">
        <v>44921</v>
      </c>
      <c r="B2465" t="s">
        <v>10</v>
      </c>
      <c r="C2465" t="s">
        <v>17</v>
      </c>
      <c r="D2465" t="s">
        <v>45</v>
      </c>
      <c r="E2465">
        <v>106</v>
      </c>
      <c r="F2465">
        <f t="shared" si="76"/>
        <v>360.4</v>
      </c>
      <c r="G2465">
        <f>SUMIF($D$2:$D2465,$D2465,$E$2:$E2465)</f>
        <v>14222</v>
      </c>
      <c r="H2465">
        <f t="shared" si="77"/>
        <v>0</v>
      </c>
    </row>
    <row r="2466" spans="1:8" x14ac:dyDescent="0.25">
      <c r="A2466" s="1">
        <v>44921</v>
      </c>
      <c r="B2466" t="s">
        <v>7</v>
      </c>
      <c r="C2466" t="s">
        <v>17</v>
      </c>
      <c r="D2466" t="s">
        <v>36</v>
      </c>
      <c r="E2466">
        <v>553</v>
      </c>
      <c r="F2466">
        <f t="shared" si="76"/>
        <v>1880.2</v>
      </c>
      <c r="G2466">
        <f>SUMIF($D$2:$D2466,$D2466,$E$2:$E2466)</f>
        <v>13466</v>
      </c>
      <c r="H2466">
        <f t="shared" si="77"/>
        <v>0</v>
      </c>
    </row>
    <row r="2467" spans="1:8" x14ac:dyDescent="0.25">
      <c r="A2467" s="1">
        <v>44921</v>
      </c>
      <c r="B2467" t="s">
        <v>4</v>
      </c>
      <c r="C2467" t="s">
        <v>17</v>
      </c>
      <c r="D2467" t="s">
        <v>44</v>
      </c>
      <c r="E2467">
        <v>562</v>
      </c>
      <c r="F2467">
        <f t="shared" si="76"/>
        <v>1910.8</v>
      </c>
      <c r="G2467">
        <f>SUMIF($D$2:$D2467,$D2467,$E$2:$E2467)</f>
        <v>18455</v>
      </c>
      <c r="H2467">
        <f t="shared" si="77"/>
        <v>2810</v>
      </c>
    </row>
    <row r="2468" spans="1:8" x14ac:dyDescent="0.25">
      <c r="A2468" s="1">
        <v>44922</v>
      </c>
      <c r="B2468" t="s">
        <v>10</v>
      </c>
      <c r="C2468" t="s">
        <v>17</v>
      </c>
      <c r="D2468" t="s">
        <v>36</v>
      </c>
      <c r="E2468">
        <v>444</v>
      </c>
      <c r="F2468">
        <f t="shared" si="76"/>
        <v>1509.6</v>
      </c>
      <c r="G2468">
        <f>SUMIF($D$2:$D2468,$D2468,$E$2:$E2468)</f>
        <v>13910</v>
      </c>
      <c r="H2468">
        <f t="shared" si="77"/>
        <v>0</v>
      </c>
    </row>
    <row r="2469" spans="1:8" x14ac:dyDescent="0.25">
      <c r="A2469" s="1">
        <v>44922</v>
      </c>
      <c r="B2469" t="s">
        <v>6</v>
      </c>
      <c r="C2469" t="s">
        <v>17</v>
      </c>
      <c r="D2469" t="s">
        <v>43</v>
      </c>
      <c r="E2469">
        <v>162</v>
      </c>
      <c r="F2469">
        <f t="shared" si="76"/>
        <v>550.79999999999995</v>
      </c>
      <c r="G2469">
        <f>SUMIF($D$2:$D2469,$D2469,$E$2:$E2469)</f>
        <v>11670</v>
      </c>
      <c r="H2469">
        <f t="shared" si="77"/>
        <v>0</v>
      </c>
    </row>
    <row r="2470" spans="1:8" x14ac:dyDescent="0.25">
      <c r="A2470" s="1">
        <v>44922</v>
      </c>
      <c r="B2470" t="s">
        <v>10</v>
      </c>
      <c r="C2470" t="s">
        <v>17</v>
      </c>
      <c r="D2470" t="s">
        <v>36</v>
      </c>
      <c r="E2470">
        <v>70</v>
      </c>
      <c r="F2470">
        <f t="shared" si="76"/>
        <v>238</v>
      </c>
      <c r="G2470">
        <f>SUMIF($D$2:$D2470,$D2470,$E$2:$E2470)</f>
        <v>13980</v>
      </c>
      <c r="H2470">
        <f t="shared" si="77"/>
        <v>0</v>
      </c>
    </row>
    <row r="2471" spans="1:8" x14ac:dyDescent="0.25">
      <c r="A2471" s="1">
        <v>44922</v>
      </c>
      <c r="B2471" t="s">
        <v>2</v>
      </c>
      <c r="C2471" t="s">
        <v>17</v>
      </c>
      <c r="D2471" t="s">
        <v>42</v>
      </c>
      <c r="E2471">
        <v>496</v>
      </c>
      <c r="F2471">
        <f t="shared" si="76"/>
        <v>1587.2</v>
      </c>
      <c r="G2471">
        <f>SUMIF($D$2:$D2471,$D2471,$E$2:$E2471)</f>
        <v>12892</v>
      </c>
      <c r="H2471">
        <f t="shared" si="77"/>
        <v>0</v>
      </c>
    </row>
    <row r="2472" spans="1:8" x14ac:dyDescent="0.25">
      <c r="A2472" s="1">
        <v>44922</v>
      </c>
      <c r="B2472" t="s">
        <v>2</v>
      </c>
      <c r="C2472" t="s">
        <v>17</v>
      </c>
      <c r="D2472" t="s">
        <v>42</v>
      </c>
      <c r="E2472">
        <v>287</v>
      </c>
      <c r="F2472">
        <f t="shared" si="76"/>
        <v>918.40000000000009</v>
      </c>
      <c r="G2472">
        <f>SUMIF($D$2:$D2472,$D2472,$E$2:$E2472)</f>
        <v>13179</v>
      </c>
      <c r="H2472">
        <f t="shared" si="77"/>
        <v>0</v>
      </c>
    </row>
    <row r="2473" spans="1:8" x14ac:dyDescent="0.25">
      <c r="A2473" s="1">
        <v>44922</v>
      </c>
      <c r="B2473" t="s">
        <v>10</v>
      </c>
      <c r="C2473" t="s">
        <v>17</v>
      </c>
      <c r="D2473" t="s">
        <v>41</v>
      </c>
      <c r="E2473">
        <v>407</v>
      </c>
      <c r="F2473">
        <f t="shared" si="76"/>
        <v>1383.8</v>
      </c>
      <c r="G2473">
        <f>SUMIF($D$2:$D2473,$D2473,$E$2:$E2473)</f>
        <v>15169</v>
      </c>
      <c r="H2473">
        <f t="shared" si="77"/>
        <v>2035</v>
      </c>
    </row>
    <row r="2474" spans="1:8" x14ac:dyDescent="0.25">
      <c r="A2474" s="1">
        <v>44923</v>
      </c>
      <c r="B2474" t="s">
        <v>10</v>
      </c>
      <c r="C2474" t="s">
        <v>17</v>
      </c>
      <c r="D2474" t="s">
        <v>40</v>
      </c>
      <c r="E2474">
        <v>361</v>
      </c>
      <c r="F2474">
        <f t="shared" si="76"/>
        <v>1227.3999999999999</v>
      </c>
      <c r="G2474">
        <f>SUMIF($D$2:$D2474,$D2474,$E$2:$E2474)</f>
        <v>16719</v>
      </c>
      <c r="H2474">
        <f t="shared" si="77"/>
        <v>1805</v>
      </c>
    </row>
    <row r="2475" spans="1:8" x14ac:dyDescent="0.25">
      <c r="A2475" s="1">
        <v>44923</v>
      </c>
      <c r="B2475" t="s">
        <v>15</v>
      </c>
      <c r="C2475" t="s">
        <v>17</v>
      </c>
      <c r="D2475" t="s">
        <v>39</v>
      </c>
      <c r="E2475">
        <v>154</v>
      </c>
      <c r="F2475">
        <f t="shared" si="76"/>
        <v>369.59999999999997</v>
      </c>
      <c r="G2475">
        <f>SUMIF($D$2:$D2475,$D2475,$E$2:$E2475)</f>
        <v>13807</v>
      </c>
      <c r="H2475">
        <f t="shared" si="77"/>
        <v>0</v>
      </c>
    </row>
    <row r="2476" spans="1:8" x14ac:dyDescent="0.25">
      <c r="A2476" s="1">
        <v>44923</v>
      </c>
      <c r="B2476" t="s">
        <v>8</v>
      </c>
      <c r="C2476" t="s">
        <v>17</v>
      </c>
      <c r="D2476" t="s">
        <v>38</v>
      </c>
      <c r="E2476">
        <v>395</v>
      </c>
      <c r="F2476">
        <f t="shared" si="76"/>
        <v>1382.5</v>
      </c>
      <c r="G2476">
        <f>SUMIF($D$2:$D2476,$D2476,$E$2:$E2476)</f>
        <v>16162</v>
      </c>
      <c r="H2476">
        <f t="shared" si="77"/>
        <v>1975</v>
      </c>
    </row>
    <row r="2477" spans="1:8" x14ac:dyDescent="0.25">
      <c r="A2477" s="1">
        <v>44923</v>
      </c>
      <c r="B2477" t="s">
        <v>10</v>
      </c>
      <c r="C2477" t="s">
        <v>17</v>
      </c>
      <c r="D2477" t="s">
        <v>37</v>
      </c>
      <c r="E2477">
        <v>480</v>
      </c>
      <c r="F2477">
        <f t="shared" si="76"/>
        <v>1632</v>
      </c>
      <c r="G2477">
        <f>SUMIF($D$2:$D2477,$D2477,$E$2:$E2477)</f>
        <v>16308</v>
      </c>
      <c r="H2477">
        <f t="shared" si="77"/>
        <v>2400</v>
      </c>
    </row>
    <row r="2478" spans="1:8" x14ac:dyDescent="0.25">
      <c r="A2478" s="1">
        <v>44923</v>
      </c>
      <c r="B2478" t="s">
        <v>4</v>
      </c>
      <c r="C2478" t="s">
        <v>17</v>
      </c>
      <c r="D2478" t="s">
        <v>36</v>
      </c>
      <c r="E2478">
        <v>447</v>
      </c>
      <c r="F2478">
        <f t="shared" si="76"/>
        <v>1519.8</v>
      </c>
      <c r="G2478">
        <f>SUMIF($D$2:$D2478,$D2478,$E$2:$E2478)</f>
        <v>14427</v>
      </c>
      <c r="H2478">
        <f t="shared" si="77"/>
        <v>0</v>
      </c>
    </row>
    <row r="2479" spans="1:8" x14ac:dyDescent="0.25">
      <c r="A2479" s="1">
        <v>44923</v>
      </c>
      <c r="B2479" t="s">
        <v>10</v>
      </c>
      <c r="C2479" t="s">
        <v>17</v>
      </c>
      <c r="D2479" t="s">
        <v>24</v>
      </c>
      <c r="E2479">
        <v>313</v>
      </c>
      <c r="F2479">
        <f t="shared" si="76"/>
        <v>1064.2</v>
      </c>
      <c r="G2479">
        <f>SUMIF($D$2:$D2479,$D2479,$E$2:$E2479)</f>
        <v>13736</v>
      </c>
      <c r="H2479">
        <f t="shared" si="77"/>
        <v>0</v>
      </c>
    </row>
    <row r="2480" spans="1:8" x14ac:dyDescent="0.25">
      <c r="A2480" s="1">
        <v>44923</v>
      </c>
      <c r="B2480" t="s">
        <v>0</v>
      </c>
      <c r="C2480" t="s">
        <v>17</v>
      </c>
      <c r="D2480" t="s">
        <v>35</v>
      </c>
      <c r="E2480">
        <v>33</v>
      </c>
      <c r="F2480">
        <f t="shared" si="76"/>
        <v>95.7</v>
      </c>
      <c r="G2480">
        <f>SUMIF($D$2:$D2480,$D2480,$E$2:$E2480)</f>
        <v>13577</v>
      </c>
      <c r="H2480">
        <f t="shared" si="77"/>
        <v>0</v>
      </c>
    </row>
    <row r="2481" spans="1:8" x14ac:dyDescent="0.25">
      <c r="A2481" s="1">
        <v>44924</v>
      </c>
      <c r="B2481" t="s">
        <v>8</v>
      </c>
      <c r="C2481" t="s">
        <v>17</v>
      </c>
      <c r="D2481" t="s">
        <v>34</v>
      </c>
      <c r="E2481">
        <v>509</v>
      </c>
      <c r="F2481">
        <f t="shared" si="76"/>
        <v>1781.5</v>
      </c>
      <c r="G2481">
        <f>SUMIF($D$2:$D2481,$D2481,$E$2:$E2481)</f>
        <v>17401</v>
      </c>
      <c r="H2481">
        <f t="shared" si="77"/>
        <v>2545</v>
      </c>
    </row>
    <row r="2482" spans="1:8" x14ac:dyDescent="0.25">
      <c r="A2482" s="1">
        <v>44924</v>
      </c>
      <c r="B2482" t="s">
        <v>6</v>
      </c>
      <c r="C2482" t="s">
        <v>17</v>
      </c>
      <c r="D2482" t="s">
        <v>16</v>
      </c>
      <c r="E2482">
        <v>445</v>
      </c>
      <c r="F2482">
        <f t="shared" si="76"/>
        <v>1513</v>
      </c>
      <c r="G2482">
        <f>SUMIF($D$2:$D2482,$D2482,$E$2:$E2482)</f>
        <v>12597</v>
      </c>
      <c r="H2482">
        <f t="shared" si="77"/>
        <v>0</v>
      </c>
    </row>
    <row r="2483" spans="1:8" x14ac:dyDescent="0.25">
      <c r="A2483" s="1">
        <v>44924</v>
      </c>
      <c r="B2483" t="s">
        <v>2</v>
      </c>
      <c r="C2483" t="s">
        <v>17</v>
      </c>
      <c r="D2483" t="s">
        <v>31</v>
      </c>
      <c r="E2483">
        <v>219</v>
      </c>
      <c r="F2483">
        <f t="shared" si="76"/>
        <v>700.80000000000007</v>
      </c>
      <c r="G2483">
        <f>SUMIF($D$2:$D2483,$D2483,$E$2:$E2483)</f>
        <v>18223</v>
      </c>
      <c r="H2483">
        <f t="shared" si="77"/>
        <v>1095</v>
      </c>
    </row>
    <row r="2484" spans="1:8" x14ac:dyDescent="0.25">
      <c r="A2484" s="1">
        <v>44924</v>
      </c>
      <c r="B2484" t="s">
        <v>15</v>
      </c>
      <c r="C2484" t="s">
        <v>17</v>
      </c>
      <c r="D2484" t="s">
        <v>33</v>
      </c>
      <c r="E2484">
        <v>354</v>
      </c>
      <c r="F2484">
        <f t="shared" si="76"/>
        <v>849.6</v>
      </c>
      <c r="G2484">
        <f>SUMIF($D$2:$D2484,$D2484,$E$2:$E2484)</f>
        <v>19464</v>
      </c>
      <c r="H2484">
        <f t="shared" si="77"/>
        <v>1770</v>
      </c>
    </row>
    <row r="2485" spans="1:8" x14ac:dyDescent="0.25">
      <c r="A2485" s="1">
        <v>44925</v>
      </c>
      <c r="B2485" t="s">
        <v>7</v>
      </c>
      <c r="C2485" t="s">
        <v>17</v>
      </c>
      <c r="D2485" t="s">
        <v>32</v>
      </c>
      <c r="E2485">
        <v>593</v>
      </c>
      <c r="F2485">
        <f t="shared" si="76"/>
        <v>2016.2</v>
      </c>
      <c r="G2485">
        <f>SUMIF($D$2:$D2485,$D2485,$E$2:$E2485)</f>
        <v>16622</v>
      </c>
      <c r="H2485">
        <f t="shared" si="77"/>
        <v>2965</v>
      </c>
    </row>
    <row r="2486" spans="1:8" x14ac:dyDescent="0.25">
      <c r="A2486" s="1">
        <v>44925</v>
      </c>
      <c r="B2486" t="s">
        <v>0</v>
      </c>
      <c r="C2486" t="s">
        <v>17</v>
      </c>
      <c r="D2486" t="s">
        <v>31</v>
      </c>
      <c r="E2486">
        <v>210</v>
      </c>
      <c r="F2486">
        <f t="shared" si="76"/>
        <v>609</v>
      </c>
      <c r="G2486">
        <f>SUMIF($D$2:$D2486,$D2486,$E$2:$E2486)</f>
        <v>18433</v>
      </c>
      <c r="H2486">
        <f t="shared" si="77"/>
        <v>1050</v>
      </c>
    </row>
    <row r="2487" spans="1:8" x14ac:dyDescent="0.25">
      <c r="A2487" s="1">
        <v>44925</v>
      </c>
      <c r="B2487" t="s">
        <v>6</v>
      </c>
      <c r="C2487" t="s">
        <v>17</v>
      </c>
      <c r="D2487" t="s">
        <v>30</v>
      </c>
      <c r="E2487">
        <v>200</v>
      </c>
      <c r="F2487">
        <f t="shared" si="76"/>
        <v>680</v>
      </c>
      <c r="G2487">
        <f>SUMIF($D$2:$D2487,$D2487,$E$2:$E2487)</f>
        <v>15825</v>
      </c>
      <c r="H2487">
        <f t="shared" si="77"/>
        <v>1000</v>
      </c>
    </row>
    <row r="2488" spans="1:8" x14ac:dyDescent="0.25">
      <c r="A2488" s="1">
        <v>44925</v>
      </c>
      <c r="B2488" t="s">
        <v>4</v>
      </c>
      <c r="C2488" t="s">
        <v>17</v>
      </c>
      <c r="D2488" t="s">
        <v>26</v>
      </c>
      <c r="E2488">
        <v>403</v>
      </c>
      <c r="F2488">
        <f t="shared" si="76"/>
        <v>1370.2</v>
      </c>
      <c r="G2488">
        <f>SUMIF($D$2:$D2488,$D2488,$E$2:$E2488)</f>
        <v>18804</v>
      </c>
      <c r="H2488">
        <f t="shared" si="77"/>
        <v>2015</v>
      </c>
    </row>
    <row r="2489" spans="1:8" x14ac:dyDescent="0.25">
      <c r="A2489" s="1">
        <v>44925</v>
      </c>
      <c r="B2489" t="s">
        <v>6</v>
      </c>
      <c r="C2489" t="s">
        <v>17</v>
      </c>
      <c r="D2489" t="s">
        <v>29</v>
      </c>
      <c r="E2489">
        <v>173</v>
      </c>
      <c r="F2489">
        <f t="shared" si="76"/>
        <v>588.19999999999993</v>
      </c>
      <c r="G2489">
        <f>SUMIF($D$2:$D2489,$D2489,$E$2:$E2489)</f>
        <v>20323</v>
      </c>
      <c r="H2489">
        <f t="shared" si="77"/>
        <v>1730</v>
      </c>
    </row>
    <row r="2490" spans="1:8" x14ac:dyDescent="0.25">
      <c r="A2490" s="1">
        <v>44925</v>
      </c>
      <c r="B2490" t="s">
        <v>6</v>
      </c>
      <c r="C2490" t="s">
        <v>17</v>
      </c>
      <c r="D2490" t="s">
        <v>28</v>
      </c>
      <c r="E2490">
        <v>307</v>
      </c>
      <c r="F2490">
        <f t="shared" si="76"/>
        <v>1043.8</v>
      </c>
      <c r="G2490">
        <f>SUMIF($D$2:$D2490,$D2490,$E$2:$E2490)</f>
        <v>14993</v>
      </c>
      <c r="H2490">
        <f t="shared" si="77"/>
        <v>0</v>
      </c>
    </row>
    <row r="2491" spans="1:8" x14ac:dyDescent="0.25">
      <c r="A2491" s="1">
        <v>44925</v>
      </c>
      <c r="B2491" t="s">
        <v>5</v>
      </c>
      <c r="C2491" t="s">
        <v>17</v>
      </c>
      <c r="D2491" t="s">
        <v>27</v>
      </c>
      <c r="E2491">
        <v>389</v>
      </c>
      <c r="F2491">
        <f t="shared" si="76"/>
        <v>1322.6</v>
      </c>
      <c r="G2491">
        <f>SUMIF($D$2:$D2491,$D2491,$E$2:$E2491)</f>
        <v>14214</v>
      </c>
      <c r="H2491">
        <f t="shared" si="77"/>
        <v>0</v>
      </c>
    </row>
    <row r="2492" spans="1:8" x14ac:dyDescent="0.25">
      <c r="A2492" s="1">
        <v>44926</v>
      </c>
      <c r="B2492" t="s">
        <v>8</v>
      </c>
      <c r="C2492" t="s">
        <v>17</v>
      </c>
      <c r="D2492" t="s">
        <v>26</v>
      </c>
      <c r="E2492">
        <v>436</v>
      </c>
      <c r="F2492">
        <f t="shared" si="76"/>
        <v>1526</v>
      </c>
      <c r="G2492">
        <f>SUMIF($D$2:$D2492,$D2492,$E$2:$E2492)</f>
        <v>19240</v>
      </c>
      <c r="H2492">
        <f t="shared" si="77"/>
        <v>2180</v>
      </c>
    </row>
    <row r="2493" spans="1:8" x14ac:dyDescent="0.25">
      <c r="A2493" s="1">
        <v>44926</v>
      </c>
      <c r="B2493" t="s">
        <v>2</v>
      </c>
      <c r="C2493" t="s">
        <v>17</v>
      </c>
      <c r="D2493" t="s">
        <v>25</v>
      </c>
      <c r="E2493">
        <v>79</v>
      </c>
      <c r="F2493">
        <f t="shared" si="76"/>
        <v>252.8</v>
      </c>
      <c r="G2493">
        <f>SUMIF($D$2:$D2493,$D2493,$E$2:$E2493)</f>
        <v>18293</v>
      </c>
      <c r="H2493">
        <f t="shared" si="77"/>
        <v>395</v>
      </c>
    </row>
    <row r="2494" spans="1:8" x14ac:dyDescent="0.25">
      <c r="A2494" s="1">
        <v>44926</v>
      </c>
      <c r="B2494" t="s">
        <v>7</v>
      </c>
      <c r="C2494" t="s">
        <v>17</v>
      </c>
      <c r="D2494" t="s">
        <v>24</v>
      </c>
      <c r="E2494">
        <v>241</v>
      </c>
      <c r="F2494">
        <f t="shared" si="76"/>
        <v>819.4</v>
      </c>
      <c r="G2494">
        <f>SUMIF($D$2:$D2494,$D2494,$E$2:$E2494)</f>
        <v>13977</v>
      </c>
      <c r="H2494">
        <f t="shared" si="77"/>
        <v>0</v>
      </c>
    </row>
    <row r="2495" spans="1:8" x14ac:dyDescent="0.25">
      <c r="A2495" s="1">
        <v>44926</v>
      </c>
      <c r="B2495" t="s">
        <v>0</v>
      </c>
      <c r="C2495" t="s">
        <v>17</v>
      </c>
      <c r="D2495" t="s">
        <v>23</v>
      </c>
      <c r="E2495">
        <v>118</v>
      </c>
      <c r="F2495">
        <f t="shared" si="76"/>
        <v>342.2</v>
      </c>
      <c r="G2495">
        <f>SUMIF($D$2:$D2495,$D2495,$E$2:$E2495)</f>
        <v>12531</v>
      </c>
      <c r="H2495">
        <f t="shared" si="77"/>
        <v>0</v>
      </c>
    </row>
    <row r="2496" spans="1:8" x14ac:dyDescent="0.25">
      <c r="A2496" s="1">
        <v>44926</v>
      </c>
      <c r="B2496" t="s">
        <v>6</v>
      </c>
      <c r="C2496" t="s">
        <v>17</v>
      </c>
      <c r="D2496" t="s">
        <v>22</v>
      </c>
      <c r="E2496">
        <v>383</v>
      </c>
      <c r="F2496">
        <f t="shared" si="76"/>
        <v>1302.2</v>
      </c>
      <c r="G2496">
        <f>SUMIF($D$2:$D2496,$D2496,$E$2:$E2496)</f>
        <v>16224</v>
      </c>
      <c r="H2496">
        <f t="shared" si="77"/>
        <v>1915</v>
      </c>
    </row>
    <row r="2497" spans="1:8" x14ac:dyDescent="0.25">
      <c r="A2497" s="1">
        <v>44926</v>
      </c>
      <c r="B2497" t="s">
        <v>4</v>
      </c>
      <c r="C2497" t="s">
        <v>17</v>
      </c>
      <c r="D2497" t="s">
        <v>21</v>
      </c>
      <c r="E2497">
        <v>629</v>
      </c>
      <c r="F2497">
        <f t="shared" si="76"/>
        <v>2138.6</v>
      </c>
      <c r="G2497">
        <f>SUMIF($D$2:$D2497,$D2497,$E$2:$E2497)</f>
        <v>15027</v>
      </c>
      <c r="H2497">
        <f t="shared" si="77"/>
        <v>3145</v>
      </c>
    </row>
    <row r="2498" spans="1:8" x14ac:dyDescent="0.25">
      <c r="A2498" s="1">
        <v>44926</v>
      </c>
      <c r="B2498" t="s">
        <v>0</v>
      </c>
      <c r="C2498" t="s">
        <v>17</v>
      </c>
      <c r="D2498" t="s">
        <v>20</v>
      </c>
      <c r="E2498">
        <v>402</v>
      </c>
      <c r="F2498">
        <f t="shared" si="76"/>
        <v>1165.8</v>
      </c>
      <c r="G2498">
        <f>SUMIF($D$2:$D2498,$D2498,$E$2:$E2498)</f>
        <v>12696</v>
      </c>
      <c r="H2498">
        <f t="shared" si="77"/>
        <v>0</v>
      </c>
    </row>
    <row r="2499" spans="1:8" x14ac:dyDescent="0.25">
      <c r="A2499" s="1">
        <v>44926</v>
      </c>
      <c r="B2499" t="s">
        <v>10</v>
      </c>
      <c r="C2499" t="s">
        <v>17</v>
      </c>
      <c r="D2499" t="s">
        <v>19</v>
      </c>
      <c r="E2499">
        <v>169</v>
      </c>
      <c r="F2499">
        <f t="shared" ref="F2499:F2501" si="78">E2499* _xlfn.XLOOKUP(B2499,$I$2:$I$17,$J$2:$J$17,"0",0,1)</f>
        <v>574.6</v>
      </c>
      <c r="G2499">
        <f>SUMIF($D$2:$D2499,$D2499,$E$2:$E2499)</f>
        <v>9410</v>
      </c>
      <c r="H2499">
        <f t="shared" ref="H2499:H2501" si="79">IF(AND($G2499 &gt; 15000,$G2499 &lt; 20000),5*$E2499,IF($G2499 &gt;= 20000,10*$E2499,0))</f>
        <v>0</v>
      </c>
    </row>
    <row r="2500" spans="1:8" x14ac:dyDescent="0.25">
      <c r="A2500" s="1">
        <v>44926</v>
      </c>
      <c r="B2500" t="s">
        <v>5</v>
      </c>
      <c r="C2500" t="s">
        <v>17</v>
      </c>
      <c r="D2500" t="s">
        <v>18</v>
      </c>
      <c r="E2500">
        <v>281</v>
      </c>
      <c r="F2500">
        <f t="shared" si="78"/>
        <v>955.4</v>
      </c>
      <c r="G2500">
        <f>SUMIF($D$2:$D2500,$D2500,$E$2:$E2500)</f>
        <v>16321</v>
      </c>
      <c r="H2500">
        <f t="shared" si="79"/>
        <v>1405</v>
      </c>
    </row>
    <row r="2501" spans="1:8" x14ac:dyDescent="0.25">
      <c r="A2501" s="1">
        <v>44926</v>
      </c>
      <c r="B2501" t="s">
        <v>4</v>
      </c>
      <c r="C2501" t="s">
        <v>17</v>
      </c>
      <c r="D2501" t="s">
        <v>16</v>
      </c>
      <c r="E2501">
        <v>388</v>
      </c>
      <c r="F2501">
        <f t="shared" si="78"/>
        <v>1319.2</v>
      </c>
      <c r="G2501">
        <f>SUMIF($D$2:$D2501,$D2501,$E$2:$E2501)</f>
        <v>12985</v>
      </c>
      <c r="H2501">
        <f t="shared" si="79"/>
        <v>0</v>
      </c>
    </row>
  </sheetData>
  <conditionalFormatting sqref="D1:D1048576">
    <cfRule type="containsText" dxfId="2" priority="3" operator="containsText" text="192-09">
      <formula>NOT(ISERROR(SEARCH("192-09",D1)))</formula>
    </cfRule>
  </conditionalFormatting>
  <conditionalFormatting sqref="G1:G1048576">
    <cfRule type="cellIs" dxfId="1" priority="1" operator="greaterThan">
      <formula>20000</formula>
    </cfRule>
    <cfRule type="cellIs" dxfId="0" priority="2" operator="greaterThan">
      <formula>15000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A511-2F97-4DEC-91B0-33F6CF271ACF}">
  <dimension ref="A1:B16"/>
  <sheetViews>
    <sheetView workbookViewId="0">
      <selection sqref="A1:B16"/>
    </sheetView>
  </sheetViews>
  <sheetFormatPr defaultRowHeight="15" x14ac:dyDescent="0.25"/>
  <sheetData>
    <row r="1" spans="1:2" x14ac:dyDescent="0.25">
      <c r="A1" t="s">
        <v>0</v>
      </c>
      <c r="B1">
        <v>2.9</v>
      </c>
    </row>
    <row r="2" spans="1:2" x14ac:dyDescent="0.25">
      <c r="A2" t="s">
        <v>1</v>
      </c>
      <c r="B2">
        <v>3.2</v>
      </c>
    </row>
    <row r="3" spans="1:2" x14ac:dyDescent="0.25">
      <c r="A3" t="s">
        <v>2</v>
      </c>
      <c r="B3">
        <v>3.2</v>
      </c>
    </row>
    <row r="4" spans="1:2" x14ac:dyDescent="0.25">
      <c r="A4" t="s">
        <v>3</v>
      </c>
      <c r="B4">
        <v>3.2</v>
      </c>
    </row>
    <row r="5" spans="1:2" x14ac:dyDescent="0.25">
      <c r="A5" t="s">
        <v>4</v>
      </c>
      <c r="B5">
        <v>3.4</v>
      </c>
    </row>
    <row r="6" spans="1:2" x14ac:dyDescent="0.25">
      <c r="A6" t="s">
        <v>5</v>
      </c>
      <c r="B6">
        <v>3.4</v>
      </c>
    </row>
    <row r="7" spans="1:2" x14ac:dyDescent="0.25">
      <c r="A7" t="s">
        <v>6</v>
      </c>
      <c r="B7">
        <v>3.4</v>
      </c>
    </row>
    <row r="8" spans="1:2" x14ac:dyDescent="0.25">
      <c r="A8" t="s">
        <v>7</v>
      </c>
      <c r="B8">
        <v>3.4</v>
      </c>
    </row>
    <row r="9" spans="1:2" x14ac:dyDescent="0.25">
      <c r="A9" t="s">
        <v>8</v>
      </c>
      <c r="B9">
        <v>3.5</v>
      </c>
    </row>
    <row r="10" spans="1:2" x14ac:dyDescent="0.25">
      <c r="A10" t="s">
        <v>9</v>
      </c>
      <c r="B10">
        <v>2.5</v>
      </c>
    </row>
    <row r="11" spans="1:2" x14ac:dyDescent="0.25">
      <c r="A11" t="s">
        <v>10</v>
      </c>
      <c r="B11">
        <v>3.4</v>
      </c>
    </row>
    <row r="12" spans="1:2" x14ac:dyDescent="0.25">
      <c r="A12" t="s">
        <v>11</v>
      </c>
      <c r="B12">
        <v>2.5</v>
      </c>
    </row>
    <row r="13" spans="1:2" x14ac:dyDescent="0.25">
      <c r="A13" t="s">
        <v>12</v>
      </c>
      <c r="B13">
        <v>2.7</v>
      </c>
    </row>
    <row r="14" spans="1:2" x14ac:dyDescent="0.25">
      <c r="A14" t="s">
        <v>13</v>
      </c>
      <c r="B14">
        <v>3.2</v>
      </c>
    </row>
    <row r="15" spans="1:2" x14ac:dyDescent="0.25">
      <c r="A15" t="s">
        <v>14</v>
      </c>
      <c r="B15">
        <v>3.5</v>
      </c>
    </row>
    <row r="16" spans="1:2" x14ac:dyDescent="0.25">
      <c r="A16" t="s">
        <v>15</v>
      </c>
      <c r="B16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Arkusz3</vt:lpstr>
      <vt:lpstr>Arkusz4</vt:lpstr>
      <vt:lpstr>Arkusz1</vt:lpstr>
      <vt:lpstr>Arkusz2</vt:lpstr>
      <vt:lpstr>Szczegóły1</vt:lpstr>
      <vt:lpstr>jablka</vt:lpstr>
      <vt:lpstr>cennik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2026-02-05T16:55:30Z</dcterms:created>
  <dcterms:modified xsi:type="dcterms:W3CDTF">2026-02-06T13:12:38Z</dcterms:modified>
</cp:coreProperties>
</file>