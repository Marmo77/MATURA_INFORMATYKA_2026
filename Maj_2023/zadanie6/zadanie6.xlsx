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\matura2026_informatyka\Maj_2023\zadanie6\"/>
    </mc:Choice>
  </mc:AlternateContent>
  <xr:revisionPtr revIDLastSave="0" documentId="13_ncr:1_{3B0C8A4E-9203-42F1-ADFC-044DA73D5EF6}" xr6:coauthVersionLast="47" xr6:coauthVersionMax="47" xr10:uidLastSave="{00000000-0000-0000-0000-000000000000}"/>
  <bookViews>
    <workbookView xWindow="-120" yWindow="-120" windowWidth="29040" windowHeight="15720" xr2:uid="{0011F663-6A96-4A1D-9EBA-0C19833E2DAA}"/>
  </bookViews>
  <sheets>
    <sheet name="Arkusz1" sheetId="5" r:id="rId1"/>
    <sheet name="owoce" sheetId="2" r:id="rId2"/>
    <sheet name="6.1" sheetId="3" r:id="rId3"/>
    <sheet name="6.2." sheetId="4" r:id="rId4"/>
  </sheets>
  <definedNames>
    <definedName name="ExternalData_1" localSheetId="1" hidden="1">owoce!$A$1:$D$154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5" l="1"/>
  <c r="G4" i="5"/>
  <c r="F4" i="5"/>
  <c r="M4" i="2"/>
  <c r="N4" i="2"/>
  <c r="O4" i="2"/>
  <c r="E2" i="2"/>
  <c r="I2" i="2" s="1"/>
  <c r="L2" i="2" s="1"/>
  <c r="F2" i="2"/>
  <c r="G2" i="2"/>
  <c r="H3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4" i="4"/>
  <c r="H2" i="2" l="1"/>
  <c r="J2" i="2" s="1"/>
  <c r="K2" i="2" l="1"/>
  <c r="M2" i="2" s="1"/>
  <c r="E3" i="2" s="1"/>
  <c r="O2" i="2" l="1"/>
  <c r="G3" i="2" s="1"/>
  <c r="N2" i="2"/>
  <c r="F3" i="2" s="1"/>
  <c r="I3" i="2" s="1"/>
  <c r="L3" i="2" s="1"/>
  <c r="H3" i="2" l="1"/>
  <c r="K3" i="2" l="1"/>
  <c r="J3" i="2"/>
  <c r="O3" i="2" l="1"/>
  <c r="G4" i="2" s="1"/>
  <c r="N3" i="2"/>
  <c r="F4" i="2" s="1"/>
  <c r="M3" i="2"/>
  <c r="E4" i="2" s="1"/>
  <c r="I4" i="2" l="1"/>
  <c r="L4" i="2" s="1"/>
  <c r="H4" i="2"/>
  <c r="K4" i="2" l="1"/>
  <c r="J4" i="2"/>
  <c r="E5" i="2" l="1"/>
  <c r="F5" i="2"/>
  <c r="H5" i="2" s="1"/>
  <c r="G5" i="2"/>
  <c r="K5" i="2" l="1"/>
  <c r="I5" i="2"/>
  <c r="L5" i="2" s="1"/>
  <c r="M5" i="2" l="1"/>
  <c r="N5" i="2"/>
  <c r="O5" i="2"/>
  <c r="J5" i="2"/>
  <c r="E6" i="2" s="1"/>
  <c r="F6" i="2"/>
  <c r="G6" i="2" l="1"/>
  <c r="H6" i="2"/>
  <c r="I6" i="2"/>
  <c r="L6" i="2" s="1"/>
  <c r="K6" i="2" l="1"/>
  <c r="J6" i="2"/>
  <c r="O6" i="2" l="1"/>
  <c r="N6" i="2"/>
  <c r="M6" i="2"/>
  <c r="G7" i="2"/>
  <c r="F7" i="2"/>
  <c r="E7" i="2"/>
  <c r="H7" i="2" l="1"/>
  <c r="I7" i="2"/>
  <c r="L7" i="2" s="1"/>
  <c r="J7" i="2" l="1"/>
  <c r="K7" i="2"/>
  <c r="M7" i="2" l="1"/>
  <c r="O7" i="2"/>
  <c r="N7" i="2"/>
  <c r="G8" i="2"/>
  <c r="F8" i="2"/>
  <c r="E8" i="2"/>
  <c r="H8" i="2" l="1"/>
  <c r="I8" i="2"/>
  <c r="L8" i="2" s="1"/>
  <c r="J8" i="2" l="1"/>
  <c r="K8" i="2"/>
  <c r="M8" i="2" l="1"/>
  <c r="N8" i="2"/>
  <c r="O8" i="2"/>
  <c r="E9" i="2"/>
  <c r="F9" i="2"/>
  <c r="G9" i="2"/>
  <c r="H9" i="2" l="1"/>
  <c r="I9" i="2"/>
  <c r="L9" i="2" s="1"/>
  <c r="J9" i="2" l="1"/>
  <c r="K9" i="2"/>
  <c r="N9" i="2" l="1"/>
  <c r="O9" i="2"/>
  <c r="M9" i="2"/>
  <c r="E10" i="2"/>
  <c r="F10" i="2"/>
  <c r="G10" i="2"/>
  <c r="I10" i="2" l="1"/>
  <c r="L10" i="2" s="1"/>
  <c r="H10" i="2"/>
  <c r="K10" i="2" l="1"/>
  <c r="J10" i="2"/>
  <c r="M10" i="2" l="1"/>
  <c r="N10" i="2"/>
  <c r="O10" i="2"/>
  <c r="G11" i="2" s="1"/>
  <c r="F11" i="2"/>
  <c r="E11" i="2"/>
  <c r="H11" i="2" l="1"/>
  <c r="I11" i="2"/>
  <c r="L11" i="2" s="1"/>
  <c r="K11" i="2" l="1"/>
  <c r="J11" i="2"/>
  <c r="O11" i="2" l="1"/>
  <c r="M11" i="2"/>
  <c r="N11" i="2"/>
  <c r="E12" i="2"/>
  <c r="G12" i="2"/>
  <c r="F12" i="2"/>
  <c r="H12" i="2" l="1"/>
  <c r="I12" i="2"/>
  <c r="L12" i="2" s="1"/>
  <c r="K12" i="2" l="1"/>
  <c r="J12" i="2"/>
  <c r="O12" i="2" l="1"/>
  <c r="N12" i="2"/>
  <c r="M12" i="2"/>
  <c r="E13" i="2" s="1"/>
  <c r="F13" i="2"/>
  <c r="G13" i="2"/>
  <c r="I13" i="2" l="1"/>
  <c r="L13" i="2" s="1"/>
  <c r="H13" i="2"/>
  <c r="J13" i="2" l="1"/>
  <c r="K13" i="2"/>
  <c r="M13" i="2" l="1"/>
  <c r="O13" i="2"/>
  <c r="N13" i="2"/>
  <c r="E14" i="2"/>
  <c r="G14" i="2"/>
  <c r="F14" i="2"/>
  <c r="H14" i="2" l="1"/>
  <c r="I14" i="2"/>
  <c r="L14" i="2" s="1"/>
  <c r="K14" i="2" l="1"/>
  <c r="J14" i="2"/>
  <c r="O14" i="2" l="1"/>
  <c r="M14" i="2"/>
  <c r="N14" i="2"/>
  <c r="F15" i="2" s="1"/>
  <c r="E15" i="2"/>
  <c r="G15" i="2"/>
  <c r="I15" i="2" l="1"/>
  <c r="L15" i="2" s="1"/>
  <c r="H15" i="2"/>
  <c r="K15" i="2" l="1"/>
  <c r="J15" i="2"/>
  <c r="M15" i="2" l="1"/>
  <c r="N15" i="2"/>
  <c r="O15" i="2"/>
  <c r="E16" i="2"/>
  <c r="F16" i="2"/>
  <c r="G16" i="2"/>
  <c r="I16" i="2" l="1"/>
  <c r="L16" i="2" s="1"/>
  <c r="H16" i="2"/>
  <c r="J16" i="2" l="1"/>
  <c r="K16" i="2"/>
  <c r="M16" i="2" l="1"/>
  <c r="N16" i="2"/>
  <c r="O16" i="2"/>
  <c r="G17" i="2" s="1"/>
  <c r="H17" i="2" s="1"/>
  <c r="E17" i="2"/>
  <c r="F17" i="2"/>
  <c r="K17" i="2" l="1"/>
  <c r="I17" i="2"/>
  <c r="L17" i="2" s="1"/>
  <c r="M17" i="2" l="1"/>
  <c r="O17" i="2"/>
  <c r="G18" i="2" s="1"/>
  <c r="J17" i="2"/>
  <c r="E18" i="2"/>
  <c r="N17" i="2" l="1"/>
  <c r="F18" i="2" s="1"/>
  <c r="I18" i="2" l="1"/>
  <c r="L18" i="2" s="1"/>
  <c r="H18" i="2"/>
  <c r="K18" i="2"/>
  <c r="J18" i="2"/>
  <c r="N18" i="2" l="1"/>
  <c r="M18" i="2"/>
  <c r="O18" i="2"/>
  <c r="G19" i="2" s="1"/>
  <c r="E19" i="2"/>
  <c r="F19" i="2"/>
  <c r="I19" i="2" l="1"/>
  <c r="L19" i="2" s="1"/>
  <c r="H19" i="2"/>
  <c r="K19" i="2" l="1"/>
  <c r="J19" i="2"/>
  <c r="M19" i="2" l="1"/>
  <c r="O19" i="2"/>
  <c r="N19" i="2"/>
  <c r="F20" i="2" s="1"/>
  <c r="E20" i="2"/>
  <c r="G20" i="2"/>
  <c r="I20" i="2" l="1"/>
  <c r="L20" i="2" s="1"/>
  <c r="H20" i="2"/>
  <c r="J20" i="2" l="1"/>
  <c r="K20" i="2"/>
  <c r="M20" i="2" l="1"/>
  <c r="N20" i="2"/>
  <c r="O20" i="2"/>
  <c r="E21" i="2"/>
  <c r="F21" i="2"/>
  <c r="G21" i="2"/>
  <c r="I21" i="2" l="1"/>
  <c r="L21" i="2" s="1"/>
  <c r="H21" i="2"/>
  <c r="J21" i="2" l="1"/>
  <c r="K21" i="2"/>
  <c r="O21" i="2" l="1"/>
  <c r="N21" i="2"/>
  <c r="M21" i="2"/>
  <c r="E22" i="2" s="1"/>
  <c r="F22" i="2"/>
  <c r="G22" i="2"/>
  <c r="H22" i="2" l="1"/>
  <c r="I22" i="2"/>
  <c r="L22" i="2" s="1"/>
  <c r="K22" i="2" l="1"/>
  <c r="J22" i="2"/>
  <c r="N22" i="2" l="1"/>
  <c r="O22" i="2"/>
  <c r="M22" i="2"/>
  <c r="G23" i="2"/>
  <c r="F23" i="2"/>
  <c r="E23" i="2"/>
  <c r="I23" i="2" l="1"/>
  <c r="L23" i="2" s="1"/>
  <c r="H23" i="2"/>
  <c r="J23" i="2" l="1"/>
  <c r="K23" i="2"/>
  <c r="M23" i="2" l="1"/>
  <c r="O23" i="2"/>
  <c r="N2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87FDFA-49AA-4CD0-B742-5397CD9C1EEE}" keepAlive="1" name="Zapytanie — owoce" description="Połączenie z zapytaniem „owoce” w skoroszycie." type="5" refreshedVersion="8" background="1" saveData="1">
    <dbPr connection="Provider=Microsoft.Mashup.OleDb.1;Data Source=$Workbook$;Location=owoce;Extended Properties=&quot;&quot;" command="SELECT * FROM [owoce]"/>
  </connection>
</connections>
</file>

<file path=xl/sharedStrings.xml><?xml version="1.0" encoding="utf-8"?>
<sst xmlns="http://schemas.openxmlformats.org/spreadsheetml/2006/main" count="358" uniqueCount="187">
  <si>
    <t>data</t>
  </si>
  <si>
    <t>dostawa_malin</t>
  </si>
  <si>
    <t>dostawa_truskawek</t>
  </si>
  <si>
    <t>dostawa_porzeczek</t>
  </si>
  <si>
    <t>Etykiety wierszy</t>
  </si>
  <si>
    <t>Suma końcowa</t>
  </si>
  <si>
    <t>maj</t>
  </si>
  <si>
    <t>cze</t>
  </si>
  <si>
    <t>lip</t>
  </si>
  <si>
    <t>sie</t>
  </si>
  <si>
    <t>wrz</t>
  </si>
  <si>
    <t>Suma z dostawa_malin</t>
  </si>
  <si>
    <t>Suma z dostawa_truskawek</t>
  </si>
  <si>
    <t>Suma z dostawa_porzeczek</t>
  </si>
  <si>
    <t>miesiące</t>
  </si>
  <si>
    <t>maliny</t>
  </si>
  <si>
    <t>truskawki</t>
  </si>
  <si>
    <t>porzeczki</t>
  </si>
  <si>
    <t>01.maj</t>
  </si>
  <si>
    <t>02.maj</t>
  </si>
  <si>
    <t>03.maj</t>
  </si>
  <si>
    <t>04.maj</t>
  </si>
  <si>
    <t>05.maj</t>
  </si>
  <si>
    <t>06.maj</t>
  </si>
  <si>
    <t>07.maj</t>
  </si>
  <si>
    <t>08.maj</t>
  </si>
  <si>
    <t>09.maj</t>
  </si>
  <si>
    <t>10.maj</t>
  </si>
  <si>
    <t>11.maj</t>
  </si>
  <si>
    <t>12.maj</t>
  </si>
  <si>
    <t>13.maj</t>
  </si>
  <si>
    <t>14.maj</t>
  </si>
  <si>
    <t>15.maj</t>
  </si>
  <si>
    <t>16.maj</t>
  </si>
  <si>
    <t>17.maj</t>
  </si>
  <si>
    <t>18.maj</t>
  </si>
  <si>
    <t>19.maj</t>
  </si>
  <si>
    <t>20.maj</t>
  </si>
  <si>
    <t>21.maj</t>
  </si>
  <si>
    <t>22.maj</t>
  </si>
  <si>
    <t>23.maj</t>
  </si>
  <si>
    <t>24.maj</t>
  </si>
  <si>
    <t>25.maj</t>
  </si>
  <si>
    <t>26.maj</t>
  </si>
  <si>
    <t>27.maj</t>
  </si>
  <si>
    <t>28.maj</t>
  </si>
  <si>
    <t>29.maj</t>
  </si>
  <si>
    <t>30.maj</t>
  </si>
  <si>
    <t>31.maj</t>
  </si>
  <si>
    <t>01.cze</t>
  </si>
  <si>
    <t>02.cze</t>
  </si>
  <si>
    <t>03.cze</t>
  </si>
  <si>
    <t>04.cze</t>
  </si>
  <si>
    <t>05.cze</t>
  </si>
  <si>
    <t>06.cze</t>
  </si>
  <si>
    <t>07.cze</t>
  </si>
  <si>
    <t>08.cze</t>
  </si>
  <si>
    <t>09.cze</t>
  </si>
  <si>
    <t>10.cze</t>
  </si>
  <si>
    <t>11.cze</t>
  </si>
  <si>
    <t>12.cze</t>
  </si>
  <si>
    <t>13.cze</t>
  </si>
  <si>
    <t>14.cze</t>
  </si>
  <si>
    <t>15.cze</t>
  </si>
  <si>
    <t>16.cze</t>
  </si>
  <si>
    <t>17.cze</t>
  </si>
  <si>
    <t>18.cze</t>
  </si>
  <si>
    <t>19.cze</t>
  </si>
  <si>
    <t>20.cze</t>
  </si>
  <si>
    <t>21.cze</t>
  </si>
  <si>
    <t>22.cze</t>
  </si>
  <si>
    <t>23.cze</t>
  </si>
  <si>
    <t>24.cze</t>
  </si>
  <si>
    <t>25.cze</t>
  </si>
  <si>
    <t>26.cze</t>
  </si>
  <si>
    <t>27.cze</t>
  </si>
  <si>
    <t>28.cze</t>
  </si>
  <si>
    <t>29.cze</t>
  </si>
  <si>
    <t>30.cze</t>
  </si>
  <si>
    <t>01.lip</t>
  </si>
  <si>
    <t>02.lip</t>
  </si>
  <si>
    <t>03.lip</t>
  </si>
  <si>
    <t>04.lip</t>
  </si>
  <si>
    <t>05.lip</t>
  </si>
  <si>
    <t>06.lip</t>
  </si>
  <si>
    <t>07.lip</t>
  </si>
  <si>
    <t>08.lip</t>
  </si>
  <si>
    <t>09.lip</t>
  </si>
  <si>
    <t>10.lip</t>
  </si>
  <si>
    <t>11.lip</t>
  </si>
  <si>
    <t>12.lip</t>
  </si>
  <si>
    <t>13.lip</t>
  </si>
  <si>
    <t>14.lip</t>
  </si>
  <si>
    <t>15.lip</t>
  </si>
  <si>
    <t>16.lip</t>
  </si>
  <si>
    <t>17.lip</t>
  </si>
  <si>
    <t>18.lip</t>
  </si>
  <si>
    <t>19.lip</t>
  </si>
  <si>
    <t>20.lip</t>
  </si>
  <si>
    <t>21.lip</t>
  </si>
  <si>
    <t>22.lip</t>
  </si>
  <si>
    <t>23.lip</t>
  </si>
  <si>
    <t>24.lip</t>
  </si>
  <si>
    <t>25.lip</t>
  </si>
  <si>
    <t>26.lip</t>
  </si>
  <si>
    <t>27.lip</t>
  </si>
  <si>
    <t>28.lip</t>
  </si>
  <si>
    <t>29.lip</t>
  </si>
  <si>
    <t>30.lip</t>
  </si>
  <si>
    <t>31.lip</t>
  </si>
  <si>
    <t>01.sie</t>
  </si>
  <si>
    <t>02.sie</t>
  </si>
  <si>
    <t>03.sie</t>
  </si>
  <si>
    <t>04.sie</t>
  </si>
  <si>
    <t>05.sie</t>
  </si>
  <si>
    <t>06.sie</t>
  </si>
  <si>
    <t>07.sie</t>
  </si>
  <si>
    <t>08.sie</t>
  </si>
  <si>
    <t>09.sie</t>
  </si>
  <si>
    <t>10.sie</t>
  </si>
  <si>
    <t>11.sie</t>
  </si>
  <si>
    <t>12.sie</t>
  </si>
  <si>
    <t>13.sie</t>
  </si>
  <si>
    <t>14.sie</t>
  </si>
  <si>
    <t>15.sie</t>
  </si>
  <si>
    <t>16.sie</t>
  </si>
  <si>
    <t>17.sie</t>
  </si>
  <si>
    <t>18.sie</t>
  </si>
  <si>
    <t>19.sie</t>
  </si>
  <si>
    <t>20.sie</t>
  </si>
  <si>
    <t>21.sie</t>
  </si>
  <si>
    <t>22.sie</t>
  </si>
  <si>
    <t>23.sie</t>
  </si>
  <si>
    <t>24.sie</t>
  </si>
  <si>
    <t>25.sie</t>
  </si>
  <si>
    <t>26.sie</t>
  </si>
  <si>
    <t>27.sie</t>
  </si>
  <si>
    <t>28.sie</t>
  </si>
  <si>
    <t>29.sie</t>
  </si>
  <si>
    <t>30.sie</t>
  </si>
  <si>
    <t>31.sie</t>
  </si>
  <si>
    <t>01.wrz</t>
  </si>
  <si>
    <t>02.wrz</t>
  </si>
  <si>
    <t>03.wrz</t>
  </si>
  <si>
    <t>04.wrz</t>
  </si>
  <si>
    <t>05.wrz</t>
  </si>
  <si>
    <t>06.wrz</t>
  </si>
  <si>
    <t>07.wrz</t>
  </si>
  <si>
    <t>08.wrz</t>
  </si>
  <si>
    <t>09.wrz</t>
  </si>
  <si>
    <t>10.wrz</t>
  </si>
  <si>
    <t>11.wrz</t>
  </si>
  <si>
    <t>12.wrz</t>
  </si>
  <si>
    <t>13.wrz</t>
  </si>
  <si>
    <t>14.wrz</t>
  </si>
  <si>
    <t>15.wrz</t>
  </si>
  <si>
    <t>16.wrz</t>
  </si>
  <si>
    <t>17.wrz</t>
  </si>
  <si>
    <t>18.wrz</t>
  </si>
  <si>
    <t>19.wrz</t>
  </si>
  <si>
    <t>20.wrz</t>
  </si>
  <si>
    <t>21.wrz</t>
  </si>
  <si>
    <t>22.wrz</t>
  </si>
  <si>
    <t>23.wrz</t>
  </si>
  <si>
    <t>24.wrz</t>
  </si>
  <si>
    <t>25.wrz</t>
  </si>
  <si>
    <t>26.wrz</t>
  </si>
  <si>
    <t>27.wrz</t>
  </si>
  <si>
    <t>28.wrz</t>
  </si>
  <si>
    <t>29.wrz</t>
  </si>
  <si>
    <t>30.wrz</t>
  </si>
  <si>
    <t>Gdy porzeczek najwiecej:</t>
  </si>
  <si>
    <t>magazyn_malina</t>
  </si>
  <si>
    <t>magazyn_porzeczka</t>
  </si>
  <si>
    <t>najwieksza</t>
  </si>
  <si>
    <t>druga najwieksza</t>
  </si>
  <si>
    <t>pozostalosc</t>
  </si>
  <si>
    <t>magazyn_najwiekszej</t>
  </si>
  <si>
    <t>magazyn-sredniej</t>
  </si>
  <si>
    <t>magazyn_truksawek</t>
  </si>
  <si>
    <t>magazyn_malina_po_rownaniu</t>
  </si>
  <si>
    <t>magazyn_truskawek_po_rownaniu</t>
  </si>
  <si>
    <t>magazyn_porzeczek_po_rownaniu</t>
  </si>
  <si>
    <t>jakich uzyto</t>
  </si>
  <si>
    <t>max</t>
  </si>
  <si>
    <t>max2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</si>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</sst>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NumberFormat="1"/>
  </cellXfs>
  <cellStyles count="1">
    <cellStyle name="Normalny" xfId="0" builtinId="0"/>
  </cellStyles>
  <dxfs count="2">
    <dxf>
      <font>
        <color rgb="FF006100"/>
      </font>
      <fill>
        <patternFill>
          <bgColor rgb="FFC6EFCE"/>
        </patternFill>
      </fill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dostarczonych owoców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'6.1'!$H$5</c:f>
              <c:strCache>
                <c:ptCount val="1"/>
                <c:pt idx="0">
                  <c:v>maliny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'6.1'!$G$6:$G$10</c:f>
              <c:strCache>
                <c:ptCount val="5"/>
                <c:pt idx="0">
                  <c:v>maj</c:v>
                </c:pt>
                <c:pt idx="1">
                  <c:v>cze</c:v>
                </c:pt>
                <c:pt idx="2">
                  <c:v>lip</c:v>
                </c:pt>
                <c:pt idx="3">
                  <c:v>sie</c:v>
                </c:pt>
                <c:pt idx="4">
                  <c:v>wrz</c:v>
                </c:pt>
              </c:strCache>
            </c:strRef>
          </c:cat>
          <c:val>
            <c:numRef>
              <c:f>'6.1'!$H$6:$H$10</c:f>
              <c:numCache>
                <c:formatCode>General</c:formatCode>
                <c:ptCount val="5"/>
                <c:pt idx="0">
                  <c:v>9238</c:v>
                </c:pt>
                <c:pt idx="1">
                  <c:v>9485</c:v>
                </c:pt>
                <c:pt idx="2">
                  <c:v>11592</c:v>
                </c:pt>
                <c:pt idx="3">
                  <c:v>11045</c:v>
                </c:pt>
                <c:pt idx="4">
                  <c:v>6532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20-4DAA-BE68-4687A99158CF}"/>
            </c:ext>
          </c:extLst>
        </c:ser>
        <c:ser>
          <c:idx val="1"/>
          <c:order val="1"/>
          <c:tx>
            <c:strRef>
              <c:f>'6.1'!$I$5</c:f>
              <c:strCache>
                <c:ptCount val="1"/>
                <c:pt idx="0">
                  <c:v>truskawki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'6.1'!$G$6:$G$10</c:f>
              <c:strCache>
                <c:ptCount val="5"/>
                <c:pt idx="0">
                  <c:v>maj</c:v>
                </c:pt>
                <c:pt idx="1">
                  <c:v>cze</c:v>
                </c:pt>
                <c:pt idx="2">
                  <c:v>lip</c:v>
                </c:pt>
                <c:pt idx="3">
                  <c:v>sie</c:v>
                </c:pt>
                <c:pt idx="4">
                  <c:v>wrz</c:v>
                </c:pt>
              </c:strCache>
            </c:strRef>
          </c:cat>
          <c:val>
            <c:numRef>
              <c:f>'6.1'!$I$6:$I$10</c:f>
              <c:numCache>
                <c:formatCode>General</c:formatCode>
                <c:ptCount val="5"/>
                <c:pt idx="0">
                  <c:v>9287</c:v>
                </c:pt>
                <c:pt idx="1">
                  <c:v>8916</c:v>
                </c:pt>
                <c:pt idx="2">
                  <c:v>11339</c:v>
                </c:pt>
                <c:pt idx="3">
                  <c:v>11386</c:v>
                </c:pt>
                <c:pt idx="4">
                  <c:v>7476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20-4DAA-BE68-4687A99158CF}"/>
            </c:ext>
          </c:extLst>
        </c:ser>
        <c:ser>
          <c:idx val="2"/>
          <c:order val="2"/>
          <c:tx>
            <c:strRef>
              <c:f>'6.1'!$J$5</c:f>
              <c:strCache>
                <c:ptCount val="1"/>
                <c:pt idx="0">
                  <c:v>porzeczki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'6.1'!$G$6:$G$10</c:f>
              <c:strCache>
                <c:ptCount val="5"/>
                <c:pt idx="0">
                  <c:v>maj</c:v>
                </c:pt>
                <c:pt idx="1">
                  <c:v>cze</c:v>
                </c:pt>
                <c:pt idx="2">
                  <c:v>lip</c:v>
                </c:pt>
                <c:pt idx="3">
                  <c:v>sie</c:v>
                </c:pt>
                <c:pt idx="4">
                  <c:v>wrz</c:v>
                </c:pt>
              </c:strCache>
            </c:strRef>
          </c:cat>
          <c:val>
            <c:numRef>
              <c:f>'6.1'!$J$6:$J$10</c:f>
              <c:numCache>
                <c:formatCode>General</c:formatCode>
                <c:ptCount val="5"/>
                <c:pt idx="0">
                  <c:v>3309</c:v>
                </c:pt>
                <c:pt idx="1">
                  <c:v>5081</c:v>
                </c:pt>
                <c:pt idx="2">
                  <c:v>10567</c:v>
                </c:pt>
                <c:pt idx="3">
                  <c:v>11078</c:v>
                </c:pt>
                <c:pt idx="4">
                  <c:v>6355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20-4DAA-BE68-4687A9915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5627135"/>
        <c:axId val="215628095"/>
      </c:barChart>
      <c:catAx>
        <c:axId val="215627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nazwy miesięcy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5628095"/>
        <c:crosses val="autoZero"/>
        <c:auto val="1"/>
        <c:lblAlgn val="ctr"/>
        <c:lblOffset val="100"/>
        <c:noMultiLvlLbl val="0"/>
      </c:catAx>
      <c:valAx>
        <c:axId val="21562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kilogramów [kg]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562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1343025</xdr:colOff>
      <xdr:row>13</xdr:row>
      <xdr:rowOff>138112</xdr:rowOff>
    </xdr:from>
    <xdr:to>
      <xdr:col>8</xdr:col>
      <xdr:colOff>581025</xdr:colOff>
      <xdr:row>28</xdr:row>
      <xdr:rowOff>23812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A97B0806-C82F-168E-5C6F-7FABD1CA4A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ORUS" refreshedDate="46063.083614699077" createdVersion="8" refreshedVersion="8" minRefreshableVersion="3" recordCount="153" xr:uid="{35DEE930-5976-4808-A528-4AC0B63AB965}">
  <cacheSource type="worksheet">
    <worksheetSource name="owoce"/>
  </cacheSource>
  <cacheFields count="6">
    <cacheField name="data" numFmtId="14">
      <sharedItems containsSemiMixedTypes="0" containsNonDate="0" containsDate="1" containsString="0" minDate="2020-05-01T00:00:00" maxDate="2020-10-01T00:00:00" count="153"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</sharedItems>
      <fieldGroup par="5"/>
    </cacheField>
    <cacheField name="dostawa_malin" numFmtId="0">
      <sharedItems containsSemiMixedTypes="0" containsString="0" containsNumber="1" containsInteger="1" minValue="142" maxValue="495" count="120">
        <n v="211"/>
        <n v="393"/>
        <n v="389"/>
        <n v="308"/>
        <n v="387"/>
        <n v="294"/>
        <n v="259"/>
        <n v="369"/>
        <n v="263"/>
        <n v="239"/>
        <n v="282"/>
        <n v="306"/>
        <n v="251"/>
        <n v="224"/>
        <n v="233"/>
        <n v="345"/>
        <n v="232"/>
        <n v="238"/>
        <n v="378"/>
        <n v="281"/>
        <n v="390"/>
        <n v="391"/>
        <n v="241"/>
        <n v="249"/>
        <n v="298"/>
        <n v="254"/>
        <n v="329"/>
        <n v="213"/>
        <n v="225"/>
        <n v="264"/>
        <n v="253"/>
        <n v="352"/>
        <n v="269"/>
        <n v="242"/>
        <n v="327"/>
        <n v="316"/>
        <n v="270"/>
        <n v="349"/>
        <n v="309"/>
        <n v="246"/>
        <n v="365"/>
        <n v="335"/>
        <n v="376"/>
        <n v="310"/>
        <n v="408"/>
        <n v="256"/>
        <n v="322"/>
        <n v="447"/>
        <n v="283"/>
        <n v="414"/>
        <n v="442"/>
        <n v="444"/>
        <n v="425"/>
        <n v="377"/>
        <n v="382"/>
        <n v="287"/>
        <n v="429"/>
        <n v="421"/>
        <n v="334"/>
        <n v="356"/>
        <n v="307"/>
        <n v="441"/>
        <n v="407"/>
        <n v="480"/>
        <n v="494"/>
        <n v="493"/>
        <n v="302"/>
        <n v="331"/>
        <n v="486"/>
        <n v="360"/>
        <n v="355"/>
        <n v="303"/>
        <n v="435"/>
        <n v="344"/>
        <n v="433"/>
        <n v="350"/>
        <n v="396"/>
        <n v="495"/>
        <n v="420"/>
        <n v="411"/>
        <n v="317"/>
        <n v="342"/>
        <n v="450"/>
        <n v="343"/>
        <n v="417"/>
        <n v="384"/>
        <n v="370"/>
        <n v="436"/>
        <n v="449"/>
        <n v="300"/>
        <n v="314"/>
        <n v="379"/>
        <n v="405"/>
        <n v="432"/>
        <n v="162"/>
        <n v="297"/>
        <n v="226"/>
        <n v="351"/>
        <n v="214"/>
        <n v="257"/>
        <n v="172"/>
        <n v="197"/>
        <n v="292"/>
        <n v="258"/>
        <n v="276"/>
        <n v="210"/>
        <n v="168"/>
        <n v="196"/>
        <n v="284"/>
        <n v="212"/>
        <n v="165"/>
        <n v="163"/>
        <n v="200"/>
        <n v="201"/>
        <n v="188"/>
        <n v="142"/>
        <n v="296"/>
        <n v="161"/>
        <n v="216"/>
        <n v="289"/>
      </sharedItems>
    </cacheField>
    <cacheField name="dostawa_truskawek" numFmtId="0">
      <sharedItems containsSemiMixedTypes="0" containsString="0" containsNumber="1" containsInteger="1" minValue="102" maxValue="490"/>
    </cacheField>
    <cacheField name="dostawa_porzeczek" numFmtId="0">
      <sharedItems containsSemiMixedTypes="0" containsString="0" containsNumber="1" containsInteger="1" minValue="72" maxValue="555"/>
    </cacheField>
    <cacheField name="Dni (data)" numFmtId="0" databaseField="0">
      <fieldGroup base="0">
        <rangePr groupBy="days" startDate="2020-05-01T00:00:00" endDate="2020-10-01T00:00:00"/>
        <groupItems count="368">
          <s v="&lt;01.05.2020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10.2020"/>
        </groupItems>
      </fieldGroup>
    </cacheField>
    <cacheField name="Miesiące (data)" numFmtId="0" databaseField="0">
      <fieldGroup base="0">
        <rangePr groupBy="months" startDate="2020-05-01T00:00:00" endDate="2020-10-01T00:00:00"/>
        <groupItems count="14">
          <s v="&lt;01.05.2020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10.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x v="0"/>
    <x v="0"/>
    <n v="281"/>
    <n v="88"/>
  </r>
  <r>
    <x v="1"/>
    <x v="1"/>
    <n v="313"/>
    <n v="83"/>
  </r>
  <r>
    <x v="2"/>
    <x v="2"/>
    <n v="315"/>
    <n v="104"/>
  </r>
  <r>
    <x v="3"/>
    <x v="3"/>
    <n v="221"/>
    <n v="119"/>
  </r>
  <r>
    <x v="4"/>
    <x v="4"/>
    <n v="275"/>
    <n v="72"/>
  </r>
  <r>
    <x v="5"/>
    <x v="5"/>
    <n v="366"/>
    <n v="99"/>
  </r>
  <r>
    <x v="6"/>
    <x v="2"/>
    <n v="288"/>
    <n v="87"/>
  </r>
  <r>
    <x v="7"/>
    <x v="6"/>
    <n v="361"/>
    <n v="112"/>
  </r>
  <r>
    <x v="8"/>
    <x v="7"/>
    <n v="233"/>
    <n v="110"/>
  </r>
  <r>
    <x v="9"/>
    <x v="8"/>
    <n v="393"/>
    <n v="75"/>
  </r>
  <r>
    <x v="10"/>
    <x v="9"/>
    <n v="347"/>
    <n v="94"/>
  </r>
  <r>
    <x v="11"/>
    <x v="10"/>
    <n v="338"/>
    <n v="86"/>
  </r>
  <r>
    <x v="12"/>
    <x v="11"/>
    <n v="273"/>
    <n v="75"/>
  </r>
  <r>
    <x v="13"/>
    <x v="12"/>
    <n v="325"/>
    <n v="89"/>
  </r>
  <r>
    <x v="14"/>
    <x v="13"/>
    <n v="352"/>
    <n v="97"/>
  </r>
  <r>
    <x v="15"/>
    <x v="14"/>
    <n v="270"/>
    <n v="94"/>
  </r>
  <r>
    <x v="16"/>
    <x v="15"/>
    <n v="275"/>
    <n v="90"/>
  </r>
  <r>
    <x v="17"/>
    <x v="16"/>
    <n v="228"/>
    <n v="107"/>
  </r>
  <r>
    <x v="18"/>
    <x v="17"/>
    <n v="394"/>
    <n v="105"/>
  </r>
  <r>
    <x v="19"/>
    <x v="18"/>
    <n v="311"/>
    <n v="110"/>
  </r>
  <r>
    <x v="20"/>
    <x v="19"/>
    <n v="354"/>
    <n v="121"/>
  </r>
  <r>
    <x v="21"/>
    <x v="20"/>
    <n v="267"/>
    <n v="124"/>
  </r>
  <r>
    <x v="22"/>
    <x v="3"/>
    <n v="337"/>
    <n v="105"/>
  </r>
  <r>
    <x v="23"/>
    <x v="21"/>
    <n v="238"/>
    <n v="113"/>
  </r>
  <r>
    <x v="24"/>
    <x v="22"/>
    <n v="283"/>
    <n v="140"/>
  </r>
  <r>
    <x v="25"/>
    <x v="23"/>
    <n v="275"/>
    <n v="118"/>
  </r>
  <r>
    <x v="26"/>
    <x v="24"/>
    <n v="263"/>
    <n v="145"/>
  </r>
  <r>
    <x v="27"/>
    <x v="25"/>
    <n v="241"/>
    <n v="149"/>
  </r>
  <r>
    <x v="28"/>
    <x v="26"/>
    <n v="323"/>
    <n v="134"/>
  </r>
  <r>
    <x v="29"/>
    <x v="27"/>
    <n v="221"/>
    <n v="119"/>
  </r>
  <r>
    <x v="30"/>
    <x v="5"/>
    <n v="326"/>
    <n v="145"/>
  </r>
  <r>
    <x v="31"/>
    <x v="28"/>
    <n v="206"/>
    <n v="122"/>
  </r>
  <r>
    <x v="32"/>
    <x v="29"/>
    <n v="355"/>
    <n v="134"/>
  </r>
  <r>
    <x v="33"/>
    <x v="30"/>
    <n v="271"/>
    <n v="142"/>
  </r>
  <r>
    <x v="34"/>
    <x v="31"/>
    <n v="207"/>
    <n v="125"/>
  </r>
  <r>
    <x v="35"/>
    <x v="32"/>
    <n v="248"/>
    <n v="137"/>
  </r>
  <r>
    <x v="36"/>
    <x v="33"/>
    <n v="247"/>
    <n v="125"/>
  </r>
  <r>
    <x v="37"/>
    <x v="34"/>
    <n v="262"/>
    <n v="103"/>
  </r>
  <r>
    <x v="38"/>
    <x v="35"/>
    <n v="253"/>
    <n v="134"/>
  </r>
  <r>
    <x v="39"/>
    <x v="5"/>
    <n v="249"/>
    <n v="137"/>
  </r>
  <r>
    <x v="40"/>
    <x v="36"/>
    <n v="206"/>
    <n v="146"/>
  </r>
  <r>
    <x v="41"/>
    <x v="37"/>
    <n v="301"/>
    <n v="138"/>
  </r>
  <r>
    <x v="42"/>
    <x v="13"/>
    <n v="385"/>
    <n v="138"/>
  </r>
  <r>
    <x v="43"/>
    <x v="38"/>
    <n v="204"/>
    <n v="140"/>
  </r>
  <r>
    <x v="44"/>
    <x v="39"/>
    <n v="275"/>
    <n v="130"/>
  </r>
  <r>
    <x v="45"/>
    <x v="22"/>
    <n v="247"/>
    <n v="166"/>
  </r>
  <r>
    <x v="46"/>
    <x v="40"/>
    <n v="256"/>
    <n v="132"/>
  </r>
  <r>
    <x v="47"/>
    <x v="28"/>
    <n v="392"/>
    <n v="158"/>
  </r>
  <r>
    <x v="48"/>
    <x v="41"/>
    <n v="254"/>
    <n v="173"/>
  </r>
  <r>
    <x v="49"/>
    <x v="42"/>
    <n v="258"/>
    <n v="151"/>
  </r>
  <r>
    <x v="50"/>
    <x v="43"/>
    <n v="248"/>
    <n v="173"/>
  </r>
  <r>
    <x v="51"/>
    <x v="44"/>
    <n v="250"/>
    <n v="242"/>
  </r>
  <r>
    <x v="52"/>
    <x v="45"/>
    <n v="393"/>
    <n v="219"/>
  </r>
  <r>
    <x v="53"/>
    <x v="46"/>
    <n v="425"/>
    <n v="215"/>
  </r>
  <r>
    <x v="54"/>
    <x v="47"/>
    <n v="385"/>
    <n v="212"/>
  </r>
  <r>
    <x v="55"/>
    <x v="44"/>
    <n v="260"/>
    <n v="225"/>
  </r>
  <r>
    <x v="56"/>
    <x v="48"/>
    <n v="396"/>
    <n v="221"/>
  </r>
  <r>
    <x v="57"/>
    <x v="49"/>
    <n v="314"/>
    <n v="220"/>
  </r>
  <r>
    <x v="58"/>
    <x v="50"/>
    <n v="449"/>
    <n v="245"/>
  </r>
  <r>
    <x v="59"/>
    <x v="32"/>
    <n v="370"/>
    <n v="242"/>
  </r>
  <r>
    <x v="60"/>
    <x v="51"/>
    <n v="350"/>
    <n v="236"/>
  </r>
  <r>
    <x v="61"/>
    <x v="52"/>
    <n v="342"/>
    <n v="237"/>
  </r>
  <r>
    <x v="62"/>
    <x v="53"/>
    <n v="290"/>
    <n v="240"/>
  </r>
  <r>
    <x v="63"/>
    <x v="54"/>
    <n v="360"/>
    <n v="203"/>
  </r>
  <r>
    <x v="64"/>
    <x v="55"/>
    <n v="428"/>
    <n v="204"/>
  </r>
  <r>
    <x v="65"/>
    <x v="56"/>
    <n v="394"/>
    <n v="246"/>
  </r>
  <r>
    <x v="66"/>
    <x v="55"/>
    <n v="356"/>
    <n v="233"/>
  </r>
  <r>
    <x v="67"/>
    <x v="57"/>
    <n v="292"/>
    <n v="226"/>
  </r>
  <r>
    <x v="68"/>
    <x v="58"/>
    <n v="353"/>
    <n v="282"/>
  </r>
  <r>
    <x v="69"/>
    <x v="10"/>
    <n v="329"/>
    <n v="262"/>
  </r>
  <r>
    <x v="70"/>
    <x v="59"/>
    <n v="331"/>
    <n v="290"/>
  </r>
  <r>
    <x v="71"/>
    <x v="60"/>
    <n v="394"/>
    <n v="256"/>
  </r>
  <r>
    <x v="72"/>
    <x v="61"/>
    <n v="271"/>
    <n v="292"/>
  </r>
  <r>
    <x v="73"/>
    <x v="62"/>
    <n v="311"/>
    <n v="280"/>
  </r>
  <r>
    <x v="74"/>
    <x v="63"/>
    <n v="342"/>
    <n v="292"/>
  </r>
  <r>
    <x v="75"/>
    <x v="64"/>
    <n v="310"/>
    <n v="275"/>
  </r>
  <r>
    <x v="76"/>
    <x v="65"/>
    <n v="431"/>
    <n v="283"/>
  </r>
  <r>
    <x v="77"/>
    <x v="66"/>
    <n v="415"/>
    <n v="297"/>
  </r>
  <r>
    <x v="78"/>
    <x v="67"/>
    <n v="353"/>
    <n v="373"/>
  </r>
  <r>
    <x v="79"/>
    <x v="68"/>
    <n v="323"/>
    <n v="359"/>
  </r>
  <r>
    <x v="80"/>
    <x v="69"/>
    <n v="331"/>
    <n v="445"/>
  </r>
  <r>
    <x v="81"/>
    <x v="21"/>
    <n v="455"/>
    <n v="427"/>
  </r>
  <r>
    <x v="82"/>
    <x v="34"/>
    <n v="471"/>
    <n v="423"/>
  </r>
  <r>
    <x v="83"/>
    <x v="70"/>
    <n v="490"/>
    <n v="449"/>
  </r>
  <r>
    <x v="84"/>
    <x v="69"/>
    <n v="339"/>
    <n v="470"/>
  </r>
  <r>
    <x v="85"/>
    <x v="71"/>
    <n v="404"/>
    <n v="434"/>
  </r>
  <r>
    <x v="86"/>
    <x v="43"/>
    <n v="332"/>
    <n v="536"/>
  </r>
  <r>
    <x v="87"/>
    <x v="72"/>
    <n v="406"/>
    <n v="421"/>
  </r>
  <r>
    <x v="88"/>
    <x v="73"/>
    <n v="348"/>
    <n v="555"/>
  </r>
  <r>
    <x v="89"/>
    <x v="71"/>
    <n v="335"/>
    <n v="436"/>
  </r>
  <r>
    <x v="90"/>
    <x v="74"/>
    <n v="425"/>
    <n v="422"/>
  </r>
  <r>
    <x v="91"/>
    <x v="75"/>
    <n v="378"/>
    <n v="419"/>
  </r>
  <r>
    <x v="92"/>
    <x v="76"/>
    <n v="466"/>
    <n v="434"/>
  </r>
  <r>
    <x v="93"/>
    <x v="77"/>
    <n v="410"/>
    <n v="418"/>
  </r>
  <r>
    <x v="94"/>
    <x v="78"/>
    <n v="328"/>
    <n v="422"/>
  </r>
  <r>
    <x v="95"/>
    <x v="79"/>
    <n v="481"/>
    <n v="445"/>
  </r>
  <r>
    <x v="96"/>
    <x v="80"/>
    <n v="434"/>
    <n v="411"/>
  </r>
  <r>
    <x v="97"/>
    <x v="81"/>
    <n v="465"/>
    <n v="417"/>
  </r>
  <r>
    <x v="98"/>
    <x v="82"/>
    <n v="318"/>
    <n v="490"/>
  </r>
  <r>
    <x v="99"/>
    <x v="83"/>
    <n v="329"/>
    <n v="345"/>
  </r>
  <r>
    <x v="100"/>
    <x v="55"/>
    <n v="328"/>
    <n v="377"/>
  </r>
  <r>
    <x v="101"/>
    <x v="24"/>
    <n v="401"/>
    <n v="416"/>
  </r>
  <r>
    <x v="102"/>
    <x v="56"/>
    <n v="348"/>
    <n v="426"/>
  </r>
  <r>
    <x v="103"/>
    <x v="84"/>
    <n v="457"/>
    <n v="438"/>
  </r>
  <r>
    <x v="104"/>
    <x v="85"/>
    <n v="330"/>
    <n v="292"/>
  </r>
  <r>
    <x v="105"/>
    <x v="86"/>
    <n v="388"/>
    <n v="390"/>
  </r>
  <r>
    <x v="106"/>
    <x v="87"/>
    <n v="298"/>
    <n v="420"/>
  </r>
  <r>
    <x v="107"/>
    <x v="71"/>
    <n v="429"/>
    <n v="407"/>
  </r>
  <r>
    <x v="108"/>
    <x v="88"/>
    <n v="444"/>
    <n v="425"/>
  </r>
  <r>
    <x v="109"/>
    <x v="89"/>
    <n v="358"/>
    <n v="377"/>
  </r>
  <r>
    <x v="110"/>
    <x v="60"/>
    <n v="417"/>
    <n v="405"/>
  </r>
  <r>
    <x v="111"/>
    <x v="90"/>
    <n v="340"/>
    <n v="345"/>
  </r>
  <r>
    <x v="112"/>
    <x v="91"/>
    <n v="288"/>
    <n v="353"/>
  </r>
  <r>
    <x v="113"/>
    <x v="92"/>
    <n v="454"/>
    <n v="342"/>
  </r>
  <r>
    <x v="114"/>
    <x v="62"/>
    <n v="300"/>
    <n v="365"/>
  </r>
  <r>
    <x v="115"/>
    <x v="93"/>
    <n v="423"/>
    <n v="221"/>
  </r>
  <r>
    <x v="116"/>
    <x v="92"/>
    <n v="449"/>
    <n v="231"/>
  </r>
  <r>
    <x v="117"/>
    <x v="94"/>
    <n v="294"/>
    <n v="255"/>
  </r>
  <r>
    <x v="118"/>
    <x v="95"/>
    <n v="341"/>
    <n v="223"/>
  </r>
  <r>
    <x v="119"/>
    <x v="96"/>
    <n v="329"/>
    <n v="261"/>
  </r>
  <r>
    <x v="120"/>
    <x v="96"/>
    <n v="256"/>
    <n v="239"/>
  </r>
  <r>
    <x v="121"/>
    <x v="55"/>
    <n v="217"/>
    <n v="262"/>
  </r>
  <r>
    <x v="122"/>
    <x v="97"/>
    <n v="266"/>
    <n v="226"/>
  </r>
  <r>
    <x v="123"/>
    <x v="98"/>
    <n v="260"/>
    <n v="241"/>
  </r>
  <r>
    <x v="124"/>
    <x v="10"/>
    <n v="227"/>
    <n v="258"/>
  </r>
  <r>
    <x v="125"/>
    <x v="99"/>
    <n v="251"/>
    <n v="252"/>
  </r>
  <r>
    <x v="126"/>
    <x v="100"/>
    <n v="171"/>
    <n v="268"/>
  </r>
  <r>
    <x v="127"/>
    <x v="101"/>
    <n v="326"/>
    <n v="224"/>
  </r>
  <r>
    <x v="128"/>
    <x v="102"/>
    <n v="329"/>
    <n v="255"/>
  </r>
  <r>
    <x v="129"/>
    <x v="100"/>
    <n v="216"/>
    <n v="199"/>
  </r>
  <r>
    <x v="130"/>
    <x v="103"/>
    <n v="291"/>
    <n v="220"/>
  </r>
  <r>
    <x v="131"/>
    <x v="104"/>
    <n v="347"/>
    <n v="197"/>
  </r>
  <r>
    <x v="132"/>
    <x v="105"/>
    <n v="333"/>
    <n v="218"/>
  </r>
  <r>
    <x v="133"/>
    <x v="106"/>
    <n v="211"/>
    <n v="180"/>
  </r>
  <r>
    <x v="134"/>
    <x v="107"/>
    <n v="348"/>
    <n v="225"/>
  </r>
  <r>
    <x v="135"/>
    <x v="108"/>
    <n v="226"/>
    <n v="197"/>
  </r>
  <r>
    <x v="136"/>
    <x v="94"/>
    <n v="345"/>
    <n v="194"/>
  </r>
  <r>
    <x v="137"/>
    <x v="109"/>
    <n v="184"/>
    <n v="183"/>
  </r>
  <r>
    <x v="138"/>
    <x v="110"/>
    <n v="232"/>
    <n v="202"/>
  </r>
  <r>
    <x v="139"/>
    <x v="111"/>
    <n v="314"/>
    <n v="213"/>
  </r>
  <r>
    <x v="140"/>
    <x v="112"/>
    <n v="307"/>
    <n v="206"/>
  </r>
  <r>
    <x v="141"/>
    <x v="113"/>
    <n v="274"/>
    <n v="210"/>
  </r>
  <r>
    <x v="142"/>
    <x v="32"/>
    <n v="278"/>
    <n v="228"/>
  </r>
  <r>
    <x v="143"/>
    <x v="114"/>
    <n v="195"/>
    <n v="207"/>
  </r>
  <r>
    <x v="144"/>
    <x v="115"/>
    <n v="249"/>
    <n v="202"/>
  </r>
  <r>
    <x v="145"/>
    <x v="16"/>
    <n v="116"/>
    <n v="195"/>
  </r>
  <r>
    <x v="146"/>
    <x v="116"/>
    <n v="102"/>
    <n v="192"/>
  </r>
  <r>
    <x v="147"/>
    <x v="117"/>
    <n v="151"/>
    <n v="216"/>
  </r>
  <r>
    <x v="148"/>
    <x v="94"/>
    <n v="261"/>
    <n v="184"/>
  </r>
  <r>
    <x v="149"/>
    <x v="118"/>
    <n v="147"/>
    <n v="204"/>
  </r>
  <r>
    <x v="150"/>
    <x v="10"/>
    <n v="297"/>
    <n v="195"/>
  </r>
  <r>
    <x v="151"/>
    <x v="98"/>
    <n v="198"/>
    <n v="200"/>
  </r>
  <r>
    <x v="152"/>
    <x v="119"/>
    <n v="290"/>
    <n v="1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E8CAC7-CB4D-45D5-824B-9358D2F44A2D}" name="Tabela przestawna1" cacheId="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D157" firstHeaderRow="0" firstDataRow="1" firstDataCol="1"/>
  <pivotFields count="6">
    <pivotField numFmtId="14" showAll="0">
      <items count="1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dataField="1" showAll="0">
      <items count="121">
        <item x="115"/>
        <item x="117"/>
        <item x="94"/>
        <item x="111"/>
        <item x="110"/>
        <item x="106"/>
        <item x="100"/>
        <item x="114"/>
        <item x="107"/>
        <item x="101"/>
        <item x="112"/>
        <item x="113"/>
        <item x="105"/>
        <item x="0"/>
        <item x="109"/>
        <item x="27"/>
        <item x="98"/>
        <item x="118"/>
        <item x="13"/>
        <item x="28"/>
        <item x="96"/>
        <item x="16"/>
        <item x="14"/>
        <item x="17"/>
        <item x="9"/>
        <item x="22"/>
        <item x="33"/>
        <item x="39"/>
        <item x="23"/>
        <item x="12"/>
        <item x="30"/>
        <item x="25"/>
        <item x="45"/>
        <item x="99"/>
        <item x="103"/>
        <item x="6"/>
        <item x="8"/>
        <item x="29"/>
        <item x="32"/>
        <item x="36"/>
        <item x="104"/>
        <item x="19"/>
        <item x="10"/>
        <item x="48"/>
        <item x="108"/>
        <item x="55"/>
        <item x="119"/>
        <item x="102"/>
        <item x="5"/>
        <item x="116"/>
        <item x="95"/>
        <item x="24"/>
        <item x="89"/>
        <item x="66"/>
        <item x="71"/>
        <item x="11"/>
        <item x="60"/>
        <item x="3"/>
        <item x="38"/>
        <item x="43"/>
        <item x="90"/>
        <item x="35"/>
        <item x="80"/>
        <item x="46"/>
        <item x="34"/>
        <item x="26"/>
        <item x="67"/>
        <item x="58"/>
        <item x="41"/>
        <item x="81"/>
        <item x="83"/>
        <item x="73"/>
        <item x="15"/>
        <item x="37"/>
        <item x="75"/>
        <item x="97"/>
        <item x="31"/>
        <item x="70"/>
        <item x="59"/>
        <item x="69"/>
        <item x="40"/>
        <item x="7"/>
        <item x="86"/>
        <item x="42"/>
        <item x="53"/>
        <item x="18"/>
        <item x="91"/>
        <item x="54"/>
        <item x="85"/>
        <item x="4"/>
        <item x="2"/>
        <item x="20"/>
        <item x="21"/>
        <item x="1"/>
        <item x="76"/>
        <item x="92"/>
        <item x="62"/>
        <item x="44"/>
        <item x="79"/>
        <item x="49"/>
        <item x="84"/>
        <item x="78"/>
        <item x="57"/>
        <item x="52"/>
        <item x="56"/>
        <item x="93"/>
        <item x="74"/>
        <item x="72"/>
        <item x="87"/>
        <item x="61"/>
        <item x="50"/>
        <item x="51"/>
        <item x="47"/>
        <item x="88"/>
        <item x="82"/>
        <item x="63"/>
        <item x="68"/>
        <item x="65"/>
        <item x="64"/>
        <item x="77"/>
        <item t="default"/>
      </items>
    </pivotField>
    <pivotField dataField="1" showAll="0"/>
    <pivotField dataField="1"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4"/>
  </rowFields>
  <rowItems count="154"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z dostawa_malin" fld="1" baseField="0" baseItem="0"/>
    <dataField name="Suma z dostawa_truskawek" fld="2" baseField="0" baseItem="0"/>
    <dataField name="Suma z dostawa_porzeczek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9137B9-A5F5-4165-A49E-E0A6524CE871}" name="Tabela przestawna1" cacheId="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9">
  <location ref="A3:D9" firstHeaderRow="0" firstDataRow="1" firstDataCol="1"/>
  <pivotFields count="6">
    <pivotField axis="axisRow" numFmtId="14" showAll="0">
      <items count="1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dataField="1" showAll="0"/>
    <pivotField dataField="1"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 sd="0"/>
      </items>
    </pivotField>
  </pivotFields>
  <rowFields count="2">
    <field x="5"/>
    <field x="0"/>
  </rowFields>
  <rowItems count="6"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z dostawa_malin" fld="1" baseField="0" baseItem="0"/>
    <dataField name="Suma z dostawa_truskawek" fld="2" baseField="0" baseItem="0"/>
    <dataField name="Suma z dostawa_porzeczek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79F5B9-3E8B-4FA3-A53A-32A98649B195}" name="Tabela przestawna2" cacheId="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D157" firstHeaderRow="0" firstDataRow="1" firstDataCol="1"/>
  <pivotFields count="6">
    <pivotField numFmtId="14" showAll="0">
      <items count="1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dataField="1" showAll="0"/>
    <pivotField dataField="1" showAll="0"/>
    <pivotField dataField="1" showAll="0"/>
    <pivotField axis="axisRow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154"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z dostawa_porzeczek" fld="3" baseField="0" baseItem="0"/>
    <dataField name="Suma z dostawa_truskawek" fld="2" baseField="0" baseItem="0"/>
    <dataField name="Suma z dostawa_malin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CC2E9BD-E2AD-42D9-BF69-022378795C21}" autoFormatId="16" applyNumberFormats="0" applyBorderFormats="0" applyFontFormats="0" applyPatternFormats="0" applyAlignmentFormats="0" applyWidthHeightFormats="0">
  <queryTableRefresh nextId="10">
    <queryTableFields count="4">
      <queryTableField id="1" name="data" tableColumnId="1"/>
      <queryTableField id="2" name="dostawa_malin" tableColumnId="2"/>
      <queryTableField id="3" name="dostawa_truskawek" tableColumnId="3"/>
      <queryTableField id="4" name="dostawa_porzeczek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B40A66-10B5-44BC-944F-7A14D5030D23}" name="owoce" displayName="owoce" ref="A1:D154" tableType="queryTable" totalsRowShown="0">
  <autoFilter ref="A1:D154" xr:uid="{96B40A66-10B5-44BC-944F-7A14D5030D23}"/>
  <tableColumns count="4">
    <tableColumn id="1" xr3:uid="{B032A630-08FD-4E7F-B4EC-2E53E698BB6A}" uniqueName="1" name="data" queryTableFieldId="1" dataDxfId="1"/>
    <tableColumn id="2" xr3:uid="{A0AD2A17-B6E7-41FB-BF59-84C59729104C}" uniqueName="2" name="dostawa_malin" queryTableFieldId="2"/>
    <tableColumn id="3" xr3:uid="{455BCDB8-0673-4A33-A103-1ABF9047DB71}" uniqueName="3" name="dostawa_truskawek" queryTableFieldId="3"/>
    <tableColumn id="4" xr3:uid="{ABE2C6DB-AAE4-40E3-AB3A-E60D6CA80319}" uniqueName="4" name="dostawa_porzeczek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9131-4C1B-4F7F-ACE2-C319F2C2D368}">
  <dimension ref="A3:L157"/>
  <sheetViews>
    <sheetView tabSelected="1" workbookViewId="0">
      <selection activeCell="I8" sqref="I8"/>
    </sheetView>
  </sheetViews>
  <sheetFormatPr defaultRowHeight="15" x14ac:dyDescent="0.25"/>
  <cols>
    <col min="1" max="1" width="17.85546875" bestFit="1" customWidth="1"/>
    <col min="2" max="2" width="21.42578125" bestFit="1" customWidth="1"/>
    <col min="3" max="3" width="25.7109375" bestFit="1" customWidth="1"/>
    <col min="4" max="4" width="25.5703125" bestFit="1" customWidth="1"/>
    <col min="11" max="11" width="9.5703125" bestFit="1" customWidth="1"/>
  </cols>
  <sheetData>
    <row r="3" spans="1:12" x14ac:dyDescent="0.25">
      <c r="A3" s="2" t="s">
        <v>4</v>
      </c>
      <c r="B3" t="s">
        <v>11</v>
      </c>
      <c r="C3" t="s">
        <v>12</v>
      </c>
      <c r="D3" t="s">
        <v>13</v>
      </c>
      <c r="F3" t="s">
        <v>184</v>
      </c>
      <c r="G3" t="s">
        <v>185</v>
      </c>
      <c r="H3" t="s">
        <v>186</v>
      </c>
      <c r="J3" t="s">
        <v>15</v>
      </c>
      <c r="K3" t="s">
        <v>16</v>
      </c>
      <c r="L3" t="s">
        <v>17</v>
      </c>
    </row>
    <row r="4" spans="1:12" x14ac:dyDescent="0.25">
      <c r="A4" s="3" t="s">
        <v>18</v>
      </c>
      <c r="B4" s="5">
        <v>211</v>
      </c>
      <c r="C4" s="5">
        <v>281</v>
      </c>
      <c r="D4" s="5">
        <v>88</v>
      </c>
      <c r="F4">
        <f>MAX(B4:D4)</f>
        <v>281</v>
      </c>
      <c r="G4">
        <f>LARGE(B4:D4,2)</f>
        <v>211</v>
      </c>
      <c r="H4">
        <f>MIN(B4:D4)</f>
        <v>88</v>
      </c>
    </row>
    <row r="5" spans="1:12" x14ac:dyDescent="0.25">
      <c r="A5" s="3" t="s">
        <v>19</v>
      </c>
      <c r="B5" s="5">
        <v>393</v>
      </c>
      <c r="C5" s="5">
        <v>313</v>
      </c>
      <c r="D5" s="5">
        <v>83</v>
      </c>
    </row>
    <row r="6" spans="1:12" x14ac:dyDescent="0.25">
      <c r="A6" s="3" t="s">
        <v>20</v>
      </c>
      <c r="B6" s="5">
        <v>389</v>
      </c>
      <c r="C6" s="5">
        <v>315</v>
      </c>
      <c r="D6" s="5">
        <v>104</v>
      </c>
    </row>
    <row r="7" spans="1:12" x14ac:dyDescent="0.25">
      <c r="A7" s="3" t="s">
        <v>21</v>
      </c>
      <c r="B7" s="5">
        <v>308</v>
      </c>
      <c r="C7" s="5">
        <v>221</v>
      </c>
      <c r="D7" s="5">
        <v>119</v>
      </c>
    </row>
    <row r="8" spans="1:12" x14ac:dyDescent="0.25">
      <c r="A8" s="3" t="s">
        <v>22</v>
      </c>
      <c r="B8" s="5">
        <v>387</v>
      </c>
      <c r="C8" s="5">
        <v>275</v>
      </c>
      <c r="D8" s="5">
        <v>72</v>
      </c>
    </row>
    <row r="9" spans="1:12" x14ac:dyDescent="0.25">
      <c r="A9" s="3" t="s">
        <v>23</v>
      </c>
      <c r="B9" s="5">
        <v>294</v>
      </c>
      <c r="C9" s="5">
        <v>366</v>
      </c>
      <c r="D9" s="5">
        <v>99</v>
      </c>
    </row>
    <row r="10" spans="1:12" x14ac:dyDescent="0.25">
      <c r="A10" s="3" t="s">
        <v>24</v>
      </c>
      <c r="B10" s="5">
        <v>389</v>
      </c>
      <c r="C10" s="5">
        <v>288</v>
      </c>
      <c r="D10" s="5">
        <v>87</v>
      </c>
    </row>
    <row r="11" spans="1:12" x14ac:dyDescent="0.25">
      <c r="A11" s="3" t="s">
        <v>25</v>
      </c>
      <c r="B11" s="5">
        <v>259</v>
      </c>
      <c r="C11" s="5">
        <v>361</v>
      </c>
      <c r="D11" s="5">
        <v>112</v>
      </c>
    </row>
    <row r="12" spans="1:12" x14ac:dyDescent="0.25">
      <c r="A12" s="3" t="s">
        <v>26</v>
      </c>
      <c r="B12" s="5">
        <v>369</v>
      </c>
      <c r="C12" s="5">
        <v>233</v>
      </c>
      <c r="D12" s="5">
        <v>110</v>
      </c>
    </row>
    <row r="13" spans="1:12" x14ac:dyDescent="0.25">
      <c r="A13" s="3" t="s">
        <v>27</v>
      </c>
      <c r="B13" s="5">
        <v>263</v>
      </c>
      <c r="C13" s="5">
        <v>393</v>
      </c>
      <c r="D13" s="5">
        <v>75</v>
      </c>
    </row>
    <row r="14" spans="1:12" x14ac:dyDescent="0.25">
      <c r="A14" s="3" t="s">
        <v>28</v>
      </c>
      <c r="B14" s="5">
        <v>239</v>
      </c>
      <c r="C14" s="5">
        <v>347</v>
      </c>
      <c r="D14" s="5">
        <v>94</v>
      </c>
    </row>
    <row r="15" spans="1:12" x14ac:dyDescent="0.25">
      <c r="A15" s="3" t="s">
        <v>29</v>
      </c>
      <c r="B15" s="5">
        <v>282</v>
      </c>
      <c r="C15" s="5">
        <v>338</v>
      </c>
      <c r="D15" s="5">
        <v>86</v>
      </c>
    </row>
    <row r="16" spans="1:12" x14ac:dyDescent="0.25">
      <c r="A16" s="3" t="s">
        <v>30</v>
      </c>
      <c r="B16" s="5">
        <v>306</v>
      </c>
      <c r="C16" s="5">
        <v>273</v>
      </c>
      <c r="D16" s="5">
        <v>75</v>
      </c>
    </row>
    <row r="17" spans="1:4" x14ac:dyDescent="0.25">
      <c r="A17" s="3" t="s">
        <v>31</v>
      </c>
      <c r="B17" s="5">
        <v>251</v>
      </c>
      <c r="C17" s="5">
        <v>325</v>
      </c>
      <c r="D17" s="5">
        <v>89</v>
      </c>
    </row>
    <row r="18" spans="1:4" x14ac:dyDescent="0.25">
      <c r="A18" s="3" t="s">
        <v>32</v>
      </c>
      <c r="B18" s="5">
        <v>224</v>
      </c>
      <c r="C18" s="5">
        <v>352</v>
      </c>
      <c r="D18" s="5">
        <v>97</v>
      </c>
    </row>
    <row r="19" spans="1:4" x14ac:dyDescent="0.25">
      <c r="A19" s="3" t="s">
        <v>33</v>
      </c>
      <c r="B19" s="5">
        <v>233</v>
      </c>
      <c r="C19" s="5">
        <v>270</v>
      </c>
      <c r="D19" s="5">
        <v>94</v>
      </c>
    </row>
    <row r="20" spans="1:4" x14ac:dyDescent="0.25">
      <c r="A20" s="3" t="s">
        <v>34</v>
      </c>
      <c r="B20" s="5">
        <v>345</v>
      </c>
      <c r="C20" s="5">
        <v>275</v>
      </c>
      <c r="D20" s="5">
        <v>90</v>
      </c>
    </row>
    <row r="21" spans="1:4" x14ac:dyDescent="0.25">
      <c r="A21" s="3" t="s">
        <v>35</v>
      </c>
      <c r="B21" s="5">
        <v>232</v>
      </c>
      <c r="C21" s="5">
        <v>228</v>
      </c>
      <c r="D21" s="5">
        <v>107</v>
      </c>
    </row>
    <row r="22" spans="1:4" x14ac:dyDescent="0.25">
      <c r="A22" s="3" t="s">
        <v>36</v>
      </c>
      <c r="B22" s="5">
        <v>238</v>
      </c>
      <c r="C22" s="5">
        <v>394</v>
      </c>
      <c r="D22" s="5">
        <v>105</v>
      </c>
    </row>
    <row r="23" spans="1:4" x14ac:dyDescent="0.25">
      <c r="A23" s="3" t="s">
        <v>37</v>
      </c>
      <c r="B23" s="5">
        <v>378</v>
      </c>
      <c r="C23" s="5">
        <v>311</v>
      </c>
      <c r="D23" s="5">
        <v>110</v>
      </c>
    </row>
    <row r="24" spans="1:4" x14ac:dyDescent="0.25">
      <c r="A24" s="3" t="s">
        <v>38</v>
      </c>
      <c r="B24" s="5">
        <v>281</v>
      </c>
      <c r="C24" s="5">
        <v>354</v>
      </c>
      <c r="D24" s="5">
        <v>121</v>
      </c>
    </row>
    <row r="25" spans="1:4" x14ac:dyDescent="0.25">
      <c r="A25" s="3" t="s">
        <v>39</v>
      </c>
      <c r="B25" s="5">
        <v>390</v>
      </c>
      <c r="C25" s="5">
        <v>267</v>
      </c>
      <c r="D25" s="5">
        <v>124</v>
      </c>
    </row>
    <row r="26" spans="1:4" x14ac:dyDescent="0.25">
      <c r="A26" s="3" t="s">
        <v>40</v>
      </c>
      <c r="B26" s="5">
        <v>308</v>
      </c>
      <c r="C26" s="5">
        <v>337</v>
      </c>
      <c r="D26" s="5">
        <v>105</v>
      </c>
    </row>
    <row r="27" spans="1:4" x14ac:dyDescent="0.25">
      <c r="A27" s="3" t="s">
        <v>41</v>
      </c>
      <c r="B27" s="5">
        <v>391</v>
      </c>
      <c r="C27" s="5">
        <v>238</v>
      </c>
      <c r="D27" s="5">
        <v>113</v>
      </c>
    </row>
    <row r="28" spans="1:4" x14ac:dyDescent="0.25">
      <c r="A28" s="3" t="s">
        <v>42</v>
      </c>
      <c r="B28" s="5">
        <v>241</v>
      </c>
      <c r="C28" s="5">
        <v>283</v>
      </c>
      <c r="D28" s="5">
        <v>140</v>
      </c>
    </row>
    <row r="29" spans="1:4" x14ac:dyDescent="0.25">
      <c r="A29" s="3" t="s">
        <v>43</v>
      </c>
      <c r="B29" s="5">
        <v>249</v>
      </c>
      <c r="C29" s="5">
        <v>275</v>
      </c>
      <c r="D29" s="5">
        <v>118</v>
      </c>
    </row>
    <row r="30" spans="1:4" x14ac:dyDescent="0.25">
      <c r="A30" s="3" t="s">
        <v>44</v>
      </c>
      <c r="B30" s="5">
        <v>298</v>
      </c>
      <c r="C30" s="5">
        <v>263</v>
      </c>
      <c r="D30" s="5">
        <v>145</v>
      </c>
    </row>
    <row r="31" spans="1:4" x14ac:dyDescent="0.25">
      <c r="A31" s="3" t="s">
        <v>45</v>
      </c>
      <c r="B31" s="5">
        <v>254</v>
      </c>
      <c r="C31" s="5">
        <v>241</v>
      </c>
      <c r="D31" s="5">
        <v>149</v>
      </c>
    </row>
    <row r="32" spans="1:4" x14ac:dyDescent="0.25">
      <c r="A32" s="3" t="s">
        <v>46</v>
      </c>
      <c r="B32" s="5">
        <v>329</v>
      </c>
      <c r="C32" s="5">
        <v>323</v>
      </c>
      <c r="D32" s="5">
        <v>134</v>
      </c>
    </row>
    <row r="33" spans="1:4" x14ac:dyDescent="0.25">
      <c r="A33" s="3" t="s">
        <v>47</v>
      </c>
      <c r="B33" s="5">
        <v>213</v>
      </c>
      <c r="C33" s="5">
        <v>221</v>
      </c>
      <c r="D33" s="5">
        <v>119</v>
      </c>
    </row>
    <row r="34" spans="1:4" x14ac:dyDescent="0.25">
      <c r="A34" s="3" t="s">
        <v>48</v>
      </c>
      <c r="B34" s="5">
        <v>294</v>
      </c>
      <c r="C34" s="5">
        <v>326</v>
      </c>
      <c r="D34" s="5">
        <v>145</v>
      </c>
    </row>
    <row r="35" spans="1:4" x14ac:dyDescent="0.25">
      <c r="A35" s="3" t="s">
        <v>49</v>
      </c>
      <c r="B35" s="5">
        <v>225</v>
      </c>
      <c r="C35" s="5">
        <v>206</v>
      </c>
      <c r="D35" s="5">
        <v>122</v>
      </c>
    </row>
    <row r="36" spans="1:4" x14ac:dyDescent="0.25">
      <c r="A36" s="3" t="s">
        <v>50</v>
      </c>
      <c r="B36" s="5">
        <v>264</v>
      </c>
      <c r="C36" s="5">
        <v>355</v>
      </c>
      <c r="D36" s="5">
        <v>134</v>
      </c>
    </row>
    <row r="37" spans="1:4" x14ac:dyDescent="0.25">
      <c r="A37" s="3" t="s">
        <v>51</v>
      </c>
      <c r="B37" s="5">
        <v>253</v>
      </c>
      <c r="C37" s="5">
        <v>271</v>
      </c>
      <c r="D37" s="5">
        <v>142</v>
      </c>
    </row>
    <row r="38" spans="1:4" x14ac:dyDescent="0.25">
      <c r="A38" s="3" t="s">
        <v>52</v>
      </c>
      <c r="B38" s="5">
        <v>352</v>
      </c>
      <c r="C38" s="5">
        <v>207</v>
      </c>
      <c r="D38" s="5">
        <v>125</v>
      </c>
    </row>
    <row r="39" spans="1:4" x14ac:dyDescent="0.25">
      <c r="A39" s="3" t="s">
        <v>53</v>
      </c>
      <c r="B39" s="5">
        <v>269</v>
      </c>
      <c r="C39" s="5">
        <v>248</v>
      </c>
      <c r="D39" s="5">
        <v>137</v>
      </c>
    </row>
    <row r="40" spans="1:4" x14ac:dyDescent="0.25">
      <c r="A40" s="3" t="s">
        <v>54</v>
      </c>
      <c r="B40" s="5">
        <v>242</v>
      </c>
      <c r="C40" s="5">
        <v>247</v>
      </c>
      <c r="D40" s="5">
        <v>125</v>
      </c>
    </row>
    <row r="41" spans="1:4" x14ac:dyDescent="0.25">
      <c r="A41" s="3" t="s">
        <v>55</v>
      </c>
      <c r="B41" s="5">
        <v>327</v>
      </c>
      <c r="C41" s="5">
        <v>262</v>
      </c>
      <c r="D41" s="5">
        <v>103</v>
      </c>
    </row>
    <row r="42" spans="1:4" x14ac:dyDescent="0.25">
      <c r="A42" s="3" t="s">
        <v>56</v>
      </c>
      <c r="B42" s="5">
        <v>316</v>
      </c>
      <c r="C42" s="5">
        <v>253</v>
      </c>
      <c r="D42" s="5">
        <v>134</v>
      </c>
    </row>
    <row r="43" spans="1:4" x14ac:dyDescent="0.25">
      <c r="A43" s="3" t="s">
        <v>57</v>
      </c>
      <c r="B43" s="5">
        <v>294</v>
      </c>
      <c r="C43" s="5">
        <v>249</v>
      </c>
      <c r="D43" s="5">
        <v>137</v>
      </c>
    </row>
    <row r="44" spans="1:4" x14ac:dyDescent="0.25">
      <c r="A44" s="3" t="s">
        <v>58</v>
      </c>
      <c r="B44" s="5">
        <v>270</v>
      </c>
      <c r="C44" s="5">
        <v>206</v>
      </c>
      <c r="D44" s="5">
        <v>146</v>
      </c>
    </row>
    <row r="45" spans="1:4" x14ac:dyDescent="0.25">
      <c r="A45" s="3" t="s">
        <v>59</v>
      </c>
      <c r="B45" s="5">
        <v>349</v>
      </c>
      <c r="C45" s="5">
        <v>301</v>
      </c>
      <c r="D45" s="5">
        <v>138</v>
      </c>
    </row>
    <row r="46" spans="1:4" x14ac:dyDescent="0.25">
      <c r="A46" s="3" t="s">
        <v>60</v>
      </c>
      <c r="B46" s="5">
        <v>224</v>
      </c>
      <c r="C46" s="5">
        <v>385</v>
      </c>
      <c r="D46" s="5">
        <v>138</v>
      </c>
    </row>
    <row r="47" spans="1:4" x14ac:dyDescent="0.25">
      <c r="A47" s="3" t="s">
        <v>61</v>
      </c>
      <c r="B47" s="5">
        <v>309</v>
      </c>
      <c r="C47" s="5">
        <v>204</v>
      </c>
      <c r="D47" s="5">
        <v>140</v>
      </c>
    </row>
    <row r="48" spans="1:4" x14ac:dyDescent="0.25">
      <c r="A48" s="3" t="s">
        <v>62</v>
      </c>
      <c r="B48" s="5">
        <v>246</v>
      </c>
      <c r="C48" s="5">
        <v>275</v>
      </c>
      <c r="D48" s="5">
        <v>130</v>
      </c>
    </row>
    <row r="49" spans="1:4" x14ac:dyDescent="0.25">
      <c r="A49" s="3" t="s">
        <v>63</v>
      </c>
      <c r="B49" s="5">
        <v>241</v>
      </c>
      <c r="C49" s="5">
        <v>247</v>
      </c>
      <c r="D49" s="5">
        <v>166</v>
      </c>
    </row>
    <row r="50" spans="1:4" x14ac:dyDescent="0.25">
      <c r="A50" s="3" t="s">
        <v>64</v>
      </c>
      <c r="B50" s="5">
        <v>365</v>
      </c>
      <c r="C50" s="5">
        <v>256</v>
      </c>
      <c r="D50" s="5">
        <v>132</v>
      </c>
    </row>
    <row r="51" spans="1:4" x14ac:dyDescent="0.25">
      <c r="A51" s="3" t="s">
        <v>65</v>
      </c>
      <c r="B51" s="5">
        <v>225</v>
      </c>
      <c r="C51" s="5">
        <v>392</v>
      </c>
      <c r="D51" s="5">
        <v>158</v>
      </c>
    </row>
    <row r="52" spans="1:4" x14ac:dyDescent="0.25">
      <c r="A52" s="3" t="s">
        <v>66</v>
      </c>
      <c r="B52" s="5">
        <v>335</v>
      </c>
      <c r="C52" s="5">
        <v>254</v>
      </c>
      <c r="D52" s="5">
        <v>173</v>
      </c>
    </row>
    <row r="53" spans="1:4" x14ac:dyDescent="0.25">
      <c r="A53" s="3" t="s">
        <v>67</v>
      </c>
      <c r="B53" s="5">
        <v>376</v>
      </c>
      <c r="C53" s="5">
        <v>258</v>
      </c>
      <c r="D53" s="5">
        <v>151</v>
      </c>
    </row>
    <row r="54" spans="1:4" x14ac:dyDescent="0.25">
      <c r="A54" s="3" t="s">
        <v>68</v>
      </c>
      <c r="B54" s="5">
        <v>310</v>
      </c>
      <c r="C54" s="5">
        <v>248</v>
      </c>
      <c r="D54" s="5">
        <v>173</v>
      </c>
    </row>
    <row r="55" spans="1:4" x14ac:dyDescent="0.25">
      <c r="A55" s="3" t="s">
        <v>69</v>
      </c>
      <c r="B55" s="5">
        <v>408</v>
      </c>
      <c r="C55" s="5">
        <v>250</v>
      </c>
      <c r="D55" s="5">
        <v>242</v>
      </c>
    </row>
    <row r="56" spans="1:4" x14ac:dyDescent="0.25">
      <c r="A56" s="3" t="s">
        <v>70</v>
      </c>
      <c r="B56" s="5">
        <v>256</v>
      </c>
      <c r="C56" s="5">
        <v>393</v>
      </c>
      <c r="D56" s="5">
        <v>219</v>
      </c>
    </row>
    <row r="57" spans="1:4" x14ac:dyDescent="0.25">
      <c r="A57" s="3" t="s">
        <v>71</v>
      </c>
      <c r="B57" s="5">
        <v>322</v>
      </c>
      <c r="C57" s="5">
        <v>425</v>
      </c>
      <c r="D57" s="5">
        <v>215</v>
      </c>
    </row>
    <row r="58" spans="1:4" x14ac:dyDescent="0.25">
      <c r="A58" s="3" t="s">
        <v>72</v>
      </c>
      <c r="B58" s="5">
        <v>447</v>
      </c>
      <c r="C58" s="5">
        <v>385</v>
      </c>
      <c r="D58" s="5">
        <v>212</v>
      </c>
    </row>
    <row r="59" spans="1:4" x14ac:dyDescent="0.25">
      <c r="A59" s="3" t="s">
        <v>73</v>
      </c>
      <c r="B59" s="5">
        <v>408</v>
      </c>
      <c r="C59" s="5">
        <v>260</v>
      </c>
      <c r="D59" s="5">
        <v>225</v>
      </c>
    </row>
    <row r="60" spans="1:4" x14ac:dyDescent="0.25">
      <c r="A60" s="3" t="s">
        <v>74</v>
      </c>
      <c r="B60" s="5">
        <v>283</v>
      </c>
      <c r="C60" s="5">
        <v>396</v>
      </c>
      <c r="D60" s="5">
        <v>221</v>
      </c>
    </row>
    <row r="61" spans="1:4" x14ac:dyDescent="0.25">
      <c r="A61" s="3" t="s">
        <v>75</v>
      </c>
      <c r="B61" s="5">
        <v>414</v>
      </c>
      <c r="C61" s="5">
        <v>314</v>
      </c>
      <c r="D61" s="5">
        <v>220</v>
      </c>
    </row>
    <row r="62" spans="1:4" x14ac:dyDescent="0.25">
      <c r="A62" s="3" t="s">
        <v>76</v>
      </c>
      <c r="B62" s="5">
        <v>442</v>
      </c>
      <c r="C62" s="5">
        <v>449</v>
      </c>
      <c r="D62" s="5">
        <v>245</v>
      </c>
    </row>
    <row r="63" spans="1:4" x14ac:dyDescent="0.25">
      <c r="A63" s="3" t="s">
        <v>77</v>
      </c>
      <c r="B63" s="5">
        <v>269</v>
      </c>
      <c r="C63" s="5">
        <v>370</v>
      </c>
      <c r="D63" s="5">
        <v>242</v>
      </c>
    </row>
    <row r="64" spans="1:4" x14ac:dyDescent="0.25">
      <c r="A64" s="3" t="s">
        <v>78</v>
      </c>
      <c r="B64" s="5">
        <v>444</v>
      </c>
      <c r="C64" s="5">
        <v>350</v>
      </c>
      <c r="D64" s="5">
        <v>236</v>
      </c>
    </row>
    <row r="65" spans="1:4" x14ac:dyDescent="0.25">
      <c r="A65" s="3" t="s">
        <v>79</v>
      </c>
      <c r="B65" s="5">
        <v>425</v>
      </c>
      <c r="C65" s="5">
        <v>342</v>
      </c>
      <c r="D65" s="5">
        <v>237</v>
      </c>
    </row>
    <row r="66" spans="1:4" x14ac:dyDescent="0.25">
      <c r="A66" s="3" t="s">
        <v>80</v>
      </c>
      <c r="B66" s="5">
        <v>377</v>
      </c>
      <c r="C66" s="5">
        <v>290</v>
      </c>
      <c r="D66" s="5">
        <v>240</v>
      </c>
    </row>
    <row r="67" spans="1:4" x14ac:dyDescent="0.25">
      <c r="A67" s="3" t="s">
        <v>81</v>
      </c>
      <c r="B67" s="5">
        <v>382</v>
      </c>
      <c r="C67" s="5">
        <v>360</v>
      </c>
      <c r="D67" s="5">
        <v>203</v>
      </c>
    </row>
    <row r="68" spans="1:4" x14ac:dyDescent="0.25">
      <c r="A68" s="3" t="s">
        <v>82</v>
      </c>
      <c r="B68" s="5">
        <v>287</v>
      </c>
      <c r="C68" s="5">
        <v>428</v>
      </c>
      <c r="D68" s="5">
        <v>204</v>
      </c>
    </row>
    <row r="69" spans="1:4" x14ac:dyDescent="0.25">
      <c r="A69" s="3" t="s">
        <v>83</v>
      </c>
      <c r="B69" s="5">
        <v>429</v>
      </c>
      <c r="C69" s="5">
        <v>394</v>
      </c>
      <c r="D69" s="5">
        <v>246</v>
      </c>
    </row>
    <row r="70" spans="1:4" x14ac:dyDescent="0.25">
      <c r="A70" s="3" t="s">
        <v>84</v>
      </c>
      <c r="B70" s="5">
        <v>287</v>
      </c>
      <c r="C70" s="5">
        <v>356</v>
      </c>
      <c r="D70" s="5">
        <v>233</v>
      </c>
    </row>
    <row r="71" spans="1:4" x14ac:dyDescent="0.25">
      <c r="A71" s="3" t="s">
        <v>85</v>
      </c>
      <c r="B71" s="5">
        <v>421</v>
      </c>
      <c r="C71" s="5">
        <v>292</v>
      </c>
      <c r="D71" s="5">
        <v>226</v>
      </c>
    </row>
    <row r="72" spans="1:4" x14ac:dyDescent="0.25">
      <c r="A72" s="3" t="s">
        <v>86</v>
      </c>
      <c r="B72" s="5">
        <v>334</v>
      </c>
      <c r="C72" s="5">
        <v>353</v>
      </c>
      <c r="D72" s="5">
        <v>282</v>
      </c>
    </row>
    <row r="73" spans="1:4" x14ac:dyDescent="0.25">
      <c r="A73" s="3" t="s">
        <v>87</v>
      </c>
      <c r="B73" s="5">
        <v>282</v>
      </c>
      <c r="C73" s="5">
        <v>329</v>
      </c>
      <c r="D73" s="5">
        <v>262</v>
      </c>
    </row>
    <row r="74" spans="1:4" x14ac:dyDescent="0.25">
      <c r="A74" s="3" t="s">
        <v>88</v>
      </c>
      <c r="B74" s="5">
        <v>356</v>
      </c>
      <c r="C74" s="5">
        <v>331</v>
      </c>
      <c r="D74" s="5">
        <v>290</v>
      </c>
    </row>
    <row r="75" spans="1:4" x14ac:dyDescent="0.25">
      <c r="A75" s="3" t="s">
        <v>89</v>
      </c>
      <c r="B75" s="5">
        <v>307</v>
      </c>
      <c r="C75" s="5">
        <v>394</v>
      </c>
      <c r="D75" s="5">
        <v>256</v>
      </c>
    </row>
    <row r="76" spans="1:4" x14ac:dyDescent="0.25">
      <c r="A76" s="3" t="s">
        <v>90</v>
      </c>
      <c r="B76" s="5">
        <v>441</v>
      </c>
      <c r="C76" s="5">
        <v>271</v>
      </c>
      <c r="D76" s="5">
        <v>292</v>
      </c>
    </row>
    <row r="77" spans="1:4" x14ac:dyDescent="0.25">
      <c r="A77" s="3" t="s">
        <v>91</v>
      </c>
      <c r="B77" s="5">
        <v>407</v>
      </c>
      <c r="C77" s="5">
        <v>311</v>
      </c>
      <c r="D77" s="5">
        <v>280</v>
      </c>
    </row>
    <row r="78" spans="1:4" x14ac:dyDescent="0.25">
      <c r="A78" s="3" t="s">
        <v>92</v>
      </c>
      <c r="B78" s="5">
        <v>480</v>
      </c>
      <c r="C78" s="5">
        <v>342</v>
      </c>
      <c r="D78" s="5">
        <v>292</v>
      </c>
    </row>
    <row r="79" spans="1:4" x14ac:dyDescent="0.25">
      <c r="A79" s="3" t="s">
        <v>93</v>
      </c>
      <c r="B79" s="5">
        <v>494</v>
      </c>
      <c r="C79" s="5">
        <v>310</v>
      </c>
      <c r="D79" s="5">
        <v>275</v>
      </c>
    </row>
    <row r="80" spans="1:4" x14ac:dyDescent="0.25">
      <c r="A80" s="3" t="s">
        <v>94</v>
      </c>
      <c r="B80" s="5">
        <v>493</v>
      </c>
      <c r="C80" s="5">
        <v>431</v>
      </c>
      <c r="D80" s="5">
        <v>283</v>
      </c>
    </row>
    <row r="81" spans="1:4" x14ac:dyDescent="0.25">
      <c r="A81" s="3" t="s">
        <v>95</v>
      </c>
      <c r="B81" s="5">
        <v>302</v>
      </c>
      <c r="C81" s="5">
        <v>415</v>
      </c>
      <c r="D81" s="5">
        <v>297</v>
      </c>
    </row>
    <row r="82" spans="1:4" x14ac:dyDescent="0.25">
      <c r="A82" s="3" t="s">
        <v>96</v>
      </c>
      <c r="B82" s="5">
        <v>331</v>
      </c>
      <c r="C82" s="5">
        <v>353</v>
      </c>
      <c r="D82" s="5">
        <v>373</v>
      </c>
    </row>
    <row r="83" spans="1:4" x14ac:dyDescent="0.25">
      <c r="A83" s="3" t="s">
        <v>97</v>
      </c>
      <c r="B83" s="5">
        <v>486</v>
      </c>
      <c r="C83" s="5">
        <v>323</v>
      </c>
      <c r="D83" s="5">
        <v>359</v>
      </c>
    </row>
    <row r="84" spans="1:4" x14ac:dyDescent="0.25">
      <c r="A84" s="3" t="s">
        <v>98</v>
      </c>
      <c r="B84" s="5">
        <v>360</v>
      </c>
      <c r="C84" s="5">
        <v>331</v>
      </c>
      <c r="D84" s="5">
        <v>445</v>
      </c>
    </row>
    <row r="85" spans="1:4" x14ac:dyDescent="0.25">
      <c r="A85" s="3" t="s">
        <v>99</v>
      </c>
      <c r="B85" s="5">
        <v>391</v>
      </c>
      <c r="C85" s="5">
        <v>455</v>
      </c>
      <c r="D85" s="5">
        <v>427</v>
      </c>
    </row>
    <row r="86" spans="1:4" x14ac:dyDescent="0.25">
      <c r="A86" s="3" t="s">
        <v>100</v>
      </c>
      <c r="B86" s="5">
        <v>327</v>
      </c>
      <c r="C86" s="5">
        <v>471</v>
      </c>
      <c r="D86" s="5">
        <v>423</v>
      </c>
    </row>
    <row r="87" spans="1:4" x14ac:dyDescent="0.25">
      <c r="A87" s="3" t="s">
        <v>101</v>
      </c>
      <c r="B87" s="5">
        <v>355</v>
      </c>
      <c r="C87" s="5">
        <v>490</v>
      </c>
      <c r="D87" s="5">
        <v>449</v>
      </c>
    </row>
    <row r="88" spans="1:4" x14ac:dyDescent="0.25">
      <c r="A88" s="3" t="s">
        <v>102</v>
      </c>
      <c r="B88" s="5">
        <v>360</v>
      </c>
      <c r="C88" s="5">
        <v>339</v>
      </c>
      <c r="D88" s="5">
        <v>470</v>
      </c>
    </row>
    <row r="89" spans="1:4" x14ac:dyDescent="0.25">
      <c r="A89" s="3" t="s">
        <v>103</v>
      </c>
      <c r="B89" s="5">
        <v>303</v>
      </c>
      <c r="C89" s="5">
        <v>404</v>
      </c>
      <c r="D89" s="5">
        <v>434</v>
      </c>
    </row>
    <row r="90" spans="1:4" x14ac:dyDescent="0.25">
      <c r="A90" s="3" t="s">
        <v>104</v>
      </c>
      <c r="B90" s="5">
        <v>310</v>
      </c>
      <c r="C90" s="5">
        <v>332</v>
      </c>
      <c r="D90" s="5">
        <v>536</v>
      </c>
    </row>
    <row r="91" spans="1:4" x14ac:dyDescent="0.25">
      <c r="A91" s="3" t="s">
        <v>105</v>
      </c>
      <c r="B91" s="5">
        <v>435</v>
      </c>
      <c r="C91" s="5">
        <v>406</v>
      </c>
      <c r="D91" s="5">
        <v>421</v>
      </c>
    </row>
    <row r="92" spans="1:4" x14ac:dyDescent="0.25">
      <c r="A92" s="3" t="s">
        <v>106</v>
      </c>
      <c r="B92" s="5">
        <v>344</v>
      </c>
      <c r="C92" s="5">
        <v>348</v>
      </c>
      <c r="D92" s="5">
        <v>555</v>
      </c>
    </row>
    <row r="93" spans="1:4" x14ac:dyDescent="0.25">
      <c r="A93" s="3" t="s">
        <v>107</v>
      </c>
      <c r="B93" s="5">
        <v>303</v>
      </c>
      <c r="C93" s="5">
        <v>335</v>
      </c>
      <c r="D93" s="5">
        <v>436</v>
      </c>
    </row>
    <row r="94" spans="1:4" x14ac:dyDescent="0.25">
      <c r="A94" s="3" t="s">
        <v>108</v>
      </c>
      <c r="B94" s="5">
        <v>433</v>
      </c>
      <c r="C94" s="5">
        <v>425</v>
      </c>
      <c r="D94" s="5">
        <v>422</v>
      </c>
    </row>
    <row r="95" spans="1:4" x14ac:dyDescent="0.25">
      <c r="A95" s="3" t="s">
        <v>109</v>
      </c>
      <c r="B95" s="5">
        <v>350</v>
      </c>
      <c r="C95" s="5">
        <v>378</v>
      </c>
      <c r="D95" s="5">
        <v>419</v>
      </c>
    </row>
    <row r="96" spans="1:4" x14ac:dyDescent="0.25">
      <c r="A96" s="3" t="s">
        <v>110</v>
      </c>
      <c r="B96" s="5">
        <v>396</v>
      </c>
      <c r="C96" s="5">
        <v>466</v>
      </c>
      <c r="D96" s="5">
        <v>434</v>
      </c>
    </row>
    <row r="97" spans="1:4" x14ac:dyDescent="0.25">
      <c r="A97" s="3" t="s">
        <v>111</v>
      </c>
      <c r="B97" s="5">
        <v>495</v>
      </c>
      <c r="C97" s="5">
        <v>410</v>
      </c>
      <c r="D97" s="5">
        <v>418</v>
      </c>
    </row>
    <row r="98" spans="1:4" x14ac:dyDescent="0.25">
      <c r="A98" s="3" t="s">
        <v>112</v>
      </c>
      <c r="B98" s="5">
        <v>420</v>
      </c>
      <c r="C98" s="5">
        <v>328</v>
      </c>
      <c r="D98" s="5">
        <v>422</v>
      </c>
    </row>
    <row r="99" spans="1:4" x14ac:dyDescent="0.25">
      <c r="A99" s="3" t="s">
        <v>113</v>
      </c>
      <c r="B99" s="5">
        <v>411</v>
      </c>
      <c r="C99" s="5">
        <v>481</v>
      </c>
      <c r="D99" s="5">
        <v>445</v>
      </c>
    </row>
    <row r="100" spans="1:4" x14ac:dyDescent="0.25">
      <c r="A100" s="3" t="s">
        <v>114</v>
      </c>
      <c r="B100" s="5">
        <v>317</v>
      </c>
      <c r="C100" s="5">
        <v>434</v>
      </c>
      <c r="D100" s="5">
        <v>411</v>
      </c>
    </row>
    <row r="101" spans="1:4" x14ac:dyDescent="0.25">
      <c r="A101" s="3" t="s">
        <v>115</v>
      </c>
      <c r="B101" s="5">
        <v>342</v>
      </c>
      <c r="C101" s="5">
        <v>465</v>
      </c>
      <c r="D101" s="5">
        <v>417</v>
      </c>
    </row>
    <row r="102" spans="1:4" x14ac:dyDescent="0.25">
      <c r="A102" s="3" t="s">
        <v>116</v>
      </c>
      <c r="B102" s="5">
        <v>450</v>
      </c>
      <c r="C102" s="5">
        <v>318</v>
      </c>
      <c r="D102" s="5">
        <v>490</v>
      </c>
    </row>
    <row r="103" spans="1:4" x14ac:dyDescent="0.25">
      <c r="A103" s="3" t="s">
        <v>117</v>
      </c>
      <c r="B103" s="5">
        <v>343</v>
      </c>
      <c r="C103" s="5">
        <v>329</v>
      </c>
      <c r="D103" s="5">
        <v>345</v>
      </c>
    </row>
    <row r="104" spans="1:4" x14ac:dyDescent="0.25">
      <c r="A104" s="3" t="s">
        <v>118</v>
      </c>
      <c r="B104" s="5">
        <v>287</v>
      </c>
      <c r="C104" s="5">
        <v>328</v>
      </c>
      <c r="D104" s="5">
        <v>377</v>
      </c>
    </row>
    <row r="105" spans="1:4" x14ac:dyDescent="0.25">
      <c r="A105" s="3" t="s">
        <v>119</v>
      </c>
      <c r="B105" s="5">
        <v>298</v>
      </c>
      <c r="C105" s="5">
        <v>401</v>
      </c>
      <c r="D105" s="5">
        <v>416</v>
      </c>
    </row>
    <row r="106" spans="1:4" x14ac:dyDescent="0.25">
      <c r="A106" s="3" t="s">
        <v>120</v>
      </c>
      <c r="B106" s="5">
        <v>429</v>
      </c>
      <c r="C106" s="5">
        <v>348</v>
      </c>
      <c r="D106" s="5">
        <v>426</v>
      </c>
    </row>
    <row r="107" spans="1:4" x14ac:dyDescent="0.25">
      <c r="A107" s="3" t="s">
        <v>121</v>
      </c>
      <c r="B107" s="5">
        <v>417</v>
      </c>
      <c r="C107" s="5">
        <v>457</v>
      </c>
      <c r="D107" s="5">
        <v>438</v>
      </c>
    </row>
    <row r="108" spans="1:4" x14ac:dyDescent="0.25">
      <c r="A108" s="3" t="s">
        <v>122</v>
      </c>
      <c r="B108" s="5">
        <v>384</v>
      </c>
      <c r="C108" s="5">
        <v>330</v>
      </c>
      <c r="D108" s="5">
        <v>292</v>
      </c>
    </row>
    <row r="109" spans="1:4" x14ac:dyDescent="0.25">
      <c r="A109" s="3" t="s">
        <v>123</v>
      </c>
      <c r="B109" s="5">
        <v>370</v>
      </c>
      <c r="C109" s="5">
        <v>388</v>
      </c>
      <c r="D109" s="5">
        <v>390</v>
      </c>
    </row>
    <row r="110" spans="1:4" x14ac:dyDescent="0.25">
      <c r="A110" s="3" t="s">
        <v>124</v>
      </c>
      <c r="B110" s="5">
        <v>436</v>
      </c>
      <c r="C110" s="5">
        <v>298</v>
      </c>
      <c r="D110" s="5">
        <v>420</v>
      </c>
    </row>
    <row r="111" spans="1:4" x14ac:dyDescent="0.25">
      <c r="A111" s="3" t="s">
        <v>125</v>
      </c>
      <c r="B111" s="5">
        <v>303</v>
      </c>
      <c r="C111" s="5">
        <v>429</v>
      </c>
      <c r="D111" s="5">
        <v>407</v>
      </c>
    </row>
    <row r="112" spans="1:4" x14ac:dyDescent="0.25">
      <c r="A112" s="3" t="s">
        <v>126</v>
      </c>
      <c r="B112" s="5">
        <v>449</v>
      </c>
      <c r="C112" s="5">
        <v>444</v>
      </c>
      <c r="D112" s="5">
        <v>425</v>
      </c>
    </row>
    <row r="113" spans="1:4" x14ac:dyDescent="0.25">
      <c r="A113" s="3" t="s">
        <v>127</v>
      </c>
      <c r="B113" s="5">
        <v>300</v>
      </c>
      <c r="C113" s="5">
        <v>358</v>
      </c>
      <c r="D113" s="5">
        <v>377</v>
      </c>
    </row>
    <row r="114" spans="1:4" x14ac:dyDescent="0.25">
      <c r="A114" s="3" t="s">
        <v>128</v>
      </c>
      <c r="B114" s="5">
        <v>307</v>
      </c>
      <c r="C114" s="5">
        <v>417</v>
      </c>
      <c r="D114" s="5">
        <v>405</v>
      </c>
    </row>
    <row r="115" spans="1:4" x14ac:dyDescent="0.25">
      <c r="A115" s="3" t="s">
        <v>129</v>
      </c>
      <c r="B115" s="5">
        <v>314</v>
      </c>
      <c r="C115" s="5">
        <v>340</v>
      </c>
      <c r="D115" s="5">
        <v>345</v>
      </c>
    </row>
    <row r="116" spans="1:4" x14ac:dyDescent="0.25">
      <c r="A116" s="3" t="s">
        <v>130</v>
      </c>
      <c r="B116" s="5">
        <v>379</v>
      </c>
      <c r="C116" s="5">
        <v>288</v>
      </c>
      <c r="D116" s="5">
        <v>353</v>
      </c>
    </row>
    <row r="117" spans="1:4" x14ac:dyDescent="0.25">
      <c r="A117" s="3" t="s">
        <v>131</v>
      </c>
      <c r="B117" s="5">
        <v>405</v>
      </c>
      <c r="C117" s="5">
        <v>454</v>
      </c>
      <c r="D117" s="5">
        <v>342</v>
      </c>
    </row>
    <row r="118" spans="1:4" x14ac:dyDescent="0.25">
      <c r="A118" s="3" t="s">
        <v>132</v>
      </c>
      <c r="B118" s="5">
        <v>407</v>
      </c>
      <c r="C118" s="5">
        <v>300</v>
      </c>
      <c r="D118" s="5">
        <v>365</v>
      </c>
    </row>
    <row r="119" spans="1:4" x14ac:dyDescent="0.25">
      <c r="A119" s="3" t="s">
        <v>133</v>
      </c>
      <c r="B119" s="5">
        <v>432</v>
      </c>
      <c r="C119" s="5">
        <v>423</v>
      </c>
      <c r="D119" s="5">
        <v>221</v>
      </c>
    </row>
    <row r="120" spans="1:4" x14ac:dyDescent="0.25">
      <c r="A120" s="3" t="s">
        <v>134</v>
      </c>
      <c r="B120" s="5">
        <v>405</v>
      </c>
      <c r="C120" s="5">
        <v>449</v>
      </c>
      <c r="D120" s="5">
        <v>231</v>
      </c>
    </row>
    <row r="121" spans="1:4" x14ac:dyDescent="0.25">
      <c r="A121" s="3" t="s">
        <v>135</v>
      </c>
      <c r="B121" s="5">
        <v>162</v>
      </c>
      <c r="C121" s="5">
        <v>294</v>
      </c>
      <c r="D121" s="5">
        <v>255</v>
      </c>
    </row>
    <row r="122" spans="1:4" x14ac:dyDescent="0.25">
      <c r="A122" s="3" t="s">
        <v>136</v>
      </c>
      <c r="B122" s="5">
        <v>297</v>
      </c>
      <c r="C122" s="5">
        <v>341</v>
      </c>
      <c r="D122" s="5">
        <v>223</v>
      </c>
    </row>
    <row r="123" spans="1:4" x14ac:dyDescent="0.25">
      <c r="A123" s="3" t="s">
        <v>137</v>
      </c>
      <c r="B123" s="5">
        <v>226</v>
      </c>
      <c r="C123" s="5">
        <v>329</v>
      </c>
      <c r="D123" s="5">
        <v>261</v>
      </c>
    </row>
    <row r="124" spans="1:4" x14ac:dyDescent="0.25">
      <c r="A124" s="3" t="s">
        <v>138</v>
      </c>
      <c r="B124" s="5">
        <v>226</v>
      </c>
      <c r="C124" s="5">
        <v>256</v>
      </c>
      <c r="D124" s="5">
        <v>239</v>
      </c>
    </row>
    <row r="125" spans="1:4" x14ac:dyDescent="0.25">
      <c r="A125" s="3" t="s">
        <v>139</v>
      </c>
      <c r="B125" s="5">
        <v>287</v>
      </c>
      <c r="C125" s="5">
        <v>217</v>
      </c>
      <c r="D125" s="5">
        <v>262</v>
      </c>
    </row>
    <row r="126" spans="1:4" x14ac:dyDescent="0.25">
      <c r="A126" s="3" t="s">
        <v>140</v>
      </c>
      <c r="B126" s="5">
        <v>351</v>
      </c>
      <c r="C126" s="5">
        <v>266</v>
      </c>
      <c r="D126" s="5">
        <v>226</v>
      </c>
    </row>
    <row r="127" spans="1:4" x14ac:dyDescent="0.25">
      <c r="A127" s="3" t="s">
        <v>141</v>
      </c>
      <c r="B127" s="5">
        <v>214</v>
      </c>
      <c r="C127" s="5">
        <v>260</v>
      </c>
      <c r="D127" s="5">
        <v>241</v>
      </c>
    </row>
    <row r="128" spans="1:4" x14ac:dyDescent="0.25">
      <c r="A128" s="3" t="s">
        <v>142</v>
      </c>
      <c r="B128" s="5">
        <v>282</v>
      </c>
      <c r="C128" s="5">
        <v>227</v>
      </c>
      <c r="D128" s="5">
        <v>258</v>
      </c>
    </row>
    <row r="129" spans="1:4" x14ac:dyDescent="0.25">
      <c r="A129" s="3" t="s">
        <v>143</v>
      </c>
      <c r="B129" s="5">
        <v>257</v>
      </c>
      <c r="C129" s="5">
        <v>251</v>
      </c>
      <c r="D129" s="5">
        <v>252</v>
      </c>
    </row>
    <row r="130" spans="1:4" x14ac:dyDescent="0.25">
      <c r="A130" s="3" t="s">
        <v>144</v>
      </c>
      <c r="B130" s="5">
        <v>172</v>
      </c>
      <c r="C130" s="5">
        <v>171</v>
      </c>
      <c r="D130" s="5">
        <v>268</v>
      </c>
    </row>
    <row r="131" spans="1:4" x14ac:dyDescent="0.25">
      <c r="A131" s="3" t="s">
        <v>145</v>
      </c>
      <c r="B131" s="5">
        <v>197</v>
      </c>
      <c r="C131" s="5">
        <v>326</v>
      </c>
      <c r="D131" s="5">
        <v>224</v>
      </c>
    </row>
    <row r="132" spans="1:4" x14ac:dyDescent="0.25">
      <c r="A132" s="3" t="s">
        <v>146</v>
      </c>
      <c r="B132" s="5">
        <v>292</v>
      </c>
      <c r="C132" s="5">
        <v>329</v>
      </c>
      <c r="D132" s="5">
        <v>255</v>
      </c>
    </row>
    <row r="133" spans="1:4" x14ac:dyDescent="0.25">
      <c r="A133" s="3" t="s">
        <v>147</v>
      </c>
      <c r="B133" s="5">
        <v>172</v>
      </c>
      <c r="C133" s="5">
        <v>216</v>
      </c>
      <c r="D133" s="5">
        <v>199</v>
      </c>
    </row>
    <row r="134" spans="1:4" x14ac:dyDescent="0.25">
      <c r="A134" s="3" t="s">
        <v>148</v>
      </c>
      <c r="B134" s="5">
        <v>258</v>
      </c>
      <c r="C134" s="5">
        <v>291</v>
      </c>
      <c r="D134" s="5">
        <v>220</v>
      </c>
    </row>
    <row r="135" spans="1:4" x14ac:dyDescent="0.25">
      <c r="A135" s="3" t="s">
        <v>149</v>
      </c>
      <c r="B135" s="5">
        <v>276</v>
      </c>
      <c r="C135" s="5">
        <v>347</v>
      </c>
      <c r="D135" s="5">
        <v>197</v>
      </c>
    </row>
    <row r="136" spans="1:4" x14ac:dyDescent="0.25">
      <c r="A136" s="3" t="s">
        <v>150</v>
      </c>
      <c r="B136" s="5">
        <v>210</v>
      </c>
      <c r="C136" s="5">
        <v>333</v>
      </c>
      <c r="D136" s="5">
        <v>218</v>
      </c>
    </row>
    <row r="137" spans="1:4" x14ac:dyDescent="0.25">
      <c r="A137" s="3" t="s">
        <v>151</v>
      </c>
      <c r="B137" s="5">
        <v>168</v>
      </c>
      <c r="C137" s="5">
        <v>211</v>
      </c>
      <c r="D137" s="5">
        <v>180</v>
      </c>
    </row>
    <row r="138" spans="1:4" x14ac:dyDescent="0.25">
      <c r="A138" s="3" t="s">
        <v>152</v>
      </c>
      <c r="B138" s="5">
        <v>196</v>
      </c>
      <c r="C138" s="5">
        <v>348</v>
      </c>
      <c r="D138" s="5">
        <v>225</v>
      </c>
    </row>
    <row r="139" spans="1:4" x14ac:dyDescent="0.25">
      <c r="A139" s="3" t="s">
        <v>153</v>
      </c>
      <c r="B139" s="5">
        <v>284</v>
      </c>
      <c r="C139" s="5">
        <v>226</v>
      </c>
      <c r="D139" s="5">
        <v>197</v>
      </c>
    </row>
    <row r="140" spans="1:4" x14ac:dyDescent="0.25">
      <c r="A140" s="3" t="s">
        <v>154</v>
      </c>
      <c r="B140" s="5">
        <v>162</v>
      </c>
      <c r="C140" s="5">
        <v>345</v>
      </c>
      <c r="D140" s="5">
        <v>194</v>
      </c>
    </row>
    <row r="141" spans="1:4" x14ac:dyDescent="0.25">
      <c r="A141" s="3" t="s">
        <v>155</v>
      </c>
      <c r="B141" s="5">
        <v>212</v>
      </c>
      <c r="C141" s="5">
        <v>184</v>
      </c>
      <c r="D141" s="5">
        <v>183</v>
      </c>
    </row>
    <row r="142" spans="1:4" x14ac:dyDescent="0.25">
      <c r="A142" s="3" t="s">
        <v>156</v>
      </c>
      <c r="B142" s="5">
        <v>165</v>
      </c>
      <c r="C142" s="5">
        <v>232</v>
      </c>
      <c r="D142" s="5">
        <v>202</v>
      </c>
    </row>
    <row r="143" spans="1:4" x14ac:dyDescent="0.25">
      <c r="A143" s="3" t="s">
        <v>157</v>
      </c>
      <c r="B143" s="5">
        <v>163</v>
      </c>
      <c r="C143" s="5">
        <v>314</v>
      </c>
      <c r="D143" s="5">
        <v>213</v>
      </c>
    </row>
    <row r="144" spans="1:4" x14ac:dyDescent="0.25">
      <c r="A144" s="3" t="s">
        <v>158</v>
      </c>
      <c r="B144" s="5">
        <v>200</v>
      </c>
      <c r="C144" s="5">
        <v>307</v>
      </c>
      <c r="D144" s="5">
        <v>206</v>
      </c>
    </row>
    <row r="145" spans="1:4" x14ac:dyDescent="0.25">
      <c r="A145" s="3" t="s">
        <v>159</v>
      </c>
      <c r="B145" s="5">
        <v>201</v>
      </c>
      <c r="C145" s="5">
        <v>274</v>
      </c>
      <c r="D145" s="5">
        <v>210</v>
      </c>
    </row>
    <row r="146" spans="1:4" x14ac:dyDescent="0.25">
      <c r="A146" s="3" t="s">
        <v>160</v>
      </c>
      <c r="B146" s="5">
        <v>269</v>
      </c>
      <c r="C146" s="5">
        <v>278</v>
      </c>
      <c r="D146" s="5">
        <v>228</v>
      </c>
    </row>
    <row r="147" spans="1:4" x14ac:dyDescent="0.25">
      <c r="A147" s="3" t="s">
        <v>161</v>
      </c>
      <c r="B147" s="5">
        <v>188</v>
      </c>
      <c r="C147" s="5">
        <v>195</v>
      </c>
      <c r="D147" s="5">
        <v>207</v>
      </c>
    </row>
    <row r="148" spans="1:4" x14ac:dyDescent="0.25">
      <c r="A148" s="3" t="s">
        <v>162</v>
      </c>
      <c r="B148" s="5">
        <v>142</v>
      </c>
      <c r="C148" s="5">
        <v>249</v>
      </c>
      <c r="D148" s="5">
        <v>202</v>
      </c>
    </row>
    <row r="149" spans="1:4" x14ac:dyDescent="0.25">
      <c r="A149" s="3" t="s">
        <v>163</v>
      </c>
      <c r="B149" s="5">
        <v>232</v>
      </c>
      <c r="C149" s="5">
        <v>116</v>
      </c>
      <c r="D149" s="5">
        <v>195</v>
      </c>
    </row>
    <row r="150" spans="1:4" x14ac:dyDescent="0.25">
      <c r="A150" s="3" t="s">
        <v>164</v>
      </c>
      <c r="B150" s="5">
        <v>296</v>
      </c>
      <c r="C150" s="5">
        <v>102</v>
      </c>
      <c r="D150" s="5">
        <v>192</v>
      </c>
    </row>
    <row r="151" spans="1:4" x14ac:dyDescent="0.25">
      <c r="A151" s="3" t="s">
        <v>165</v>
      </c>
      <c r="B151" s="5">
        <v>161</v>
      </c>
      <c r="C151" s="5">
        <v>151</v>
      </c>
      <c r="D151" s="5">
        <v>216</v>
      </c>
    </row>
    <row r="152" spans="1:4" x14ac:dyDescent="0.25">
      <c r="A152" s="3" t="s">
        <v>166</v>
      </c>
      <c r="B152" s="5">
        <v>162</v>
      </c>
      <c r="C152" s="5">
        <v>261</v>
      </c>
      <c r="D152" s="5">
        <v>184</v>
      </c>
    </row>
    <row r="153" spans="1:4" x14ac:dyDescent="0.25">
      <c r="A153" s="3" t="s">
        <v>167</v>
      </c>
      <c r="B153" s="5">
        <v>216</v>
      </c>
      <c r="C153" s="5">
        <v>147</v>
      </c>
      <c r="D153" s="5">
        <v>204</v>
      </c>
    </row>
    <row r="154" spans="1:4" x14ac:dyDescent="0.25">
      <c r="A154" s="3" t="s">
        <v>168</v>
      </c>
      <c r="B154" s="5">
        <v>282</v>
      </c>
      <c r="C154" s="5">
        <v>297</v>
      </c>
      <c r="D154" s="5">
        <v>195</v>
      </c>
    </row>
    <row r="155" spans="1:4" x14ac:dyDescent="0.25">
      <c r="A155" s="3" t="s">
        <v>169</v>
      </c>
      <c r="B155" s="5">
        <v>214</v>
      </c>
      <c r="C155" s="5">
        <v>198</v>
      </c>
      <c r="D155" s="5">
        <v>200</v>
      </c>
    </row>
    <row r="156" spans="1:4" x14ac:dyDescent="0.25">
      <c r="A156" s="3" t="s">
        <v>170</v>
      </c>
      <c r="B156" s="5">
        <v>289</v>
      </c>
      <c r="C156" s="5">
        <v>290</v>
      </c>
      <c r="D156" s="5">
        <v>190</v>
      </c>
    </row>
    <row r="157" spans="1:4" x14ac:dyDescent="0.25">
      <c r="A157" s="3" t="s">
        <v>5</v>
      </c>
      <c r="B157" s="5">
        <v>47892</v>
      </c>
      <c r="C157" s="5">
        <v>48404</v>
      </c>
      <c r="D157" s="5">
        <v>36390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DEB3E-8DB7-43B6-9504-E8995F02873D}">
  <dimension ref="A1:P154"/>
  <sheetViews>
    <sheetView topLeftCell="A2" zoomScale="85" zoomScaleNormal="85" workbookViewId="0">
      <selection sqref="A1:D154"/>
    </sheetView>
  </sheetViews>
  <sheetFormatPr defaultRowHeight="15" x14ac:dyDescent="0.25"/>
  <cols>
    <col min="1" max="1" width="14.42578125" customWidth="1"/>
    <col min="2" max="2" width="19.28515625" customWidth="1"/>
    <col min="3" max="3" width="25.85546875" customWidth="1"/>
    <col min="4" max="4" width="22.42578125" customWidth="1"/>
    <col min="5" max="5" width="29.140625" customWidth="1"/>
    <col min="6" max="6" width="19.7109375" customWidth="1"/>
    <col min="7" max="7" width="18.85546875" bestFit="1" customWidth="1"/>
    <col min="8" max="8" width="28.140625" customWidth="1"/>
    <col min="9" max="9" width="20.28515625" customWidth="1"/>
    <col min="10" max="10" width="19.28515625" customWidth="1"/>
    <col min="11" max="11" width="23.85546875" customWidth="1"/>
    <col min="12" max="12" width="20.85546875" customWidth="1"/>
    <col min="13" max="13" width="28.42578125" bestFit="1" customWidth="1"/>
    <col min="14" max="14" width="31.7109375" bestFit="1" customWidth="1"/>
    <col min="15" max="15" width="31.5703125" bestFit="1" customWidth="1"/>
    <col min="16" max="16" width="3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172</v>
      </c>
      <c r="F1" t="s">
        <v>179</v>
      </c>
      <c r="G1" t="s">
        <v>173</v>
      </c>
      <c r="H1" s="4" t="s">
        <v>174</v>
      </c>
      <c r="I1" s="4" t="s">
        <v>175</v>
      </c>
      <c r="J1" s="4" t="s">
        <v>176</v>
      </c>
      <c r="K1" s="4" t="s">
        <v>177</v>
      </c>
      <c r="L1" s="4" t="s">
        <v>178</v>
      </c>
      <c r="M1" s="4" t="s">
        <v>180</v>
      </c>
      <c r="N1" s="4" t="s">
        <v>181</v>
      </c>
      <c r="O1" s="4" t="s">
        <v>182</v>
      </c>
      <c r="P1" s="4" t="s">
        <v>183</v>
      </c>
    </row>
    <row r="2" spans="1:16" x14ac:dyDescent="0.25">
      <c r="A2" s="1">
        <v>43952</v>
      </c>
      <c r="B2">
        <v>211</v>
      </c>
      <c r="C2">
        <v>281</v>
      </c>
      <c r="D2">
        <v>88</v>
      </c>
      <c r="E2">
        <f>0+B2</f>
        <v>211</v>
      </c>
      <c r="F2">
        <f t="shared" ref="F2:G2" si="0">0+C2</f>
        <v>281</v>
      </c>
      <c r="G2">
        <f t="shared" si="0"/>
        <v>88</v>
      </c>
      <c r="H2">
        <f>MAX(E2:G2)</f>
        <v>281</v>
      </c>
      <c r="I2">
        <f>LARGE(E2:G2,2)</f>
        <v>211</v>
      </c>
      <c r="J2">
        <f>H2-I2</f>
        <v>70</v>
      </c>
      <c r="K2" t="str">
        <f>_xlfn.XLOOKUP(H2,E2:G2,$E$1:$G$1)</f>
        <v>magazyn_truksawek</v>
      </c>
      <c r="L2" t="str">
        <f>_xlfn.XLOOKUP(I2,E2:G2,$E$1:$G$1)</f>
        <v>magazyn_malina</v>
      </c>
      <c r="M2">
        <f>IF($K2=$E$1,$E2-$J2,IF($L2=$E$1,E2-$I2,E2))</f>
        <v>0</v>
      </c>
      <c r="N2">
        <f>IF($K2=$F$1,$F2-$I2,IF($L2=$F$1,F2-$I2,F2))</f>
        <v>70</v>
      </c>
      <c r="O2">
        <f>IF($K2=$G$1,$F2-$I2,IF($L2=$G$1,G2-$I2,G2))</f>
        <v>88</v>
      </c>
    </row>
    <row r="3" spans="1:16" x14ac:dyDescent="0.25">
      <c r="A3" s="1">
        <v>43953</v>
      </c>
      <c r="B3">
        <v>393</v>
      </c>
      <c r="C3">
        <v>313</v>
      </c>
      <c r="D3">
        <v>83</v>
      </c>
      <c r="E3">
        <f>B3+M2</f>
        <v>393</v>
      </c>
      <c r="F3">
        <f>C3+N2</f>
        <v>383</v>
      </c>
      <c r="G3">
        <f>D3+O2</f>
        <v>171</v>
      </c>
      <c r="H3">
        <f>MAX(E3:G3)</f>
        <v>393</v>
      </c>
      <c r="I3">
        <f>LARGE(E3:G3,2)</f>
        <v>383</v>
      </c>
      <c r="J3">
        <f>H3-I3</f>
        <v>10</v>
      </c>
      <c r="K3" t="str">
        <f>_xlfn.XLOOKUP(H3,E3:G3,$E$1:$G$1)</f>
        <v>magazyn_malina</v>
      </c>
      <c r="L3" t="str">
        <f>_xlfn.XLOOKUP(I3,E3:G3,$E$1:$G$1)</f>
        <v>magazyn_truksawek</v>
      </c>
      <c r="M3">
        <f>IF($K3=$E$1,$E3-$H3+$J3,IF($L3=$E$1,E3-$I3,E3))</f>
        <v>10</v>
      </c>
      <c r="N3">
        <f>IF($K3=$F$1,$F3-$H3+$J3,IF($L3=$F$1,F3-$I3,F3))</f>
        <v>0</v>
      </c>
      <c r="O3">
        <f>IF($K3=$G$1,$F3-$H3+$J3,IF($L3=$G$1,G3-$I3,G3))</f>
        <v>171</v>
      </c>
    </row>
    <row r="4" spans="1:16" x14ac:dyDescent="0.25">
      <c r="A4" s="1">
        <v>43954</v>
      </c>
      <c r="B4">
        <v>389</v>
      </c>
      <c r="C4">
        <v>315</v>
      </c>
      <c r="D4">
        <v>104</v>
      </c>
      <c r="E4">
        <f>B4+M3</f>
        <v>399</v>
      </c>
      <c r="F4">
        <f>C4+N3</f>
        <v>315</v>
      </c>
      <c r="G4">
        <f>D4+O3</f>
        <v>275</v>
      </c>
      <c r="H4">
        <f t="shared" ref="H4:H23" si="1">MAX(E4:G4)</f>
        <v>399</v>
      </c>
      <c r="I4">
        <f t="shared" ref="I4:I23" si="2">LARGE(E4:G4,2)</f>
        <v>315</v>
      </c>
      <c r="J4">
        <f t="shared" ref="J4:J23" si="3">H4-I4</f>
        <v>84</v>
      </c>
      <c r="K4" t="str">
        <f t="shared" ref="K4:K23" si="4">_xlfn.XLOOKUP(H4,E4:G4,$E$1:$G$1)</f>
        <v>magazyn_malina</v>
      </c>
      <c r="L4" t="str">
        <f t="shared" ref="L4:L23" si="5">_xlfn.XLOOKUP(I4,E4:G4,$E$1:$G$1)</f>
        <v>magazyn_truksawek</v>
      </c>
      <c r="M4">
        <f t="shared" ref="M4:M23" si="6">IF($K4=$E$1,$E4-$H4+$J4,IF($L4=$E$1,E4-$I4,E4))</f>
        <v>84</v>
      </c>
      <c r="N4">
        <f t="shared" ref="N4:N23" si="7">IF($K4=$F$1,$F4-$H4+$J4,IF($L4=$F$1,F4-$I4,F4))</f>
        <v>0</v>
      </c>
      <c r="O4">
        <f t="shared" ref="O4:O23" si="8">IF($K4=$G$1,$F4-$H4+$J4,IF($L4=$G$1,G4-$I4,G4))</f>
        <v>275</v>
      </c>
    </row>
    <row r="5" spans="1:16" x14ac:dyDescent="0.25">
      <c r="A5" s="1">
        <v>43955</v>
      </c>
      <c r="B5">
        <v>308</v>
      </c>
      <c r="C5">
        <v>221</v>
      </c>
      <c r="D5">
        <v>119</v>
      </c>
      <c r="E5">
        <f t="shared" ref="E5:E23" si="9">B5+M4</f>
        <v>392</v>
      </c>
      <c r="F5">
        <f t="shared" ref="F5:F23" si="10">C5+N4</f>
        <v>221</v>
      </c>
      <c r="G5">
        <f t="shared" ref="G5:G23" si="11">D5+O4</f>
        <v>394</v>
      </c>
      <c r="H5">
        <f t="shared" si="1"/>
        <v>394</v>
      </c>
      <c r="I5">
        <f t="shared" si="2"/>
        <v>392</v>
      </c>
      <c r="J5">
        <f t="shared" si="3"/>
        <v>2</v>
      </c>
      <c r="K5" t="str">
        <f t="shared" si="4"/>
        <v>magazyn_porzeczka</v>
      </c>
      <c r="L5" t="str">
        <f t="shared" si="5"/>
        <v>magazyn_malina</v>
      </c>
      <c r="M5">
        <f t="shared" si="6"/>
        <v>0</v>
      </c>
      <c r="N5">
        <f t="shared" si="7"/>
        <v>221</v>
      </c>
      <c r="O5">
        <f t="shared" si="8"/>
        <v>-171</v>
      </c>
    </row>
    <row r="6" spans="1:16" x14ac:dyDescent="0.25">
      <c r="A6" s="1">
        <v>43956</v>
      </c>
      <c r="B6">
        <v>387</v>
      </c>
      <c r="C6">
        <v>275</v>
      </c>
      <c r="D6">
        <v>72</v>
      </c>
      <c r="E6">
        <f t="shared" si="9"/>
        <v>387</v>
      </c>
      <c r="F6">
        <f t="shared" si="10"/>
        <v>496</v>
      </c>
      <c r="G6">
        <f t="shared" si="11"/>
        <v>-99</v>
      </c>
      <c r="H6">
        <f t="shared" si="1"/>
        <v>496</v>
      </c>
      <c r="I6">
        <f t="shared" si="2"/>
        <v>387</v>
      </c>
      <c r="J6">
        <f t="shared" si="3"/>
        <v>109</v>
      </c>
      <c r="K6" t="str">
        <f t="shared" si="4"/>
        <v>magazyn_truksawek</v>
      </c>
      <c r="L6" t="str">
        <f t="shared" si="5"/>
        <v>magazyn_malina</v>
      </c>
      <c r="M6">
        <f t="shared" si="6"/>
        <v>0</v>
      </c>
      <c r="N6">
        <f t="shared" si="7"/>
        <v>109</v>
      </c>
      <c r="O6">
        <f t="shared" si="8"/>
        <v>-99</v>
      </c>
    </row>
    <row r="7" spans="1:16" x14ac:dyDescent="0.25">
      <c r="A7" s="1">
        <v>43957</v>
      </c>
      <c r="B7">
        <v>294</v>
      </c>
      <c r="C7">
        <v>366</v>
      </c>
      <c r="D7">
        <v>99</v>
      </c>
      <c r="E7">
        <f t="shared" si="9"/>
        <v>294</v>
      </c>
      <c r="F7">
        <f t="shared" si="10"/>
        <v>475</v>
      </c>
      <c r="G7">
        <f t="shared" si="11"/>
        <v>0</v>
      </c>
      <c r="H7">
        <f t="shared" si="1"/>
        <v>475</v>
      </c>
      <c r="I7">
        <f t="shared" si="2"/>
        <v>294</v>
      </c>
      <c r="J7">
        <f t="shared" si="3"/>
        <v>181</v>
      </c>
      <c r="K7" t="str">
        <f t="shared" si="4"/>
        <v>magazyn_truksawek</v>
      </c>
      <c r="L7" t="str">
        <f t="shared" si="5"/>
        <v>magazyn_malina</v>
      </c>
      <c r="M7">
        <f t="shared" si="6"/>
        <v>0</v>
      </c>
      <c r="N7">
        <f t="shared" si="7"/>
        <v>181</v>
      </c>
      <c r="O7">
        <f t="shared" si="8"/>
        <v>0</v>
      </c>
    </row>
    <row r="8" spans="1:16" x14ac:dyDescent="0.25">
      <c r="A8" s="1">
        <v>43958</v>
      </c>
      <c r="B8">
        <v>389</v>
      </c>
      <c r="C8">
        <v>288</v>
      </c>
      <c r="D8">
        <v>87</v>
      </c>
      <c r="E8">
        <f t="shared" si="9"/>
        <v>389</v>
      </c>
      <c r="F8">
        <f t="shared" si="10"/>
        <v>469</v>
      </c>
      <c r="G8">
        <f t="shared" si="11"/>
        <v>87</v>
      </c>
      <c r="H8">
        <f t="shared" si="1"/>
        <v>469</v>
      </c>
      <c r="I8">
        <f t="shared" si="2"/>
        <v>389</v>
      </c>
      <c r="J8">
        <f t="shared" si="3"/>
        <v>80</v>
      </c>
      <c r="K8" t="str">
        <f t="shared" si="4"/>
        <v>magazyn_truksawek</v>
      </c>
      <c r="L8" t="str">
        <f t="shared" si="5"/>
        <v>magazyn_malina</v>
      </c>
      <c r="M8">
        <f t="shared" si="6"/>
        <v>0</v>
      </c>
      <c r="N8">
        <f t="shared" si="7"/>
        <v>80</v>
      </c>
      <c r="O8">
        <f t="shared" si="8"/>
        <v>87</v>
      </c>
    </row>
    <row r="9" spans="1:16" x14ac:dyDescent="0.25">
      <c r="A9" s="1">
        <v>43959</v>
      </c>
      <c r="B9">
        <v>259</v>
      </c>
      <c r="C9">
        <v>361</v>
      </c>
      <c r="D9">
        <v>112</v>
      </c>
      <c r="E9">
        <f t="shared" si="9"/>
        <v>259</v>
      </c>
      <c r="F9">
        <f t="shared" si="10"/>
        <v>441</v>
      </c>
      <c r="G9">
        <f t="shared" si="11"/>
        <v>199</v>
      </c>
      <c r="H9">
        <f t="shared" si="1"/>
        <v>441</v>
      </c>
      <c r="I9">
        <f t="shared" si="2"/>
        <v>259</v>
      </c>
      <c r="J9">
        <f t="shared" si="3"/>
        <v>182</v>
      </c>
      <c r="K9" t="str">
        <f t="shared" si="4"/>
        <v>magazyn_truksawek</v>
      </c>
      <c r="L9" t="str">
        <f t="shared" si="5"/>
        <v>magazyn_malina</v>
      </c>
      <c r="M9">
        <f t="shared" si="6"/>
        <v>0</v>
      </c>
      <c r="N9">
        <f t="shared" si="7"/>
        <v>182</v>
      </c>
      <c r="O9">
        <f t="shared" si="8"/>
        <v>199</v>
      </c>
    </row>
    <row r="10" spans="1:16" x14ac:dyDescent="0.25">
      <c r="A10" s="1">
        <v>43960</v>
      </c>
      <c r="B10">
        <v>369</v>
      </c>
      <c r="C10">
        <v>233</v>
      </c>
      <c r="D10">
        <v>110</v>
      </c>
      <c r="E10">
        <f t="shared" si="9"/>
        <v>369</v>
      </c>
      <c r="F10">
        <f t="shared" si="10"/>
        <v>415</v>
      </c>
      <c r="G10">
        <f t="shared" si="11"/>
        <v>309</v>
      </c>
      <c r="H10">
        <f t="shared" si="1"/>
        <v>415</v>
      </c>
      <c r="I10">
        <f t="shared" si="2"/>
        <v>369</v>
      </c>
      <c r="J10">
        <f t="shared" si="3"/>
        <v>46</v>
      </c>
      <c r="K10" t="str">
        <f t="shared" si="4"/>
        <v>magazyn_truksawek</v>
      </c>
      <c r="L10" t="str">
        <f t="shared" si="5"/>
        <v>magazyn_malina</v>
      </c>
      <c r="M10">
        <f t="shared" si="6"/>
        <v>0</v>
      </c>
      <c r="N10">
        <f t="shared" si="7"/>
        <v>46</v>
      </c>
      <c r="O10">
        <f t="shared" si="8"/>
        <v>309</v>
      </c>
    </row>
    <row r="11" spans="1:16" x14ac:dyDescent="0.25">
      <c r="A11" s="1">
        <v>43961</v>
      </c>
      <c r="B11">
        <v>263</v>
      </c>
      <c r="C11">
        <v>393</v>
      </c>
      <c r="D11">
        <v>75</v>
      </c>
      <c r="E11">
        <f t="shared" si="9"/>
        <v>263</v>
      </c>
      <c r="F11">
        <f t="shared" si="10"/>
        <v>439</v>
      </c>
      <c r="G11">
        <f t="shared" si="11"/>
        <v>384</v>
      </c>
      <c r="H11">
        <f t="shared" si="1"/>
        <v>439</v>
      </c>
      <c r="I11">
        <f t="shared" si="2"/>
        <v>384</v>
      </c>
      <c r="J11">
        <f t="shared" si="3"/>
        <v>55</v>
      </c>
      <c r="K11" t="str">
        <f t="shared" si="4"/>
        <v>magazyn_truksawek</v>
      </c>
      <c r="L11" t="str">
        <f t="shared" si="5"/>
        <v>magazyn_porzeczka</v>
      </c>
      <c r="M11">
        <f t="shared" si="6"/>
        <v>263</v>
      </c>
      <c r="N11">
        <f t="shared" si="7"/>
        <v>55</v>
      </c>
      <c r="O11">
        <f t="shared" si="8"/>
        <v>0</v>
      </c>
    </row>
    <row r="12" spans="1:16" x14ac:dyDescent="0.25">
      <c r="A12" s="1">
        <v>43962</v>
      </c>
      <c r="B12">
        <v>239</v>
      </c>
      <c r="C12">
        <v>347</v>
      </c>
      <c r="D12">
        <v>94</v>
      </c>
      <c r="E12">
        <f t="shared" si="9"/>
        <v>502</v>
      </c>
      <c r="F12">
        <f t="shared" si="10"/>
        <v>402</v>
      </c>
      <c r="G12">
        <f t="shared" si="11"/>
        <v>94</v>
      </c>
      <c r="H12">
        <f t="shared" si="1"/>
        <v>502</v>
      </c>
      <c r="I12">
        <f t="shared" si="2"/>
        <v>402</v>
      </c>
      <c r="J12">
        <f t="shared" si="3"/>
        <v>100</v>
      </c>
      <c r="K12" t="str">
        <f t="shared" si="4"/>
        <v>magazyn_malina</v>
      </c>
      <c r="L12" t="str">
        <f t="shared" si="5"/>
        <v>magazyn_truksawek</v>
      </c>
      <c r="M12">
        <f t="shared" si="6"/>
        <v>100</v>
      </c>
      <c r="N12">
        <f t="shared" si="7"/>
        <v>0</v>
      </c>
      <c r="O12">
        <f t="shared" si="8"/>
        <v>94</v>
      </c>
    </row>
    <row r="13" spans="1:16" x14ac:dyDescent="0.25">
      <c r="A13" s="1">
        <v>43963</v>
      </c>
      <c r="B13">
        <v>282</v>
      </c>
      <c r="C13">
        <v>338</v>
      </c>
      <c r="D13">
        <v>86</v>
      </c>
      <c r="E13">
        <f t="shared" si="9"/>
        <v>382</v>
      </c>
      <c r="F13">
        <f t="shared" si="10"/>
        <v>338</v>
      </c>
      <c r="G13">
        <f t="shared" si="11"/>
        <v>180</v>
      </c>
      <c r="H13">
        <f t="shared" si="1"/>
        <v>382</v>
      </c>
      <c r="I13">
        <f t="shared" si="2"/>
        <v>338</v>
      </c>
      <c r="J13">
        <f t="shared" si="3"/>
        <v>44</v>
      </c>
      <c r="K13" t="str">
        <f t="shared" si="4"/>
        <v>magazyn_malina</v>
      </c>
      <c r="L13" t="str">
        <f t="shared" si="5"/>
        <v>magazyn_truksawek</v>
      </c>
      <c r="M13">
        <f t="shared" si="6"/>
        <v>44</v>
      </c>
      <c r="N13">
        <f t="shared" si="7"/>
        <v>0</v>
      </c>
      <c r="O13">
        <f t="shared" si="8"/>
        <v>180</v>
      </c>
    </row>
    <row r="14" spans="1:16" x14ac:dyDescent="0.25">
      <c r="A14" s="1">
        <v>43964</v>
      </c>
      <c r="B14">
        <v>306</v>
      </c>
      <c r="C14">
        <v>273</v>
      </c>
      <c r="D14">
        <v>75</v>
      </c>
      <c r="E14">
        <f t="shared" si="9"/>
        <v>350</v>
      </c>
      <c r="F14">
        <f t="shared" si="10"/>
        <v>273</v>
      </c>
      <c r="G14">
        <f t="shared" si="11"/>
        <v>255</v>
      </c>
      <c r="H14">
        <f t="shared" si="1"/>
        <v>350</v>
      </c>
      <c r="I14">
        <f t="shared" si="2"/>
        <v>273</v>
      </c>
      <c r="J14">
        <f t="shared" si="3"/>
        <v>77</v>
      </c>
      <c r="K14" t="str">
        <f t="shared" si="4"/>
        <v>magazyn_malina</v>
      </c>
      <c r="L14" t="str">
        <f t="shared" si="5"/>
        <v>magazyn_truksawek</v>
      </c>
      <c r="M14">
        <f t="shared" si="6"/>
        <v>77</v>
      </c>
      <c r="N14">
        <f t="shared" si="7"/>
        <v>0</v>
      </c>
      <c r="O14">
        <f t="shared" si="8"/>
        <v>255</v>
      </c>
    </row>
    <row r="15" spans="1:16" x14ac:dyDescent="0.25">
      <c r="A15" s="1">
        <v>43965</v>
      </c>
      <c r="B15">
        <v>251</v>
      </c>
      <c r="C15">
        <v>325</v>
      </c>
      <c r="D15">
        <v>89</v>
      </c>
      <c r="E15">
        <f t="shared" si="9"/>
        <v>328</v>
      </c>
      <c r="F15">
        <f t="shared" si="10"/>
        <v>325</v>
      </c>
      <c r="G15">
        <f t="shared" si="11"/>
        <v>344</v>
      </c>
      <c r="H15">
        <f t="shared" si="1"/>
        <v>344</v>
      </c>
      <c r="I15">
        <f t="shared" si="2"/>
        <v>328</v>
      </c>
      <c r="J15">
        <f t="shared" si="3"/>
        <v>16</v>
      </c>
      <c r="K15" t="str">
        <f t="shared" si="4"/>
        <v>magazyn_porzeczka</v>
      </c>
      <c r="L15" t="str">
        <f t="shared" si="5"/>
        <v>magazyn_malina</v>
      </c>
      <c r="M15">
        <f t="shared" si="6"/>
        <v>0</v>
      </c>
      <c r="N15">
        <f t="shared" si="7"/>
        <v>325</v>
      </c>
      <c r="O15">
        <f t="shared" si="8"/>
        <v>-3</v>
      </c>
    </row>
    <row r="16" spans="1:16" x14ac:dyDescent="0.25">
      <c r="A16" s="1">
        <v>43966</v>
      </c>
      <c r="B16">
        <v>224</v>
      </c>
      <c r="C16">
        <v>352</v>
      </c>
      <c r="D16">
        <v>97</v>
      </c>
      <c r="E16">
        <f t="shared" si="9"/>
        <v>224</v>
      </c>
      <c r="F16">
        <f t="shared" si="10"/>
        <v>677</v>
      </c>
      <c r="G16">
        <f t="shared" si="11"/>
        <v>94</v>
      </c>
      <c r="H16">
        <f t="shared" si="1"/>
        <v>677</v>
      </c>
      <c r="I16">
        <f t="shared" si="2"/>
        <v>224</v>
      </c>
      <c r="J16">
        <f t="shared" si="3"/>
        <v>453</v>
      </c>
      <c r="K16" t="str">
        <f t="shared" si="4"/>
        <v>magazyn_truksawek</v>
      </c>
      <c r="L16" t="str">
        <f t="shared" si="5"/>
        <v>magazyn_malina</v>
      </c>
      <c r="M16">
        <f t="shared" si="6"/>
        <v>0</v>
      </c>
      <c r="N16">
        <f t="shared" si="7"/>
        <v>453</v>
      </c>
      <c r="O16">
        <f t="shared" si="8"/>
        <v>94</v>
      </c>
    </row>
    <row r="17" spans="1:15" x14ac:dyDescent="0.25">
      <c r="A17" s="1">
        <v>43967</v>
      </c>
      <c r="B17">
        <v>233</v>
      </c>
      <c r="C17">
        <v>270</v>
      </c>
      <c r="D17">
        <v>94</v>
      </c>
      <c r="E17">
        <f t="shared" si="9"/>
        <v>233</v>
      </c>
      <c r="F17">
        <f t="shared" si="10"/>
        <v>723</v>
      </c>
      <c r="G17">
        <f t="shared" si="11"/>
        <v>188</v>
      </c>
      <c r="H17">
        <f t="shared" si="1"/>
        <v>723</v>
      </c>
      <c r="I17">
        <f t="shared" si="2"/>
        <v>233</v>
      </c>
      <c r="J17">
        <f t="shared" si="3"/>
        <v>490</v>
      </c>
      <c r="K17" t="str">
        <f t="shared" si="4"/>
        <v>magazyn_truksawek</v>
      </c>
      <c r="L17" t="str">
        <f t="shared" si="5"/>
        <v>magazyn_malina</v>
      </c>
      <c r="M17">
        <f t="shared" si="6"/>
        <v>0</v>
      </c>
      <c r="N17">
        <f t="shared" si="7"/>
        <v>490</v>
      </c>
      <c r="O17">
        <f t="shared" si="8"/>
        <v>188</v>
      </c>
    </row>
    <row r="18" spans="1:15" x14ac:dyDescent="0.25">
      <c r="A18" s="1">
        <v>43968</v>
      </c>
      <c r="B18">
        <v>345</v>
      </c>
      <c r="C18">
        <v>275</v>
      </c>
      <c r="D18">
        <v>90</v>
      </c>
      <c r="E18">
        <f t="shared" si="9"/>
        <v>345</v>
      </c>
      <c r="F18">
        <f t="shared" si="10"/>
        <v>765</v>
      </c>
      <c r="G18">
        <f t="shared" si="11"/>
        <v>278</v>
      </c>
      <c r="H18">
        <f t="shared" si="1"/>
        <v>765</v>
      </c>
      <c r="I18">
        <f t="shared" si="2"/>
        <v>345</v>
      </c>
      <c r="J18">
        <f t="shared" si="3"/>
        <v>420</v>
      </c>
      <c r="K18" t="str">
        <f t="shared" si="4"/>
        <v>magazyn_truksawek</v>
      </c>
      <c r="L18" t="str">
        <f t="shared" si="5"/>
        <v>magazyn_malina</v>
      </c>
      <c r="M18">
        <f t="shared" si="6"/>
        <v>0</v>
      </c>
      <c r="N18">
        <f t="shared" si="7"/>
        <v>420</v>
      </c>
      <c r="O18">
        <f t="shared" si="8"/>
        <v>278</v>
      </c>
    </row>
    <row r="19" spans="1:15" x14ac:dyDescent="0.25">
      <c r="A19" s="1">
        <v>43969</v>
      </c>
      <c r="B19">
        <v>232</v>
      </c>
      <c r="C19">
        <v>228</v>
      </c>
      <c r="D19">
        <v>107</v>
      </c>
      <c r="E19">
        <f t="shared" si="9"/>
        <v>232</v>
      </c>
      <c r="F19">
        <f t="shared" si="10"/>
        <v>648</v>
      </c>
      <c r="G19">
        <f t="shared" si="11"/>
        <v>385</v>
      </c>
      <c r="H19">
        <f t="shared" si="1"/>
        <v>648</v>
      </c>
      <c r="I19">
        <f t="shared" si="2"/>
        <v>385</v>
      </c>
      <c r="J19">
        <f t="shared" si="3"/>
        <v>263</v>
      </c>
      <c r="K19" t="str">
        <f t="shared" si="4"/>
        <v>magazyn_truksawek</v>
      </c>
      <c r="L19" t="str">
        <f t="shared" si="5"/>
        <v>magazyn_porzeczka</v>
      </c>
      <c r="M19">
        <f t="shared" si="6"/>
        <v>232</v>
      </c>
      <c r="N19">
        <f t="shared" si="7"/>
        <v>263</v>
      </c>
      <c r="O19">
        <f t="shared" si="8"/>
        <v>0</v>
      </c>
    </row>
    <row r="20" spans="1:15" x14ac:dyDescent="0.25">
      <c r="A20" s="1">
        <v>43970</v>
      </c>
      <c r="B20">
        <v>238</v>
      </c>
      <c r="C20">
        <v>394</v>
      </c>
      <c r="D20">
        <v>105</v>
      </c>
      <c r="E20">
        <f t="shared" si="9"/>
        <v>470</v>
      </c>
      <c r="F20">
        <f t="shared" si="10"/>
        <v>657</v>
      </c>
      <c r="G20">
        <f t="shared" si="11"/>
        <v>105</v>
      </c>
      <c r="H20">
        <f t="shared" si="1"/>
        <v>657</v>
      </c>
      <c r="I20">
        <f t="shared" si="2"/>
        <v>470</v>
      </c>
      <c r="J20">
        <f t="shared" si="3"/>
        <v>187</v>
      </c>
      <c r="K20" t="str">
        <f t="shared" si="4"/>
        <v>magazyn_truksawek</v>
      </c>
      <c r="L20" t="str">
        <f t="shared" si="5"/>
        <v>magazyn_malina</v>
      </c>
      <c r="M20">
        <f t="shared" si="6"/>
        <v>0</v>
      </c>
      <c r="N20">
        <f t="shared" si="7"/>
        <v>187</v>
      </c>
      <c r="O20">
        <f t="shared" si="8"/>
        <v>105</v>
      </c>
    </row>
    <row r="21" spans="1:15" x14ac:dyDescent="0.25">
      <c r="A21" s="1">
        <v>43971</v>
      </c>
      <c r="B21">
        <v>378</v>
      </c>
      <c r="C21">
        <v>311</v>
      </c>
      <c r="D21">
        <v>110</v>
      </c>
      <c r="E21">
        <f t="shared" si="9"/>
        <v>378</v>
      </c>
      <c r="F21">
        <f t="shared" si="10"/>
        <v>498</v>
      </c>
      <c r="G21">
        <f t="shared" si="11"/>
        <v>215</v>
      </c>
      <c r="H21">
        <f t="shared" si="1"/>
        <v>498</v>
      </c>
      <c r="I21">
        <f t="shared" si="2"/>
        <v>378</v>
      </c>
      <c r="J21">
        <f t="shared" si="3"/>
        <v>120</v>
      </c>
      <c r="K21" t="str">
        <f t="shared" si="4"/>
        <v>magazyn_truksawek</v>
      </c>
      <c r="L21" t="str">
        <f t="shared" si="5"/>
        <v>magazyn_malina</v>
      </c>
      <c r="M21">
        <f t="shared" si="6"/>
        <v>0</v>
      </c>
      <c r="N21">
        <f t="shared" si="7"/>
        <v>120</v>
      </c>
      <c r="O21">
        <f t="shared" si="8"/>
        <v>215</v>
      </c>
    </row>
    <row r="22" spans="1:15" x14ac:dyDescent="0.25">
      <c r="A22" s="1">
        <v>43972</v>
      </c>
      <c r="B22">
        <v>281</v>
      </c>
      <c r="C22">
        <v>354</v>
      </c>
      <c r="D22">
        <v>121</v>
      </c>
      <c r="E22">
        <f t="shared" si="9"/>
        <v>281</v>
      </c>
      <c r="F22">
        <f t="shared" si="10"/>
        <v>474</v>
      </c>
      <c r="G22">
        <f t="shared" si="11"/>
        <v>336</v>
      </c>
      <c r="H22">
        <f t="shared" si="1"/>
        <v>474</v>
      </c>
      <c r="I22">
        <f t="shared" si="2"/>
        <v>336</v>
      </c>
      <c r="J22">
        <f t="shared" si="3"/>
        <v>138</v>
      </c>
      <c r="K22" t="str">
        <f t="shared" si="4"/>
        <v>magazyn_truksawek</v>
      </c>
      <c r="L22" t="str">
        <f t="shared" si="5"/>
        <v>magazyn_porzeczka</v>
      </c>
      <c r="M22">
        <f t="shared" si="6"/>
        <v>281</v>
      </c>
      <c r="N22">
        <f t="shared" si="7"/>
        <v>138</v>
      </c>
      <c r="O22">
        <f t="shared" si="8"/>
        <v>0</v>
      </c>
    </row>
    <row r="23" spans="1:15" x14ac:dyDescent="0.25">
      <c r="A23" s="1">
        <v>43973</v>
      </c>
      <c r="B23">
        <v>390</v>
      </c>
      <c r="C23">
        <v>267</v>
      </c>
      <c r="D23">
        <v>124</v>
      </c>
      <c r="E23">
        <f t="shared" si="9"/>
        <v>671</v>
      </c>
      <c r="F23">
        <f t="shared" si="10"/>
        <v>405</v>
      </c>
      <c r="G23">
        <f t="shared" si="11"/>
        <v>124</v>
      </c>
      <c r="H23">
        <f t="shared" si="1"/>
        <v>671</v>
      </c>
      <c r="I23">
        <f t="shared" si="2"/>
        <v>405</v>
      </c>
      <c r="J23">
        <f t="shared" si="3"/>
        <v>266</v>
      </c>
      <c r="K23" t="str">
        <f t="shared" si="4"/>
        <v>magazyn_malina</v>
      </c>
      <c r="L23" t="str">
        <f t="shared" si="5"/>
        <v>magazyn_truksawek</v>
      </c>
      <c r="M23">
        <f t="shared" si="6"/>
        <v>266</v>
      </c>
      <c r="N23">
        <f t="shared" si="7"/>
        <v>0</v>
      </c>
      <c r="O23">
        <f t="shared" si="8"/>
        <v>124</v>
      </c>
    </row>
    <row r="24" spans="1:15" x14ac:dyDescent="0.25">
      <c r="A24" s="1">
        <v>43974</v>
      </c>
      <c r="B24">
        <v>308</v>
      </c>
      <c r="C24">
        <v>337</v>
      </c>
      <c r="D24">
        <v>105</v>
      </c>
    </row>
    <row r="25" spans="1:15" x14ac:dyDescent="0.25">
      <c r="A25" s="1">
        <v>43975</v>
      </c>
      <c r="B25">
        <v>391</v>
      </c>
      <c r="C25">
        <v>238</v>
      </c>
      <c r="D25">
        <v>113</v>
      </c>
    </row>
    <row r="26" spans="1:15" x14ac:dyDescent="0.25">
      <c r="A26" s="1">
        <v>43976</v>
      </c>
      <c r="B26">
        <v>241</v>
      </c>
      <c r="C26">
        <v>283</v>
      </c>
      <c r="D26">
        <v>140</v>
      </c>
    </row>
    <row r="27" spans="1:15" x14ac:dyDescent="0.25">
      <c r="A27" s="1">
        <v>43977</v>
      </c>
      <c r="B27">
        <v>249</v>
      </c>
      <c r="C27">
        <v>275</v>
      </c>
      <c r="D27">
        <v>118</v>
      </c>
    </row>
    <row r="28" spans="1:15" x14ac:dyDescent="0.25">
      <c r="A28" s="1">
        <v>43978</v>
      </c>
      <c r="B28">
        <v>298</v>
      </c>
      <c r="C28">
        <v>263</v>
      </c>
      <c r="D28">
        <v>145</v>
      </c>
    </row>
    <row r="29" spans="1:15" x14ac:dyDescent="0.25">
      <c r="A29" s="1">
        <v>43979</v>
      </c>
      <c r="B29">
        <v>254</v>
      </c>
      <c r="C29">
        <v>241</v>
      </c>
      <c r="D29">
        <v>149</v>
      </c>
    </row>
    <row r="30" spans="1:15" x14ac:dyDescent="0.25">
      <c r="A30" s="1">
        <v>43980</v>
      </c>
      <c r="B30">
        <v>329</v>
      </c>
      <c r="C30">
        <v>323</v>
      </c>
      <c r="D30">
        <v>134</v>
      </c>
    </row>
    <row r="31" spans="1:15" x14ac:dyDescent="0.25">
      <c r="A31" s="1">
        <v>43981</v>
      </c>
      <c r="B31">
        <v>213</v>
      </c>
      <c r="C31">
        <v>221</v>
      </c>
      <c r="D31">
        <v>119</v>
      </c>
    </row>
    <row r="32" spans="1:15" x14ac:dyDescent="0.25">
      <c r="A32" s="1">
        <v>43982</v>
      </c>
      <c r="B32">
        <v>294</v>
      </c>
      <c r="C32">
        <v>326</v>
      </c>
      <c r="D32">
        <v>145</v>
      </c>
    </row>
    <row r="33" spans="1:4" x14ac:dyDescent="0.25">
      <c r="A33" s="1">
        <v>43983</v>
      </c>
      <c r="B33">
        <v>225</v>
      </c>
      <c r="C33">
        <v>206</v>
      </c>
      <c r="D33">
        <v>122</v>
      </c>
    </row>
    <row r="34" spans="1:4" x14ac:dyDescent="0.25">
      <c r="A34" s="1">
        <v>43984</v>
      </c>
      <c r="B34">
        <v>264</v>
      </c>
      <c r="C34">
        <v>355</v>
      </c>
      <c r="D34">
        <v>134</v>
      </c>
    </row>
    <row r="35" spans="1:4" x14ac:dyDescent="0.25">
      <c r="A35" s="1">
        <v>43985</v>
      </c>
      <c r="B35">
        <v>253</v>
      </c>
      <c r="C35">
        <v>271</v>
      </c>
      <c r="D35">
        <v>142</v>
      </c>
    </row>
    <row r="36" spans="1:4" x14ac:dyDescent="0.25">
      <c r="A36" s="1">
        <v>43986</v>
      </c>
      <c r="B36">
        <v>352</v>
      </c>
      <c r="C36">
        <v>207</v>
      </c>
      <c r="D36">
        <v>125</v>
      </c>
    </row>
    <row r="37" spans="1:4" x14ac:dyDescent="0.25">
      <c r="A37" s="1">
        <v>43987</v>
      </c>
      <c r="B37">
        <v>269</v>
      </c>
      <c r="C37">
        <v>248</v>
      </c>
      <c r="D37">
        <v>137</v>
      </c>
    </row>
    <row r="38" spans="1:4" x14ac:dyDescent="0.25">
      <c r="A38" s="1">
        <v>43988</v>
      </c>
      <c r="B38">
        <v>242</v>
      </c>
      <c r="C38">
        <v>247</v>
      </c>
      <c r="D38">
        <v>125</v>
      </c>
    </row>
    <row r="39" spans="1:4" x14ac:dyDescent="0.25">
      <c r="A39" s="1">
        <v>43989</v>
      </c>
      <c r="B39">
        <v>327</v>
      </c>
      <c r="C39">
        <v>262</v>
      </c>
      <c r="D39">
        <v>103</v>
      </c>
    </row>
    <row r="40" spans="1:4" x14ac:dyDescent="0.25">
      <c r="A40" s="1">
        <v>43990</v>
      </c>
      <c r="B40">
        <v>316</v>
      </c>
      <c r="C40">
        <v>253</v>
      </c>
      <c r="D40">
        <v>134</v>
      </c>
    </row>
    <row r="41" spans="1:4" x14ac:dyDescent="0.25">
      <c r="A41" s="1">
        <v>43991</v>
      </c>
      <c r="B41">
        <v>294</v>
      </c>
      <c r="C41">
        <v>249</v>
      </c>
      <c r="D41">
        <v>137</v>
      </c>
    </row>
    <row r="42" spans="1:4" x14ac:dyDescent="0.25">
      <c r="A42" s="1">
        <v>43992</v>
      </c>
      <c r="B42">
        <v>270</v>
      </c>
      <c r="C42">
        <v>206</v>
      </c>
      <c r="D42">
        <v>146</v>
      </c>
    </row>
    <row r="43" spans="1:4" x14ac:dyDescent="0.25">
      <c r="A43" s="1">
        <v>43993</v>
      </c>
      <c r="B43">
        <v>349</v>
      </c>
      <c r="C43">
        <v>301</v>
      </c>
      <c r="D43">
        <v>138</v>
      </c>
    </row>
    <row r="44" spans="1:4" x14ac:dyDescent="0.25">
      <c r="A44" s="1">
        <v>43994</v>
      </c>
      <c r="B44">
        <v>224</v>
      </c>
      <c r="C44">
        <v>385</v>
      </c>
      <c r="D44">
        <v>138</v>
      </c>
    </row>
    <row r="45" spans="1:4" x14ac:dyDescent="0.25">
      <c r="A45" s="1">
        <v>43995</v>
      </c>
      <c r="B45">
        <v>309</v>
      </c>
      <c r="C45">
        <v>204</v>
      </c>
      <c r="D45">
        <v>140</v>
      </c>
    </row>
    <row r="46" spans="1:4" x14ac:dyDescent="0.25">
      <c r="A46" s="1">
        <v>43996</v>
      </c>
      <c r="B46">
        <v>246</v>
      </c>
      <c r="C46">
        <v>275</v>
      </c>
      <c r="D46">
        <v>130</v>
      </c>
    </row>
    <row r="47" spans="1:4" x14ac:dyDescent="0.25">
      <c r="A47" s="1">
        <v>43997</v>
      </c>
      <c r="B47">
        <v>241</v>
      </c>
      <c r="C47">
        <v>247</v>
      </c>
      <c r="D47">
        <v>166</v>
      </c>
    </row>
    <row r="48" spans="1:4" x14ac:dyDescent="0.25">
      <c r="A48" s="1">
        <v>43998</v>
      </c>
      <c r="B48">
        <v>365</v>
      </c>
      <c r="C48">
        <v>256</v>
      </c>
      <c r="D48">
        <v>132</v>
      </c>
    </row>
    <row r="49" spans="1:4" x14ac:dyDescent="0.25">
      <c r="A49" s="1">
        <v>43999</v>
      </c>
      <c r="B49">
        <v>225</v>
      </c>
      <c r="C49">
        <v>392</v>
      </c>
      <c r="D49">
        <v>158</v>
      </c>
    </row>
    <row r="50" spans="1:4" x14ac:dyDescent="0.25">
      <c r="A50" s="1">
        <v>44000</v>
      </c>
      <c r="B50">
        <v>335</v>
      </c>
      <c r="C50">
        <v>254</v>
      </c>
      <c r="D50">
        <v>173</v>
      </c>
    </row>
    <row r="51" spans="1:4" x14ac:dyDescent="0.25">
      <c r="A51" s="1">
        <v>44001</v>
      </c>
      <c r="B51">
        <v>376</v>
      </c>
      <c r="C51">
        <v>258</v>
      </c>
      <c r="D51">
        <v>151</v>
      </c>
    </row>
    <row r="52" spans="1:4" x14ac:dyDescent="0.25">
      <c r="A52" s="1">
        <v>44002</v>
      </c>
      <c r="B52">
        <v>310</v>
      </c>
      <c r="C52">
        <v>248</v>
      </c>
      <c r="D52">
        <v>173</v>
      </c>
    </row>
    <row r="53" spans="1:4" x14ac:dyDescent="0.25">
      <c r="A53" s="1">
        <v>44003</v>
      </c>
      <c r="B53">
        <v>408</v>
      </c>
      <c r="C53">
        <v>250</v>
      </c>
      <c r="D53">
        <v>242</v>
      </c>
    </row>
    <row r="54" spans="1:4" x14ac:dyDescent="0.25">
      <c r="A54" s="1">
        <v>44004</v>
      </c>
      <c r="B54">
        <v>256</v>
      </c>
      <c r="C54">
        <v>393</v>
      </c>
      <c r="D54">
        <v>219</v>
      </c>
    </row>
    <row r="55" spans="1:4" x14ac:dyDescent="0.25">
      <c r="A55" s="1">
        <v>44005</v>
      </c>
      <c r="B55">
        <v>322</v>
      </c>
      <c r="C55">
        <v>425</v>
      </c>
      <c r="D55">
        <v>215</v>
      </c>
    </row>
    <row r="56" spans="1:4" x14ac:dyDescent="0.25">
      <c r="A56" s="1">
        <v>44006</v>
      </c>
      <c r="B56">
        <v>447</v>
      </c>
      <c r="C56">
        <v>385</v>
      </c>
      <c r="D56">
        <v>212</v>
      </c>
    </row>
    <row r="57" spans="1:4" x14ac:dyDescent="0.25">
      <c r="A57" s="1">
        <v>44007</v>
      </c>
      <c r="B57">
        <v>408</v>
      </c>
      <c r="C57">
        <v>260</v>
      </c>
      <c r="D57">
        <v>225</v>
      </c>
    </row>
    <row r="58" spans="1:4" x14ac:dyDescent="0.25">
      <c r="A58" s="1">
        <v>44008</v>
      </c>
      <c r="B58">
        <v>283</v>
      </c>
      <c r="C58">
        <v>396</v>
      </c>
      <c r="D58">
        <v>221</v>
      </c>
    </row>
    <row r="59" spans="1:4" x14ac:dyDescent="0.25">
      <c r="A59" s="1">
        <v>44009</v>
      </c>
      <c r="B59">
        <v>414</v>
      </c>
      <c r="C59">
        <v>314</v>
      </c>
      <c r="D59">
        <v>220</v>
      </c>
    </row>
    <row r="60" spans="1:4" x14ac:dyDescent="0.25">
      <c r="A60" s="1">
        <v>44010</v>
      </c>
      <c r="B60">
        <v>442</v>
      </c>
      <c r="C60">
        <v>449</v>
      </c>
      <c r="D60">
        <v>245</v>
      </c>
    </row>
    <row r="61" spans="1:4" x14ac:dyDescent="0.25">
      <c r="A61" s="1">
        <v>44011</v>
      </c>
      <c r="B61">
        <v>269</v>
      </c>
      <c r="C61">
        <v>370</v>
      </c>
      <c r="D61">
        <v>242</v>
      </c>
    </row>
    <row r="62" spans="1:4" x14ac:dyDescent="0.25">
      <c r="A62" s="1">
        <v>44012</v>
      </c>
      <c r="B62">
        <v>444</v>
      </c>
      <c r="C62">
        <v>350</v>
      </c>
      <c r="D62">
        <v>236</v>
      </c>
    </row>
    <row r="63" spans="1:4" x14ac:dyDescent="0.25">
      <c r="A63" s="1">
        <v>44013</v>
      </c>
      <c r="B63">
        <v>425</v>
      </c>
      <c r="C63">
        <v>342</v>
      </c>
      <c r="D63">
        <v>237</v>
      </c>
    </row>
    <row r="64" spans="1:4" x14ac:dyDescent="0.25">
      <c r="A64" s="1">
        <v>44014</v>
      </c>
      <c r="B64">
        <v>377</v>
      </c>
      <c r="C64">
        <v>290</v>
      </c>
      <c r="D64">
        <v>240</v>
      </c>
    </row>
    <row r="65" spans="1:4" x14ac:dyDescent="0.25">
      <c r="A65" s="1">
        <v>44015</v>
      </c>
      <c r="B65">
        <v>382</v>
      </c>
      <c r="C65">
        <v>360</v>
      </c>
      <c r="D65">
        <v>203</v>
      </c>
    </row>
    <row r="66" spans="1:4" x14ac:dyDescent="0.25">
      <c r="A66" s="1">
        <v>44016</v>
      </c>
      <c r="B66">
        <v>287</v>
      </c>
      <c r="C66">
        <v>428</v>
      </c>
      <c r="D66">
        <v>204</v>
      </c>
    </row>
    <row r="67" spans="1:4" x14ac:dyDescent="0.25">
      <c r="A67" s="1">
        <v>44017</v>
      </c>
      <c r="B67">
        <v>429</v>
      </c>
      <c r="C67">
        <v>394</v>
      </c>
      <c r="D67">
        <v>246</v>
      </c>
    </row>
    <row r="68" spans="1:4" x14ac:dyDescent="0.25">
      <c r="A68" s="1">
        <v>44018</v>
      </c>
      <c r="B68">
        <v>287</v>
      </c>
      <c r="C68">
        <v>356</v>
      </c>
      <c r="D68">
        <v>233</v>
      </c>
    </row>
    <row r="69" spans="1:4" x14ac:dyDescent="0.25">
      <c r="A69" s="1">
        <v>44019</v>
      </c>
      <c r="B69">
        <v>421</v>
      </c>
      <c r="C69">
        <v>292</v>
      </c>
      <c r="D69">
        <v>226</v>
      </c>
    </row>
    <row r="70" spans="1:4" x14ac:dyDescent="0.25">
      <c r="A70" s="1">
        <v>44020</v>
      </c>
      <c r="B70">
        <v>334</v>
      </c>
      <c r="C70">
        <v>353</v>
      </c>
      <c r="D70">
        <v>282</v>
      </c>
    </row>
    <row r="71" spans="1:4" x14ac:dyDescent="0.25">
      <c r="A71" s="1">
        <v>44021</v>
      </c>
      <c r="B71">
        <v>282</v>
      </c>
      <c r="C71">
        <v>329</v>
      </c>
      <c r="D71">
        <v>262</v>
      </c>
    </row>
    <row r="72" spans="1:4" x14ac:dyDescent="0.25">
      <c r="A72" s="1">
        <v>44022</v>
      </c>
      <c r="B72">
        <v>356</v>
      </c>
      <c r="C72">
        <v>331</v>
      </c>
      <c r="D72">
        <v>290</v>
      </c>
    </row>
    <row r="73" spans="1:4" x14ac:dyDescent="0.25">
      <c r="A73" s="1">
        <v>44023</v>
      </c>
      <c r="B73">
        <v>307</v>
      </c>
      <c r="C73">
        <v>394</v>
      </c>
      <c r="D73">
        <v>256</v>
      </c>
    </row>
    <row r="74" spans="1:4" x14ac:dyDescent="0.25">
      <c r="A74" s="1">
        <v>44024</v>
      </c>
      <c r="B74">
        <v>441</v>
      </c>
      <c r="C74">
        <v>271</v>
      </c>
      <c r="D74">
        <v>292</v>
      </c>
    </row>
    <row r="75" spans="1:4" x14ac:dyDescent="0.25">
      <c r="A75" s="1">
        <v>44025</v>
      </c>
      <c r="B75">
        <v>407</v>
      </c>
      <c r="C75">
        <v>311</v>
      </c>
      <c r="D75">
        <v>280</v>
      </c>
    </row>
    <row r="76" spans="1:4" x14ac:dyDescent="0.25">
      <c r="A76" s="1">
        <v>44026</v>
      </c>
      <c r="B76">
        <v>480</v>
      </c>
      <c r="C76">
        <v>342</v>
      </c>
      <c r="D76">
        <v>292</v>
      </c>
    </row>
    <row r="77" spans="1:4" x14ac:dyDescent="0.25">
      <c r="A77" s="1">
        <v>44027</v>
      </c>
      <c r="B77">
        <v>494</v>
      </c>
      <c r="C77">
        <v>310</v>
      </c>
      <c r="D77">
        <v>275</v>
      </c>
    </row>
    <row r="78" spans="1:4" x14ac:dyDescent="0.25">
      <c r="A78" s="1">
        <v>44028</v>
      </c>
      <c r="B78">
        <v>493</v>
      </c>
      <c r="C78">
        <v>431</v>
      </c>
      <c r="D78">
        <v>283</v>
      </c>
    </row>
    <row r="79" spans="1:4" x14ac:dyDescent="0.25">
      <c r="A79" s="1">
        <v>44029</v>
      </c>
      <c r="B79">
        <v>302</v>
      </c>
      <c r="C79">
        <v>415</v>
      </c>
      <c r="D79">
        <v>297</v>
      </c>
    </row>
    <row r="80" spans="1:4" x14ac:dyDescent="0.25">
      <c r="A80" s="1">
        <v>44030</v>
      </c>
      <c r="B80">
        <v>331</v>
      </c>
      <c r="C80">
        <v>353</v>
      </c>
      <c r="D80">
        <v>373</v>
      </c>
    </row>
    <row r="81" spans="1:4" x14ac:dyDescent="0.25">
      <c r="A81" s="1">
        <v>44031</v>
      </c>
      <c r="B81">
        <v>486</v>
      </c>
      <c r="C81">
        <v>323</v>
      </c>
      <c r="D81">
        <v>359</v>
      </c>
    </row>
    <row r="82" spans="1:4" x14ac:dyDescent="0.25">
      <c r="A82" s="1">
        <v>44032</v>
      </c>
      <c r="B82">
        <v>360</v>
      </c>
      <c r="C82">
        <v>331</v>
      </c>
      <c r="D82">
        <v>445</v>
      </c>
    </row>
    <row r="83" spans="1:4" x14ac:dyDescent="0.25">
      <c r="A83" s="1">
        <v>44033</v>
      </c>
      <c r="B83">
        <v>391</v>
      </c>
      <c r="C83">
        <v>455</v>
      </c>
      <c r="D83">
        <v>427</v>
      </c>
    </row>
    <row r="84" spans="1:4" x14ac:dyDescent="0.25">
      <c r="A84" s="1">
        <v>44034</v>
      </c>
      <c r="B84">
        <v>327</v>
      </c>
      <c r="C84">
        <v>471</v>
      </c>
      <c r="D84">
        <v>423</v>
      </c>
    </row>
    <row r="85" spans="1:4" x14ac:dyDescent="0.25">
      <c r="A85" s="1">
        <v>44035</v>
      </c>
      <c r="B85">
        <v>355</v>
      </c>
      <c r="C85">
        <v>490</v>
      </c>
      <c r="D85">
        <v>449</v>
      </c>
    </row>
    <row r="86" spans="1:4" x14ac:dyDescent="0.25">
      <c r="A86" s="1">
        <v>44036</v>
      </c>
      <c r="B86">
        <v>360</v>
      </c>
      <c r="C86">
        <v>339</v>
      </c>
      <c r="D86">
        <v>470</v>
      </c>
    </row>
    <row r="87" spans="1:4" x14ac:dyDescent="0.25">
      <c r="A87" s="1">
        <v>44037</v>
      </c>
      <c r="B87">
        <v>303</v>
      </c>
      <c r="C87">
        <v>404</v>
      </c>
      <c r="D87">
        <v>434</v>
      </c>
    </row>
    <row r="88" spans="1:4" x14ac:dyDescent="0.25">
      <c r="A88" s="1">
        <v>44038</v>
      </c>
      <c r="B88">
        <v>310</v>
      </c>
      <c r="C88">
        <v>332</v>
      </c>
      <c r="D88">
        <v>536</v>
      </c>
    </row>
    <row r="89" spans="1:4" x14ac:dyDescent="0.25">
      <c r="A89" s="1">
        <v>44039</v>
      </c>
      <c r="B89">
        <v>435</v>
      </c>
      <c r="C89">
        <v>406</v>
      </c>
      <c r="D89">
        <v>421</v>
      </c>
    </row>
    <row r="90" spans="1:4" x14ac:dyDescent="0.25">
      <c r="A90" s="1">
        <v>44040</v>
      </c>
      <c r="B90">
        <v>344</v>
      </c>
      <c r="C90">
        <v>348</v>
      </c>
      <c r="D90">
        <v>555</v>
      </c>
    </row>
    <row r="91" spans="1:4" x14ac:dyDescent="0.25">
      <c r="A91" s="1">
        <v>44041</v>
      </c>
      <c r="B91">
        <v>303</v>
      </c>
      <c r="C91">
        <v>335</v>
      </c>
      <c r="D91">
        <v>436</v>
      </c>
    </row>
    <row r="92" spans="1:4" x14ac:dyDescent="0.25">
      <c r="A92" s="1">
        <v>44042</v>
      </c>
      <c r="B92">
        <v>433</v>
      </c>
      <c r="C92">
        <v>425</v>
      </c>
      <c r="D92">
        <v>422</v>
      </c>
    </row>
    <row r="93" spans="1:4" x14ac:dyDescent="0.25">
      <c r="A93" s="1">
        <v>44043</v>
      </c>
      <c r="B93">
        <v>350</v>
      </c>
      <c r="C93">
        <v>378</v>
      </c>
      <c r="D93">
        <v>419</v>
      </c>
    </row>
    <row r="94" spans="1:4" x14ac:dyDescent="0.25">
      <c r="A94" s="1">
        <v>44044</v>
      </c>
      <c r="B94">
        <v>396</v>
      </c>
      <c r="C94">
        <v>466</v>
      </c>
      <c r="D94">
        <v>434</v>
      </c>
    </row>
    <row r="95" spans="1:4" x14ac:dyDescent="0.25">
      <c r="A95" s="1">
        <v>44045</v>
      </c>
      <c r="B95">
        <v>495</v>
      </c>
      <c r="C95">
        <v>410</v>
      </c>
      <c r="D95">
        <v>418</v>
      </c>
    </row>
    <row r="96" spans="1:4" x14ac:dyDescent="0.25">
      <c r="A96" s="1">
        <v>44046</v>
      </c>
      <c r="B96">
        <v>420</v>
      </c>
      <c r="C96">
        <v>328</v>
      </c>
      <c r="D96">
        <v>422</v>
      </c>
    </row>
    <row r="97" spans="1:4" x14ac:dyDescent="0.25">
      <c r="A97" s="1">
        <v>44047</v>
      </c>
      <c r="B97">
        <v>411</v>
      </c>
      <c r="C97">
        <v>481</v>
      </c>
      <c r="D97">
        <v>445</v>
      </c>
    </row>
    <row r="98" spans="1:4" x14ac:dyDescent="0.25">
      <c r="A98" s="1">
        <v>44048</v>
      </c>
      <c r="B98">
        <v>317</v>
      </c>
      <c r="C98">
        <v>434</v>
      </c>
      <c r="D98">
        <v>411</v>
      </c>
    </row>
    <row r="99" spans="1:4" x14ac:dyDescent="0.25">
      <c r="A99" s="1">
        <v>44049</v>
      </c>
      <c r="B99">
        <v>342</v>
      </c>
      <c r="C99">
        <v>465</v>
      </c>
      <c r="D99">
        <v>417</v>
      </c>
    </row>
    <row r="100" spans="1:4" x14ac:dyDescent="0.25">
      <c r="A100" s="1">
        <v>44050</v>
      </c>
      <c r="B100">
        <v>450</v>
      </c>
      <c r="C100">
        <v>318</v>
      </c>
      <c r="D100">
        <v>490</v>
      </c>
    </row>
    <row r="101" spans="1:4" x14ac:dyDescent="0.25">
      <c r="A101" s="1">
        <v>44051</v>
      </c>
      <c r="B101">
        <v>343</v>
      </c>
      <c r="C101">
        <v>329</v>
      </c>
      <c r="D101">
        <v>345</v>
      </c>
    </row>
    <row r="102" spans="1:4" x14ac:dyDescent="0.25">
      <c r="A102" s="1">
        <v>44052</v>
      </c>
      <c r="B102">
        <v>287</v>
      </c>
      <c r="C102">
        <v>328</v>
      </c>
      <c r="D102">
        <v>377</v>
      </c>
    </row>
    <row r="103" spans="1:4" x14ac:dyDescent="0.25">
      <c r="A103" s="1">
        <v>44053</v>
      </c>
      <c r="B103">
        <v>298</v>
      </c>
      <c r="C103">
        <v>401</v>
      </c>
      <c r="D103">
        <v>416</v>
      </c>
    </row>
    <row r="104" spans="1:4" x14ac:dyDescent="0.25">
      <c r="A104" s="1">
        <v>44054</v>
      </c>
      <c r="B104">
        <v>429</v>
      </c>
      <c r="C104">
        <v>348</v>
      </c>
      <c r="D104">
        <v>426</v>
      </c>
    </row>
    <row r="105" spans="1:4" x14ac:dyDescent="0.25">
      <c r="A105" s="1">
        <v>44055</v>
      </c>
      <c r="B105">
        <v>417</v>
      </c>
      <c r="C105">
        <v>457</v>
      </c>
      <c r="D105">
        <v>438</v>
      </c>
    </row>
    <row r="106" spans="1:4" x14ac:dyDescent="0.25">
      <c r="A106" s="1">
        <v>44056</v>
      </c>
      <c r="B106">
        <v>384</v>
      </c>
      <c r="C106">
        <v>330</v>
      </c>
      <c r="D106">
        <v>292</v>
      </c>
    </row>
    <row r="107" spans="1:4" x14ac:dyDescent="0.25">
      <c r="A107" s="1">
        <v>44057</v>
      </c>
      <c r="B107">
        <v>370</v>
      </c>
      <c r="C107">
        <v>388</v>
      </c>
      <c r="D107">
        <v>390</v>
      </c>
    </row>
    <row r="108" spans="1:4" x14ac:dyDescent="0.25">
      <c r="A108" s="1">
        <v>44058</v>
      </c>
      <c r="B108">
        <v>436</v>
      </c>
      <c r="C108">
        <v>298</v>
      </c>
      <c r="D108">
        <v>420</v>
      </c>
    </row>
    <row r="109" spans="1:4" x14ac:dyDescent="0.25">
      <c r="A109" s="1">
        <v>44059</v>
      </c>
      <c r="B109">
        <v>303</v>
      </c>
      <c r="C109">
        <v>429</v>
      </c>
      <c r="D109">
        <v>407</v>
      </c>
    </row>
    <row r="110" spans="1:4" x14ac:dyDescent="0.25">
      <c r="A110" s="1">
        <v>44060</v>
      </c>
      <c r="B110">
        <v>449</v>
      </c>
      <c r="C110">
        <v>444</v>
      </c>
      <c r="D110">
        <v>425</v>
      </c>
    </row>
    <row r="111" spans="1:4" x14ac:dyDescent="0.25">
      <c r="A111" s="1">
        <v>44061</v>
      </c>
      <c r="B111">
        <v>300</v>
      </c>
      <c r="C111">
        <v>358</v>
      </c>
      <c r="D111">
        <v>377</v>
      </c>
    </row>
    <row r="112" spans="1:4" x14ac:dyDescent="0.25">
      <c r="A112" s="1">
        <v>44062</v>
      </c>
      <c r="B112">
        <v>307</v>
      </c>
      <c r="C112">
        <v>417</v>
      </c>
      <c r="D112">
        <v>405</v>
      </c>
    </row>
    <row r="113" spans="1:4" x14ac:dyDescent="0.25">
      <c r="A113" s="1">
        <v>44063</v>
      </c>
      <c r="B113">
        <v>314</v>
      </c>
      <c r="C113">
        <v>340</v>
      </c>
      <c r="D113">
        <v>345</v>
      </c>
    </row>
    <row r="114" spans="1:4" x14ac:dyDescent="0.25">
      <c r="A114" s="1">
        <v>44064</v>
      </c>
      <c r="B114">
        <v>379</v>
      </c>
      <c r="C114">
        <v>288</v>
      </c>
      <c r="D114">
        <v>353</v>
      </c>
    </row>
    <row r="115" spans="1:4" x14ac:dyDescent="0.25">
      <c r="A115" s="1">
        <v>44065</v>
      </c>
      <c r="B115">
        <v>405</v>
      </c>
      <c r="C115">
        <v>454</v>
      </c>
      <c r="D115">
        <v>342</v>
      </c>
    </row>
    <row r="116" spans="1:4" x14ac:dyDescent="0.25">
      <c r="A116" s="1">
        <v>44066</v>
      </c>
      <c r="B116">
        <v>407</v>
      </c>
      <c r="C116">
        <v>300</v>
      </c>
      <c r="D116">
        <v>365</v>
      </c>
    </row>
    <row r="117" spans="1:4" x14ac:dyDescent="0.25">
      <c r="A117" s="1">
        <v>44067</v>
      </c>
      <c r="B117">
        <v>432</v>
      </c>
      <c r="C117">
        <v>423</v>
      </c>
      <c r="D117">
        <v>221</v>
      </c>
    </row>
    <row r="118" spans="1:4" x14ac:dyDescent="0.25">
      <c r="A118" s="1">
        <v>44068</v>
      </c>
      <c r="B118">
        <v>405</v>
      </c>
      <c r="C118">
        <v>449</v>
      </c>
      <c r="D118">
        <v>231</v>
      </c>
    </row>
    <row r="119" spans="1:4" x14ac:dyDescent="0.25">
      <c r="A119" s="1">
        <v>44069</v>
      </c>
      <c r="B119">
        <v>162</v>
      </c>
      <c r="C119">
        <v>294</v>
      </c>
      <c r="D119">
        <v>255</v>
      </c>
    </row>
    <row r="120" spans="1:4" x14ac:dyDescent="0.25">
      <c r="A120" s="1">
        <v>44070</v>
      </c>
      <c r="B120">
        <v>297</v>
      </c>
      <c r="C120">
        <v>341</v>
      </c>
      <c r="D120">
        <v>223</v>
      </c>
    </row>
    <row r="121" spans="1:4" x14ac:dyDescent="0.25">
      <c r="A121" s="1">
        <v>44071</v>
      </c>
      <c r="B121">
        <v>226</v>
      </c>
      <c r="C121">
        <v>329</v>
      </c>
      <c r="D121">
        <v>261</v>
      </c>
    </row>
    <row r="122" spans="1:4" x14ac:dyDescent="0.25">
      <c r="A122" s="1">
        <v>44072</v>
      </c>
      <c r="B122">
        <v>226</v>
      </c>
      <c r="C122">
        <v>256</v>
      </c>
      <c r="D122">
        <v>239</v>
      </c>
    </row>
    <row r="123" spans="1:4" x14ac:dyDescent="0.25">
      <c r="A123" s="1">
        <v>44073</v>
      </c>
      <c r="B123">
        <v>287</v>
      </c>
      <c r="C123">
        <v>217</v>
      </c>
      <c r="D123">
        <v>262</v>
      </c>
    </row>
    <row r="124" spans="1:4" x14ac:dyDescent="0.25">
      <c r="A124" s="1">
        <v>44074</v>
      </c>
      <c r="B124">
        <v>351</v>
      </c>
      <c r="C124">
        <v>266</v>
      </c>
      <c r="D124">
        <v>226</v>
      </c>
    </row>
    <row r="125" spans="1:4" x14ac:dyDescent="0.25">
      <c r="A125" s="1">
        <v>44075</v>
      </c>
      <c r="B125">
        <v>214</v>
      </c>
      <c r="C125">
        <v>260</v>
      </c>
      <c r="D125">
        <v>241</v>
      </c>
    </row>
    <row r="126" spans="1:4" x14ac:dyDescent="0.25">
      <c r="A126" s="1">
        <v>44076</v>
      </c>
      <c r="B126">
        <v>282</v>
      </c>
      <c r="C126">
        <v>227</v>
      </c>
      <c r="D126">
        <v>258</v>
      </c>
    </row>
    <row r="127" spans="1:4" x14ac:dyDescent="0.25">
      <c r="A127" s="1">
        <v>44077</v>
      </c>
      <c r="B127">
        <v>257</v>
      </c>
      <c r="C127">
        <v>251</v>
      </c>
      <c r="D127">
        <v>252</v>
      </c>
    </row>
    <row r="128" spans="1:4" x14ac:dyDescent="0.25">
      <c r="A128" s="1">
        <v>44078</v>
      </c>
      <c r="B128">
        <v>172</v>
      </c>
      <c r="C128">
        <v>171</v>
      </c>
      <c r="D128">
        <v>268</v>
      </c>
    </row>
    <row r="129" spans="1:4" x14ac:dyDescent="0.25">
      <c r="A129" s="1">
        <v>44079</v>
      </c>
      <c r="B129">
        <v>197</v>
      </c>
      <c r="C129">
        <v>326</v>
      </c>
      <c r="D129">
        <v>224</v>
      </c>
    </row>
    <row r="130" spans="1:4" x14ac:dyDescent="0.25">
      <c r="A130" s="1">
        <v>44080</v>
      </c>
      <c r="B130">
        <v>292</v>
      </c>
      <c r="C130">
        <v>329</v>
      </c>
      <c r="D130">
        <v>255</v>
      </c>
    </row>
    <row r="131" spans="1:4" x14ac:dyDescent="0.25">
      <c r="A131" s="1">
        <v>44081</v>
      </c>
      <c r="B131">
        <v>172</v>
      </c>
      <c r="C131">
        <v>216</v>
      </c>
      <c r="D131">
        <v>199</v>
      </c>
    </row>
    <row r="132" spans="1:4" x14ac:dyDescent="0.25">
      <c r="A132" s="1">
        <v>44082</v>
      </c>
      <c r="B132">
        <v>258</v>
      </c>
      <c r="C132">
        <v>291</v>
      </c>
      <c r="D132">
        <v>220</v>
      </c>
    </row>
    <row r="133" spans="1:4" x14ac:dyDescent="0.25">
      <c r="A133" s="1">
        <v>44083</v>
      </c>
      <c r="B133">
        <v>276</v>
      </c>
      <c r="C133">
        <v>347</v>
      </c>
      <c r="D133">
        <v>197</v>
      </c>
    </row>
    <row r="134" spans="1:4" x14ac:dyDescent="0.25">
      <c r="A134" s="1">
        <v>44084</v>
      </c>
      <c r="B134">
        <v>210</v>
      </c>
      <c r="C134">
        <v>333</v>
      </c>
      <c r="D134">
        <v>218</v>
      </c>
    </row>
    <row r="135" spans="1:4" x14ac:dyDescent="0.25">
      <c r="A135" s="1">
        <v>44085</v>
      </c>
      <c r="B135">
        <v>168</v>
      </c>
      <c r="C135">
        <v>211</v>
      </c>
      <c r="D135">
        <v>180</v>
      </c>
    </row>
    <row r="136" spans="1:4" x14ac:dyDescent="0.25">
      <c r="A136" s="1">
        <v>44086</v>
      </c>
      <c r="B136">
        <v>196</v>
      </c>
      <c r="C136">
        <v>348</v>
      </c>
      <c r="D136">
        <v>225</v>
      </c>
    </row>
    <row r="137" spans="1:4" x14ac:dyDescent="0.25">
      <c r="A137" s="1">
        <v>44087</v>
      </c>
      <c r="B137">
        <v>284</v>
      </c>
      <c r="C137">
        <v>226</v>
      </c>
      <c r="D137">
        <v>197</v>
      </c>
    </row>
    <row r="138" spans="1:4" x14ac:dyDescent="0.25">
      <c r="A138" s="1">
        <v>44088</v>
      </c>
      <c r="B138">
        <v>162</v>
      </c>
      <c r="C138">
        <v>345</v>
      </c>
      <c r="D138">
        <v>194</v>
      </c>
    </row>
    <row r="139" spans="1:4" x14ac:dyDescent="0.25">
      <c r="A139" s="1">
        <v>44089</v>
      </c>
      <c r="B139">
        <v>212</v>
      </c>
      <c r="C139">
        <v>184</v>
      </c>
      <c r="D139">
        <v>183</v>
      </c>
    </row>
    <row r="140" spans="1:4" x14ac:dyDescent="0.25">
      <c r="A140" s="1">
        <v>44090</v>
      </c>
      <c r="B140">
        <v>165</v>
      </c>
      <c r="C140">
        <v>232</v>
      </c>
      <c r="D140">
        <v>202</v>
      </c>
    </row>
    <row r="141" spans="1:4" x14ac:dyDescent="0.25">
      <c r="A141" s="1">
        <v>44091</v>
      </c>
      <c r="B141">
        <v>163</v>
      </c>
      <c r="C141">
        <v>314</v>
      </c>
      <c r="D141">
        <v>213</v>
      </c>
    </row>
    <row r="142" spans="1:4" x14ac:dyDescent="0.25">
      <c r="A142" s="1">
        <v>44092</v>
      </c>
      <c r="B142">
        <v>200</v>
      </c>
      <c r="C142">
        <v>307</v>
      </c>
      <c r="D142">
        <v>206</v>
      </c>
    </row>
    <row r="143" spans="1:4" x14ac:dyDescent="0.25">
      <c r="A143" s="1">
        <v>44093</v>
      </c>
      <c r="B143">
        <v>201</v>
      </c>
      <c r="C143">
        <v>274</v>
      </c>
      <c r="D143">
        <v>210</v>
      </c>
    </row>
    <row r="144" spans="1:4" x14ac:dyDescent="0.25">
      <c r="A144" s="1">
        <v>44094</v>
      </c>
      <c r="B144">
        <v>269</v>
      </c>
      <c r="C144">
        <v>278</v>
      </c>
      <c r="D144">
        <v>228</v>
      </c>
    </row>
    <row r="145" spans="1:4" x14ac:dyDescent="0.25">
      <c r="A145" s="1">
        <v>44095</v>
      </c>
      <c r="B145">
        <v>188</v>
      </c>
      <c r="C145">
        <v>195</v>
      </c>
      <c r="D145">
        <v>207</v>
      </c>
    </row>
    <row r="146" spans="1:4" x14ac:dyDescent="0.25">
      <c r="A146" s="1">
        <v>44096</v>
      </c>
      <c r="B146">
        <v>142</v>
      </c>
      <c r="C146">
        <v>249</v>
      </c>
      <c r="D146">
        <v>202</v>
      </c>
    </row>
    <row r="147" spans="1:4" x14ac:dyDescent="0.25">
      <c r="A147" s="1">
        <v>44097</v>
      </c>
      <c r="B147">
        <v>232</v>
      </c>
      <c r="C147">
        <v>116</v>
      </c>
      <c r="D147">
        <v>195</v>
      </c>
    </row>
    <row r="148" spans="1:4" x14ac:dyDescent="0.25">
      <c r="A148" s="1">
        <v>44098</v>
      </c>
      <c r="B148">
        <v>296</v>
      </c>
      <c r="C148">
        <v>102</v>
      </c>
      <c r="D148">
        <v>192</v>
      </c>
    </row>
    <row r="149" spans="1:4" x14ac:dyDescent="0.25">
      <c r="A149" s="1">
        <v>44099</v>
      </c>
      <c r="B149">
        <v>161</v>
      </c>
      <c r="C149">
        <v>151</v>
      </c>
      <c r="D149">
        <v>216</v>
      </c>
    </row>
    <row r="150" spans="1:4" x14ac:dyDescent="0.25">
      <c r="A150" s="1">
        <v>44100</v>
      </c>
      <c r="B150">
        <v>162</v>
      </c>
      <c r="C150">
        <v>261</v>
      </c>
      <c r="D150">
        <v>184</v>
      </c>
    </row>
    <row r="151" spans="1:4" x14ac:dyDescent="0.25">
      <c r="A151" s="1">
        <v>44101</v>
      </c>
      <c r="B151">
        <v>216</v>
      </c>
      <c r="C151">
        <v>147</v>
      </c>
      <c r="D151">
        <v>204</v>
      </c>
    </row>
    <row r="152" spans="1:4" x14ac:dyDescent="0.25">
      <c r="A152" s="1">
        <v>44102</v>
      </c>
      <c r="B152">
        <v>282</v>
      </c>
      <c r="C152">
        <v>297</v>
      </c>
      <c r="D152">
        <v>195</v>
      </c>
    </row>
    <row r="153" spans="1:4" x14ac:dyDescent="0.25">
      <c r="A153" s="1">
        <v>44103</v>
      </c>
      <c r="B153">
        <v>214</v>
      </c>
      <c r="C153">
        <v>198</v>
      </c>
      <c r="D153">
        <v>200</v>
      </c>
    </row>
    <row r="154" spans="1:4" x14ac:dyDescent="0.25">
      <c r="A154" s="1">
        <v>44104</v>
      </c>
      <c r="B154">
        <v>289</v>
      </c>
      <c r="C154">
        <v>290</v>
      </c>
      <c r="D154">
        <v>190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3CCAA-E88B-4DFD-817E-6437B3980CAB}">
  <dimension ref="A3:J10"/>
  <sheetViews>
    <sheetView topLeftCell="D4" zoomScale="145" zoomScaleNormal="145" workbookViewId="0">
      <selection activeCell="G5" sqref="G5:J10"/>
    </sheetView>
  </sheetViews>
  <sheetFormatPr defaultRowHeight="15" x14ac:dyDescent="0.25"/>
  <cols>
    <col min="1" max="1" width="17.85546875" bestFit="1" customWidth="1"/>
    <col min="2" max="2" width="21.42578125" bestFit="1" customWidth="1"/>
    <col min="3" max="3" width="25.7109375" bestFit="1" customWidth="1"/>
    <col min="4" max="4" width="25.5703125" bestFit="1" customWidth="1"/>
    <col min="7" max="7" width="14.42578125" bestFit="1" customWidth="1"/>
    <col min="8" max="8" width="21.7109375" bestFit="1" customWidth="1"/>
    <col min="9" max="9" width="25.7109375" bestFit="1" customWidth="1"/>
    <col min="10" max="10" width="25.28515625" bestFit="1" customWidth="1"/>
  </cols>
  <sheetData>
    <row r="3" spans="1:10" x14ac:dyDescent="0.25">
      <c r="A3" s="2" t="s">
        <v>4</v>
      </c>
      <c r="B3" t="s">
        <v>11</v>
      </c>
      <c r="C3" t="s">
        <v>12</v>
      </c>
      <c r="D3" t="s">
        <v>13</v>
      </c>
    </row>
    <row r="4" spans="1:10" x14ac:dyDescent="0.25">
      <c r="A4" s="3" t="s">
        <v>6</v>
      </c>
      <c r="B4">
        <v>9238</v>
      </c>
      <c r="C4">
        <v>9287</v>
      </c>
      <c r="D4">
        <v>3309</v>
      </c>
    </row>
    <row r="5" spans="1:10" x14ac:dyDescent="0.25">
      <c r="A5" s="3" t="s">
        <v>7</v>
      </c>
      <c r="B5">
        <v>9485</v>
      </c>
      <c r="C5">
        <v>8916</v>
      </c>
      <c r="D5">
        <v>5081</v>
      </c>
      <c r="G5" t="s">
        <v>14</v>
      </c>
      <c r="H5" t="s">
        <v>15</v>
      </c>
      <c r="I5" t="s">
        <v>16</v>
      </c>
      <c r="J5" t="s">
        <v>17</v>
      </c>
    </row>
    <row r="6" spans="1:10" x14ac:dyDescent="0.25">
      <c r="A6" s="3" t="s">
        <v>8</v>
      </c>
      <c r="B6">
        <v>11592</v>
      </c>
      <c r="C6">
        <v>11339</v>
      </c>
      <c r="D6">
        <v>10567</v>
      </c>
      <c r="G6" t="s">
        <v>6</v>
      </c>
      <c r="H6">
        <v>9238</v>
      </c>
      <c r="I6">
        <v>9287</v>
      </c>
      <c r="J6">
        <v>3309</v>
      </c>
    </row>
    <row r="7" spans="1:10" x14ac:dyDescent="0.25">
      <c r="A7" s="3" t="s">
        <v>9</v>
      </c>
      <c r="B7">
        <v>11045</v>
      </c>
      <c r="C7">
        <v>11386</v>
      </c>
      <c r="D7">
        <v>11078</v>
      </c>
      <c r="G7" t="s">
        <v>7</v>
      </c>
      <c r="H7">
        <v>9485</v>
      </c>
      <c r="I7">
        <v>8916</v>
      </c>
      <c r="J7">
        <v>5081</v>
      </c>
    </row>
    <row r="8" spans="1:10" x14ac:dyDescent="0.25">
      <c r="A8" s="3" t="s">
        <v>10</v>
      </c>
      <c r="B8">
        <v>6532</v>
      </c>
      <c r="C8">
        <v>7476</v>
      </c>
      <c r="D8">
        <v>6355</v>
      </c>
      <c r="G8" t="s">
        <v>8</v>
      </c>
      <c r="H8">
        <v>11592</v>
      </c>
      <c r="I8">
        <v>11339</v>
      </c>
      <c r="J8">
        <v>10567</v>
      </c>
    </row>
    <row r="9" spans="1:10" x14ac:dyDescent="0.25">
      <c r="A9" s="3" t="s">
        <v>5</v>
      </c>
      <c r="B9">
        <v>47892</v>
      </c>
      <c r="C9">
        <v>48404</v>
      </c>
      <c r="D9">
        <v>36390</v>
      </c>
      <c r="G9" t="s">
        <v>9</v>
      </c>
      <c r="H9">
        <v>11045</v>
      </c>
      <c r="I9">
        <v>11386</v>
      </c>
      <c r="J9">
        <v>11078</v>
      </c>
    </row>
    <row r="10" spans="1:10" x14ac:dyDescent="0.25">
      <c r="G10" t="s">
        <v>10</v>
      </c>
      <c r="H10">
        <v>6532</v>
      </c>
      <c r="I10">
        <v>7476</v>
      </c>
      <c r="J10">
        <v>6355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7778-6B8F-4F20-B8A6-5D32BAFF681F}">
  <dimension ref="A3:H157"/>
  <sheetViews>
    <sheetView workbookViewId="0">
      <selection activeCell="H3" sqref="H3"/>
    </sheetView>
  </sheetViews>
  <sheetFormatPr defaultRowHeight="15" x14ac:dyDescent="0.25"/>
  <cols>
    <col min="1" max="1" width="17.85546875" bestFit="1" customWidth="1"/>
    <col min="2" max="2" width="25.5703125" bestFit="1" customWidth="1"/>
    <col min="3" max="3" width="25.7109375" bestFit="1" customWidth="1"/>
    <col min="4" max="4" width="21.42578125" bestFit="1" customWidth="1"/>
    <col min="7" max="7" width="23.28515625" bestFit="1" customWidth="1"/>
  </cols>
  <sheetData>
    <row r="3" spans="1:8" x14ac:dyDescent="0.25">
      <c r="A3" s="2" t="s">
        <v>4</v>
      </c>
      <c r="B3" t="s">
        <v>13</v>
      </c>
      <c r="C3" t="s">
        <v>12</v>
      </c>
      <c r="D3" t="s">
        <v>11</v>
      </c>
      <c r="G3" t="s">
        <v>171</v>
      </c>
      <c r="H3" s="4">
        <f>SUM(E:E)</f>
        <v>19</v>
      </c>
    </row>
    <row r="4" spans="1:8" x14ac:dyDescent="0.25">
      <c r="A4" s="3" t="s">
        <v>18</v>
      </c>
      <c r="B4">
        <v>88</v>
      </c>
      <c r="C4">
        <v>281</v>
      </c>
      <c r="D4">
        <v>211</v>
      </c>
      <c r="E4">
        <f>IF(AND(B4&gt;C4,B4&gt;D4),1,0)</f>
        <v>0</v>
      </c>
    </row>
    <row r="5" spans="1:8" x14ac:dyDescent="0.25">
      <c r="A5" s="3" t="s">
        <v>19</v>
      </c>
      <c r="B5">
        <v>83</v>
      </c>
      <c r="C5">
        <v>313</v>
      </c>
      <c r="D5">
        <v>393</v>
      </c>
      <c r="E5">
        <f t="shared" ref="E5:E68" si="0">IF(AND(B5&gt;C5,B5&gt;D5),1,0)</f>
        <v>0</v>
      </c>
    </row>
    <row r="6" spans="1:8" x14ac:dyDescent="0.25">
      <c r="A6" s="3" t="s">
        <v>20</v>
      </c>
      <c r="B6">
        <v>104</v>
      </c>
      <c r="C6">
        <v>315</v>
      </c>
      <c r="D6">
        <v>389</v>
      </c>
      <c r="E6">
        <f t="shared" si="0"/>
        <v>0</v>
      </c>
    </row>
    <row r="7" spans="1:8" x14ac:dyDescent="0.25">
      <c r="A7" s="3" t="s">
        <v>21</v>
      </c>
      <c r="B7">
        <v>119</v>
      </c>
      <c r="C7">
        <v>221</v>
      </c>
      <c r="D7">
        <v>308</v>
      </c>
      <c r="E7">
        <f t="shared" si="0"/>
        <v>0</v>
      </c>
    </row>
    <row r="8" spans="1:8" x14ac:dyDescent="0.25">
      <c r="A8" s="3" t="s">
        <v>22</v>
      </c>
      <c r="B8">
        <v>72</v>
      </c>
      <c r="C8">
        <v>275</v>
      </c>
      <c r="D8">
        <v>387</v>
      </c>
      <c r="E8">
        <f t="shared" si="0"/>
        <v>0</v>
      </c>
    </row>
    <row r="9" spans="1:8" x14ac:dyDescent="0.25">
      <c r="A9" s="3" t="s">
        <v>23</v>
      </c>
      <c r="B9">
        <v>99</v>
      </c>
      <c r="C9">
        <v>366</v>
      </c>
      <c r="D9">
        <v>294</v>
      </c>
      <c r="E9">
        <f t="shared" si="0"/>
        <v>0</v>
      </c>
    </row>
    <row r="10" spans="1:8" x14ac:dyDescent="0.25">
      <c r="A10" s="3" t="s">
        <v>24</v>
      </c>
      <c r="B10">
        <v>87</v>
      </c>
      <c r="C10">
        <v>288</v>
      </c>
      <c r="D10">
        <v>389</v>
      </c>
      <c r="E10">
        <f t="shared" si="0"/>
        <v>0</v>
      </c>
    </row>
    <row r="11" spans="1:8" x14ac:dyDescent="0.25">
      <c r="A11" s="3" t="s">
        <v>25</v>
      </c>
      <c r="B11">
        <v>112</v>
      </c>
      <c r="C11">
        <v>361</v>
      </c>
      <c r="D11">
        <v>259</v>
      </c>
      <c r="E11">
        <f t="shared" si="0"/>
        <v>0</v>
      </c>
    </row>
    <row r="12" spans="1:8" x14ac:dyDescent="0.25">
      <c r="A12" s="3" t="s">
        <v>26</v>
      </c>
      <c r="B12">
        <v>110</v>
      </c>
      <c r="C12">
        <v>233</v>
      </c>
      <c r="D12">
        <v>369</v>
      </c>
      <c r="E12">
        <f t="shared" si="0"/>
        <v>0</v>
      </c>
    </row>
    <row r="13" spans="1:8" x14ac:dyDescent="0.25">
      <c r="A13" s="3" t="s">
        <v>27</v>
      </c>
      <c r="B13">
        <v>75</v>
      </c>
      <c r="C13">
        <v>393</v>
      </c>
      <c r="D13">
        <v>263</v>
      </c>
      <c r="E13">
        <f t="shared" si="0"/>
        <v>0</v>
      </c>
    </row>
    <row r="14" spans="1:8" x14ac:dyDescent="0.25">
      <c r="A14" s="3" t="s">
        <v>28</v>
      </c>
      <c r="B14">
        <v>94</v>
      </c>
      <c r="C14">
        <v>347</v>
      </c>
      <c r="D14">
        <v>239</v>
      </c>
      <c r="E14">
        <f t="shared" si="0"/>
        <v>0</v>
      </c>
    </row>
    <row r="15" spans="1:8" x14ac:dyDescent="0.25">
      <c r="A15" s="3" t="s">
        <v>29</v>
      </c>
      <c r="B15">
        <v>86</v>
      </c>
      <c r="C15">
        <v>338</v>
      </c>
      <c r="D15">
        <v>282</v>
      </c>
      <c r="E15">
        <f t="shared" si="0"/>
        <v>0</v>
      </c>
    </row>
    <row r="16" spans="1:8" x14ac:dyDescent="0.25">
      <c r="A16" s="3" t="s">
        <v>30</v>
      </c>
      <c r="B16">
        <v>75</v>
      </c>
      <c r="C16">
        <v>273</v>
      </c>
      <c r="D16">
        <v>306</v>
      </c>
      <c r="E16">
        <f t="shared" si="0"/>
        <v>0</v>
      </c>
    </row>
    <row r="17" spans="1:5" x14ac:dyDescent="0.25">
      <c r="A17" s="3" t="s">
        <v>31</v>
      </c>
      <c r="B17">
        <v>89</v>
      </c>
      <c r="C17">
        <v>325</v>
      </c>
      <c r="D17">
        <v>251</v>
      </c>
      <c r="E17">
        <f t="shared" si="0"/>
        <v>0</v>
      </c>
    </row>
    <row r="18" spans="1:5" x14ac:dyDescent="0.25">
      <c r="A18" s="3" t="s">
        <v>32</v>
      </c>
      <c r="B18">
        <v>97</v>
      </c>
      <c r="C18">
        <v>352</v>
      </c>
      <c r="D18">
        <v>224</v>
      </c>
      <c r="E18">
        <f t="shared" si="0"/>
        <v>0</v>
      </c>
    </row>
    <row r="19" spans="1:5" x14ac:dyDescent="0.25">
      <c r="A19" s="3" t="s">
        <v>33</v>
      </c>
      <c r="B19">
        <v>94</v>
      </c>
      <c r="C19">
        <v>270</v>
      </c>
      <c r="D19">
        <v>233</v>
      </c>
      <c r="E19">
        <f t="shared" si="0"/>
        <v>0</v>
      </c>
    </row>
    <row r="20" spans="1:5" x14ac:dyDescent="0.25">
      <c r="A20" s="3" t="s">
        <v>34</v>
      </c>
      <c r="B20">
        <v>90</v>
      </c>
      <c r="C20">
        <v>275</v>
      </c>
      <c r="D20">
        <v>345</v>
      </c>
      <c r="E20">
        <f t="shared" si="0"/>
        <v>0</v>
      </c>
    </row>
    <row r="21" spans="1:5" x14ac:dyDescent="0.25">
      <c r="A21" s="3" t="s">
        <v>35</v>
      </c>
      <c r="B21">
        <v>107</v>
      </c>
      <c r="C21">
        <v>228</v>
      </c>
      <c r="D21">
        <v>232</v>
      </c>
      <c r="E21">
        <f t="shared" si="0"/>
        <v>0</v>
      </c>
    </row>
    <row r="22" spans="1:5" x14ac:dyDescent="0.25">
      <c r="A22" s="3" t="s">
        <v>36</v>
      </c>
      <c r="B22">
        <v>105</v>
      </c>
      <c r="C22">
        <v>394</v>
      </c>
      <c r="D22">
        <v>238</v>
      </c>
      <c r="E22">
        <f t="shared" si="0"/>
        <v>0</v>
      </c>
    </row>
    <row r="23" spans="1:5" x14ac:dyDescent="0.25">
      <c r="A23" s="3" t="s">
        <v>37</v>
      </c>
      <c r="B23">
        <v>110</v>
      </c>
      <c r="C23">
        <v>311</v>
      </c>
      <c r="D23">
        <v>378</v>
      </c>
      <c r="E23">
        <f t="shared" si="0"/>
        <v>0</v>
      </c>
    </row>
    <row r="24" spans="1:5" x14ac:dyDescent="0.25">
      <c r="A24" s="3" t="s">
        <v>38</v>
      </c>
      <c r="B24">
        <v>121</v>
      </c>
      <c r="C24">
        <v>354</v>
      </c>
      <c r="D24">
        <v>281</v>
      </c>
      <c r="E24">
        <f t="shared" si="0"/>
        <v>0</v>
      </c>
    </row>
    <row r="25" spans="1:5" x14ac:dyDescent="0.25">
      <c r="A25" s="3" t="s">
        <v>39</v>
      </c>
      <c r="B25">
        <v>124</v>
      </c>
      <c r="C25">
        <v>267</v>
      </c>
      <c r="D25">
        <v>390</v>
      </c>
      <c r="E25">
        <f t="shared" si="0"/>
        <v>0</v>
      </c>
    </row>
    <row r="26" spans="1:5" x14ac:dyDescent="0.25">
      <c r="A26" s="3" t="s">
        <v>40</v>
      </c>
      <c r="B26">
        <v>105</v>
      </c>
      <c r="C26">
        <v>337</v>
      </c>
      <c r="D26">
        <v>308</v>
      </c>
      <c r="E26">
        <f t="shared" si="0"/>
        <v>0</v>
      </c>
    </row>
    <row r="27" spans="1:5" x14ac:dyDescent="0.25">
      <c r="A27" s="3" t="s">
        <v>41</v>
      </c>
      <c r="B27">
        <v>113</v>
      </c>
      <c r="C27">
        <v>238</v>
      </c>
      <c r="D27">
        <v>391</v>
      </c>
      <c r="E27">
        <f t="shared" si="0"/>
        <v>0</v>
      </c>
    </row>
    <row r="28" spans="1:5" x14ac:dyDescent="0.25">
      <c r="A28" s="3" t="s">
        <v>42</v>
      </c>
      <c r="B28">
        <v>140</v>
      </c>
      <c r="C28">
        <v>283</v>
      </c>
      <c r="D28">
        <v>241</v>
      </c>
      <c r="E28">
        <f t="shared" si="0"/>
        <v>0</v>
      </c>
    </row>
    <row r="29" spans="1:5" x14ac:dyDescent="0.25">
      <c r="A29" s="3" t="s">
        <v>43</v>
      </c>
      <c r="B29">
        <v>118</v>
      </c>
      <c r="C29">
        <v>275</v>
      </c>
      <c r="D29">
        <v>249</v>
      </c>
      <c r="E29">
        <f t="shared" si="0"/>
        <v>0</v>
      </c>
    </row>
    <row r="30" spans="1:5" x14ac:dyDescent="0.25">
      <c r="A30" s="3" t="s">
        <v>44</v>
      </c>
      <c r="B30">
        <v>145</v>
      </c>
      <c r="C30">
        <v>263</v>
      </c>
      <c r="D30">
        <v>298</v>
      </c>
      <c r="E30">
        <f t="shared" si="0"/>
        <v>0</v>
      </c>
    </row>
    <row r="31" spans="1:5" x14ac:dyDescent="0.25">
      <c r="A31" s="3" t="s">
        <v>45</v>
      </c>
      <c r="B31">
        <v>149</v>
      </c>
      <c r="C31">
        <v>241</v>
      </c>
      <c r="D31">
        <v>254</v>
      </c>
      <c r="E31">
        <f t="shared" si="0"/>
        <v>0</v>
      </c>
    </row>
    <row r="32" spans="1:5" x14ac:dyDescent="0.25">
      <c r="A32" s="3" t="s">
        <v>46</v>
      </c>
      <c r="B32">
        <v>134</v>
      </c>
      <c r="C32">
        <v>323</v>
      </c>
      <c r="D32">
        <v>329</v>
      </c>
      <c r="E32">
        <f t="shared" si="0"/>
        <v>0</v>
      </c>
    </row>
    <row r="33" spans="1:5" x14ac:dyDescent="0.25">
      <c r="A33" s="3" t="s">
        <v>47</v>
      </c>
      <c r="B33">
        <v>119</v>
      </c>
      <c r="C33">
        <v>221</v>
      </c>
      <c r="D33">
        <v>213</v>
      </c>
      <c r="E33">
        <f t="shared" si="0"/>
        <v>0</v>
      </c>
    </row>
    <row r="34" spans="1:5" x14ac:dyDescent="0.25">
      <c r="A34" s="3" t="s">
        <v>48</v>
      </c>
      <c r="B34">
        <v>145</v>
      </c>
      <c r="C34">
        <v>326</v>
      </c>
      <c r="D34">
        <v>294</v>
      </c>
      <c r="E34">
        <f t="shared" si="0"/>
        <v>0</v>
      </c>
    </row>
    <row r="35" spans="1:5" x14ac:dyDescent="0.25">
      <c r="A35" s="3" t="s">
        <v>49</v>
      </c>
      <c r="B35">
        <v>122</v>
      </c>
      <c r="C35">
        <v>206</v>
      </c>
      <c r="D35">
        <v>225</v>
      </c>
      <c r="E35">
        <f t="shared" si="0"/>
        <v>0</v>
      </c>
    </row>
    <row r="36" spans="1:5" x14ac:dyDescent="0.25">
      <c r="A36" s="3" t="s">
        <v>50</v>
      </c>
      <c r="B36">
        <v>134</v>
      </c>
      <c r="C36">
        <v>355</v>
      </c>
      <c r="D36">
        <v>264</v>
      </c>
      <c r="E36">
        <f t="shared" si="0"/>
        <v>0</v>
      </c>
    </row>
    <row r="37" spans="1:5" x14ac:dyDescent="0.25">
      <c r="A37" s="3" t="s">
        <v>51</v>
      </c>
      <c r="B37">
        <v>142</v>
      </c>
      <c r="C37">
        <v>271</v>
      </c>
      <c r="D37">
        <v>253</v>
      </c>
      <c r="E37">
        <f t="shared" si="0"/>
        <v>0</v>
      </c>
    </row>
    <row r="38" spans="1:5" x14ac:dyDescent="0.25">
      <c r="A38" s="3" t="s">
        <v>52</v>
      </c>
      <c r="B38">
        <v>125</v>
      </c>
      <c r="C38">
        <v>207</v>
      </c>
      <c r="D38">
        <v>352</v>
      </c>
      <c r="E38">
        <f t="shared" si="0"/>
        <v>0</v>
      </c>
    </row>
    <row r="39" spans="1:5" x14ac:dyDescent="0.25">
      <c r="A39" s="3" t="s">
        <v>53</v>
      </c>
      <c r="B39">
        <v>137</v>
      </c>
      <c r="C39">
        <v>248</v>
      </c>
      <c r="D39">
        <v>269</v>
      </c>
      <c r="E39">
        <f t="shared" si="0"/>
        <v>0</v>
      </c>
    </row>
    <row r="40" spans="1:5" x14ac:dyDescent="0.25">
      <c r="A40" s="3" t="s">
        <v>54</v>
      </c>
      <c r="B40">
        <v>125</v>
      </c>
      <c r="C40">
        <v>247</v>
      </c>
      <c r="D40">
        <v>242</v>
      </c>
      <c r="E40">
        <f t="shared" si="0"/>
        <v>0</v>
      </c>
    </row>
    <row r="41" spans="1:5" x14ac:dyDescent="0.25">
      <c r="A41" s="3" t="s">
        <v>55</v>
      </c>
      <c r="B41">
        <v>103</v>
      </c>
      <c r="C41">
        <v>262</v>
      </c>
      <c r="D41">
        <v>327</v>
      </c>
      <c r="E41">
        <f t="shared" si="0"/>
        <v>0</v>
      </c>
    </row>
    <row r="42" spans="1:5" x14ac:dyDescent="0.25">
      <c r="A42" s="3" t="s">
        <v>56</v>
      </c>
      <c r="B42">
        <v>134</v>
      </c>
      <c r="C42">
        <v>253</v>
      </c>
      <c r="D42">
        <v>316</v>
      </c>
      <c r="E42">
        <f t="shared" si="0"/>
        <v>0</v>
      </c>
    </row>
    <row r="43" spans="1:5" x14ac:dyDescent="0.25">
      <c r="A43" s="3" t="s">
        <v>57</v>
      </c>
      <c r="B43">
        <v>137</v>
      </c>
      <c r="C43">
        <v>249</v>
      </c>
      <c r="D43">
        <v>294</v>
      </c>
      <c r="E43">
        <f t="shared" si="0"/>
        <v>0</v>
      </c>
    </row>
    <row r="44" spans="1:5" x14ac:dyDescent="0.25">
      <c r="A44" s="3" t="s">
        <v>58</v>
      </c>
      <c r="B44">
        <v>146</v>
      </c>
      <c r="C44">
        <v>206</v>
      </c>
      <c r="D44">
        <v>270</v>
      </c>
      <c r="E44">
        <f t="shared" si="0"/>
        <v>0</v>
      </c>
    </row>
    <row r="45" spans="1:5" x14ac:dyDescent="0.25">
      <c r="A45" s="3" t="s">
        <v>59</v>
      </c>
      <c r="B45">
        <v>138</v>
      </c>
      <c r="C45">
        <v>301</v>
      </c>
      <c r="D45">
        <v>349</v>
      </c>
      <c r="E45">
        <f t="shared" si="0"/>
        <v>0</v>
      </c>
    </row>
    <row r="46" spans="1:5" x14ac:dyDescent="0.25">
      <c r="A46" s="3" t="s">
        <v>60</v>
      </c>
      <c r="B46">
        <v>138</v>
      </c>
      <c r="C46">
        <v>385</v>
      </c>
      <c r="D46">
        <v>224</v>
      </c>
      <c r="E46">
        <f t="shared" si="0"/>
        <v>0</v>
      </c>
    </row>
    <row r="47" spans="1:5" x14ac:dyDescent="0.25">
      <c r="A47" s="3" t="s">
        <v>61</v>
      </c>
      <c r="B47">
        <v>140</v>
      </c>
      <c r="C47">
        <v>204</v>
      </c>
      <c r="D47">
        <v>309</v>
      </c>
      <c r="E47">
        <f t="shared" si="0"/>
        <v>0</v>
      </c>
    </row>
    <row r="48" spans="1:5" x14ac:dyDescent="0.25">
      <c r="A48" s="3" t="s">
        <v>62</v>
      </c>
      <c r="B48">
        <v>130</v>
      </c>
      <c r="C48">
        <v>275</v>
      </c>
      <c r="D48">
        <v>246</v>
      </c>
      <c r="E48">
        <f t="shared" si="0"/>
        <v>0</v>
      </c>
    </row>
    <row r="49" spans="1:5" x14ac:dyDescent="0.25">
      <c r="A49" s="3" t="s">
        <v>63</v>
      </c>
      <c r="B49">
        <v>166</v>
      </c>
      <c r="C49">
        <v>247</v>
      </c>
      <c r="D49">
        <v>241</v>
      </c>
      <c r="E49">
        <f t="shared" si="0"/>
        <v>0</v>
      </c>
    </row>
    <row r="50" spans="1:5" x14ac:dyDescent="0.25">
      <c r="A50" s="3" t="s">
        <v>64</v>
      </c>
      <c r="B50">
        <v>132</v>
      </c>
      <c r="C50">
        <v>256</v>
      </c>
      <c r="D50">
        <v>365</v>
      </c>
      <c r="E50">
        <f t="shared" si="0"/>
        <v>0</v>
      </c>
    </row>
    <row r="51" spans="1:5" x14ac:dyDescent="0.25">
      <c r="A51" s="3" t="s">
        <v>65</v>
      </c>
      <c r="B51">
        <v>158</v>
      </c>
      <c r="C51">
        <v>392</v>
      </c>
      <c r="D51">
        <v>225</v>
      </c>
      <c r="E51">
        <f t="shared" si="0"/>
        <v>0</v>
      </c>
    </row>
    <row r="52" spans="1:5" x14ac:dyDescent="0.25">
      <c r="A52" s="3" t="s">
        <v>66</v>
      </c>
      <c r="B52">
        <v>173</v>
      </c>
      <c r="C52">
        <v>254</v>
      </c>
      <c r="D52">
        <v>335</v>
      </c>
      <c r="E52">
        <f t="shared" si="0"/>
        <v>0</v>
      </c>
    </row>
    <row r="53" spans="1:5" x14ac:dyDescent="0.25">
      <c r="A53" s="3" t="s">
        <v>67</v>
      </c>
      <c r="B53">
        <v>151</v>
      </c>
      <c r="C53">
        <v>258</v>
      </c>
      <c r="D53">
        <v>376</v>
      </c>
      <c r="E53">
        <f t="shared" si="0"/>
        <v>0</v>
      </c>
    </row>
    <row r="54" spans="1:5" x14ac:dyDescent="0.25">
      <c r="A54" s="3" t="s">
        <v>68</v>
      </c>
      <c r="B54">
        <v>173</v>
      </c>
      <c r="C54">
        <v>248</v>
      </c>
      <c r="D54">
        <v>310</v>
      </c>
      <c r="E54">
        <f t="shared" si="0"/>
        <v>0</v>
      </c>
    </row>
    <row r="55" spans="1:5" x14ac:dyDescent="0.25">
      <c r="A55" s="3" t="s">
        <v>69</v>
      </c>
      <c r="B55">
        <v>242</v>
      </c>
      <c r="C55">
        <v>250</v>
      </c>
      <c r="D55">
        <v>408</v>
      </c>
      <c r="E55">
        <f t="shared" si="0"/>
        <v>0</v>
      </c>
    </row>
    <row r="56" spans="1:5" x14ac:dyDescent="0.25">
      <c r="A56" s="3" t="s">
        <v>70</v>
      </c>
      <c r="B56">
        <v>219</v>
      </c>
      <c r="C56">
        <v>393</v>
      </c>
      <c r="D56">
        <v>256</v>
      </c>
      <c r="E56">
        <f t="shared" si="0"/>
        <v>0</v>
      </c>
    </row>
    <row r="57" spans="1:5" x14ac:dyDescent="0.25">
      <c r="A57" s="3" t="s">
        <v>71</v>
      </c>
      <c r="B57">
        <v>215</v>
      </c>
      <c r="C57">
        <v>425</v>
      </c>
      <c r="D57">
        <v>322</v>
      </c>
      <c r="E57">
        <f t="shared" si="0"/>
        <v>0</v>
      </c>
    </row>
    <row r="58" spans="1:5" x14ac:dyDescent="0.25">
      <c r="A58" s="3" t="s">
        <v>72</v>
      </c>
      <c r="B58">
        <v>212</v>
      </c>
      <c r="C58">
        <v>385</v>
      </c>
      <c r="D58">
        <v>447</v>
      </c>
      <c r="E58">
        <f t="shared" si="0"/>
        <v>0</v>
      </c>
    </row>
    <row r="59" spans="1:5" x14ac:dyDescent="0.25">
      <c r="A59" s="3" t="s">
        <v>73</v>
      </c>
      <c r="B59">
        <v>225</v>
      </c>
      <c r="C59">
        <v>260</v>
      </c>
      <c r="D59">
        <v>408</v>
      </c>
      <c r="E59">
        <f t="shared" si="0"/>
        <v>0</v>
      </c>
    </row>
    <row r="60" spans="1:5" x14ac:dyDescent="0.25">
      <c r="A60" s="3" t="s">
        <v>74</v>
      </c>
      <c r="B60">
        <v>221</v>
      </c>
      <c r="C60">
        <v>396</v>
      </c>
      <c r="D60">
        <v>283</v>
      </c>
      <c r="E60">
        <f t="shared" si="0"/>
        <v>0</v>
      </c>
    </row>
    <row r="61" spans="1:5" x14ac:dyDescent="0.25">
      <c r="A61" s="3" t="s">
        <v>75</v>
      </c>
      <c r="B61">
        <v>220</v>
      </c>
      <c r="C61">
        <v>314</v>
      </c>
      <c r="D61">
        <v>414</v>
      </c>
      <c r="E61">
        <f t="shared" si="0"/>
        <v>0</v>
      </c>
    </row>
    <row r="62" spans="1:5" x14ac:dyDescent="0.25">
      <c r="A62" s="3" t="s">
        <v>76</v>
      </c>
      <c r="B62">
        <v>245</v>
      </c>
      <c r="C62">
        <v>449</v>
      </c>
      <c r="D62">
        <v>442</v>
      </c>
      <c r="E62">
        <f t="shared" si="0"/>
        <v>0</v>
      </c>
    </row>
    <row r="63" spans="1:5" x14ac:dyDescent="0.25">
      <c r="A63" s="3" t="s">
        <v>77</v>
      </c>
      <c r="B63">
        <v>242</v>
      </c>
      <c r="C63">
        <v>370</v>
      </c>
      <c r="D63">
        <v>269</v>
      </c>
      <c r="E63">
        <f t="shared" si="0"/>
        <v>0</v>
      </c>
    </row>
    <row r="64" spans="1:5" x14ac:dyDescent="0.25">
      <c r="A64" s="3" t="s">
        <v>78</v>
      </c>
      <c r="B64">
        <v>236</v>
      </c>
      <c r="C64">
        <v>350</v>
      </c>
      <c r="D64">
        <v>444</v>
      </c>
      <c r="E64">
        <f t="shared" si="0"/>
        <v>0</v>
      </c>
    </row>
    <row r="65" spans="1:5" x14ac:dyDescent="0.25">
      <c r="A65" s="3" t="s">
        <v>79</v>
      </c>
      <c r="B65">
        <v>237</v>
      </c>
      <c r="C65">
        <v>342</v>
      </c>
      <c r="D65">
        <v>425</v>
      </c>
      <c r="E65">
        <f t="shared" si="0"/>
        <v>0</v>
      </c>
    </row>
    <row r="66" spans="1:5" x14ac:dyDescent="0.25">
      <c r="A66" s="3" t="s">
        <v>80</v>
      </c>
      <c r="B66">
        <v>240</v>
      </c>
      <c r="C66">
        <v>290</v>
      </c>
      <c r="D66">
        <v>377</v>
      </c>
      <c r="E66">
        <f t="shared" si="0"/>
        <v>0</v>
      </c>
    </row>
    <row r="67" spans="1:5" x14ac:dyDescent="0.25">
      <c r="A67" s="3" t="s">
        <v>81</v>
      </c>
      <c r="B67">
        <v>203</v>
      </c>
      <c r="C67">
        <v>360</v>
      </c>
      <c r="D67">
        <v>382</v>
      </c>
      <c r="E67">
        <f t="shared" si="0"/>
        <v>0</v>
      </c>
    </row>
    <row r="68" spans="1:5" x14ac:dyDescent="0.25">
      <c r="A68" s="3" t="s">
        <v>82</v>
      </c>
      <c r="B68">
        <v>204</v>
      </c>
      <c r="C68">
        <v>428</v>
      </c>
      <c r="D68">
        <v>287</v>
      </c>
      <c r="E68">
        <f t="shared" si="0"/>
        <v>0</v>
      </c>
    </row>
    <row r="69" spans="1:5" x14ac:dyDescent="0.25">
      <c r="A69" s="3" t="s">
        <v>83</v>
      </c>
      <c r="B69">
        <v>246</v>
      </c>
      <c r="C69">
        <v>394</v>
      </c>
      <c r="D69">
        <v>429</v>
      </c>
      <c r="E69">
        <f t="shared" ref="E69:E132" si="1">IF(AND(B69&gt;C69,B69&gt;D69),1,0)</f>
        <v>0</v>
      </c>
    </row>
    <row r="70" spans="1:5" x14ac:dyDescent="0.25">
      <c r="A70" s="3" t="s">
        <v>84</v>
      </c>
      <c r="B70">
        <v>233</v>
      </c>
      <c r="C70">
        <v>356</v>
      </c>
      <c r="D70">
        <v>287</v>
      </c>
      <c r="E70">
        <f t="shared" si="1"/>
        <v>0</v>
      </c>
    </row>
    <row r="71" spans="1:5" x14ac:dyDescent="0.25">
      <c r="A71" s="3" t="s">
        <v>85</v>
      </c>
      <c r="B71">
        <v>226</v>
      </c>
      <c r="C71">
        <v>292</v>
      </c>
      <c r="D71">
        <v>421</v>
      </c>
      <c r="E71">
        <f t="shared" si="1"/>
        <v>0</v>
      </c>
    </row>
    <row r="72" spans="1:5" x14ac:dyDescent="0.25">
      <c r="A72" s="3" t="s">
        <v>86</v>
      </c>
      <c r="B72">
        <v>282</v>
      </c>
      <c r="C72">
        <v>353</v>
      </c>
      <c r="D72">
        <v>334</v>
      </c>
      <c r="E72">
        <f t="shared" si="1"/>
        <v>0</v>
      </c>
    </row>
    <row r="73" spans="1:5" x14ac:dyDescent="0.25">
      <c r="A73" s="3" t="s">
        <v>87</v>
      </c>
      <c r="B73">
        <v>262</v>
      </c>
      <c r="C73">
        <v>329</v>
      </c>
      <c r="D73">
        <v>282</v>
      </c>
      <c r="E73">
        <f t="shared" si="1"/>
        <v>0</v>
      </c>
    </row>
    <row r="74" spans="1:5" x14ac:dyDescent="0.25">
      <c r="A74" s="3" t="s">
        <v>88</v>
      </c>
      <c r="B74">
        <v>290</v>
      </c>
      <c r="C74">
        <v>331</v>
      </c>
      <c r="D74">
        <v>356</v>
      </c>
      <c r="E74">
        <f t="shared" si="1"/>
        <v>0</v>
      </c>
    </row>
    <row r="75" spans="1:5" x14ac:dyDescent="0.25">
      <c r="A75" s="3" t="s">
        <v>89</v>
      </c>
      <c r="B75">
        <v>256</v>
      </c>
      <c r="C75">
        <v>394</v>
      </c>
      <c r="D75">
        <v>307</v>
      </c>
      <c r="E75">
        <f t="shared" si="1"/>
        <v>0</v>
      </c>
    </row>
    <row r="76" spans="1:5" x14ac:dyDescent="0.25">
      <c r="A76" s="3" t="s">
        <v>90</v>
      </c>
      <c r="B76">
        <v>292</v>
      </c>
      <c r="C76">
        <v>271</v>
      </c>
      <c r="D76">
        <v>441</v>
      </c>
      <c r="E76">
        <f t="shared" si="1"/>
        <v>0</v>
      </c>
    </row>
    <row r="77" spans="1:5" x14ac:dyDescent="0.25">
      <c r="A77" s="3" t="s">
        <v>91</v>
      </c>
      <c r="B77">
        <v>280</v>
      </c>
      <c r="C77">
        <v>311</v>
      </c>
      <c r="D77">
        <v>407</v>
      </c>
      <c r="E77">
        <f t="shared" si="1"/>
        <v>0</v>
      </c>
    </row>
    <row r="78" spans="1:5" x14ac:dyDescent="0.25">
      <c r="A78" s="3" t="s">
        <v>92</v>
      </c>
      <c r="B78">
        <v>292</v>
      </c>
      <c r="C78">
        <v>342</v>
      </c>
      <c r="D78">
        <v>480</v>
      </c>
      <c r="E78">
        <f t="shared" si="1"/>
        <v>0</v>
      </c>
    </row>
    <row r="79" spans="1:5" x14ac:dyDescent="0.25">
      <c r="A79" s="3" t="s">
        <v>93</v>
      </c>
      <c r="B79">
        <v>275</v>
      </c>
      <c r="C79">
        <v>310</v>
      </c>
      <c r="D79">
        <v>494</v>
      </c>
      <c r="E79">
        <f t="shared" si="1"/>
        <v>0</v>
      </c>
    </row>
    <row r="80" spans="1:5" x14ac:dyDescent="0.25">
      <c r="A80" s="3" t="s">
        <v>94</v>
      </c>
      <c r="B80">
        <v>283</v>
      </c>
      <c r="C80">
        <v>431</v>
      </c>
      <c r="D80">
        <v>493</v>
      </c>
      <c r="E80">
        <f t="shared" si="1"/>
        <v>0</v>
      </c>
    </row>
    <row r="81" spans="1:5" x14ac:dyDescent="0.25">
      <c r="A81" s="3" t="s">
        <v>95</v>
      </c>
      <c r="B81">
        <v>297</v>
      </c>
      <c r="C81">
        <v>415</v>
      </c>
      <c r="D81">
        <v>302</v>
      </c>
      <c r="E81">
        <f t="shared" si="1"/>
        <v>0</v>
      </c>
    </row>
    <row r="82" spans="1:5" x14ac:dyDescent="0.25">
      <c r="A82" s="3" t="s">
        <v>96</v>
      </c>
      <c r="B82">
        <v>373</v>
      </c>
      <c r="C82">
        <v>353</v>
      </c>
      <c r="D82">
        <v>331</v>
      </c>
      <c r="E82">
        <f t="shared" si="1"/>
        <v>1</v>
      </c>
    </row>
    <row r="83" spans="1:5" x14ac:dyDescent="0.25">
      <c r="A83" s="3" t="s">
        <v>97</v>
      </c>
      <c r="B83">
        <v>359</v>
      </c>
      <c r="C83">
        <v>323</v>
      </c>
      <c r="D83">
        <v>486</v>
      </c>
      <c r="E83">
        <f t="shared" si="1"/>
        <v>0</v>
      </c>
    </row>
    <row r="84" spans="1:5" x14ac:dyDescent="0.25">
      <c r="A84" s="3" t="s">
        <v>98</v>
      </c>
      <c r="B84">
        <v>445</v>
      </c>
      <c r="C84">
        <v>331</v>
      </c>
      <c r="D84">
        <v>360</v>
      </c>
      <c r="E84">
        <f t="shared" si="1"/>
        <v>1</v>
      </c>
    </row>
    <row r="85" spans="1:5" x14ac:dyDescent="0.25">
      <c r="A85" s="3" t="s">
        <v>99</v>
      </c>
      <c r="B85">
        <v>427</v>
      </c>
      <c r="C85">
        <v>455</v>
      </c>
      <c r="D85">
        <v>391</v>
      </c>
      <c r="E85">
        <f t="shared" si="1"/>
        <v>0</v>
      </c>
    </row>
    <row r="86" spans="1:5" x14ac:dyDescent="0.25">
      <c r="A86" s="3" t="s">
        <v>100</v>
      </c>
      <c r="B86">
        <v>423</v>
      </c>
      <c r="C86">
        <v>471</v>
      </c>
      <c r="D86">
        <v>327</v>
      </c>
      <c r="E86">
        <f t="shared" si="1"/>
        <v>0</v>
      </c>
    </row>
    <row r="87" spans="1:5" x14ac:dyDescent="0.25">
      <c r="A87" s="3" t="s">
        <v>101</v>
      </c>
      <c r="B87">
        <v>449</v>
      </c>
      <c r="C87">
        <v>490</v>
      </c>
      <c r="D87">
        <v>355</v>
      </c>
      <c r="E87">
        <f t="shared" si="1"/>
        <v>0</v>
      </c>
    </row>
    <row r="88" spans="1:5" x14ac:dyDescent="0.25">
      <c r="A88" s="3" t="s">
        <v>102</v>
      </c>
      <c r="B88">
        <v>470</v>
      </c>
      <c r="C88">
        <v>339</v>
      </c>
      <c r="D88">
        <v>360</v>
      </c>
      <c r="E88">
        <f t="shared" si="1"/>
        <v>1</v>
      </c>
    </row>
    <row r="89" spans="1:5" x14ac:dyDescent="0.25">
      <c r="A89" s="3" t="s">
        <v>103</v>
      </c>
      <c r="B89">
        <v>434</v>
      </c>
      <c r="C89">
        <v>404</v>
      </c>
      <c r="D89">
        <v>303</v>
      </c>
      <c r="E89">
        <f t="shared" si="1"/>
        <v>1</v>
      </c>
    </row>
    <row r="90" spans="1:5" x14ac:dyDescent="0.25">
      <c r="A90" s="3" t="s">
        <v>104</v>
      </c>
      <c r="B90">
        <v>536</v>
      </c>
      <c r="C90">
        <v>332</v>
      </c>
      <c r="D90">
        <v>310</v>
      </c>
      <c r="E90">
        <f t="shared" si="1"/>
        <v>1</v>
      </c>
    </row>
    <row r="91" spans="1:5" x14ac:dyDescent="0.25">
      <c r="A91" s="3" t="s">
        <v>105</v>
      </c>
      <c r="B91">
        <v>421</v>
      </c>
      <c r="C91">
        <v>406</v>
      </c>
      <c r="D91">
        <v>435</v>
      </c>
      <c r="E91">
        <f t="shared" si="1"/>
        <v>0</v>
      </c>
    </row>
    <row r="92" spans="1:5" x14ac:dyDescent="0.25">
      <c r="A92" s="3" t="s">
        <v>106</v>
      </c>
      <c r="B92">
        <v>555</v>
      </c>
      <c r="C92">
        <v>348</v>
      </c>
      <c r="D92">
        <v>344</v>
      </c>
      <c r="E92">
        <f t="shared" si="1"/>
        <v>1</v>
      </c>
    </row>
    <row r="93" spans="1:5" x14ac:dyDescent="0.25">
      <c r="A93" s="3" t="s">
        <v>107</v>
      </c>
      <c r="B93">
        <v>436</v>
      </c>
      <c r="C93">
        <v>335</v>
      </c>
      <c r="D93">
        <v>303</v>
      </c>
      <c r="E93">
        <f t="shared" si="1"/>
        <v>1</v>
      </c>
    </row>
    <row r="94" spans="1:5" x14ac:dyDescent="0.25">
      <c r="A94" s="3" t="s">
        <v>108</v>
      </c>
      <c r="B94">
        <v>422</v>
      </c>
      <c r="C94">
        <v>425</v>
      </c>
      <c r="D94">
        <v>433</v>
      </c>
      <c r="E94">
        <f t="shared" si="1"/>
        <v>0</v>
      </c>
    </row>
    <row r="95" spans="1:5" x14ac:dyDescent="0.25">
      <c r="A95" s="3" t="s">
        <v>109</v>
      </c>
      <c r="B95">
        <v>419</v>
      </c>
      <c r="C95">
        <v>378</v>
      </c>
      <c r="D95">
        <v>350</v>
      </c>
      <c r="E95">
        <f t="shared" si="1"/>
        <v>1</v>
      </c>
    </row>
    <row r="96" spans="1:5" x14ac:dyDescent="0.25">
      <c r="A96" s="3" t="s">
        <v>110</v>
      </c>
      <c r="B96">
        <v>434</v>
      </c>
      <c r="C96">
        <v>466</v>
      </c>
      <c r="D96">
        <v>396</v>
      </c>
      <c r="E96">
        <f t="shared" si="1"/>
        <v>0</v>
      </c>
    </row>
    <row r="97" spans="1:5" x14ac:dyDescent="0.25">
      <c r="A97" s="3" t="s">
        <v>111</v>
      </c>
      <c r="B97">
        <v>418</v>
      </c>
      <c r="C97">
        <v>410</v>
      </c>
      <c r="D97">
        <v>495</v>
      </c>
      <c r="E97">
        <f t="shared" si="1"/>
        <v>0</v>
      </c>
    </row>
    <row r="98" spans="1:5" x14ac:dyDescent="0.25">
      <c r="A98" s="3" t="s">
        <v>112</v>
      </c>
      <c r="B98">
        <v>422</v>
      </c>
      <c r="C98">
        <v>328</v>
      </c>
      <c r="D98">
        <v>420</v>
      </c>
      <c r="E98">
        <f t="shared" si="1"/>
        <v>1</v>
      </c>
    </row>
    <row r="99" spans="1:5" x14ac:dyDescent="0.25">
      <c r="A99" s="3" t="s">
        <v>113</v>
      </c>
      <c r="B99">
        <v>445</v>
      </c>
      <c r="C99">
        <v>481</v>
      </c>
      <c r="D99">
        <v>411</v>
      </c>
      <c r="E99">
        <f t="shared" si="1"/>
        <v>0</v>
      </c>
    </row>
    <row r="100" spans="1:5" x14ac:dyDescent="0.25">
      <c r="A100" s="3" t="s">
        <v>114</v>
      </c>
      <c r="B100">
        <v>411</v>
      </c>
      <c r="C100">
        <v>434</v>
      </c>
      <c r="D100">
        <v>317</v>
      </c>
      <c r="E100">
        <f t="shared" si="1"/>
        <v>0</v>
      </c>
    </row>
    <row r="101" spans="1:5" x14ac:dyDescent="0.25">
      <c r="A101" s="3" t="s">
        <v>115</v>
      </c>
      <c r="B101">
        <v>417</v>
      </c>
      <c r="C101">
        <v>465</v>
      </c>
      <c r="D101">
        <v>342</v>
      </c>
      <c r="E101">
        <f t="shared" si="1"/>
        <v>0</v>
      </c>
    </row>
    <row r="102" spans="1:5" x14ac:dyDescent="0.25">
      <c r="A102" s="3" t="s">
        <v>116</v>
      </c>
      <c r="B102">
        <v>490</v>
      </c>
      <c r="C102">
        <v>318</v>
      </c>
      <c r="D102">
        <v>450</v>
      </c>
      <c r="E102">
        <f t="shared" si="1"/>
        <v>1</v>
      </c>
    </row>
    <row r="103" spans="1:5" x14ac:dyDescent="0.25">
      <c r="A103" s="3" t="s">
        <v>117</v>
      </c>
      <c r="B103">
        <v>345</v>
      </c>
      <c r="C103">
        <v>329</v>
      </c>
      <c r="D103">
        <v>343</v>
      </c>
      <c r="E103">
        <f t="shared" si="1"/>
        <v>1</v>
      </c>
    </row>
    <row r="104" spans="1:5" x14ac:dyDescent="0.25">
      <c r="A104" s="3" t="s">
        <v>118</v>
      </c>
      <c r="B104">
        <v>377</v>
      </c>
      <c r="C104">
        <v>328</v>
      </c>
      <c r="D104">
        <v>287</v>
      </c>
      <c r="E104">
        <f t="shared" si="1"/>
        <v>1</v>
      </c>
    </row>
    <row r="105" spans="1:5" x14ac:dyDescent="0.25">
      <c r="A105" s="3" t="s">
        <v>119</v>
      </c>
      <c r="B105">
        <v>416</v>
      </c>
      <c r="C105">
        <v>401</v>
      </c>
      <c r="D105">
        <v>298</v>
      </c>
      <c r="E105">
        <f t="shared" si="1"/>
        <v>1</v>
      </c>
    </row>
    <row r="106" spans="1:5" x14ac:dyDescent="0.25">
      <c r="A106" s="3" t="s">
        <v>120</v>
      </c>
      <c r="B106">
        <v>426</v>
      </c>
      <c r="C106">
        <v>348</v>
      </c>
      <c r="D106">
        <v>429</v>
      </c>
      <c r="E106">
        <f t="shared" si="1"/>
        <v>0</v>
      </c>
    </row>
    <row r="107" spans="1:5" x14ac:dyDescent="0.25">
      <c r="A107" s="3" t="s">
        <v>121</v>
      </c>
      <c r="B107">
        <v>438</v>
      </c>
      <c r="C107">
        <v>457</v>
      </c>
      <c r="D107">
        <v>417</v>
      </c>
      <c r="E107">
        <f t="shared" si="1"/>
        <v>0</v>
      </c>
    </row>
    <row r="108" spans="1:5" x14ac:dyDescent="0.25">
      <c r="A108" s="3" t="s">
        <v>122</v>
      </c>
      <c r="B108">
        <v>292</v>
      </c>
      <c r="C108">
        <v>330</v>
      </c>
      <c r="D108">
        <v>384</v>
      </c>
      <c r="E108">
        <f t="shared" si="1"/>
        <v>0</v>
      </c>
    </row>
    <row r="109" spans="1:5" x14ac:dyDescent="0.25">
      <c r="A109" s="3" t="s">
        <v>123</v>
      </c>
      <c r="B109">
        <v>390</v>
      </c>
      <c r="C109">
        <v>388</v>
      </c>
      <c r="D109">
        <v>370</v>
      </c>
      <c r="E109">
        <f t="shared" si="1"/>
        <v>1</v>
      </c>
    </row>
    <row r="110" spans="1:5" x14ac:dyDescent="0.25">
      <c r="A110" s="3" t="s">
        <v>124</v>
      </c>
      <c r="B110">
        <v>420</v>
      </c>
      <c r="C110">
        <v>298</v>
      </c>
      <c r="D110">
        <v>436</v>
      </c>
      <c r="E110">
        <f t="shared" si="1"/>
        <v>0</v>
      </c>
    </row>
    <row r="111" spans="1:5" x14ac:dyDescent="0.25">
      <c r="A111" s="3" t="s">
        <v>125</v>
      </c>
      <c r="B111">
        <v>407</v>
      </c>
      <c r="C111">
        <v>429</v>
      </c>
      <c r="D111">
        <v>303</v>
      </c>
      <c r="E111">
        <f t="shared" si="1"/>
        <v>0</v>
      </c>
    </row>
    <row r="112" spans="1:5" x14ac:dyDescent="0.25">
      <c r="A112" s="3" t="s">
        <v>126</v>
      </c>
      <c r="B112">
        <v>425</v>
      </c>
      <c r="C112">
        <v>444</v>
      </c>
      <c r="D112">
        <v>449</v>
      </c>
      <c r="E112">
        <f t="shared" si="1"/>
        <v>0</v>
      </c>
    </row>
    <row r="113" spans="1:5" x14ac:dyDescent="0.25">
      <c r="A113" s="3" t="s">
        <v>127</v>
      </c>
      <c r="B113">
        <v>377</v>
      </c>
      <c r="C113">
        <v>358</v>
      </c>
      <c r="D113">
        <v>300</v>
      </c>
      <c r="E113">
        <f t="shared" si="1"/>
        <v>1</v>
      </c>
    </row>
    <row r="114" spans="1:5" x14ac:dyDescent="0.25">
      <c r="A114" s="3" t="s">
        <v>128</v>
      </c>
      <c r="B114">
        <v>405</v>
      </c>
      <c r="C114">
        <v>417</v>
      </c>
      <c r="D114">
        <v>307</v>
      </c>
      <c r="E114">
        <f t="shared" si="1"/>
        <v>0</v>
      </c>
    </row>
    <row r="115" spans="1:5" x14ac:dyDescent="0.25">
      <c r="A115" s="3" t="s">
        <v>129</v>
      </c>
      <c r="B115">
        <v>345</v>
      </c>
      <c r="C115">
        <v>340</v>
      </c>
      <c r="D115">
        <v>314</v>
      </c>
      <c r="E115">
        <f t="shared" si="1"/>
        <v>1</v>
      </c>
    </row>
    <row r="116" spans="1:5" x14ac:dyDescent="0.25">
      <c r="A116" s="3" t="s">
        <v>130</v>
      </c>
      <c r="B116">
        <v>353</v>
      </c>
      <c r="C116">
        <v>288</v>
      </c>
      <c r="D116">
        <v>379</v>
      </c>
      <c r="E116">
        <f t="shared" si="1"/>
        <v>0</v>
      </c>
    </row>
    <row r="117" spans="1:5" x14ac:dyDescent="0.25">
      <c r="A117" s="3" t="s">
        <v>131</v>
      </c>
      <c r="B117">
        <v>342</v>
      </c>
      <c r="C117">
        <v>454</v>
      </c>
      <c r="D117">
        <v>405</v>
      </c>
      <c r="E117">
        <f t="shared" si="1"/>
        <v>0</v>
      </c>
    </row>
    <row r="118" spans="1:5" x14ac:dyDescent="0.25">
      <c r="A118" s="3" t="s">
        <v>132</v>
      </c>
      <c r="B118">
        <v>365</v>
      </c>
      <c r="C118">
        <v>300</v>
      </c>
      <c r="D118">
        <v>407</v>
      </c>
      <c r="E118">
        <f t="shared" si="1"/>
        <v>0</v>
      </c>
    </row>
    <row r="119" spans="1:5" x14ac:dyDescent="0.25">
      <c r="A119" s="3" t="s">
        <v>133</v>
      </c>
      <c r="B119">
        <v>221</v>
      </c>
      <c r="C119">
        <v>423</v>
      </c>
      <c r="D119">
        <v>432</v>
      </c>
      <c r="E119">
        <f t="shared" si="1"/>
        <v>0</v>
      </c>
    </row>
    <row r="120" spans="1:5" x14ac:dyDescent="0.25">
      <c r="A120" s="3" t="s">
        <v>134</v>
      </c>
      <c r="B120">
        <v>231</v>
      </c>
      <c r="C120">
        <v>449</v>
      </c>
      <c r="D120">
        <v>405</v>
      </c>
      <c r="E120">
        <f t="shared" si="1"/>
        <v>0</v>
      </c>
    </row>
    <row r="121" spans="1:5" x14ac:dyDescent="0.25">
      <c r="A121" s="3" t="s">
        <v>135</v>
      </c>
      <c r="B121">
        <v>255</v>
      </c>
      <c r="C121">
        <v>294</v>
      </c>
      <c r="D121">
        <v>162</v>
      </c>
      <c r="E121">
        <f t="shared" si="1"/>
        <v>0</v>
      </c>
    </row>
    <row r="122" spans="1:5" x14ac:dyDescent="0.25">
      <c r="A122" s="3" t="s">
        <v>136</v>
      </c>
      <c r="B122">
        <v>223</v>
      </c>
      <c r="C122">
        <v>341</v>
      </c>
      <c r="D122">
        <v>297</v>
      </c>
      <c r="E122">
        <f t="shared" si="1"/>
        <v>0</v>
      </c>
    </row>
    <row r="123" spans="1:5" x14ac:dyDescent="0.25">
      <c r="A123" s="3" t="s">
        <v>137</v>
      </c>
      <c r="B123">
        <v>261</v>
      </c>
      <c r="C123">
        <v>329</v>
      </c>
      <c r="D123">
        <v>226</v>
      </c>
      <c r="E123">
        <f t="shared" si="1"/>
        <v>0</v>
      </c>
    </row>
    <row r="124" spans="1:5" x14ac:dyDescent="0.25">
      <c r="A124" s="3" t="s">
        <v>138</v>
      </c>
      <c r="B124">
        <v>239</v>
      </c>
      <c r="C124">
        <v>256</v>
      </c>
      <c r="D124">
        <v>226</v>
      </c>
      <c r="E124">
        <f t="shared" si="1"/>
        <v>0</v>
      </c>
    </row>
    <row r="125" spans="1:5" x14ac:dyDescent="0.25">
      <c r="A125" s="3" t="s">
        <v>139</v>
      </c>
      <c r="B125">
        <v>262</v>
      </c>
      <c r="C125">
        <v>217</v>
      </c>
      <c r="D125">
        <v>287</v>
      </c>
      <c r="E125">
        <f t="shared" si="1"/>
        <v>0</v>
      </c>
    </row>
    <row r="126" spans="1:5" x14ac:dyDescent="0.25">
      <c r="A126" s="3" t="s">
        <v>140</v>
      </c>
      <c r="B126">
        <v>226</v>
      </c>
      <c r="C126">
        <v>266</v>
      </c>
      <c r="D126">
        <v>351</v>
      </c>
      <c r="E126">
        <f t="shared" si="1"/>
        <v>0</v>
      </c>
    </row>
    <row r="127" spans="1:5" x14ac:dyDescent="0.25">
      <c r="A127" s="3" t="s">
        <v>141</v>
      </c>
      <c r="B127">
        <v>241</v>
      </c>
      <c r="C127">
        <v>260</v>
      </c>
      <c r="D127">
        <v>214</v>
      </c>
      <c r="E127">
        <f t="shared" si="1"/>
        <v>0</v>
      </c>
    </row>
    <row r="128" spans="1:5" x14ac:dyDescent="0.25">
      <c r="A128" s="3" t="s">
        <v>142</v>
      </c>
      <c r="B128">
        <v>258</v>
      </c>
      <c r="C128">
        <v>227</v>
      </c>
      <c r="D128">
        <v>282</v>
      </c>
      <c r="E128">
        <f t="shared" si="1"/>
        <v>0</v>
      </c>
    </row>
    <row r="129" spans="1:5" x14ac:dyDescent="0.25">
      <c r="A129" s="3" t="s">
        <v>143</v>
      </c>
      <c r="B129">
        <v>252</v>
      </c>
      <c r="C129">
        <v>251</v>
      </c>
      <c r="D129">
        <v>257</v>
      </c>
      <c r="E129">
        <f t="shared" si="1"/>
        <v>0</v>
      </c>
    </row>
    <row r="130" spans="1:5" x14ac:dyDescent="0.25">
      <c r="A130" s="3" t="s">
        <v>144</v>
      </c>
      <c r="B130">
        <v>268</v>
      </c>
      <c r="C130">
        <v>171</v>
      </c>
      <c r="D130">
        <v>172</v>
      </c>
      <c r="E130">
        <f t="shared" si="1"/>
        <v>1</v>
      </c>
    </row>
    <row r="131" spans="1:5" x14ac:dyDescent="0.25">
      <c r="A131" s="3" t="s">
        <v>145</v>
      </c>
      <c r="B131">
        <v>224</v>
      </c>
      <c r="C131">
        <v>326</v>
      </c>
      <c r="D131">
        <v>197</v>
      </c>
      <c r="E131">
        <f t="shared" si="1"/>
        <v>0</v>
      </c>
    </row>
    <row r="132" spans="1:5" x14ac:dyDescent="0.25">
      <c r="A132" s="3" t="s">
        <v>146</v>
      </c>
      <c r="B132">
        <v>255</v>
      </c>
      <c r="C132">
        <v>329</v>
      </c>
      <c r="D132">
        <v>292</v>
      </c>
      <c r="E132">
        <f t="shared" si="1"/>
        <v>0</v>
      </c>
    </row>
    <row r="133" spans="1:5" x14ac:dyDescent="0.25">
      <c r="A133" s="3" t="s">
        <v>147</v>
      </c>
      <c r="B133">
        <v>199</v>
      </c>
      <c r="C133">
        <v>216</v>
      </c>
      <c r="D133">
        <v>172</v>
      </c>
      <c r="E133">
        <f t="shared" ref="E133:E156" si="2">IF(AND(B133&gt;C133,B133&gt;D133),1,0)</f>
        <v>0</v>
      </c>
    </row>
    <row r="134" spans="1:5" x14ac:dyDescent="0.25">
      <c r="A134" s="3" t="s">
        <v>148</v>
      </c>
      <c r="B134">
        <v>220</v>
      </c>
      <c r="C134">
        <v>291</v>
      </c>
      <c r="D134">
        <v>258</v>
      </c>
      <c r="E134">
        <f t="shared" si="2"/>
        <v>0</v>
      </c>
    </row>
    <row r="135" spans="1:5" x14ac:dyDescent="0.25">
      <c r="A135" s="3" t="s">
        <v>149</v>
      </c>
      <c r="B135">
        <v>197</v>
      </c>
      <c r="C135">
        <v>347</v>
      </c>
      <c r="D135">
        <v>276</v>
      </c>
      <c r="E135">
        <f t="shared" si="2"/>
        <v>0</v>
      </c>
    </row>
    <row r="136" spans="1:5" x14ac:dyDescent="0.25">
      <c r="A136" s="3" t="s">
        <v>150</v>
      </c>
      <c r="B136">
        <v>218</v>
      </c>
      <c r="C136">
        <v>333</v>
      </c>
      <c r="D136">
        <v>210</v>
      </c>
      <c r="E136">
        <f t="shared" si="2"/>
        <v>0</v>
      </c>
    </row>
    <row r="137" spans="1:5" x14ac:dyDescent="0.25">
      <c r="A137" s="3" t="s">
        <v>151</v>
      </c>
      <c r="B137">
        <v>180</v>
      </c>
      <c r="C137">
        <v>211</v>
      </c>
      <c r="D137">
        <v>168</v>
      </c>
      <c r="E137">
        <f t="shared" si="2"/>
        <v>0</v>
      </c>
    </row>
    <row r="138" spans="1:5" x14ac:dyDescent="0.25">
      <c r="A138" s="3" t="s">
        <v>152</v>
      </c>
      <c r="B138">
        <v>225</v>
      </c>
      <c r="C138">
        <v>348</v>
      </c>
      <c r="D138">
        <v>196</v>
      </c>
      <c r="E138">
        <f t="shared" si="2"/>
        <v>0</v>
      </c>
    </row>
    <row r="139" spans="1:5" x14ac:dyDescent="0.25">
      <c r="A139" s="3" t="s">
        <v>153</v>
      </c>
      <c r="B139">
        <v>197</v>
      </c>
      <c r="C139">
        <v>226</v>
      </c>
      <c r="D139">
        <v>284</v>
      </c>
      <c r="E139">
        <f t="shared" si="2"/>
        <v>0</v>
      </c>
    </row>
    <row r="140" spans="1:5" x14ac:dyDescent="0.25">
      <c r="A140" s="3" t="s">
        <v>154</v>
      </c>
      <c r="B140">
        <v>194</v>
      </c>
      <c r="C140">
        <v>345</v>
      </c>
      <c r="D140">
        <v>162</v>
      </c>
      <c r="E140">
        <f t="shared" si="2"/>
        <v>0</v>
      </c>
    </row>
    <row r="141" spans="1:5" x14ac:dyDescent="0.25">
      <c r="A141" s="3" t="s">
        <v>155</v>
      </c>
      <c r="B141">
        <v>183</v>
      </c>
      <c r="C141">
        <v>184</v>
      </c>
      <c r="D141">
        <v>212</v>
      </c>
      <c r="E141">
        <f t="shared" si="2"/>
        <v>0</v>
      </c>
    </row>
    <row r="142" spans="1:5" x14ac:dyDescent="0.25">
      <c r="A142" s="3" t="s">
        <v>156</v>
      </c>
      <c r="B142">
        <v>202</v>
      </c>
      <c r="C142">
        <v>232</v>
      </c>
      <c r="D142">
        <v>165</v>
      </c>
      <c r="E142">
        <f t="shared" si="2"/>
        <v>0</v>
      </c>
    </row>
    <row r="143" spans="1:5" x14ac:dyDescent="0.25">
      <c r="A143" s="3" t="s">
        <v>157</v>
      </c>
      <c r="B143">
        <v>213</v>
      </c>
      <c r="C143">
        <v>314</v>
      </c>
      <c r="D143">
        <v>163</v>
      </c>
      <c r="E143">
        <f t="shared" si="2"/>
        <v>0</v>
      </c>
    </row>
    <row r="144" spans="1:5" x14ac:dyDescent="0.25">
      <c r="A144" s="3" t="s">
        <v>158</v>
      </c>
      <c r="B144">
        <v>206</v>
      </c>
      <c r="C144">
        <v>307</v>
      </c>
      <c r="D144">
        <v>200</v>
      </c>
      <c r="E144">
        <f t="shared" si="2"/>
        <v>0</v>
      </c>
    </row>
    <row r="145" spans="1:5" x14ac:dyDescent="0.25">
      <c r="A145" s="3" t="s">
        <v>159</v>
      </c>
      <c r="B145">
        <v>210</v>
      </c>
      <c r="C145">
        <v>274</v>
      </c>
      <c r="D145">
        <v>201</v>
      </c>
      <c r="E145">
        <f t="shared" si="2"/>
        <v>0</v>
      </c>
    </row>
    <row r="146" spans="1:5" x14ac:dyDescent="0.25">
      <c r="A146" s="3" t="s">
        <v>160</v>
      </c>
      <c r="B146">
        <v>228</v>
      </c>
      <c r="C146">
        <v>278</v>
      </c>
      <c r="D146">
        <v>269</v>
      </c>
      <c r="E146">
        <f t="shared" si="2"/>
        <v>0</v>
      </c>
    </row>
    <row r="147" spans="1:5" x14ac:dyDescent="0.25">
      <c r="A147" s="3" t="s">
        <v>161</v>
      </c>
      <c r="B147">
        <v>207</v>
      </c>
      <c r="C147">
        <v>195</v>
      </c>
      <c r="D147">
        <v>188</v>
      </c>
      <c r="E147">
        <f t="shared" si="2"/>
        <v>1</v>
      </c>
    </row>
    <row r="148" spans="1:5" x14ac:dyDescent="0.25">
      <c r="A148" s="3" t="s">
        <v>162</v>
      </c>
      <c r="B148">
        <v>202</v>
      </c>
      <c r="C148">
        <v>249</v>
      </c>
      <c r="D148">
        <v>142</v>
      </c>
      <c r="E148">
        <f t="shared" si="2"/>
        <v>0</v>
      </c>
    </row>
    <row r="149" spans="1:5" x14ac:dyDescent="0.25">
      <c r="A149" s="3" t="s">
        <v>163</v>
      </c>
      <c r="B149">
        <v>195</v>
      </c>
      <c r="C149">
        <v>116</v>
      </c>
      <c r="D149">
        <v>232</v>
      </c>
      <c r="E149">
        <f t="shared" si="2"/>
        <v>0</v>
      </c>
    </row>
    <row r="150" spans="1:5" x14ac:dyDescent="0.25">
      <c r="A150" s="3" t="s">
        <v>164</v>
      </c>
      <c r="B150">
        <v>192</v>
      </c>
      <c r="C150">
        <v>102</v>
      </c>
      <c r="D150">
        <v>296</v>
      </c>
      <c r="E150">
        <f t="shared" si="2"/>
        <v>0</v>
      </c>
    </row>
    <row r="151" spans="1:5" x14ac:dyDescent="0.25">
      <c r="A151" s="3" t="s">
        <v>165</v>
      </c>
      <c r="B151">
        <v>216</v>
      </c>
      <c r="C151">
        <v>151</v>
      </c>
      <c r="D151">
        <v>161</v>
      </c>
      <c r="E151">
        <f t="shared" si="2"/>
        <v>1</v>
      </c>
    </row>
    <row r="152" spans="1:5" x14ac:dyDescent="0.25">
      <c r="A152" s="3" t="s">
        <v>166</v>
      </c>
      <c r="B152">
        <v>184</v>
      </c>
      <c r="C152">
        <v>261</v>
      </c>
      <c r="D152">
        <v>162</v>
      </c>
      <c r="E152">
        <f t="shared" si="2"/>
        <v>0</v>
      </c>
    </row>
    <row r="153" spans="1:5" x14ac:dyDescent="0.25">
      <c r="A153" s="3" t="s">
        <v>167</v>
      </c>
      <c r="B153">
        <v>204</v>
      </c>
      <c r="C153">
        <v>147</v>
      </c>
      <c r="D153">
        <v>216</v>
      </c>
      <c r="E153">
        <f t="shared" si="2"/>
        <v>0</v>
      </c>
    </row>
    <row r="154" spans="1:5" x14ac:dyDescent="0.25">
      <c r="A154" s="3" t="s">
        <v>168</v>
      </c>
      <c r="B154">
        <v>195</v>
      </c>
      <c r="C154">
        <v>297</v>
      </c>
      <c r="D154">
        <v>282</v>
      </c>
      <c r="E154">
        <f t="shared" si="2"/>
        <v>0</v>
      </c>
    </row>
    <row r="155" spans="1:5" x14ac:dyDescent="0.25">
      <c r="A155" s="3" t="s">
        <v>169</v>
      </c>
      <c r="B155">
        <v>200</v>
      </c>
      <c r="C155">
        <v>198</v>
      </c>
      <c r="D155">
        <v>214</v>
      </c>
      <c r="E155">
        <f t="shared" si="2"/>
        <v>0</v>
      </c>
    </row>
    <row r="156" spans="1:5" x14ac:dyDescent="0.25">
      <c r="A156" s="3" t="s">
        <v>170</v>
      </c>
      <c r="B156">
        <v>190</v>
      </c>
      <c r="C156">
        <v>290</v>
      </c>
      <c r="D156">
        <v>289</v>
      </c>
      <c r="E156">
        <f t="shared" si="2"/>
        <v>0</v>
      </c>
    </row>
    <row r="157" spans="1:5" x14ac:dyDescent="0.25">
      <c r="A157" s="3" t="s">
        <v>5</v>
      </c>
      <c r="B157">
        <v>36390</v>
      </c>
      <c r="C157">
        <v>48404</v>
      </c>
      <c r="D157">
        <v>47892</v>
      </c>
    </row>
  </sheetData>
  <conditionalFormatting sqref="E1:E1048576">
    <cfRule type="cellIs" dxfId="0" priority="1" operator="equal">
      <formula>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ADE8F3-23F8-4EBA-99A1-C3BCECE2D9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Arkusz1</vt:lpstr>
      <vt:lpstr>owoce</vt:lpstr>
      <vt:lpstr>6.1</vt:lpstr>
      <vt:lpstr>6.2.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Aleksy Dobrodziej</dc:creator>
  <cp:lastModifiedBy>Aleksy Dobrodziej</cp:lastModifiedBy>
  <dcterms:created xsi:type="dcterms:W3CDTF">2026-02-10T00:57:27Z</dcterms:created>
  <dcterms:modified xsi:type="dcterms:W3CDTF">2026-02-10T11:18:38Z</dcterms:modified>
</cp:coreProperties>
</file>