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hidePivotFieldList="1" defaultThemeVersion="166925"/>
  <xr:revisionPtr revIDLastSave="235" documentId="11_9248486D44C93C52631DEA188F3E8C1851038387" xr6:coauthVersionLast="47" xr6:coauthVersionMax="47" xr10:uidLastSave="{9920797F-AD4F-43D8-A0B6-FFA9C5BCA411}"/>
  <bookViews>
    <workbookView xWindow="240" yWindow="105" windowWidth="14805" windowHeight="8010" xr2:uid="{00000000-000D-0000-FFFF-FFFF00000000}"/>
  </bookViews>
  <sheets>
    <sheet name="Arkusz1" sheetId="1" r:id="rId1"/>
    <sheet name="Arkusz2" sheetId="2" r:id="rId2"/>
    <sheet name="Arkusz3" sheetId="3" r:id="rId3"/>
  </sheets>
  <calcPr calcId="191028"/>
  <pivotCaches>
    <pivotCache cacheId="6877" r:id="rId4"/>
    <pivotCache cacheId="697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O29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J64" i="1"/>
  <c r="K64" i="1"/>
  <c r="L64" i="1"/>
  <c r="J65" i="1"/>
  <c r="K65" i="1"/>
  <c r="L65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  <c r="J101" i="1"/>
  <c r="K101" i="1"/>
  <c r="L101" i="1"/>
  <c r="J102" i="1"/>
  <c r="K102" i="1"/>
  <c r="L102" i="1"/>
  <c r="J103" i="1"/>
  <c r="K103" i="1"/>
  <c r="L103" i="1"/>
  <c r="J104" i="1"/>
  <c r="K104" i="1"/>
  <c r="L104" i="1"/>
  <c r="J105" i="1"/>
  <c r="K105" i="1"/>
  <c r="L105" i="1"/>
  <c r="J106" i="1"/>
  <c r="K106" i="1"/>
  <c r="L106" i="1"/>
  <c r="J107" i="1"/>
  <c r="K107" i="1"/>
  <c r="L107" i="1"/>
  <c r="J108" i="1"/>
  <c r="K108" i="1"/>
  <c r="L108" i="1"/>
  <c r="J109" i="1"/>
  <c r="K109" i="1"/>
  <c r="L109" i="1"/>
  <c r="J110" i="1"/>
  <c r="K110" i="1"/>
  <c r="L110" i="1"/>
  <c r="J111" i="1"/>
  <c r="K111" i="1"/>
  <c r="L111" i="1"/>
  <c r="J112" i="1"/>
  <c r="K112" i="1"/>
  <c r="L112" i="1"/>
  <c r="J113" i="1"/>
  <c r="K113" i="1"/>
  <c r="L113" i="1"/>
  <c r="J114" i="1"/>
  <c r="K114" i="1"/>
  <c r="L114" i="1"/>
  <c r="J115" i="1"/>
  <c r="K115" i="1"/>
  <c r="L115" i="1"/>
  <c r="J116" i="1"/>
  <c r="K116" i="1"/>
  <c r="L116" i="1"/>
  <c r="J117" i="1"/>
  <c r="K117" i="1"/>
  <c r="L117" i="1"/>
  <c r="J118" i="1"/>
  <c r="K118" i="1"/>
  <c r="L118" i="1"/>
  <c r="J119" i="1"/>
  <c r="K119" i="1"/>
  <c r="L119" i="1"/>
  <c r="J120" i="1"/>
  <c r="K120" i="1"/>
  <c r="L120" i="1"/>
  <c r="J121" i="1"/>
  <c r="K121" i="1"/>
  <c r="L121" i="1"/>
  <c r="J122" i="1"/>
  <c r="K122" i="1"/>
  <c r="L122" i="1"/>
  <c r="J123" i="1"/>
  <c r="K123" i="1"/>
  <c r="L123" i="1"/>
  <c r="J124" i="1"/>
  <c r="K124" i="1"/>
  <c r="L124" i="1"/>
  <c r="J125" i="1"/>
  <c r="K125" i="1"/>
  <c r="L125" i="1"/>
  <c r="J126" i="1"/>
  <c r="K126" i="1"/>
  <c r="L126" i="1"/>
  <c r="J127" i="1"/>
  <c r="K127" i="1"/>
  <c r="L127" i="1"/>
  <c r="J128" i="1"/>
  <c r="K128" i="1"/>
  <c r="L128" i="1"/>
  <c r="J129" i="1"/>
  <c r="K129" i="1"/>
  <c r="L129" i="1"/>
  <c r="J130" i="1"/>
  <c r="K130" i="1"/>
  <c r="L130" i="1"/>
  <c r="J131" i="1"/>
  <c r="K131" i="1"/>
  <c r="L131" i="1"/>
  <c r="J132" i="1"/>
  <c r="K132" i="1"/>
  <c r="L132" i="1"/>
  <c r="J133" i="1"/>
  <c r="K133" i="1"/>
  <c r="L133" i="1"/>
  <c r="J134" i="1"/>
  <c r="K134" i="1"/>
  <c r="L134" i="1"/>
  <c r="J135" i="1"/>
  <c r="K135" i="1"/>
  <c r="L135" i="1"/>
  <c r="J136" i="1"/>
  <c r="K136" i="1"/>
  <c r="L136" i="1"/>
  <c r="J137" i="1"/>
  <c r="K137" i="1"/>
  <c r="L137" i="1"/>
  <c r="J138" i="1"/>
  <c r="K138" i="1"/>
  <c r="L138" i="1"/>
  <c r="J139" i="1"/>
  <c r="K139" i="1"/>
  <c r="L139" i="1"/>
  <c r="J140" i="1"/>
  <c r="K140" i="1"/>
  <c r="L140" i="1"/>
  <c r="J141" i="1"/>
  <c r="K141" i="1"/>
  <c r="L141" i="1"/>
  <c r="J142" i="1"/>
  <c r="K142" i="1"/>
  <c r="L142" i="1"/>
  <c r="J143" i="1"/>
  <c r="K143" i="1"/>
  <c r="L143" i="1"/>
  <c r="J144" i="1"/>
  <c r="K144" i="1"/>
  <c r="L144" i="1"/>
  <c r="J145" i="1"/>
  <c r="K145" i="1"/>
  <c r="L145" i="1"/>
  <c r="J146" i="1"/>
  <c r="K146" i="1"/>
  <c r="L146" i="1"/>
  <c r="J147" i="1"/>
  <c r="K147" i="1"/>
  <c r="L147" i="1"/>
  <c r="J148" i="1"/>
  <c r="K148" i="1"/>
  <c r="L148" i="1"/>
  <c r="J149" i="1"/>
  <c r="K149" i="1"/>
  <c r="L149" i="1"/>
  <c r="J150" i="1"/>
  <c r="K150" i="1"/>
  <c r="L150" i="1"/>
  <c r="J151" i="1"/>
  <c r="K151" i="1"/>
  <c r="L151" i="1"/>
  <c r="J152" i="1"/>
  <c r="K152" i="1"/>
  <c r="L152" i="1"/>
  <c r="J153" i="1"/>
  <c r="K153" i="1"/>
  <c r="L153" i="1"/>
  <c r="J154" i="1"/>
  <c r="K154" i="1"/>
  <c r="L154" i="1"/>
  <c r="J155" i="1"/>
  <c r="K155" i="1"/>
  <c r="L155" i="1"/>
  <c r="J156" i="1"/>
  <c r="K156" i="1"/>
  <c r="L156" i="1"/>
  <c r="J157" i="1"/>
  <c r="K157" i="1"/>
  <c r="L157" i="1"/>
  <c r="J158" i="1"/>
  <c r="K158" i="1"/>
  <c r="L158" i="1"/>
  <c r="J159" i="1"/>
  <c r="K159" i="1"/>
  <c r="L159" i="1"/>
  <c r="J160" i="1"/>
  <c r="K160" i="1"/>
  <c r="L160" i="1"/>
  <c r="J161" i="1"/>
  <c r="K161" i="1"/>
  <c r="L161" i="1"/>
  <c r="J162" i="1"/>
  <c r="K162" i="1"/>
  <c r="L162" i="1"/>
  <c r="J163" i="1"/>
  <c r="K163" i="1"/>
  <c r="L163" i="1"/>
  <c r="J164" i="1"/>
  <c r="K164" i="1"/>
  <c r="L164" i="1"/>
  <c r="J165" i="1"/>
  <c r="K165" i="1"/>
  <c r="L165" i="1"/>
  <c r="J166" i="1"/>
  <c r="K166" i="1"/>
  <c r="L166" i="1"/>
  <c r="J167" i="1"/>
  <c r="K167" i="1"/>
  <c r="L167" i="1"/>
  <c r="J168" i="1"/>
  <c r="K168" i="1"/>
  <c r="L168" i="1"/>
  <c r="J169" i="1"/>
  <c r="K169" i="1"/>
  <c r="L169" i="1"/>
  <c r="J170" i="1"/>
  <c r="K170" i="1"/>
  <c r="L170" i="1"/>
  <c r="J171" i="1"/>
  <c r="K171" i="1"/>
  <c r="L171" i="1"/>
  <c r="J172" i="1"/>
  <c r="K172" i="1"/>
  <c r="L172" i="1"/>
  <c r="J173" i="1"/>
  <c r="K173" i="1"/>
  <c r="L173" i="1"/>
  <c r="J174" i="1"/>
  <c r="K174" i="1"/>
  <c r="L174" i="1"/>
  <c r="J175" i="1"/>
  <c r="K175" i="1"/>
  <c r="L175" i="1"/>
  <c r="J176" i="1"/>
  <c r="K176" i="1"/>
  <c r="L176" i="1"/>
  <c r="J177" i="1"/>
  <c r="K177" i="1"/>
  <c r="L177" i="1"/>
  <c r="J178" i="1"/>
  <c r="K178" i="1"/>
  <c r="L178" i="1"/>
  <c r="J179" i="1"/>
  <c r="K179" i="1"/>
  <c r="L179" i="1"/>
  <c r="J180" i="1"/>
  <c r="K180" i="1"/>
  <c r="L180" i="1"/>
  <c r="J181" i="1"/>
  <c r="K181" i="1"/>
  <c r="L181" i="1"/>
  <c r="J182" i="1"/>
  <c r="K182" i="1"/>
  <c r="L182" i="1"/>
  <c r="J183" i="1"/>
  <c r="K183" i="1"/>
  <c r="L183" i="1"/>
  <c r="J184" i="1"/>
  <c r="K184" i="1"/>
  <c r="L184" i="1"/>
  <c r="J185" i="1"/>
  <c r="K185" i="1"/>
  <c r="L185" i="1"/>
  <c r="J186" i="1"/>
  <c r="K186" i="1"/>
  <c r="L186" i="1"/>
  <c r="J187" i="1"/>
  <c r="K187" i="1"/>
  <c r="L187" i="1"/>
  <c r="J188" i="1"/>
  <c r="K188" i="1"/>
  <c r="L188" i="1"/>
  <c r="J189" i="1"/>
  <c r="K189" i="1"/>
  <c r="L189" i="1"/>
  <c r="J190" i="1"/>
  <c r="K190" i="1"/>
  <c r="L190" i="1"/>
  <c r="J191" i="1"/>
  <c r="K191" i="1"/>
  <c r="L191" i="1"/>
  <c r="J192" i="1"/>
  <c r="K192" i="1"/>
  <c r="L192" i="1"/>
  <c r="J193" i="1"/>
  <c r="K193" i="1"/>
  <c r="L193" i="1"/>
  <c r="J194" i="1"/>
  <c r="K194" i="1"/>
  <c r="L194" i="1"/>
  <c r="J195" i="1"/>
  <c r="K195" i="1"/>
  <c r="L195" i="1"/>
  <c r="J196" i="1"/>
  <c r="K196" i="1"/>
  <c r="L196" i="1"/>
  <c r="J197" i="1"/>
  <c r="K197" i="1"/>
  <c r="L197" i="1"/>
  <c r="J198" i="1"/>
  <c r="K198" i="1"/>
  <c r="L198" i="1"/>
  <c r="J199" i="1"/>
  <c r="K199" i="1"/>
  <c r="L199" i="1"/>
  <c r="J200" i="1"/>
  <c r="K200" i="1"/>
  <c r="L200" i="1"/>
  <c r="J201" i="1"/>
  <c r="K201" i="1"/>
  <c r="L201" i="1"/>
  <c r="J202" i="1"/>
  <c r="K202" i="1"/>
  <c r="L202" i="1"/>
  <c r="J203" i="1"/>
  <c r="K203" i="1"/>
  <c r="L203" i="1"/>
  <c r="J204" i="1"/>
  <c r="K204" i="1"/>
  <c r="L204" i="1"/>
  <c r="J205" i="1"/>
  <c r="K205" i="1"/>
  <c r="L205" i="1"/>
  <c r="J206" i="1"/>
  <c r="K206" i="1"/>
  <c r="L206" i="1"/>
  <c r="J207" i="1"/>
  <c r="K207" i="1"/>
  <c r="L207" i="1"/>
  <c r="J208" i="1"/>
  <c r="K208" i="1"/>
  <c r="L208" i="1"/>
  <c r="J209" i="1"/>
  <c r="K209" i="1"/>
  <c r="L209" i="1"/>
  <c r="J210" i="1"/>
  <c r="K210" i="1"/>
  <c r="L210" i="1"/>
  <c r="J211" i="1"/>
  <c r="K211" i="1"/>
  <c r="L211" i="1"/>
  <c r="J212" i="1"/>
  <c r="K212" i="1"/>
  <c r="L212" i="1"/>
  <c r="J213" i="1"/>
  <c r="K213" i="1"/>
  <c r="L213" i="1"/>
  <c r="J214" i="1"/>
  <c r="K214" i="1"/>
  <c r="L214" i="1"/>
  <c r="J215" i="1"/>
  <c r="K215" i="1"/>
  <c r="L215" i="1"/>
  <c r="J216" i="1"/>
  <c r="K216" i="1"/>
  <c r="L216" i="1"/>
  <c r="J217" i="1"/>
  <c r="K217" i="1"/>
  <c r="L217" i="1"/>
  <c r="J218" i="1"/>
  <c r="K218" i="1"/>
  <c r="L218" i="1"/>
  <c r="J219" i="1"/>
  <c r="K219" i="1"/>
  <c r="L219" i="1"/>
  <c r="J220" i="1"/>
  <c r="K220" i="1"/>
  <c r="L220" i="1"/>
  <c r="J221" i="1"/>
  <c r="K221" i="1"/>
  <c r="L221" i="1"/>
  <c r="J222" i="1"/>
  <c r="K222" i="1"/>
  <c r="L222" i="1"/>
  <c r="J223" i="1"/>
  <c r="K223" i="1"/>
  <c r="L223" i="1"/>
  <c r="J224" i="1"/>
  <c r="K224" i="1"/>
  <c r="L224" i="1"/>
  <c r="J225" i="1"/>
  <c r="K225" i="1"/>
  <c r="L225" i="1"/>
  <c r="J226" i="1"/>
  <c r="K226" i="1"/>
  <c r="L226" i="1"/>
  <c r="J227" i="1"/>
  <c r="K227" i="1"/>
  <c r="L227" i="1"/>
  <c r="J228" i="1"/>
  <c r="K228" i="1"/>
  <c r="L228" i="1"/>
  <c r="J229" i="1"/>
  <c r="K229" i="1"/>
  <c r="L229" i="1"/>
  <c r="J230" i="1"/>
  <c r="K230" i="1"/>
  <c r="L230" i="1"/>
  <c r="J231" i="1"/>
  <c r="K231" i="1"/>
  <c r="L231" i="1"/>
  <c r="J232" i="1"/>
  <c r="K232" i="1"/>
  <c r="L232" i="1"/>
  <c r="J233" i="1"/>
  <c r="K233" i="1"/>
  <c r="L233" i="1"/>
  <c r="J234" i="1"/>
  <c r="K234" i="1"/>
  <c r="L234" i="1"/>
  <c r="J235" i="1"/>
  <c r="K235" i="1"/>
  <c r="L235" i="1"/>
  <c r="J236" i="1"/>
  <c r="K236" i="1"/>
  <c r="L236" i="1"/>
  <c r="J237" i="1"/>
  <c r="K237" i="1"/>
  <c r="L237" i="1"/>
  <c r="J238" i="1"/>
  <c r="K238" i="1"/>
  <c r="L238" i="1"/>
  <c r="J239" i="1"/>
  <c r="K239" i="1"/>
  <c r="L239" i="1"/>
  <c r="J240" i="1"/>
  <c r="K240" i="1"/>
  <c r="L240" i="1"/>
  <c r="J241" i="1"/>
  <c r="K241" i="1"/>
  <c r="L241" i="1"/>
  <c r="J242" i="1"/>
  <c r="K242" i="1"/>
  <c r="L242" i="1"/>
  <c r="J243" i="1"/>
  <c r="K243" i="1"/>
  <c r="L243" i="1"/>
  <c r="J244" i="1"/>
  <c r="K244" i="1"/>
  <c r="L244" i="1"/>
  <c r="J245" i="1"/>
  <c r="K245" i="1"/>
  <c r="L245" i="1"/>
  <c r="J246" i="1"/>
  <c r="K246" i="1"/>
  <c r="L246" i="1"/>
  <c r="J247" i="1"/>
  <c r="K247" i="1"/>
  <c r="L247" i="1"/>
  <c r="J248" i="1"/>
  <c r="K248" i="1"/>
  <c r="L248" i="1"/>
  <c r="J249" i="1"/>
  <c r="K249" i="1"/>
  <c r="L249" i="1"/>
  <c r="J250" i="1"/>
  <c r="K250" i="1"/>
  <c r="L250" i="1"/>
  <c r="J251" i="1"/>
  <c r="K251" i="1"/>
  <c r="L251" i="1"/>
  <c r="J252" i="1"/>
  <c r="K252" i="1"/>
  <c r="L252" i="1"/>
  <c r="J253" i="1"/>
  <c r="K253" i="1"/>
  <c r="L253" i="1"/>
  <c r="J254" i="1"/>
  <c r="K254" i="1"/>
  <c r="L254" i="1"/>
  <c r="J255" i="1"/>
  <c r="K255" i="1"/>
  <c r="L255" i="1"/>
  <c r="J256" i="1"/>
  <c r="K256" i="1"/>
  <c r="L256" i="1"/>
  <c r="J257" i="1"/>
  <c r="K257" i="1"/>
  <c r="L257" i="1"/>
  <c r="J258" i="1"/>
  <c r="K258" i="1"/>
  <c r="L258" i="1"/>
  <c r="J259" i="1"/>
  <c r="K259" i="1"/>
  <c r="L259" i="1"/>
  <c r="J260" i="1"/>
  <c r="K260" i="1"/>
  <c r="L260" i="1"/>
  <c r="J261" i="1"/>
  <c r="K261" i="1"/>
  <c r="L261" i="1"/>
  <c r="J262" i="1"/>
  <c r="K262" i="1"/>
  <c r="L262" i="1"/>
  <c r="J263" i="1"/>
  <c r="K263" i="1"/>
  <c r="L263" i="1"/>
  <c r="J264" i="1"/>
  <c r="K264" i="1"/>
  <c r="L264" i="1"/>
  <c r="J265" i="1"/>
  <c r="K265" i="1"/>
  <c r="L265" i="1"/>
  <c r="J266" i="1"/>
  <c r="K266" i="1"/>
  <c r="L266" i="1"/>
  <c r="J267" i="1"/>
  <c r="K267" i="1"/>
  <c r="L267" i="1"/>
  <c r="J268" i="1"/>
  <c r="K268" i="1"/>
  <c r="L268" i="1"/>
  <c r="J269" i="1"/>
  <c r="K269" i="1"/>
  <c r="L269" i="1"/>
  <c r="J270" i="1"/>
  <c r="K270" i="1"/>
  <c r="L270" i="1"/>
  <c r="J271" i="1"/>
  <c r="K271" i="1"/>
  <c r="L271" i="1"/>
  <c r="J272" i="1"/>
  <c r="K272" i="1"/>
  <c r="L272" i="1"/>
  <c r="J273" i="1"/>
  <c r="K273" i="1"/>
  <c r="L273" i="1"/>
  <c r="J274" i="1"/>
  <c r="K274" i="1"/>
  <c r="L274" i="1"/>
  <c r="J275" i="1"/>
  <c r="K275" i="1"/>
  <c r="L275" i="1"/>
  <c r="J276" i="1"/>
  <c r="K276" i="1"/>
  <c r="L276" i="1"/>
  <c r="J277" i="1"/>
  <c r="K277" i="1"/>
  <c r="L277" i="1"/>
  <c r="J278" i="1"/>
  <c r="K278" i="1"/>
  <c r="L278" i="1"/>
  <c r="J279" i="1"/>
  <c r="K279" i="1"/>
  <c r="L279" i="1"/>
  <c r="J280" i="1"/>
  <c r="K280" i="1"/>
  <c r="L280" i="1"/>
  <c r="J281" i="1"/>
  <c r="K281" i="1"/>
  <c r="L281" i="1"/>
  <c r="J282" i="1"/>
  <c r="K282" i="1"/>
  <c r="L282" i="1"/>
  <c r="J283" i="1"/>
  <c r="K283" i="1"/>
  <c r="L283" i="1"/>
  <c r="J284" i="1"/>
  <c r="K284" i="1"/>
  <c r="L284" i="1"/>
  <c r="J285" i="1"/>
  <c r="K285" i="1"/>
  <c r="L285" i="1"/>
  <c r="J286" i="1"/>
  <c r="K286" i="1"/>
  <c r="L286" i="1"/>
  <c r="J287" i="1"/>
  <c r="K287" i="1"/>
  <c r="L287" i="1"/>
  <c r="J288" i="1"/>
  <c r="K288" i="1"/>
  <c r="L288" i="1"/>
  <c r="J289" i="1"/>
  <c r="K289" i="1"/>
  <c r="L289" i="1"/>
  <c r="J290" i="1"/>
  <c r="K290" i="1"/>
  <c r="L290" i="1"/>
  <c r="J291" i="1"/>
  <c r="K291" i="1"/>
  <c r="L291" i="1"/>
  <c r="J292" i="1"/>
  <c r="K292" i="1"/>
  <c r="L292" i="1"/>
  <c r="J293" i="1"/>
  <c r="K293" i="1"/>
  <c r="L293" i="1"/>
  <c r="J294" i="1"/>
  <c r="K294" i="1"/>
  <c r="L294" i="1"/>
  <c r="J295" i="1"/>
  <c r="K295" i="1"/>
  <c r="L295" i="1"/>
  <c r="J296" i="1"/>
  <c r="K296" i="1"/>
  <c r="L296" i="1"/>
  <c r="J297" i="1"/>
  <c r="K297" i="1"/>
  <c r="L297" i="1"/>
  <c r="J298" i="1"/>
  <c r="K298" i="1"/>
  <c r="L298" i="1"/>
  <c r="J299" i="1"/>
  <c r="K299" i="1"/>
  <c r="L299" i="1"/>
  <c r="J300" i="1"/>
  <c r="K300" i="1"/>
  <c r="L300" i="1"/>
  <c r="J301" i="1"/>
  <c r="K301" i="1"/>
  <c r="L301" i="1"/>
  <c r="J302" i="1"/>
  <c r="K302" i="1"/>
  <c r="L302" i="1"/>
  <c r="J303" i="1"/>
  <c r="K303" i="1"/>
  <c r="L303" i="1"/>
  <c r="J304" i="1"/>
  <c r="K304" i="1"/>
  <c r="L304" i="1"/>
  <c r="J305" i="1"/>
  <c r="K305" i="1"/>
  <c r="L305" i="1"/>
  <c r="J306" i="1"/>
  <c r="K306" i="1"/>
  <c r="L306" i="1"/>
  <c r="J307" i="1"/>
  <c r="K307" i="1"/>
  <c r="L307" i="1"/>
  <c r="J308" i="1"/>
  <c r="K308" i="1"/>
  <c r="L308" i="1"/>
  <c r="J309" i="1"/>
  <c r="K309" i="1"/>
  <c r="L309" i="1"/>
  <c r="J310" i="1"/>
  <c r="K310" i="1"/>
  <c r="L310" i="1"/>
  <c r="J311" i="1"/>
  <c r="K311" i="1"/>
  <c r="L311" i="1"/>
  <c r="J312" i="1"/>
  <c r="K312" i="1"/>
  <c r="L312" i="1"/>
  <c r="J313" i="1"/>
  <c r="K313" i="1"/>
  <c r="L313" i="1"/>
  <c r="J314" i="1"/>
  <c r="K314" i="1"/>
  <c r="L314" i="1"/>
  <c r="J315" i="1"/>
  <c r="K315" i="1"/>
  <c r="L315" i="1"/>
  <c r="J316" i="1"/>
  <c r="K316" i="1"/>
  <c r="L316" i="1"/>
  <c r="J317" i="1"/>
  <c r="K317" i="1"/>
  <c r="L317" i="1"/>
  <c r="J318" i="1"/>
  <c r="K318" i="1"/>
  <c r="L318" i="1"/>
  <c r="J319" i="1"/>
  <c r="K319" i="1"/>
  <c r="L319" i="1"/>
  <c r="J320" i="1"/>
  <c r="K320" i="1"/>
  <c r="L320" i="1"/>
  <c r="J321" i="1"/>
  <c r="K321" i="1"/>
  <c r="L321" i="1"/>
  <c r="J322" i="1"/>
  <c r="K322" i="1"/>
  <c r="L322" i="1"/>
  <c r="J323" i="1"/>
  <c r="K323" i="1"/>
  <c r="L323" i="1"/>
  <c r="J324" i="1"/>
  <c r="K324" i="1"/>
  <c r="L324" i="1"/>
  <c r="J325" i="1"/>
  <c r="K325" i="1"/>
  <c r="L325" i="1"/>
  <c r="J326" i="1"/>
  <c r="K326" i="1"/>
  <c r="L326" i="1"/>
  <c r="J327" i="1"/>
  <c r="K327" i="1"/>
  <c r="L327" i="1"/>
  <c r="J328" i="1"/>
  <c r="K328" i="1"/>
  <c r="L328" i="1"/>
  <c r="J329" i="1"/>
  <c r="K329" i="1"/>
  <c r="L329" i="1"/>
  <c r="J330" i="1"/>
  <c r="K330" i="1"/>
  <c r="L330" i="1"/>
  <c r="J331" i="1"/>
  <c r="K331" i="1"/>
  <c r="L331" i="1"/>
  <c r="J332" i="1"/>
  <c r="K332" i="1"/>
  <c r="L332" i="1"/>
  <c r="J333" i="1"/>
  <c r="K333" i="1"/>
  <c r="L333" i="1"/>
  <c r="J334" i="1"/>
  <c r="K334" i="1"/>
  <c r="L334" i="1"/>
  <c r="J335" i="1"/>
  <c r="K335" i="1"/>
  <c r="L335" i="1"/>
  <c r="J336" i="1"/>
  <c r="K336" i="1"/>
  <c r="L336" i="1"/>
  <c r="J337" i="1"/>
  <c r="K337" i="1"/>
  <c r="L337" i="1"/>
  <c r="J338" i="1"/>
  <c r="K338" i="1"/>
  <c r="L338" i="1"/>
  <c r="J339" i="1"/>
  <c r="K339" i="1"/>
  <c r="L339" i="1"/>
  <c r="J340" i="1"/>
  <c r="K340" i="1"/>
  <c r="L340" i="1"/>
  <c r="J341" i="1"/>
  <c r="K341" i="1"/>
  <c r="L341" i="1"/>
  <c r="J342" i="1"/>
  <c r="K342" i="1"/>
  <c r="L342" i="1"/>
  <c r="J343" i="1"/>
  <c r="K343" i="1"/>
  <c r="L343" i="1"/>
  <c r="J344" i="1"/>
  <c r="K344" i="1"/>
  <c r="L344" i="1"/>
  <c r="J345" i="1"/>
  <c r="K345" i="1"/>
  <c r="L345" i="1"/>
  <c r="J346" i="1"/>
  <c r="K346" i="1"/>
  <c r="L346" i="1"/>
  <c r="J347" i="1"/>
  <c r="K347" i="1"/>
  <c r="L347" i="1"/>
  <c r="J348" i="1"/>
  <c r="K348" i="1"/>
  <c r="L348" i="1"/>
  <c r="J349" i="1"/>
  <c r="K349" i="1"/>
  <c r="L349" i="1"/>
  <c r="J350" i="1"/>
  <c r="K350" i="1"/>
  <c r="L350" i="1"/>
  <c r="J351" i="1"/>
  <c r="K351" i="1"/>
  <c r="L351" i="1"/>
  <c r="J352" i="1"/>
  <c r="K352" i="1"/>
  <c r="L352" i="1"/>
  <c r="J353" i="1"/>
  <c r="K353" i="1"/>
  <c r="L353" i="1"/>
  <c r="J354" i="1"/>
  <c r="K354" i="1"/>
  <c r="L354" i="1"/>
  <c r="J355" i="1"/>
  <c r="K355" i="1"/>
  <c r="L355" i="1"/>
  <c r="J356" i="1"/>
  <c r="K356" i="1"/>
  <c r="L356" i="1"/>
  <c r="J357" i="1"/>
  <c r="K357" i="1"/>
  <c r="L357" i="1"/>
  <c r="J358" i="1"/>
  <c r="K358" i="1"/>
  <c r="L358" i="1"/>
  <c r="J359" i="1"/>
  <c r="K359" i="1"/>
  <c r="L359" i="1"/>
  <c r="J360" i="1"/>
  <c r="K360" i="1"/>
  <c r="L360" i="1"/>
  <c r="J361" i="1"/>
  <c r="K361" i="1"/>
  <c r="L361" i="1"/>
  <c r="J362" i="1"/>
  <c r="K362" i="1"/>
  <c r="L362" i="1"/>
  <c r="J363" i="1"/>
  <c r="K363" i="1"/>
  <c r="L363" i="1"/>
  <c r="J364" i="1"/>
  <c r="K364" i="1"/>
  <c r="L364" i="1"/>
  <c r="J365" i="1"/>
  <c r="K365" i="1"/>
  <c r="L365" i="1"/>
  <c r="J366" i="1"/>
  <c r="K366" i="1"/>
  <c r="L366" i="1"/>
  <c r="J367" i="1"/>
  <c r="K367" i="1"/>
  <c r="L367" i="1"/>
  <c r="J368" i="1"/>
  <c r="K368" i="1"/>
  <c r="L368" i="1"/>
  <c r="J369" i="1"/>
  <c r="K369" i="1"/>
  <c r="L369" i="1"/>
  <c r="J370" i="1"/>
  <c r="K370" i="1"/>
  <c r="L370" i="1"/>
  <c r="J371" i="1"/>
  <c r="K371" i="1"/>
  <c r="L371" i="1"/>
  <c r="J372" i="1"/>
  <c r="K372" i="1"/>
  <c r="L372" i="1"/>
  <c r="J373" i="1"/>
  <c r="K373" i="1"/>
  <c r="L373" i="1"/>
  <c r="J374" i="1"/>
  <c r="K374" i="1"/>
  <c r="L374" i="1"/>
  <c r="J375" i="1"/>
  <c r="K375" i="1"/>
  <c r="L375" i="1"/>
  <c r="J376" i="1"/>
  <c r="K376" i="1"/>
  <c r="L376" i="1"/>
  <c r="J377" i="1"/>
  <c r="K377" i="1"/>
  <c r="L377" i="1"/>
  <c r="J378" i="1"/>
  <c r="K378" i="1"/>
  <c r="L378" i="1"/>
  <c r="J379" i="1"/>
  <c r="K379" i="1"/>
  <c r="L379" i="1"/>
  <c r="J380" i="1"/>
  <c r="K380" i="1"/>
  <c r="L380" i="1"/>
  <c r="J381" i="1"/>
  <c r="K381" i="1"/>
  <c r="L381" i="1"/>
  <c r="J382" i="1"/>
  <c r="K382" i="1"/>
  <c r="L382" i="1"/>
  <c r="J383" i="1"/>
  <c r="K383" i="1"/>
  <c r="L383" i="1"/>
  <c r="J384" i="1"/>
  <c r="K384" i="1"/>
  <c r="L384" i="1"/>
  <c r="J385" i="1"/>
  <c r="K385" i="1"/>
  <c r="L385" i="1"/>
  <c r="J386" i="1"/>
  <c r="K386" i="1"/>
  <c r="L386" i="1"/>
  <c r="J387" i="1"/>
  <c r="K387" i="1"/>
  <c r="L387" i="1"/>
  <c r="J388" i="1"/>
  <c r="K388" i="1"/>
  <c r="L388" i="1"/>
  <c r="J389" i="1"/>
  <c r="K389" i="1"/>
  <c r="L389" i="1"/>
  <c r="J390" i="1"/>
  <c r="K390" i="1"/>
  <c r="L390" i="1"/>
  <c r="J391" i="1"/>
  <c r="K391" i="1"/>
  <c r="L391" i="1"/>
  <c r="J392" i="1"/>
  <c r="K392" i="1"/>
  <c r="L392" i="1"/>
  <c r="J393" i="1"/>
  <c r="K393" i="1"/>
  <c r="L393" i="1"/>
  <c r="J394" i="1"/>
  <c r="K394" i="1"/>
  <c r="L394" i="1"/>
  <c r="J395" i="1"/>
  <c r="K395" i="1"/>
  <c r="L395" i="1"/>
  <c r="J396" i="1"/>
  <c r="K396" i="1"/>
  <c r="L396" i="1"/>
  <c r="J397" i="1"/>
  <c r="K397" i="1"/>
  <c r="L397" i="1"/>
  <c r="J398" i="1"/>
  <c r="K398" i="1"/>
  <c r="L398" i="1"/>
  <c r="J399" i="1"/>
  <c r="K399" i="1"/>
  <c r="L399" i="1"/>
  <c r="J400" i="1"/>
  <c r="K400" i="1"/>
  <c r="L400" i="1"/>
  <c r="J401" i="1"/>
  <c r="K401" i="1"/>
  <c r="L401" i="1"/>
  <c r="J402" i="1"/>
  <c r="K402" i="1"/>
  <c r="L402" i="1"/>
  <c r="J403" i="1"/>
  <c r="K403" i="1"/>
  <c r="L403" i="1"/>
  <c r="J404" i="1"/>
  <c r="K404" i="1"/>
  <c r="L404" i="1"/>
  <c r="J405" i="1"/>
  <c r="K405" i="1"/>
  <c r="L405" i="1"/>
  <c r="J406" i="1"/>
  <c r="K406" i="1"/>
  <c r="L406" i="1"/>
  <c r="J407" i="1"/>
  <c r="K407" i="1"/>
  <c r="L407" i="1"/>
  <c r="J408" i="1"/>
  <c r="K408" i="1"/>
  <c r="L408" i="1"/>
  <c r="J409" i="1"/>
  <c r="K409" i="1"/>
  <c r="L409" i="1"/>
  <c r="J410" i="1"/>
  <c r="K410" i="1"/>
  <c r="L410" i="1"/>
  <c r="J411" i="1"/>
  <c r="K411" i="1"/>
  <c r="L411" i="1"/>
  <c r="J412" i="1"/>
  <c r="K412" i="1"/>
  <c r="L412" i="1"/>
  <c r="J413" i="1"/>
  <c r="K413" i="1"/>
  <c r="L413" i="1"/>
  <c r="J414" i="1"/>
  <c r="K414" i="1"/>
  <c r="L414" i="1"/>
  <c r="J415" i="1"/>
  <c r="K415" i="1"/>
  <c r="L415" i="1"/>
  <c r="J416" i="1"/>
  <c r="K416" i="1"/>
  <c r="L416" i="1"/>
  <c r="J417" i="1"/>
  <c r="K417" i="1"/>
  <c r="L417" i="1"/>
  <c r="J418" i="1"/>
  <c r="K418" i="1"/>
  <c r="L418" i="1"/>
  <c r="J419" i="1"/>
  <c r="K419" i="1"/>
  <c r="L419" i="1"/>
  <c r="J420" i="1"/>
  <c r="K420" i="1"/>
  <c r="L420" i="1"/>
  <c r="J421" i="1"/>
  <c r="K421" i="1"/>
  <c r="L421" i="1"/>
  <c r="J422" i="1"/>
  <c r="K422" i="1"/>
  <c r="L422" i="1"/>
  <c r="J423" i="1"/>
  <c r="K423" i="1"/>
  <c r="L423" i="1"/>
  <c r="J424" i="1"/>
  <c r="K424" i="1"/>
  <c r="L424" i="1"/>
  <c r="J425" i="1"/>
  <c r="K425" i="1"/>
  <c r="L425" i="1"/>
  <c r="J426" i="1"/>
  <c r="K426" i="1"/>
  <c r="L426" i="1"/>
  <c r="J427" i="1"/>
  <c r="K427" i="1"/>
  <c r="L427" i="1"/>
  <c r="J428" i="1"/>
  <c r="K428" i="1"/>
  <c r="L428" i="1"/>
  <c r="J429" i="1"/>
  <c r="K429" i="1"/>
  <c r="L429" i="1"/>
  <c r="J430" i="1"/>
  <c r="K430" i="1"/>
  <c r="L430" i="1"/>
  <c r="J431" i="1"/>
  <c r="K431" i="1"/>
  <c r="L431" i="1"/>
  <c r="J432" i="1"/>
  <c r="K432" i="1"/>
  <c r="L432" i="1"/>
  <c r="J433" i="1"/>
  <c r="K433" i="1"/>
  <c r="L433" i="1"/>
  <c r="J434" i="1"/>
  <c r="K434" i="1"/>
  <c r="L434" i="1"/>
  <c r="J435" i="1"/>
  <c r="K435" i="1"/>
  <c r="L435" i="1"/>
  <c r="J436" i="1"/>
  <c r="K436" i="1"/>
  <c r="L436" i="1"/>
  <c r="J437" i="1"/>
  <c r="K437" i="1"/>
  <c r="L437" i="1"/>
  <c r="J438" i="1"/>
  <c r="K438" i="1"/>
  <c r="L438" i="1"/>
  <c r="J439" i="1"/>
  <c r="K439" i="1"/>
  <c r="L439" i="1"/>
  <c r="J440" i="1"/>
  <c r="K440" i="1"/>
  <c r="L440" i="1"/>
  <c r="J441" i="1"/>
  <c r="K441" i="1"/>
  <c r="L441" i="1"/>
  <c r="J442" i="1"/>
  <c r="K442" i="1"/>
  <c r="L442" i="1"/>
  <c r="J443" i="1"/>
  <c r="K443" i="1"/>
  <c r="L443" i="1"/>
  <c r="J444" i="1"/>
  <c r="K444" i="1"/>
  <c r="L444" i="1"/>
  <c r="J445" i="1"/>
  <c r="K445" i="1"/>
  <c r="L445" i="1"/>
  <c r="J446" i="1"/>
  <c r="K446" i="1"/>
  <c r="L446" i="1"/>
  <c r="J447" i="1"/>
  <c r="K447" i="1"/>
  <c r="L447" i="1"/>
  <c r="J448" i="1"/>
  <c r="K448" i="1"/>
  <c r="L448" i="1"/>
  <c r="J449" i="1"/>
  <c r="K449" i="1"/>
  <c r="L449" i="1"/>
  <c r="J450" i="1"/>
  <c r="K450" i="1"/>
  <c r="L450" i="1"/>
  <c r="J451" i="1"/>
  <c r="K451" i="1"/>
  <c r="L451" i="1"/>
  <c r="J452" i="1"/>
  <c r="K452" i="1"/>
  <c r="L452" i="1"/>
  <c r="J453" i="1"/>
  <c r="K453" i="1"/>
  <c r="L453" i="1"/>
  <c r="J454" i="1"/>
  <c r="K454" i="1"/>
  <c r="L454" i="1"/>
  <c r="J455" i="1"/>
  <c r="K455" i="1"/>
  <c r="L455" i="1"/>
  <c r="J456" i="1"/>
  <c r="K456" i="1"/>
  <c r="L456" i="1"/>
  <c r="J457" i="1"/>
  <c r="K457" i="1"/>
  <c r="L457" i="1"/>
  <c r="J458" i="1"/>
  <c r="K458" i="1"/>
  <c r="L458" i="1"/>
  <c r="J459" i="1"/>
  <c r="K459" i="1"/>
  <c r="L459" i="1"/>
  <c r="J460" i="1"/>
  <c r="K460" i="1"/>
  <c r="L460" i="1"/>
  <c r="J461" i="1"/>
  <c r="K461" i="1"/>
  <c r="L461" i="1"/>
  <c r="J462" i="1"/>
  <c r="K462" i="1"/>
  <c r="L462" i="1"/>
  <c r="J463" i="1"/>
  <c r="K463" i="1"/>
  <c r="L463" i="1"/>
  <c r="J464" i="1"/>
  <c r="K464" i="1"/>
  <c r="L464" i="1"/>
  <c r="J465" i="1"/>
  <c r="K465" i="1"/>
  <c r="L465" i="1"/>
  <c r="J466" i="1"/>
  <c r="K466" i="1"/>
  <c r="L466" i="1"/>
  <c r="J467" i="1"/>
  <c r="K467" i="1"/>
  <c r="L467" i="1"/>
  <c r="J468" i="1"/>
  <c r="K468" i="1"/>
  <c r="L468" i="1"/>
  <c r="J469" i="1"/>
  <c r="K469" i="1"/>
  <c r="L469" i="1"/>
  <c r="J470" i="1"/>
  <c r="K470" i="1"/>
  <c r="L470" i="1"/>
  <c r="J471" i="1"/>
  <c r="K471" i="1"/>
  <c r="L471" i="1"/>
  <c r="J472" i="1"/>
  <c r="K472" i="1"/>
  <c r="L472" i="1"/>
  <c r="J473" i="1"/>
  <c r="K473" i="1"/>
  <c r="L473" i="1"/>
  <c r="J474" i="1"/>
  <c r="K474" i="1"/>
  <c r="L474" i="1"/>
  <c r="J475" i="1"/>
  <c r="K475" i="1"/>
  <c r="L475" i="1"/>
  <c r="J476" i="1"/>
  <c r="K476" i="1"/>
  <c r="L476" i="1"/>
  <c r="J477" i="1"/>
  <c r="K477" i="1"/>
  <c r="L477" i="1"/>
  <c r="J478" i="1"/>
  <c r="K478" i="1"/>
  <c r="L478" i="1"/>
  <c r="J479" i="1"/>
  <c r="K479" i="1"/>
  <c r="L479" i="1"/>
  <c r="J480" i="1"/>
  <c r="K480" i="1"/>
  <c r="L480" i="1"/>
  <c r="J481" i="1"/>
  <c r="K481" i="1"/>
  <c r="L481" i="1"/>
  <c r="J482" i="1"/>
  <c r="K482" i="1"/>
  <c r="L482" i="1"/>
  <c r="J483" i="1"/>
  <c r="K483" i="1"/>
  <c r="L483" i="1"/>
  <c r="J484" i="1"/>
  <c r="K484" i="1"/>
  <c r="L484" i="1"/>
  <c r="J485" i="1"/>
  <c r="K485" i="1"/>
  <c r="L485" i="1"/>
  <c r="J486" i="1"/>
  <c r="K486" i="1"/>
  <c r="L486" i="1"/>
  <c r="J487" i="1"/>
  <c r="K487" i="1"/>
  <c r="L487" i="1"/>
  <c r="J488" i="1"/>
  <c r="K488" i="1"/>
  <c r="L488" i="1"/>
  <c r="J489" i="1"/>
  <c r="K489" i="1"/>
  <c r="L489" i="1"/>
  <c r="J490" i="1"/>
  <c r="K490" i="1"/>
  <c r="L490" i="1"/>
  <c r="J491" i="1"/>
  <c r="K491" i="1"/>
  <c r="L491" i="1"/>
  <c r="J492" i="1"/>
  <c r="K492" i="1"/>
  <c r="L492" i="1"/>
  <c r="J493" i="1"/>
  <c r="K493" i="1"/>
  <c r="L493" i="1"/>
  <c r="J494" i="1"/>
  <c r="K494" i="1"/>
  <c r="L494" i="1"/>
  <c r="J495" i="1"/>
  <c r="K495" i="1"/>
  <c r="L495" i="1"/>
  <c r="J496" i="1"/>
  <c r="K496" i="1"/>
  <c r="L496" i="1"/>
  <c r="J497" i="1"/>
  <c r="K497" i="1"/>
  <c r="L497" i="1"/>
  <c r="J498" i="1"/>
  <c r="K498" i="1"/>
  <c r="L498" i="1"/>
  <c r="J499" i="1"/>
  <c r="K499" i="1"/>
  <c r="L499" i="1"/>
  <c r="J500" i="1"/>
  <c r="K500" i="1"/>
  <c r="L500" i="1"/>
  <c r="J501" i="1"/>
  <c r="K501" i="1"/>
  <c r="L501" i="1"/>
  <c r="J502" i="1"/>
  <c r="K502" i="1"/>
  <c r="L502" i="1"/>
  <c r="J503" i="1"/>
  <c r="K503" i="1"/>
  <c r="L503" i="1"/>
  <c r="J504" i="1"/>
  <c r="K504" i="1"/>
  <c r="L504" i="1"/>
  <c r="J505" i="1"/>
  <c r="K505" i="1"/>
  <c r="L505" i="1"/>
  <c r="J506" i="1"/>
  <c r="K506" i="1"/>
  <c r="L506" i="1"/>
  <c r="J507" i="1"/>
  <c r="K507" i="1"/>
  <c r="L507" i="1"/>
  <c r="J508" i="1"/>
  <c r="K508" i="1"/>
  <c r="L508" i="1"/>
  <c r="J509" i="1"/>
  <c r="K509" i="1"/>
  <c r="L509" i="1"/>
  <c r="J510" i="1"/>
  <c r="K510" i="1"/>
  <c r="L510" i="1"/>
  <c r="J511" i="1"/>
  <c r="K511" i="1"/>
  <c r="L511" i="1"/>
  <c r="J512" i="1"/>
  <c r="K512" i="1"/>
  <c r="L512" i="1"/>
  <c r="J513" i="1"/>
  <c r="K513" i="1"/>
  <c r="L513" i="1"/>
  <c r="J514" i="1"/>
  <c r="K514" i="1"/>
  <c r="L514" i="1"/>
  <c r="J515" i="1"/>
  <c r="K515" i="1"/>
  <c r="L515" i="1"/>
  <c r="J516" i="1"/>
  <c r="K516" i="1"/>
  <c r="L516" i="1"/>
  <c r="J517" i="1"/>
  <c r="K517" i="1"/>
  <c r="L517" i="1"/>
  <c r="J518" i="1"/>
  <c r="K518" i="1"/>
  <c r="L518" i="1"/>
  <c r="J519" i="1"/>
  <c r="K519" i="1"/>
  <c r="L519" i="1"/>
  <c r="J520" i="1"/>
  <c r="K520" i="1"/>
  <c r="L520" i="1"/>
  <c r="J521" i="1"/>
  <c r="K521" i="1"/>
  <c r="L521" i="1"/>
  <c r="J522" i="1"/>
  <c r="K522" i="1"/>
  <c r="L522" i="1"/>
  <c r="J523" i="1"/>
  <c r="K523" i="1"/>
  <c r="L523" i="1"/>
  <c r="J524" i="1"/>
  <c r="K524" i="1"/>
  <c r="L524" i="1"/>
  <c r="J525" i="1"/>
  <c r="K525" i="1"/>
  <c r="L525" i="1"/>
  <c r="J526" i="1"/>
  <c r="K526" i="1"/>
  <c r="L526" i="1"/>
  <c r="J527" i="1"/>
  <c r="K527" i="1"/>
  <c r="L527" i="1"/>
  <c r="J528" i="1"/>
  <c r="K528" i="1"/>
  <c r="L528" i="1"/>
  <c r="J529" i="1"/>
  <c r="K529" i="1"/>
  <c r="L529" i="1"/>
  <c r="J530" i="1"/>
  <c r="K530" i="1"/>
  <c r="L530" i="1"/>
  <c r="J531" i="1"/>
  <c r="K531" i="1"/>
  <c r="L531" i="1"/>
  <c r="J532" i="1"/>
  <c r="K532" i="1"/>
  <c r="L532" i="1"/>
  <c r="J533" i="1"/>
  <c r="K533" i="1"/>
  <c r="L533" i="1"/>
  <c r="J534" i="1"/>
  <c r="K534" i="1"/>
  <c r="L534" i="1"/>
  <c r="J535" i="1"/>
  <c r="K535" i="1"/>
  <c r="L535" i="1"/>
  <c r="J536" i="1"/>
  <c r="K536" i="1"/>
  <c r="L536" i="1"/>
  <c r="J537" i="1"/>
  <c r="K537" i="1"/>
  <c r="L537" i="1"/>
  <c r="J538" i="1"/>
  <c r="K538" i="1"/>
  <c r="L538" i="1"/>
  <c r="J539" i="1"/>
  <c r="K539" i="1"/>
  <c r="L539" i="1"/>
  <c r="J540" i="1"/>
  <c r="K540" i="1"/>
  <c r="L540" i="1"/>
  <c r="J541" i="1"/>
  <c r="K541" i="1"/>
  <c r="L541" i="1"/>
  <c r="J542" i="1"/>
  <c r="K542" i="1"/>
  <c r="L542" i="1"/>
  <c r="J543" i="1"/>
  <c r="K543" i="1"/>
  <c r="L543" i="1"/>
  <c r="J544" i="1"/>
  <c r="K544" i="1"/>
  <c r="L544" i="1"/>
  <c r="J545" i="1"/>
  <c r="K545" i="1"/>
  <c r="L545" i="1"/>
  <c r="J546" i="1"/>
  <c r="K546" i="1"/>
  <c r="L546" i="1"/>
  <c r="J547" i="1"/>
  <c r="K547" i="1"/>
  <c r="L547" i="1"/>
  <c r="J548" i="1"/>
  <c r="K548" i="1"/>
  <c r="L548" i="1"/>
  <c r="J549" i="1"/>
  <c r="K549" i="1"/>
  <c r="L549" i="1"/>
  <c r="J550" i="1"/>
  <c r="K550" i="1"/>
  <c r="L550" i="1"/>
  <c r="J551" i="1"/>
  <c r="K551" i="1"/>
  <c r="L551" i="1"/>
  <c r="J552" i="1"/>
  <c r="K552" i="1"/>
  <c r="L552" i="1"/>
  <c r="J553" i="1"/>
  <c r="K553" i="1"/>
  <c r="L553" i="1"/>
  <c r="J554" i="1"/>
  <c r="K554" i="1"/>
  <c r="L554" i="1"/>
  <c r="J555" i="1"/>
  <c r="K555" i="1"/>
  <c r="L555" i="1"/>
  <c r="J556" i="1"/>
  <c r="K556" i="1"/>
  <c r="L556" i="1"/>
  <c r="J557" i="1"/>
  <c r="K557" i="1"/>
  <c r="L557" i="1"/>
  <c r="J558" i="1"/>
  <c r="K558" i="1"/>
  <c r="L558" i="1"/>
  <c r="J559" i="1"/>
  <c r="K559" i="1"/>
  <c r="L559" i="1"/>
  <c r="J560" i="1"/>
  <c r="K560" i="1"/>
  <c r="L560" i="1"/>
  <c r="J561" i="1"/>
  <c r="K561" i="1"/>
  <c r="L561" i="1"/>
  <c r="J562" i="1"/>
  <c r="K562" i="1"/>
  <c r="L562" i="1"/>
  <c r="J563" i="1"/>
  <c r="K563" i="1"/>
  <c r="L563" i="1"/>
  <c r="J564" i="1"/>
  <c r="K564" i="1"/>
  <c r="L564" i="1"/>
  <c r="J565" i="1"/>
  <c r="K565" i="1"/>
  <c r="L565" i="1"/>
  <c r="J566" i="1"/>
  <c r="K566" i="1"/>
  <c r="L566" i="1"/>
  <c r="J567" i="1"/>
  <c r="K567" i="1"/>
  <c r="L567" i="1"/>
  <c r="J568" i="1"/>
  <c r="K568" i="1"/>
  <c r="L568" i="1"/>
  <c r="J569" i="1"/>
  <c r="K569" i="1"/>
  <c r="L569" i="1"/>
  <c r="J570" i="1"/>
  <c r="K570" i="1"/>
  <c r="L570" i="1"/>
  <c r="J571" i="1"/>
  <c r="K571" i="1"/>
  <c r="L571" i="1"/>
  <c r="J572" i="1"/>
  <c r="K572" i="1"/>
  <c r="L572" i="1"/>
  <c r="J573" i="1"/>
  <c r="K573" i="1"/>
  <c r="L573" i="1"/>
  <c r="J574" i="1"/>
  <c r="K574" i="1"/>
  <c r="L574" i="1"/>
  <c r="J575" i="1"/>
  <c r="K575" i="1"/>
  <c r="L575" i="1"/>
  <c r="J576" i="1"/>
  <c r="K576" i="1"/>
  <c r="L576" i="1"/>
  <c r="J577" i="1"/>
  <c r="K577" i="1"/>
  <c r="L577" i="1"/>
  <c r="J578" i="1"/>
  <c r="K578" i="1"/>
  <c r="L578" i="1"/>
  <c r="J579" i="1"/>
  <c r="K579" i="1"/>
  <c r="L579" i="1"/>
  <c r="J580" i="1"/>
  <c r="K580" i="1"/>
  <c r="L580" i="1"/>
  <c r="J581" i="1"/>
  <c r="K581" i="1"/>
  <c r="L581" i="1"/>
  <c r="J582" i="1"/>
  <c r="K582" i="1"/>
  <c r="L582" i="1"/>
  <c r="J583" i="1"/>
  <c r="K583" i="1"/>
  <c r="L583" i="1"/>
  <c r="J584" i="1"/>
  <c r="K584" i="1"/>
  <c r="L584" i="1"/>
  <c r="J585" i="1"/>
  <c r="K585" i="1"/>
  <c r="L585" i="1"/>
  <c r="J586" i="1"/>
  <c r="K586" i="1"/>
  <c r="L586" i="1"/>
  <c r="J587" i="1"/>
  <c r="K587" i="1"/>
  <c r="L587" i="1"/>
  <c r="J588" i="1"/>
  <c r="K588" i="1"/>
  <c r="L588" i="1"/>
  <c r="J589" i="1"/>
  <c r="K589" i="1"/>
  <c r="L589" i="1"/>
  <c r="J590" i="1"/>
  <c r="K590" i="1"/>
  <c r="L590" i="1"/>
  <c r="J591" i="1"/>
  <c r="K591" i="1"/>
  <c r="L591" i="1"/>
  <c r="J592" i="1"/>
  <c r="K592" i="1"/>
  <c r="L592" i="1"/>
  <c r="J593" i="1"/>
  <c r="K593" i="1"/>
  <c r="L593" i="1"/>
  <c r="J594" i="1"/>
  <c r="K594" i="1"/>
  <c r="L594" i="1"/>
  <c r="J595" i="1"/>
  <c r="K595" i="1"/>
  <c r="L595" i="1"/>
  <c r="J596" i="1"/>
  <c r="K596" i="1"/>
  <c r="L596" i="1"/>
  <c r="J597" i="1"/>
  <c r="K597" i="1"/>
  <c r="L597" i="1"/>
  <c r="J598" i="1"/>
  <c r="K598" i="1"/>
  <c r="L598" i="1"/>
  <c r="J599" i="1"/>
  <c r="K599" i="1"/>
  <c r="L599" i="1"/>
  <c r="J600" i="1"/>
  <c r="K600" i="1"/>
  <c r="L600" i="1"/>
  <c r="J601" i="1"/>
  <c r="K601" i="1"/>
  <c r="L601" i="1"/>
  <c r="J602" i="1"/>
  <c r="K602" i="1"/>
  <c r="L602" i="1"/>
  <c r="J603" i="1"/>
  <c r="K603" i="1"/>
  <c r="L603" i="1"/>
  <c r="J604" i="1"/>
  <c r="K604" i="1"/>
  <c r="L604" i="1"/>
  <c r="J605" i="1"/>
  <c r="K605" i="1"/>
  <c r="L605" i="1"/>
  <c r="J606" i="1"/>
  <c r="K606" i="1"/>
  <c r="L606" i="1"/>
  <c r="J607" i="1"/>
  <c r="K607" i="1"/>
  <c r="L607" i="1"/>
  <c r="J608" i="1"/>
  <c r="K608" i="1"/>
  <c r="L608" i="1"/>
  <c r="J609" i="1"/>
  <c r="K609" i="1"/>
  <c r="L609" i="1"/>
  <c r="J610" i="1"/>
  <c r="K610" i="1"/>
  <c r="L610" i="1"/>
  <c r="J611" i="1"/>
  <c r="K611" i="1"/>
  <c r="L611" i="1"/>
  <c r="J612" i="1"/>
  <c r="K612" i="1"/>
  <c r="L612" i="1"/>
  <c r="J613" i="1"/>
  <c r="K613" i="1"/>
  <c r="L613" i="1"/>
  <c r="J614" i="1"/>
  <c r="K614" i="1"/>
  <c r="L614" i="1"/>
  <c r="J615" i="1"/>
  <c r="K615" i="1"/>
  <c r="L615" i="1"/>
  <c r="J616" i="1"/>
  <c r="K616" i="1"/>
  <c r="L616" i="1"/>
  <c r="J617" i="1"/>
  <c r="K617" i="1"/>
  <c r="L617" i="1"/>
  <c r="J618" i="1"/>
  <c r="K618" i="1"/>
  <c r="L618" i="1"/>
  <c r="J619" i="1"/>
  <c r="K619" i="1"/>
  <c r="L619" i="1"/>
  <c r="J620" i="1"/>
  <c r="K620" i="1"/>
  <c r="L620" i="1"/>
  <c r="J621" i="1"/>
  <c r="K621" i="1"/>
  <c r="L621" i="1"/>
  <c r="J622" i="1"/>
  <c r="K622" i="1"/>
  <c r="L622" i="1"/>
  <c r="J623" i="1"/>
  <c r="K623" i="1"/>
  <c r="L623" i="1"/>
  <c r="J624" i="1"/>
  <c r="K624" i="1"/>
  <c r="L624" i="1"/>
  <c r="J625" i="1"/>
  <c r="K625" i="1"/>
  <c r="L625" i="1"/>
  <c r="J626" i="1"/>
  <c r="K626" i="1"/>
  <c r="L626" i="1"/>
  <c r="J627" i="1"/>
  <c r="K627" i="1"/>
  <c r="L627" i="1"/>
  <c r="J628" i="1"/>
  <c r="K628" i="1"/>
  <c r="L628" i="1"/>
  <c r="J629" i="1"/>
  <c r="K629" i="1"/>
  <c r="L629" i="1"/>
  <c r="J630" i="1"/>
  <c r="K630" i="1"/>
  <c r="L630" i="1"/>
  <c r="J631" i="1"/>
  <c r="K631" i="1"/>
  <c r="L631" i="1"/>
  <c r="J632" i="1"/>
  <c r="K632" i="1"/>
  <c r="L632" i="1"/>
  <c r="J633" i="1"/>
  <c r="K633" i="1"/>
  <c r="L633" i="1"/>
  <c r="J634" i="1"/>
  <c r="K634" i="1"/>
  <c r="L634" i="1"/>
  <c r="J635" i="1"/>
  <c r="K635" i="1"/>
  <c r="L635" i="1"/>
  <c r="J636" i="1"/>
  <c r="K636" i="1"/>
  <c r="L636" i="1"/>
  <c r="J637" i="1"/>
  <c r="K637" i="1"/>
  <c r="L637" i="1"/>
  <c r="J638" i="1"/>
  <c r="K638" i="1"/>
  <c r="L638" i="1"/>
  <c r="J639" i="1"/>
  <c r="K639" i="1"/>
  <c r="L639" i="1"/>
  <c r="J640" i="1"/>
  <c r="K640" i="1"/>
  <c r="L640" i="1"/>
  <c r="J641" i="1"/>
  <c r="K641" i="1"/>
  <c r="L641" i="1"/>
  <c r="J642" i="1"/>
  <c r="K642" i="1"/>
  <c r="L642" i="1"/>
  <c r="J643" i="1"/>
  <c r="K643" i="1"/>
  <c r="L643" i="1"/>
  <c r="J644" i="1"/>
  <c r="K644" i="1"/>
  <c r="L644" i="1"/>
  <c r="J645" i="1"/>
  <c r="K645" i="1"/>
  <c r="L645" i="1"/>
  <c r="J646" i="1"/>
  <c r="K646" i="1"/>
  <c r="L646" i="1"/>
  <c r="J647" i="1"/>
  <c r="K647" i="1"/>
  <c r="L647" i="1"/>
  <c r="J648" i="1"/>
  <c r="K648" i="1"/>
  <c r="L648" i="1"/>
  <c r="J649" i="1"/>
  <c r="K649" i="1"/>
  <c r="L649" i="1"/>
  <c r="J650" i="1"/>
  <c r="K650" i="1"/>
  <c r="L650" i="1"/>
  <c r="J651" i="1"/>
  <c r="K651" i="1"/>
  <c r="L651" i="1"/>
  <c r="J652" i="1"/>
  <c r="K652" i="1"/>
  <c r="L652" i="1"/>
  <c r="J653" i="1"/>
  <c r="K653" i="1"/>
  <c r="L653" i="1"/>
  <c r="J654" i="1"/>
  <c r="K654" i="1"/>
  <c r="L654" i="1"/>
  <c r="J655" i="1"/>
  <c r="K655" i="1"/>
  <c r="L655" i="1"/>
  <c r="J656" i="1"/>
  <c r="K656" i="1"/>
  <c r="L656" i="1"/>
  <c r="J657" i="1"/>
  <c r="K657" i="1"/>
  <c r="L657" i="1"/>
  <c r="J658" i="1"/>
  <c r="K658" i="1"/>
  <c r="L658" i="1"/>
  <c r="J659" i="1"/>
  <c r="K659" i="1"/>
  <c r="L659" i="1"/>
  <c r="J660" i="1"/>
  <c r="K660" i="1"/>
  <c r="L660" i="1"/>
  <c r="J661" i="1"/>
  <c r="K661" i="1"/>
  <c r="L661" i="1"/>
  <c r="J662" i="1"/>
  <c r="K662" i="1"/>
  <c r="L662" i="1"/>
  <c r="J663" i="1"/>
  <c r="K663" i="1"/>
  <c r="L663" i="1"/>
  <c r="J664" i="1"/>
  <c r="K664" i="1"/>
  <c r="L664" i="1"/>
  <c r="J665" i="1"/>
  <c r="K665" i="1"/>
  <c r="L665" i="1"/>
  <c r="J666" i="1"/>
  <c r="K666" i="1"/>
  <c r="L666" i="1"/>
  <c r="J667" i="1"/>
  <c r="K667" i="1"/>
  <c r="L667" i="1"/>
  <c r="J668" i="1"/>
  <c r="K668" i="1"/>
  <c r="L668" i="1"/>
  <c r="J669" i="1"/>
  <c r="K669" i="1"/>
  <c r="L669" i="1"/>
  <c r="J670" i="1"/>
  <c r="K670" i="1"/>
  <c r="L670" i="1"/>
  <c r="J671" i="1"/>
  <c r="K671" i="1"/>
  <c r="L671" i="1"/>
  <c r="J672" i="1"/>
  <c r="K672" i="1"/>
  <c r="L672" i="1"/>
  <c r="J673" i="1"/>
  <c r="K673" i="1"/>
  <c r="L673" i="1"/>
  <c r="J674" i="1"/>
  <c r="K674" i="1"/>
  <c r="L674" i="1"/>
  <c r="J675" i="1"/>
  <c r="K675" i="1"/>
  <c r="L675" i="1"/>
  <c r="J676" i="1"/>
  <c r="K676" i="1"/>
  <c r="L676" i="1"/>
  <c r="J677" i="1"/>
  <c r="K677" i="1"/>
  <c r="L677" i="1"/>
  <c r="J678" i="1"/>
  <c r="K678" i="1"/>
  <c r="L678" i="1"/>
  <c r="J679" i="1"/>
  <c r="K679" i="1"/>
  <c r="L679" i="1"/>
  <c r="J680" i="1"/>
  <c r="K680" i="1"/>
  <c r="L680" i="1"/>
  <c r="J681" i="1"/>
  <c r="K681" i="1"/>
  <c r="L681" i="1"/>
  <c r="J682" i="1"/>
  <c r="K682" i="1"/>
  <c r="L682" i="1"/>
  <c r="J683" i="1"/>
  <c r="K683" i="1"/>
  <c r="L683" i="1"/>
  <c r="J684" i="1"/>
  <c r="K684" i="1"/>
  <c r="L684" i="1"/>
  <c r="J685" i="1"/>
  <c r="K685" i="1"/>
  <c r="L685" i="1"/>
  <c r="J686" i="1"/>
  <c r="K686" i="1"/>
  <c r="L686" i="1"/>
  <c r="J687" i="1"/>
  <c r="K687" i="1"/>
  <c r="L687" i="1"/>
  <c r="J688" i="1"/>
  <c r="K688" i="1"/>
  <c r="L688" i="1"/>
  <c r="J689" i="1"/>
  <c r="K689" i="1"/>
  <c r="L689" i="1"/>
  <c r="J690" i="1"/>
  <c r="K690" i="1"/>
  <c r="L690" i="1"/>
  <c r="J691" i="1"/>
  <c r="K691" i="1"/>
  <c r="L691" i="1"/>
  <c r="J692" i="1"/>
  <c r="K692" i="1"/>
  <c r="L692" i="1"/>
  <c r="J693" i="1"/>
  <c r="K693" i="1"/>
  <c r="L693" i="1"/>
  <c r="J694" i="1"/>
  <c r="K694" i="1"/>
  <c r="L694" i="1"/>
  <c r="J695" i="1"/>
  <c r="K695" i="1"/>
  <c r="L695" i="1"/>
  <c r="J696" i="1"/>
  <c r="K696" i="1"/>
  <c r="L696" i="1"/>
  <c r="J697" i="1"/>
  <c r="K697" i="1"/>
  <c r="L697" i="1"/>
  <c r="J698" i="1"/>
  <c r="K698" i="1"/>
  <c r="L698" i="1"/>
  <c r="J699" i="1"/>
  <c r="K699" i="1"/>
  <c r="L699" i="1"/>
  <c r="J700" i="1"/>
  <c r="K700" i="1"/>
  <c r="L700" i="1"/>
  <c r="J701" i="1"/>
  <c r="K701" i="1"/>
  <c r="L701" i="1"/>
  <c r="J702" i="1"/>
  <c r="K702" i="1"/>
  <c r="L702" i="1"/>
  <c r="J703" i="1"/>
  <c r="K703" i="1"/>
  <c r="L703" i="1"/>
  <c r="J704" i="1"/>
  <c r="K704" i="1"/>
  <c r="L704" i="1"/>
  <c r="J705" i="1"/>
  <c r="K705" i="1"/>
  <c r="L705" i="1"/>
  <c r="J706" i="1"/>
  <c r="K706" i="1"/>
  <c r="L706" i="1"/>
  <c r="J707" i="1"/>
  <c r="K707" i="1"/>
  <c r="L707" i="1"/>
  <c r="J708" i="1"/>
  <c r="K708" i="1"/>
  <c r="L708" i="1"/>
  <c r="J709" i="1"/>
  <c r="K709" i="1"/>
  <c r="L709" i="1"/>
  <c r="J710" i="1"/>
  <c r="K710" i="1"/>
  <c r="L710" i="1"/>
  <c r="J711" i="1"/>
  <c r="K711" i="1"/>
  <c r="L711" i="1"/>
  <c r="J712" i="1"/>
  <c r="K712" i="1"/>
  <c r="L712" i="1"/>
  <c r="J713" i="1"/>
  <c r="K713" i="1"/>
  <c r="L713" i="1"/>
  <c r="J714" i="1"/>
  <c r="K714" i="1"/>
  <c r="L714" i="1"/>
  <c r="J715" i="1"/>
  <c r="K715" i="1"/>
  <c r="L715" i="1"/>
  <c r="J716" i="1"/>
  <c r="K716" i="1"/>
  <c r="L716" i="1"/>
  <c r="J717" i="1"/>
  <c r="K717" i="1"/>
  <c r="L717" i="1"/>
  <c r="J718" i="1"/>
  <c r="K718" i="1"/>
  <c r="L718" i="1"/>
  <c r="J719" i="1"/>
  <c r="K719" i="1"/>
  <c r="L719" i="1"/>
  <c r="J720" i="1"/>
  <c r="K720" i="1"/>
  <c r="L720" i="1"/>
  <c r="J721" i="1"/>
  <c r="K721" i="1"/>
  <c r="L721" i="1"/>
  <c r="J722" i="1"/>
  <c r="K722" i="1"/>
  <c r="L722" i="1"/>
  <c r="J723" i="1"/>
  <c r="K723" i="1"/>
  <c r="L723" i="1"/>
  <c r="J724" i="1"/>
  <c r="K724" i="1"/>
  <c r="L724" i="1"/>
  <c r="J725" i="1"/>
  <c r="K725" i="1"/>
  <c r="L725" i="1"/>
  <c r="J726" i="1"/>
  <c r="K726" i="1"/>
  <c r="L726" i="1"/>
  <c r="J727" i="1"/>
  <c r="K727" i="1"/>
  <c r="L727" i="1"/>
  <c r="J728" i="1"/>
  <c r="K728" i="1"/>
  <c r="L728" i="1"/>
  <c r="J729" i="1"/>
  <c r="K729" i="1"/>
  <c r="L729" i="1"/>
  <c r="J730" i="1"/>
  <c r="K730" i="1"/>
  <c r="L730" i="1"/>
  <c r="J731" i="1"/>
  <c r="K731" i="1"/>
  <c r="L731" i="1"/>
  <c r="J732" i="1"/>
  <c r="K732" i="1"/>
  <c r="L732" i="1"/>
  <c r="J733" i="1"/>
  <c r="K733" i="1"/>
  <c r="L733" i="1"/>
  <c r="J734" i="1"/>
  <c r="K734" i="1"/>
  <c r="L734" i="1"/>
  <c r="J735" i="1"/>
  <c r="K735" i="1"/>
  <c r="L735" i="1"/>
  <c r="J736" i="1"/>
  <c r="K736" i="1"/>
  <c r="L736" i="1"/>
  <c r="J737" i="1"/>
  <c r="K737" i="1"/>
  <c r="L737" i="1"/>
  <c r="J738" i="1"/>
  <c r="K738" i="1"/>
  <c r="L738" i="1"/>
  <c r="J739" i="1"/>
  <c r="K739" i="1"/>
  <c r="L739" i="1"/>
  <c r="J740" i="1"/>
  <c r="K740" i="1"/>
  <c r="L740" i="1"/>
  <c r="J741" i="1"/>
  <c r="K741" i="1"/>
  <c r="L741" i="1"/>
  <c r="J742" i="1"/>
  <c r="K742" i="1"/>
  <c r="L742" i="1"/>
  <c r="J743" i="1"/>
  <c r="K743" i="1"/>
  <c r="L743" i="1"/>
  <c r="J744" i="1"/>
  <c r="K744" i="1"/>
  <c r="L744" i="1"/>
  <c r="J745" i="1"/>
  <c r="K745" i="1"/>
  <c r="L745" i="1"/>
  <c r="J746" i="1"/>
  <c r="K746" i="1"/>
  <c r="L746" i="1"/>
  <c r="J747" i="1"/>
  <c r="K747" i="1"/>
  <c r="L747" i="1"/>
  <c r="J748" i="1"/>
  <c r="K748" i="1"/>
  <c r="L748" i="1"/>
  <c r="J749" i="1"/>
  <c r="K749" i="1"/>
  <c r="L749" i="1"/>
  <c r="J750" i="1"/>
  <c r="K750" i="1"/>
  <c r="L750" i="1"/>
  <c r="J751" i="1"/>
  <c r="K751" i="1"/>
  <c r="L751" i="1"/>
  <c r="J752" i="1"/>
  <c r="K752" i="1"/>
  <c r="L752" i="1"/>
  <c r="J753" i="1"/>
  <c r="K753" i="1"/>
  <c r="L753" i="1"/>
  <c r="J754" i="1"/>
  <c r="K754" i="1"/>
  <c r="L754" i="1"/>
  <c r="J755" i="1"/>
  <c r="K755" i="1"/>
  <c r="L755" i="1"/>
  <c r="J756" i="1"/>
  <c r="K756" i="1"/>
  <c r="L756" i="1"/>
  <c r="J757" i="1"/>
  <c r="K757" i="1"/>
  <c r="L757" i="1"/>
  <c r="J758" i="1"/>
  <c r="K758" i="1"/>
  <c r="L758" i="1"/>
  <c r="J759" i="1"/>
  <c r="K759" i="1"/>
  <c r="L759" i="1"/>
  <c r="J760" i="1"/>
  <c r="K760" i="1"/>
  <c r="L760" i="1"/>
  <c r="J761" i="1"/>
  <c r="K761" i="1"/>
  <c r="L761" i="1"/>
  <c r="J762" i="1"/>
  <c r="K762" i="1"/>
  <c r="L762" i="1"/>
  <c r="J763" i="1"/>
  <c r="K763" i="1"/>
  <c r="L763" i="1"/>
  <c r="J764" i="1"/>
  <c r="K764" i="1"/>
  <c r="L764" i="1"/>
  <c r="J765" i="1"/>
  <c r="K765" i="1"/>
  <c r="L765" i="1"/>
  <c r="J766" i="1"/>
  <c r="K766" i="1"/>
  <c r="L766" i="1"/>
  <c r="J767" i="1"/>
  <c r="K767" i="1"/>
  <c r="L767" i="1"/>
  <c r="J768" i="1"/>
  <c r="K768" i="1"/>
  <c r="L768" i="1"/>
  <c r="J769" i="1"/>
  <c r="K769" i="1"/>
  <c r="L769" i="1"/>
  <c r="J770" i="1"/>
  <c r="K770" i="1"/>
  <c r="L770" i="1"/>
  <c r="J771" i="1"/>
  <c r="K771" i="1"/>
  <c r="L771" i="1"/>
  <c r="J772" i="1"/>
  <c r="K772" i="1"/>
  <c r="L772" i="1"/>
  <c r="J773" i="1"/>
  <c r="K773" i="1"/>
  <c r="L773" i="1"/>
  <c r="J774" i="1"/>
  <c r="K774" i="1"/>
  <c r="L774" i="1"/>
  <c r="J775" i="1"/>
  <c r="K775" i="1"/>
  <c r="L775" i="1"/>
  <c r="J776" i="1"/>
  <c r="K776" i="1"/>
  <c r="L776" i="1"/>
  <c r="J777" i="1"/>
  <c r="K777" i="1"/>
  <c r="L777" i="1"/>
  <c r="J778" i="1"/>
  <c r="K778" i="1"/>
  <c r="L778" i="1"/>
  <c r="J779" i="1"/>
  <c r="K779" i="1"/>
  <c r="L779" i="1"/>
  <c r="J780" i="1"/>
  <c r="K780" i="1"/>
  <c r="L780" i="1"/>
  <c r="J781" i="1"/>
  <c r="K781" i="1"/>
  <c r="L781" i="1"/>
  <c r="J782" i="1"/>
  <c r="K782" i="1"/>
  <c r="L782" i="1"/>
  <c r="J783" i="1"/>
  <c r="K783" i="1"/>
  <c r="L783" i="1"/>
  <c r="J784" i="1"/>
  <c r="K784" i="1"/>
  <c r="L784" i="1"/>
  <c r="J785" i="1"/>
  <c r="K785" i="1"/>
  <c r="L785" i="1"/>
  <c r="J786" i="1"/>
  <c r="K786" i="1"/>
  <c r="L786" i="1"/>
  <c r="J787" i="1"/>
  <c r="K787" i="1"/>
  <c r="L787" i="1"/>
  <c r="J788" i="1"/>
  <c r="K788" i="1"/>
  <c r="L788" i="1"/>
  <c r="J789" i="1"/>
  <c r="K789" i="1"/>
  <c r="L789" i="1"/>
  <c r="J790" i="1"/>
  <c r="K790" i="1"/>
  <c r="L790" i="1"/>
  <c r="J791" i="1"/>
  <c r="K791" i="1"/>
  <c r="L791" i="1"/>
  <c r="J792" i="1"/>
  <c r="K792" i="1"/>
  <c r="L792" i="1"/>
  <c r="J793" i="1"/>
  <c r="K793" i="1"/>
  <c r="L793" i="1"/>
  <c r="J794" i="1"/>
  <c r="K794" i="1"/>
  <c r="L794" i="1"/>
  <c r="J795" i="1"/>
  <c r="K795" i="1"/>
  <c r="L795" i="1"/>
  <c r="J796" i="1"/>
  <c r="K796" i="1"/>
  <c r="L796" i="1"/>
  <c r="J797" i="1"/>
  <c r="K797" i="1"/>
  <c r="L797" i="1"/>
  <c r="J798" i="1"/>
  <c r="K798" i="1"/>
  <c r="L798" i="1"/>
  <c r="J799" i="1"/>
  <c r="K799" i="1"/>
  <c r="L799" i="1"/>
  <c r="J800" i="1"/>
  <c r="K800" i="1"/>
  <c r="L800" i="1"/>
  <c r="J801" i="1"/>
  <c r="K801" i="1"/>
  <c r="L801" i="1"/>
  <c r="J802" i="1"/>
  <c r="K802" i="1"/>
  <c r="L802" i="1"/>
  <c r="J803" i="1"/>
  <c r="K803" i="1"/>
  <c r="L803" i="1"/>
  <c r="J804" i="1"/>
  <c r="K804" i="1"/>
  <c r="L804" i="1"/>
  <c r="J805" i="1"/>
  <c r="K805" i="1"/>
  <c r="L805" i="1"/>
  <c r="J806" i="1"/>
  <c r="K806" i="1"/>
  <c r="L806" i="1"/>
  <c r="J807" i="1"/>
  <c r="K807" i="1"/>
  <c r="L807" i="1"/>
  <c r="J808" i="1"/>
  <c r="K808" i="1"/>
  <c r="L808" i="1"/>
  <c r="J809" i="1"/>
  <c r="K809" i="1"/>
  <c r="L809" i="1"/>
  <c r="J810" i="1"/>
  <c r="K810" i="1"/>
  <c r="L810" i="1"/>
  <c r="J811" i="1"/>
  <c r="K811" i="1"/>
  <c r="L811" i="1"/>
  <c r="J812" i="1"/>
  <c r="K812" i="1"/>
  <c r="L812" i="1"/>
  <c r="J813" i="1"/>
  <c r="K813" i="1"/>
  <c r="L813" i="1"/>
  <c r="J814" i="1"/>
  <c r="K814" i="1"/>
  <c r="L814" i="1"/>
  <c r="J815" i="1"/>
  <c r="K815" i="1"/>
  <c r="L815" i="1"/>
  <c r="J816" i="1"/>
  <c r="K816" i="1"/>
  <c r="L816" i="1"/>
  <c r="J817" i="1"/>
  <c r="K817" i="1"/>
  <c r="L817" i="1"/>
  <c r="J818" i="1"/>
  <c r="K818" i="1"/>
  <c r="L818" i="1"/>
  <c r="J819" i="1"/>
  <c r="K819" i="1"/>
  <c r="L819" i="1"/>
  <c r="J820" i="1"/>
  <c r="K820" i="1"/>
  <c r="L820" i="1"/>
  <c r="J821" i="1"/>
  <c r="K821" i="1"/>
  <c r="L821" i="1"/>
  <c r="J822" i="1"/>
  <c r="K822" i="1"/>
  <c r="L822" i="1"/>
  <c r="J823" i="1"/>
  <c r="K823" i="1"/>
  <c r="L823" i="1"/>
  <c r="J824" i="1"/>
  <c r="K824" i="1"/>
  <c r="L824" i="1"/>
  <c r="J825" i="1"/>
  <c r="K825" i="1"/>
  <c r="L825" i="1"/>
  <c r="J826" i="1"/>
  <c r="K826" i="1"/>
  <c r="L826" i="1"/>
  <c r="J827" i="1"/>
  <c r="K827" i="1"/>
  <c r="L827" i="1"/>
  <c r="J828" i="1"/>
  <c r="K828" i="1"/>
  <c r="L828" i="1"/>
  <c r="J829" i="1"/>
  <c r="K829" i="1"/>
  <c r="L829" i="1"/>
  <c r="J830" i="1"/>
  <c r="K830" i="1"/>
  <c r="L830" i="1"/>
  <c r="J831" i="1"/>
  <c r="K831" i="1"/>
  <c r="L831" i="1"/>
  <c r="J832" i="1"/>
  <c r="K832" i="1"/>
  <c r="L832" i="1"/>
  <c r="J833" i="1"/>
  <c r="K833" i="1"/>
  <c r="L833" i="1"/>
  <c r="J834" i="1"/>
  <c r="K834" i="1"/>
  <c r="L834" i="1"/>
  <c r="J835" i="1"/>
  <c r="K835" i="1"/>
  <c r="L835" i="1"/>
  <c r="J836" i="1"/>
  <c r="K836" i="1"/>
  <c r="L836" i="1"/>
  <c r="J837" i="1"/>
  <c r="K837" i="1"/>
  <c r="L837" i="1"/>
  <c r="J838" i="1"/>
  <c r="K838" i="1"/>
  <c r="L838" i="1"/>
  <c r="J839" i="1"/>
  <c r="K839" i="1"/>
  <c r="L839" i="1"/>
  <c r="J840" i="1"/>
  <c r="K840" i="1"/>
  <c r="L840" i="1"/>
  <c r="J841" i="1"/>
  <c r="K841" i="1"/>
  <c r="L841" i="1"/>
  <c r="J842" i="1"/>
  <c r="K842" i="1"/>
  <c r="L842" i="1"/>
  <c r="J843" i="1"/>
  <c r="K843" i="1"/>
  <c r="L843" i="1"/>
  <c r="J844" i="1"/>
  <c r="K844" i="1"/>
  <c r="L844" i="1"/>
  <c r="J845" i="1"/>
  <c r="K845" i="1"/>
  <c r="L845" i="1"/>
  <c r="J846" i="1"/>
  <c r="K846" i="1"/>
  <c r="L846" i="1"/>
  <c r="J847" i="1"/>
  <c r="K847" i="1"/>
  <c r="L847" i="1"/>
  <c r="J848" i="1"/>
  <c r="K848" i="1"/>
  <c r="L848" i="1"/>
  <c r="J849" i="1"/>
  <c r="K849" i="1"/>
  <c r="L849" i="1"/>
  <c r="J850" i="1"/>
  <c r="K850" i="1"/>
  <c r="L850" i="1"/>
  <c r="J851" i="1"/>
  <c r="K851" i="1"/>
  <c r="L851" i="1"/>
  <c r="J852" i="1"/>
  <c r="K852" i="1"/>
  <c r="L852" i="1"/>
  <c r="J853" i="1"/>
  <c r="K853" i="1"/>
  <c r="L853" i="1"/>
  <c r="J854" i="1"/>
  <c r="K854" i="1"/>
  <c r="L854" i="1"/>
  <c r="J855" i="1"/>
  <c r="K855" i="1"/>
  <c r="L855" i="1"/>
  <c r="J856" i="1"/>
  <c r="K856" i="1"/>
  <c r="L856" i="1"/>
  <c r="J857" i="1"/>
  <c r="K857" i="1"/>
  <c r="L857" i="1"/>
  <c r="J858" i="1"/>
  <c r="K858" i="1"/>
  <c r="L858" i="1"/>
  <c r="J859" i="1"/>
  <c r="K859" i="1"/>
  <c r="L859" i="1"/>
  <c r="J860" i="1"/>
  <c r="K860" i="1"/>
  <c r="L860" i="1"/>
  <c r="J861" i="1"/>
  <c r="K861" i="1"/>
  <c r="L861" i="1"/>
  <c r="J862" i="1"/>
  <c r="K862" i="1"/>
  <c r="L862" i="1"/>
  <c r="J863" i="1"/>
  <c r="K863" i="1"/>
  <c r="L863" i="1"/>
  <c r="J864" i="1"/>
  <c r="K864" i="1"/>
  <c r="L864" i="1"/>
  <c r="J865" i="1"/>
  <c r="K865" i="1"/>
  <c r="L865" i="1"/>
  <c r="J866" i="1"/>
  <c r="K866" i="1"/>
  <c r="L866" i="1"/>
  <c r="J867" i="1"/>
  <c r="K867" i="1"/>
  <c r="L867" i="1"/>
  <c r="J868" i="1"/>
  <c r="K868" i="1"/>
  <c r="L868" i="1"/>
  <c r="J869" i="1"/>
  <c r="K869" i="1"/>
  <c r="L869" i="1"/>
  <c r="J870" i="1"/>
  <c r="K870" i="1"/>
  <c r="L870" i="1"/>
  <c r="J871" i="1"/>
  <c r="K871" i="1"/>
  <c r="L871" i="1"/>
  <c r="J872" i="1"/>
  <c r="K872" i="1"/>
  <c r="L872" i="1"/>
  <c r="J873" i="1"/>
  <c r="K873" i="1"/>
  <c r="L873" i="1"/>
  <c r="J874" i="1"/>
  <c r="K874" i="1"/>
  <c r="L874" i="1"/>
  <c r="J875" i="1"/>
  <c r="K875" i="1"/>
  <c r="L875" i="1"/>
  <c r="J876" i="1"/>
  <c r="K876" i="1"/>
  <c r="L876" i="1"/>
  <c r="J877" i="1"/>
  <c r="K877" i="1"/>
  <c r="L877" i="1"/>
  <c r="J878" i="1"/>
  <c r="K878" i="1"/>
  <c r="L878" i="1"/>
  <c r="J879" i="1"/>
  <c r="K879" i="1"/>
  <c r="L879" i="1"/>
  <c r="J880" i="1"/>
  <c r="K880" i="1"/>
  <c r="L880" i="1"/>
  <c r="J881" i="1"/>
  <c r="K881" i="1"/>
  <c r="L881" i="1"/>
  <c r="J882" i="1"/>
  <c r="K882" i="1"/>
  <c r="L882" i="1"/>
  <c r="J883" i="1"/>
  <c r="K883" i="1"/>
  <c r="L883" i="1"/>
  <c r="J884" i="1"/>
  <c r="K884" i="1"/>
  <c r="L884" i="1"/>
  <c r="J885" i="1"/>
  <c r="K885" i="1"/>
  <c r="L885" i="1"/>
  <c r="J886" i="1"/>
  <c r="K886" i="1"/>
  <c r="L886" i="1"/>
  <c r="J887" i="1"/>
  <c r="K887" i="1"/>
  <c r="L887" i="1"/>
  <c r="J888" i="1"/>
  <c r="K888" i="1"/>
  <c r="L888" i="1"/>
  <c r="J889" i="1"/>
  <c r="K889" i="1"/>
  <c r="L889" i="1"/>
  <c r="J890" i="1"/>
  <c r="K890" i="1"/>
  <c r="L890" i="1"/>
  <c r="J891" i="1"/>
  <c r="K891" i="1"/>
  <c r="L891" i="1"/>
  <c r="J892" i="1"/>
  <c r="K892" i="1"/>
  <c r="L892" i="1"/>
  <c r="J893" i="1"/>
  <c r="K893" i="1"/>
  <c r="L893" i="1"/>
  <c r="J894" i="1"/>
  <c r="K894" i="1"/>
  <c r="L894" i="1"/>
  <c r="J895" i="1"/>
  <c r="K895" i="1"/>
  <c r="L895" i="1"/>
  <c r="J896" i="1"/>
  <c r="K896" i="1"/>
  <c r="L896" i="1"/>
  <c r="J897" i="1"/>
  <c r="K897" i="1"/>
  <c r="L897" i="1"/>
  <c r="J898" i="1"/>
  <c r="K898" i="1"/>
  <c r="L898" i="1"/>
  <c r="J899" i="1"/>
  <c r="K899" i="1"/>
  <c r="L899" i="1"/>
  <c r="J900" i="1"/>
  <c r="K900" i="1"/>
  <c r="L900" i="1"/>
  <c r="J901" i="1"/>
  <c r="K901" i="1"/>
  <c r="L901" i="1"/>
  <c r="J902" i="1"/>
  <c r="K902" i="1"/>
  <c r="L902" i="1"/>
  <c r="J903" i="1"/>
  <c r="K903" i="1"/>
  <c r="L903" i="1"/>
  <c r="J904" i="1"/>
  <c r="K904" i="1"/>
  <c r="L904" i="1"/>
  <c r="J905" i="1"/>
  <c r="K905" i="1"/>
  <c r="L905" i="1"/>
  <c r="J906" i="1"/>
  <c r="K906" i="1"/>
  <c r="L906" i="1"/>
  <c r="J907" i="1"/>
  <c r="K907" i="1"/>
  <c r="L907" i="1"/>
  <c r="J908" i="1"/>
  <c r="K908" i="1"/>
  <c r="L908" i="1"/>
  <c r="J909" i="1"/>
  <c r="K909" i="1"/>
  <c r="L909" i="1"/>
  <c r="J910" i="1"/>
  <c r="K910" i="1"/>
  <c r="L910" i="1"/>
  <c r="J911" i="1"/>
  <c r="K911" i="1"/>
  <c r="L911" i="1"/>
  <c r="J912" i="1"/>
  <c r="K912" i="1"/>
  <c r="L912" i="1"/>
  <c r="J913" i="1"/>
  <c r="K913" i="1"/>
  <c r="L913" i="1"/>
  <c r="J914" i="1"/>
  <c r="K914" i="1"/>
  <c r="L914" i="1"/>
  <c r="J915" i="1"/>
  <c r="K915" i="1"/>
  <c r="L915" i="1"/>
  <c r="J916" i="1"/>
  <c r="K916" i="1"/>
  <c r="L916" i="1"/>
  <c r="J917" i="1"/>
  <c r="K917" i="1"/>
  <c r="L917" i="1"/>
  <c r="J918" i="1"/>
  <c r="K918" i="1"/>
  <c r="L918" i="1"/>
  <c r="J919" i="1"/>
  <c r="K919" i="1"/>
  <c r="L919" i="1"/>
  <c r="J920" i="1"/>
  <c r="K920" i="1"/>
  <c r="L920" i="1"/>
  <c r="J921" i="1"/>
  <c r="K921" i="1"/>
  <c r="L921" i="1"/>
  <c r="J922" i="1"/>
  <c r="K922" i="1"/>
  <c r="L922" i="1"/>
  <c r="J923" i="1"/>
  <c r="K923" i="1"/>
  <c r="L923" i="1"/>
  <c r="J924" i="1"/>
  <c r="K924" i="1"/>
  <c r="L924" i="1"/>
  <c r="J925" i="1"/>
  <c r="K925" i="1"/>
  <c r="L925" i="1"/>
  <c r="J926" i="1"/>
  <c r="K926" i="1"/>
  <c r="L926" i="1"/>
  <c r="J927" i="1"/>
  <c r="K927" i="1"/>
  <c r="L927" i="1"/>
  <c r="J928" i="1"/>
  <c r="K928" i="1"/>
  <c r="L928" i="1"/>
  <c r="J929" i="1"/>
  <c r="K929" i="1"/>
  <c r="L929" i="1"/>
  <c r="J930" i="1"/>
  <c r="K930" i="1"/>
  <c r="L930" i="1"/>
  <c r="J931" i="1"/>
  <c r="K931" i="1"/>
  <c r="L931" i="1"/>
  <c r="J932" i="1"/>
  <c r="K932" i="1"/>
  <c r="L932" i="1"/>
  <c r="J933" i="1"/>
  <c r="K933" i="1"/>
  <c r="L933" i="1"/>
  <c r="J934" i="1"/>
  <c r="K934" i="1"/>
  <c r="L934" i="1"/>
  <c r="J935" i="1"/>
  <c r="K935" i="1"/>
  <c r="L935" i="1"/>
  <c r="J936" i="1"/>
  <c r="K936" i="1"/>
  <c r="L936" i="1"/>
  <c r="J937" i="1"/>
  <c r="K937" i="1"/>
  <c r="L937" i="1"/>
  <c r="J938" i="1"/>
  <c r="K938" i="1"/>
  <c r="L938" i="1"/>
  <c r="J939" i="1"/>
  <c r="K939" i="1"/>
  <c r="L939" i="1"/>
  <c r="J940" i="1"/>
  <c r="K940" i="1"/>
  <c r="L940" i="1"/>
  <c r="J941" i="1"/>
  <c r="K941" i="1"/>
  <c r="L941" i="1"/>
  <c r="J942" i="1"/>
  <c r="K942" i="1"/>
  <c r="L942" i="1"/>
  <c r="J943" i="1"/>
  <c r="K943" i="1"/>
  <c r="L943" i="1"/>
  <c r="J944" i="1"/>
  <c r="K944" i="1"/>
  <c r="L944" i="1"/>
  <c r="J945" i="1"/>
  <c r="K945" i="1"/>
  <c r="L945" i="1"/>
  <c r="J946" i="1"/>
  <c r="K946" i="1"/>
  <c r="L946" i="1"/>
  <c r="J947" i="1"/>
  <c r="K947" i="1"/>
  <c r="L947" i="1"/>
  <c r="J948" i="1"/>
  <c r="K948" i="1"/>
  <c r="L948" i="1"/>
  <c r="J949" i="1"/>
  <c r="K949" i="1"/>
  <c r="L949" i="1"/>
  <c r="J950" i="1"/>
  <c r="K950" i="1"/>
  <c r="L950" i="1"/>
  <c r="J951" i="1"/>
  <c r="K951" i="1"/>
  <c r="L951" i="1"/>
  <c r="J952" i="1"/>
  <c r="K952" i="1"/>
  <c r="L952" i="1"/>
  <c r="J953" i="1"/>
  <c r="K953" i="1"/>
  <c r="L953" i="1"/>
  <c r="J954" i="1"/>
  <c r="K954" i="1"/>
  <c r="L954" i="1"/>
  <c r="J955" i="1"/>
  <c r="K955" i="1"/>
  <c r="L955" i="1"/>
  <c r="J956" i="1"/>
  <c r="K956" i="1"/>
  <c r="L956" i="1"/>
  <c r="J957" i="1"/>
  <c r="K957" i="1"/>
  <c r="L957" i="1"/>
  <c r="J958" i="1"/>
  <c r="K958" i="1"/>
  <c r="L958" i="1"/>
  <c r="J959" i="1"/>
  <c r="K959" i="1"/>
  <c r="L959" i="1"/>
  <c r="J960" i="1"/>
  <c r="K960" i="1"/>
  <c r="L960" i="1"/>
  <c r="J961" i="1"/>
  <c r="K961" i="1"/>
  <c r="L961" i="1"/>
  <c r="J962" i="1"/>
  <c r="K962" i="1"/>
  <c r="L962" i="1"/>
  <c r="J963" i="1"/>
  <c r="K963" i="1"/>
  <c r="L963" i="1"/>
  <c r="J964" i="1"/>
  <c r="K964" i="1"/>
  <c r="L964" i="1"/>
  <c r="J965" i="1"/>
  <c r="K965" i="1"/>
  <c r="L965" i="1"/>
  <c r="J966" i="1"/>
  <c r="K966" i="1"/>
  <c r="L966" i="1"/>
  <c r="J967" i="1"/>
  <c r="K967" i="1"/>
  <c r="L967" i="1"/>
  <c r="J968" i="1"/>
  <c r="K968" i="1"/>
  <c r="L968" i="1"/>
  <c r="J969" i="1"/>
  <c r="K969" i="1"/>
  <c r="L969" i="1"/>
  <c r="J970" i="1"/>
  <c r="K970" i="1"/>
  <c r="L970" i="1"/>
  <c r="J971" i="1"/>
  <c r="K971" i="1"/>
  <c r="L971" i="1"/>
  <c r="J972" i="1"/>
  <c r="K972" i="1"/>
  <c r="L972" i="1"/>
  <c r="J973" i="1"/>
  <c r="K973" i="1"/>
  <c r="L973" i="1"/>
  <c r="J974" i="1"/>
  <c r="K974" i="1"/>
  <c r="L974" i="1"/>
  <c r="J975" i="1"/>
  <c r="K975" i="1"/>
  <c r="L975" i="1"/>
  <c r="J976" i="1"/>
  <c r="K976" i="1"/>
  <c r="L976" i="1"/>
  <c r="J977" i="1"/>
  <c r="K977" i="1"/>
  <c r="L977" i="1"/>
  <c r="J978" i="1"/>
  <c r="K978" i="1"/>
  <c r="L978" i="1"/>
  <c r="J979" i="1"/>
  <c r="K979" i="1"/>
  <c r="L979" i="1"/>
  <c r="J980" i="1"/>
  <c r="K980" i="1"/>
  <c r="L980" i="1"/>
  <c r="J981" i="1"/>
  <c r="K981" i="1"/>
  <c r="L981" i="1"/>
  <c r="J982" i="1"/>
  <c r="K982" i="1"/>
  <c r="L982" i="1"/>
  <c r="J983" i="1"/>
  <c r="K983" i="1"/>
  <c r="L983" i="1"/>
  <c r="J984" i="1"/>
  <c r="K984" i="1"/>
  <c r="L984" i="1"/>
  <c r="J985" i="1"/>
  <c r="K985" i="1"/>
  <c r="L985" i="1"/>
  <c r="J986" i="1"/>
  <c r="K986" i="1"/>
  <c r="L986" i="1"/>
  <c r="J987" i="1"/>
  <c r="K987" i="1"/>
  <c r="L987" i="1"/>
  <c r="J988" i="1"/>
  <c r="K988" i="1"/>
  <c r="L988" i="1"/>
  <c r="J989" i="1"/>
  <c r="K989" i="1"/>
  <c r="L989" i="1"/>
  <c r="J990" i="1"/>
  <c r="K990" i="1"/>
  <c r="L990" i="1"/>
  <c r="J991" i="1"/>
  <c r="K991" i="1"/>
  <c r="L991" i="1"/>
  <c r="J992" i="1"/>
  <c r="K992" i="1"/>
  <c r="L992" i="1"/>
  <c r="J993" i="1"/>
  <c r="K993" i="1"/>
  <c r="L993" i="1"/>
  <c r="J994" i="1"/>
  <c r="K994" i="1"/>
  <c r="L994" i="1"/>
  <c r="J995" i="1"/>
  <c r="K995" i="1"/>
  <c r="L995" i="1"/>
  <c r="J996" i="1"/>
  <c r="K996" i="1"/>
  <c r="L996" i="1"/>
  <c r="J997" i="1"/>
  <c r="K997" i="1"/>
  <c r="L997" i="1"/>
  <c r="J998" i="1"/>
  <c r="K998" i="1"/>
  <c r="L998" i="1"/>
  <c r="J999" i="1"/>
  <c r="K999" i="1"/>
  <c r="L999" i="1"/>
  <c r="J1000" i="1"/>
  <c r="K1000" i="1"/>
  <c r="L1000" i="1"/>
  <c r="J1001" i="1"/>
  <c r="K1001" i="1"/>
  <c r="L1001" i="1"/>
  <c r="J1002" i="1"/>
  <c r="K1002" i="1"/>
  <c r="L1002" i="1"/>
  <c r="J1003" i="1"/>
  <c r="K1003" i="1"/>
  <c r="L1003" i="1"/>
  <c r="J1004" i="1"/>
  <c r="K1004" i="1"/>
  <c r="L1004" i="1"/>
  <c r="J1005" i="1"/>
  <c r="K1005" i="1"/>
  <c r="L1005" i="1"/>
  <c r="J1006" i="1"/>
  <c r="K1006" i="1"/>
  <c r="L1006" i="1"/>
  <c r="J1007" i="1"/>
  <c r="K1007" i="1"/>
  <c r="L1007" i="1"/>
  <c r="J1008" i="1"/>
  <c r="K1008" i="1"/>
  <c r="L1008" i="1"/>
  <c r="J1009" i="1"/>
  <c r="K1009" i="1"/>
  <c r="L1009" i="1"/>
  <c r="J1010" i="1"/>
  <c r="K1010" i="1"/>
  <c r="L1010" i="1"/>
  <c r="J1011" i="1"/>
  <c r="K1011" i="1"/>
  <c r="L1011" i="1"/>
  <c r="J1012" i="1"/>
  <c r="K1012" i="1"/>
  <c r="L1012" i="1"/>
  <c r="J1013" i="1"/>
  <c r="K1013" i="1"/>
  <c r="L1013" i="1"/>
  <c r="J1014" i="1"/>
  <c r="K1014" i="1"/>
  <c r="L1014" i="1"/>
  <c r="J1015" i="1"/>
  <c r="K1015" i="1"/>
  <c r="L1015" i="1"/>
  <c r="J1016" i="1"/>
  <c r="K1016" i="1"/>
  <c r="L1016" i="1"/>
  <c r="J1017" i="1"/>
  <c r="K1017" i="1"/>
  <c r="L1017" i="1"/>
  <c r="J1018" i="1"/>
  <c r="K1018" i="1"/>
  <c r="L1018" i="1"/>
  <c r="J1019" i="1"/>
  <c r="K1019" i="1"/>
  <c r="L1019" i="1"/>
  <c r="J1020" i="1"/>
  <c r="K1020" i="1"/>
  <c r="L1020" i="1"/>
  <c r="J1021" i="1"/>
  <c r="K1021" i="1"/>
  <c r="L1021" i="1"/>
  <c r="J1022" i="1"/>
  <c r="K1022" i="1"/>
  <c r="L1022" i="1"/>
  <c r="J1023" i="1"/>
  <c r="K1023" i="1"/>
  <c r="L1023" i="1"/>
  <c r="J1024" i="1"/>
  <c r="K1024" i="1"/>
  <c r="L1024" i="1"/>
  <c r="J1025" i="1"/>
  <c r="K1025" i="1"/>
  <c r="L1025" i="1"/>
  <c r="J1026" i="1"/>
  <c r="K1026" i="1"/>
  <c r="L1026" i="1"/>
  <c r="J1027" i="1"/>
  <c r="K1027" i="1"/>
  <c r="L1027" i="1"/>
  <c r="J1028" i="1"/>
  <c r="K1028" i="1"/>
  <c r="L1028" i="1"/>
  <c r="J1029" i="1"/>
  <c r="K1029" i="1"/>
  <c r="L1029" i="1"/>
  <c r="J1030" i="1"/>
  <c r="K1030" i="1"/>
  <c r="L1030" i="1"/>
  <c r="J1031" i="1"/>
  <c r="K1031" i="1"/>
  <c r="L1031" i="1"/>
  <c r="J1032" i="1"/>
  <c r="K1032" i="1"/>
  <c r="L1032" i="1"/>
  <c r="J1033" i="1"/>
  <c r="K1033" i="1"/>
  <c r="L1033" i="1"/>
  <c r="J1034" i="1"/>
  <c r="K1034" i="1"/>
  <c r="L1034" i="1"/>
  <c r="J1035" i="1"/>
  <c r="K1035" i="1"/>
  <c r="L1035" i="1"/>
  <c r="J1036" i="1"/>
  <c r="K1036" i="1"/>
  <c r="L1036" i="1"/>
  <c r="J1037" i="1"/>
  <c r="K1037" i="1"/>
  <c r="L1037" i="1"/>
  <c r="J1038" i="1"/>
  <c r="K1038" i="1"/>
  <c r="L1038" i="1"/>
  <c r="J1039" i="1"/>
  <c r="K1039" i="1"/>
  <c r="L1039" i="1"/>
  <c r="J1040" i="1"/>
  <c r="K1040" i="1"/>
  <c r="L1040" i="1"/>
  <c r="J1041" i="1"/>
  <c r="K1041" i="1"/>
  <c r="L1041" i="1"/>
  <c r="J1042" i="1"/>
  <c r="K1042" i="1"/>
  <c r="L1042" i="1"/>
  <c r="J1043" i="1"/>
  <c r="K1043" i="1"/>
  <c r="L1043" i="1"/>
  <c r="J1044" i="1"/>
  <c r="K1044" i="1"/>
  <c r="L1044" i="1"/>
  <c r="J1045" i="1"/>
  <c r="K1045" i="1"/>
  <c r="L1045" i="1"/>
  <c r="J1046" i="1"/>
  <c r="K1046" i="1"/>
  <c r="L1046" i="1"/>
  <c r="J1047" i="1"/>
  <c r="K1047" i="1"/>
  <c r="L1047" i="1"/>
  <c r="J1048" i="1"/>
  <c r="K1048" i="1"/>
  <c r="L1048" i="1"/>
  <c r="J1049" i="1"/>
  <c r="K1049" i="1"/>
  <c r="L1049" i="1"/>
  <c r="J1050" i="1"/>
  <c r="K1050" i="1"/>
  <c r="L1050" i="1"/>
  <c r="J1051" i="1"/>
  <c r="K1051" i="1"/>
  <c r="L1051" i="1"/>
  <c r="J1052" i="1"/>
  <c r="K1052" i="1"/>
  <c r="L1052" i="1"/>
  <c r="J1053" i="1"/>
  <c r="K1053" i="1"/>
  <c r="L1053" i="1"/>
  <c r="J1054" i="1"/>
  <c r="K1054" i="1"/>
  <c r="L1054" i="1"/>
  <c r="J1055" i="1"/>
  <c r="K1055" i="1"/>
  <c r="L1055" i="1"/>
  <c r="J1056" i="1"/>
  <c r="K1056" i="1"/>
  <c r="L1056" i="1"/>
  <c r="J1057" i="1"/>
  <c r="K1057" i="1"/>
  <c r="L1057" i="1"/>
  <c r="J1058" i="1"/>
  <c r="K1058" i="1"/>
  <c r="L1058" i="1"/>
  <c r="J1059" i="1"/>
  <c r="K1059" i="1"/>
  <c r="L1059" i="1"/>
  <c r="J1060" i="1"/>
  <c r="K1060" i="1"/>
  <c r="L1060" i="1"/>
  <c r="J1061" i="1"/>
  <c r="K1061" i="1"/>
  <c r="L1061" i="1"/>
  <c r="J1062" i="1"/>
  <c r="K1062" i="1"/>
  <c r="L1062" i="1"/>
  <c r="J1063" i="1"/>
  <c r="K1063" i="1"/>
  <c r="L1063" i="1"/>
  <c r="J1064" i="1"/>
  <c r="K1064" i="1"/>
  <c r="L1064" i="1"/>
  <c r="J1065" i="1"/>
  <c r="K1065" i="1"/>
  <c r="L1065" i="1"/>
  <c r="J1066" i="1"/>
  <c r="K1066" i="1"/>
  <c r="L1066" i="1"/>
  <c r="J1067" i="1"/>
  <c r="K1067" i="1"/>
  <c r="L1067" i="1"/>
  <c r="J1068" i="1"/>
  <c r="K1068" i="1"/>
  <c r="L1068" i="1"/>
  <c r="J1069" i="1"/>
  <c r="K1069" i="1"/>
  <c r="L1069" i="1"/>
  <c r="J1070" i="1"/>
  <c r="K1070" i="1"/>
  <c r="L1070" i="1"/>
  <c r="J1071" i="1"/>
  <c r="K1071" i="1"/>
  <c r="L1071" i="1"/>
  <c r="J1072" i="1"/>
  <c r="K1072" i="1"/>
  <c r="L1072" i="1"/>
  <c r="J1073" i="1"/>
  <c r="K1073" i="1"/>
  <c r="L1073" i="1"/>
  <c r="J1074" i="1"/>
  <c r="K1074" i="1"/>
  <c r="L1074" i="1"/>
  <c r="J1075" i="1"/>
  <c r="K1075" i="1"/>
  <c r="L1075" i="1"/>
  <c r="J1076" i="1"/>
  <c r="K1076" i="1"/>
  <c r="L1076" i="1"/>
  <c r="J1077" i="1"/>
  <c r="K1077" i="1"/>
  <c r="L1077" i="1"/>
  <c r="J1078" i="1"/>
  <c r="K1078" i="1"/>
  <c r="L1078" i="1"/>
  <c r="J1079" i="1"/>
  <c r="K1079" i="1"/>
  <c r="L1079" i="1"/>
  <c r="J1080" i="1"/>
  <c r="K1080" i="1"/>
  <c r="L1080" i="1"/>
  <c r="J1081" i="1"/>
  <c r="K1081" i="1"/>
  <c r="L1081" i="1"/>
  <c r="J1082" i="1"/>
  <c r="K1082" i="1"/>
  <c r="L1082" i="1"/>
  <c r="J1083" i="1"/>
  <c r="K1083" i="1"/>
  <c r="L1083" i="1"/>
  <c r="J1084" i="1"/>
  <c r="K1084" i="1"/>
  <c r="L1084" i="1"/>
  <c r="J1085" i="1"/>
  <c r="K1085" i="1"/>
  <c r="L1085" i="1"/>
  <c r="J1086" i="1"/>
  <c r="K1086" i="1"/>
  <c r="L1086" i="1"/>
  <c r="J1087" i="1"/>
  <c r="K1087" i="1"/>
  <c r="L1087" i="1"/>
  <c r="J1088" i="1"/>
  <c r="K1088" i="1"/>
  <c r="L1088" i="1"/>
  <c r="J1089" i="1"/>
  <c r="K1089" i="1"/>
  <c r="L1089" i="1"/>
  <c r="J1090" i="1"/>
  <c r="K1090" i="1"/>
  <c r="L1090" i="1"/>
  <c r="J1091" i="1"/>
  <c r="K1091" i="1"/>
  <c r="L1091" i="1"/>
  <c r="J1092" i="1"/>
  <c r="K1092" i="1"/>
  <c r="L1092" i="1"/>
  <c r="J1093" i="1"/>
  <c r="K1093" i="1"/>
  <c r="L1093" i="1"/>
  <c r="J1094" i="1"/>
  <c r="K1094" i="1"/>
  <c r="L1094" i="1"/>
  <c r="J1095" i="1"/>
  <c r="K1095" i="1"/>
  <c r="L1095" i="1"/>
  <c r="J1096" i="1"/>
  <c r="K1096" i="1"/>
  <c r="L1096" i="1"/>
  <c r="J1097" i="1"/>
  <c r="K1097" i="1"/>
  <c r="L1097" i="1"/>
  <c r="J1098" i="1"/>
  <c r="K1098" i="1"/>
  <c r="L1098" i="1"/>
  <c r="J1099" i="1"/>
  <c r="K1099" i="1"/>
  <c r="L1099" i="1"/>
  <c r="J1100" i="1"/>
  <c r="K1100" i="1"/>
  <c r="L1100" i="1"/>
  <c r="J1101" i="1"/>
  <c r="K1101" i="1"/>
  <c r="L1101" i="1"/>
  <c r="J1102" i="1"/>
  <c r="K1102" i="1"/>
  <c r="L1102" i="1"/>
  <c r="J1103" i="1"/>
  <c r="K1103" i="1"/>
  <c r="L1103" i="1"/>
  <c r="J1104" i="1"/>
  <c r="K1104" i="1"/>
  <c r="L1104" i="1"/>
  <c r="J1105" i="1"/>
  <c r="K1105" i="1"/>
  <c r="L1105" i="1"/>
  <c r="J1106" i="1"/>
  <c r="K1106" i="1"/>
  <c r="L1106" i="1"/>
  <c r="J1107" i="1"/>
  <c r="K1107" i="1"/>
  <c r="L1107" i="1"/>
  <c r="J1108" i="1"/>
  <c r="K1108" i="1"/>
  <c r="L1108" i="1"/>
  <c r="J1109" i="1"/>
  <c r="K1109" i="1"/>
  <c r="L1109" i="1"/>
  <c r="J1110" i="1"/>
  <c r="K1110" i="1"/>
  <c r="L1110" i="1"/>
  <c r="J1111" i="1"/>
  <c r="K1111" i="1"/>
  <c r="L1111" i="1"/>
  <c r="J1112" i="1"/>
  <c r="K1112" i="1"/>
  <c r="L1112" i="1"/>
  <c r="J1113" i="1"/>
  <c r="K1113" i="1"/>
  <c r="L1113" i="1"/>
  <c r="J1114" i="1"/>
  <c r="K1114" i="1"/>
  <c r="L1114" i="1"/>
  <c r="J1115" i="1"/>
  <c r="K1115" i="1"/>
  <c r="L1115" i="1"/>
  <c r="J1116" i="1"/>
  <c r="K1116" i="1"/>
  <c r="L1116" i="1"/>
  <c r="J1117" i="1"/>
  <c r="K1117" i="1"/>
  <c r="L1117" i="1"/>
  <c r="J1118" i="1"/>
  <c r="K1118" i="1"/>
  <c r="L1118" i="1"/>
  <c r="J1119" i="1"/>
  <c r="K1119" i="1"/>
  <c r="L1119" i="1"/>
  <c r="J1120" i="1"/>
  <c r="K1120" i="1"/>
  <c r="L1120" i="1"/>
  <c r="J1121" i="1"/>
  <c r="K1121" i="1"/>
  <c r="L1121" i="1"/>
  <c r="J1122" i="1"/>
  <c r="K1122" i="1"/>
  <c r="L1122" i="1"/>
  <c r="J1123" i="1"/>
  <c r="K1123" i="1"/>
  <c r="L1123" i="1"/>
  <c r="J1124" i="1"/>
  <c r="K1124" i="1"/>
  <c r="L1124" i="1"/>
  <c r="J1125" i="1"/>
  <c r="K1125" i="1"/>
  <c r="L1125" i="1"/>
  <c r="J1126" i="1"/>
  <c r="K1126" i="1"/>
  <c r="L1126" i="1"/>
  <c r="J1127" i="1"/>
  <c r="K1127" i="1"/>
  <c r="L1127" i="1"/>
  <c r="J1128" i="1"/>
  <c r="K1128" i="1"/>
  <c r="L1128" i="1"/>
  <c r="J1129" i="1"/>
  <c r="K1129" i="1"/>
  <c r="L1129" i="1"/>
  <c r="J1130" i="1"/>
  <c r="K1130" i="1"/>
  <c r="L1130" i="1"/>
  <c r="J1131" i="1"/>
  <c r="K1131" i="1"/>
  <c r="L1131" i="1"/>
  <c r="J1132" i="1"/>
  <c r="K1132" i="1"/>
  <c r="L1132" i="1"/>
  <c r="J1133" i="1"/>
  <c r="K1133" i="1"/>
  <c r="L1133" i="1"/>
  <c r="J1134" i="1"/>
  <c r="K1134" i="1"/>
  <c r="L1134" i="1"/>
  <c r="J1135" i="1"/>
  <c r="K1135" i="1"/>
  <c r="L1135" i="1"/>
  <c r="J1136" i="1"/>
  <c r="K1136" i="1"/>
  <c r="L1136" i="1"/>
  <c r="J1137" i="1"/>
  <c r="K1137" i="1"/>
  <c r="L1137" i="1"/>
  <c r="J1138" i="1"/>
  <c r="K1138" i="1"/>
  <c r="L1138" i="1"/>
  <c r="J1139" i="1"/>
  <c r="K1139" i="1"/>
  <c r="L1139" i="1"/>
  <c r="J1140" i="1"/>
  <c r="K1140" i="1"/>
  <c r="L1140" i="1"/>
  <c r="J1141" i="1"/>
  <c r="K1141" i="1"/>
  <c r="L1141" i="1"/>
  <c r="J1142" i="1"/>
  <c r="K1142" i="1"/>
  <c r="L1142" i="1"/>
  <c r="J1143" i="1"/>
  <c r="K1143" i="1"/>
  <c r="L1143" i="1"/>
  <c r="J1144" i="1"/>
  <c r="K1144" i="1"/>
  <c r="L1144" i="1"/>
  <c r="J1145" i="1"/>
  <c r="K1145" i="1"/>
  <c r="L1145" i="1"/>
  <c r="J1146" i="1"/>
  <c r="K1146" i="1"/>
  <c r="L1146" i="1"/>
  <c r="J1147" i="1"/>
  <c r="K1147" i="1"/>
  <c r="L1147" i="1"/>
  <c r="J1148" i="1"/>
  <c r="K1148" i="1"/>
  <c r="L1148" i="1"/>
  <c r="J1149" i="1"/>
  <c r="K1149" i="1"/>
  <c r="L1149" i="1"/>
  <c r="J1150" i="1"/>
  <c r="K1150" i="1"/>
  <c r="L1150" i="1"/>
  <c r="J1151" i="1"/>
  <c r="K1151" i="1"/>
  <c r="L1151" i="1"/>
  <c r="J1152" i="1"/>
  <c r="K1152" i="1"/>
  <c r="L1152" i="1"/>
  <c r="J1153" i="1"/>
  <c r="K1153" i="1"/>
  <c r="L1153" i="1"/>
  <c r="J1154" i="1"/>
  <c r="K1154" i="1"/>
  <c r="L1154" i="1"/>
  <c r="J1155" i="1"/>
  <c r="K1155" i="1"/>
  <c r="L1155" i="1"/>
  <c r="J1156" i="1"/>
  <c r="K1156" i="1"/>
  <c r="L1156" i="1"/>
  <c r="J1157" i="1"/>
  <c r="K1157" i="1"/>
  <c r="L1157" i="1"/>
  <c r="J1158" i="1"/>
  <c r="K1158" i="1"/>
  <c r="L1158" i="1"/>
  <c r="J1159" i="1"/>
  <c r="K1159" i="1"/>
  <c r="L1159" i="1"/>
  <c r="J1160" i="1"/>
  <c r="K1160" i="1"/>
  <c r="L1160" i="1"/>
  <c r="J1161" i="1"/>
  <c r="K1161" i="1"/>
  <c r="L1161" i="1"/>
  <c r="J1162" i="1"/>
  <c r="K1162" i="1"/>
  <c r="L1162" i="1"/>
  <c r="J1163" i="1"/>
  <c r="K1163" i="1"/>
  <c r="L1163" i="1"/>
  <c r="J1164" i="1"/>
  <c r="K1164" i="1"/>
  <c r="L1164" i="1"/>
  <c r="J1165" i="1"/>
  <c r="K1165" i="1"/>
  <c r="L1165" i="1"/>
  <c r="J1166" i="1"/>
  <c r="K1166" i="1"/>
  <c r="L1166" i="1"/>
  <c r="J1167" i="1"/>
  <c r="K1167" i="1"/>
  <c r="L1167" i="1"/>
  <c r="J1168" i="1"/>
  <c r="K1168" i="1"/>
  <c r="L1168" i="1"/>
  <c r="J1169" i="1"/>
  <c r="K1169" i="1"/>
  <c r="L1169" i="1"/>
  <c r="J1170" i="1"/>
  <c r="K1170" i="1"/>
  <c r="L1170" i="1"/>
  <c r="J1171" i="1"/>
  <c r="K1171" i="1"/>
  <c r="L1171" i="1"/>
  <c r="J1172" i="1"/>
  <c r="K1172" i="1"/>
  <c r="L1172" i="1"/>
  <c r="J1173" i="1"/>
  <c r="K1173" i="1"/>
  <c r="L1173" i="1"/>
  <c r="J1174" i="1"/>
  <c r="K1174" i="1"/>
  <c r="L1174" i="1"/>
  <c r="J1175" i="1"/>
  <c r="K1175" i="1"/>
  <c r="L1175" i="1"/>
  <c r="J1176" i="1"/>
  <c r="K1176" i="1"/>
  <c r="L1176" i="1"/>
  <c r="J1177" i="1"/>
  <c r="K1177" i="1"/>
  <c r="L1177" i="1"/>
  <c r="J1178" i="1"/>
  <c r="K1178" i="1"/>
  <c r="L1178" i="1"/>
  <c r="J1179" i="1"/>
  <c r="K1179" i="1"/>
  <c r="L1179" i="1"/>
  <c r="J1180" i="1"/>
  <c r="K1180" i="1"/>
  <c r="L1180" i="1"/>
  <c r="J1181" i="1"/>
  <c r="K1181" i="1"/>
  <c r="L1181" i="1"/>
  <c r="J1182" i="1"/>
  <c r="K1182" i="1"/>
  <c r="L1182" i="1"/>
  <c r="J1183" i="1"/>
  <c r="K1183" i="1"/>
  <c r="L1183" i="1"/>
  <c r="J1184" i="1"/>
  <c r="K1184" i="1"/>
  <c r="L1184" i="1"/>
  <c r="J1185" i="1"/>
  <c r="K1185" i="1"/>
  <c r="L1185" i="1"/>
  <c r="J1186" i="1"/>
  <c r="K1186" i="1"/>
  <c r="L1186" i="1"/>
  <c r="J1187" i="1"/>
  <c r="K1187" i="1"/>
  <c r="L1187" i="1"/>
  <c r="J1188" i="1"/>
  <c r="K1188" i="1"/>
  <c r="L1188" i="1"/>
  <c r="J1189" i="1"/>
  <c r="K1189" i="1"/>
  <c r="L1189" i="1"/>
  <c r="J1190" i="1"/>
  <c r="K1190" i="1"/>
  <c r="L1190" i="1"/>
  <c r="J1191" i="1"/>
  <c r="K1191" i="1"/>
  <c r="L1191" i="1"/>
  <c r="J1192" i="1"/>
  <c r="K1192" i="1"/>
  <c r="L1192" i="1"/>
  <c r="J1193" i="1"/>
  <c r="K1193" i="1"/>
  <c r="L1193" i="1"/>
  <c r="J1194" i="1"/>
  <c r="K1194" i="1"/>
  <c r="L1194" i="1"/>
  <c r="J1195" i="1"/>
  <c r="K1195" i="1"/>
  <c r="L1195" i="1"/>
  <c r="J1196" i="1"/>
  <c r="K1196" i="1"/>
  <c r="L1196" i="1"/>
  <c r="J1197" i="1"/>
  <c r="K1197" i="1"/>
  <c r="L1197" i="1"/>
  <c r="J1198" i="1"/>
  <c r="K1198" i="1"/>
  <c r="L1198" i="1"/>
  <c r="J1199" i="1"/>
  <c r="K1199" i="1"/>
  <c r="L1199" i="1"/>
  <c r="J1200" i="1"/>
  <c r="K1200" i="1"/>
  <c r="L1200" i="1"/>
  <c r="J1201" i="1"/>
  <c r="K1201" i="1"/>
  <c r="L1201" i="1"/>
  <c r="J1202" i="1"/>
  <c r="K1202" i="1"/>
  <c r="L1202" i="1"/>
  <c r="J1203" i="1"/>
  <c r="K1203" i="1"/>
  <c r="L1203" i="1"/>
  <c r="J1204" i="1"/>
  <c r="K1204" i="1"/>
  <c r="L1204" i="1"/>
  <c r="J1205" i="1"/>
  <c r="K1205" i="1"/>
  <c r="L1205" i="1"/>
  <c r="J1206" i="1"/>
  <c r="K1206" i="1"/>
  <c r="L1206" i="1"/>
  <c r="J1207" i="1"/>
  <c r="K1207" i="1"/>
  <c r="L1207" i="1"/>
  <c r="J1208" i="1"/>
  <c r="K1208" i="1"/>
  <c r="L1208" i="1"/>
  <c r="J1209" i="1"/>
  <c r="K1209" i="1"/>
  <c r="L1209" i="1"/>
  <c r="J1210" i="1"/>
  <c r="K1210" i="1"/>
  <c r="L1210" i="1"/>
  <c r="J1211" i="1"/>
  <c r="K1211" i="1"/>
  <c r="L1211" i="1"/>
  <c r="J1212" i="1"/>
  <c r="K1212" i="1"/>
  <c r="L1212" i="1"/>
  <c r="J1213" i="1"/>
  <c r="K1213" i="1"/>
  <c r="L1213" i="1"/>
  <c r="J1214" i="1"/>
  <c r="K1214" i="1"/>
  <c r="L1214" i="1"/>
  <c r="J1215" i="1"/>
  <c r="K1215" i="1"/>
  <c r="L1215" i="1"/>
  <c r="J1216" i="1"/>
  <c r="K1216" i="1"/>
  <c r="L1216" i="1"/>
  <c r="J1217" i="1"/>
  <c r="K1217" i="1"/>
  <c r="L1217" i="1"/>
  <c r="J1218" i="1"/>
  <c r="K1218" i="1"/>
  <c r="L1218" i="1"/>
  <c r="J1219" i="1"/>
  <c r="K1219" i="1"/>
  <c r="L1219" i="1"/>
  <c r="J1220" i="1"/>
  <c r="K1220" i="1"/>
  <c r="L1220" i="1"/>
  <c r="J1221" i="1"/>
  <c r="K1221" i="1"/>
  <c r="L1221" i="1"/>
  <c r="J1222" i="1"/>
  <c r="K1222" i="1"/>
  <c r="L1222" i="1"/>
  <c r="J1223" i="1"/>
  <c r="K1223" i="1"/>
  <c r="L1223" i="1"/>
  <c r="J1224" i="1"/>
  <c r="K1224" i="1"/>
  <c r="L1224" i="1"/>
  <c r="J1225" i="1"/>
  <c r="K1225" i="1"/>
  <c r="L1225" i="1"/>
  <c r="J1226" i="1"/>
  <c r="K1226" i="1"/>
  <c r="L1226" i="1"/>
  <c r="J1227" i="1"/>
  <c r="K1227" i="1"/>
  <c r="L1227" i="1"/>
  <c r="J1228" i="1"/>
  <c r="K1228" i="1"/>
  <c r="L1228" i="1"/>
  <c r="J1229" i="1"/>
  <c r="K1229" i="1"/>
  <c r="L1229" i="1"/>
  <c r="J1230" i="1"/>
  <c r="K1230" i="1"/>
  <c r="L1230" i="1"/>
  <c r="J1231" i="1"/>
  <c r="K1231" i="1"/>
  <c r="L1231" i="1"/>
  <c r="J1232" i="1"/>
  <c r="K1232" i="1"/>
  <c r="L1232" i="1"/>
  <c r="J1233" i="1"/>
  <c r="K1233" i="1"/>
  <c r="L1233" i="1"/>
  <c r="J1234" i="1"/>
  <c r="K1234" i="1"/>
  <c r="L1234" i="1"/>
  <c r="J1235" i="1"/>
  <c r="K1235" i="1"/>
  <c r="L1235" i="1"/>
  <c r="J1236" i="1"/>
  <c r="K1236" i="1"/>
  <c r="L1236" i="1"/>
  <c r="J1237" i="1"/>
  <c r="K1237" i="1"/>
  <c r="L1237" i="1"/>
  <c r="J1238" i="1"/>
  <c r="K1238" i="1"/>
  <c r="L1238" i="1"/>
  <c r="J1239" i="1"/>
  <c r="K1239" i="1"/>
  <c r="L1239" i="1"/>
  <c r="J1240" i="1"/>
  <c r="K1240" i="1"/>
  <c r="L1240" i="1"/>
  <c r="J1241" i="1"/>
  <c r="K1241" i="1"/>
  <c r="L1241" i="1"/>
  <c r="J1242" i="1"/>
  <c r="K1242" i="1"/>
  <c r="L1242" i="1"/>
  <c r="J1243" i="1"/>
  <c r="K1243" i="1"/>
  <c r="L1243" i="1"/>
  <c r="J1244" i="1"/>
  <c r="K1244" i="1"/>
  <c r="L1244" i="1"/>
  <c r="J1245" i="1"/>
  <c r="K1245" i="1"/>
  <c r="L1245" i="1"/>
  <c r="J1246" i="1"/>
  <c r="K1246" i="1"/>
  <c r="L1246" i="1"/>
  <c r="J1247" i="1"/>
  <c r="K1247" i="1"/>
  <c r="L1247" i="1"/>
  <c r="J1248" i="1"/>
  <c r="K1248" i="1"/>
  <c r="L1248" i="1"/>
  <c r="J1249" i="1"/>
  <c r="K1249" i="1"/>
  <c r="L1249" i="1"/>
  <c r="J1250" i="1"/>
  <c r="K1250" i="1"/>
  <c r="L1250" i="1"/>
  <c r="J1251" i="1"/>
  <c r="K1251" i="1"/>
  <c r="L1251" i="1"/>
  <c r="J1252" i="1"/>
  <c r="K1252" i="1"/>
  <c r="L1252" i="1"/>
  <c r="J1253" i="1"/>
  <c r="K1253" i="1"/>
  <c r="L1253" i="1"/>
  <c r="J1254" i="1"/>
  <c r="K1254" i="1"/>
  <c r="L1254" i="1"/>
  <c r="J1255" i="1"/>
  <c r="K1255" i="1"/>
  <c r="L1255" i="1"/>
  <c r="J1256" i="1"/>
  <c r="K1256" i="1"/>
  <c r="L1256" i="1"/>
  <c r="J1257" i="1"/>
  <c r="K1257" i="1"/>
  <c r="L1257" i="1"/>
  <c r="J1258" i="1"/>
  <c r="K1258" i="1"/>
  <c r="L1258" i="1"/>
  <c r="J1259" i="1"/>
  <c r="K1259" i="1"/>
  <c r="L1259" i="1"/>
  <c r="J1260" i="1"/>
  <c r="K1260" i="1"/>
  <c r="L1260" i="1"/>
  <c r="J1261" i="1"/>
  <c r="K1261" i="1"/>
  <c r="L1261" i="1"/>
  <c r="J1262" i="1"/>
  <c r="K1262" i="1"/>
  <c r="L1262" i="1"/>
  <c r="J1263" i="1"/>
  <c r="K1263" i="1"/>
  <c r="L1263" i="1"/>
  <c r="J1264" i="1"/>
  <c r="K1264" i="1"/>
  <c r="L1264" i="1"/>
  <c r="J1265" i="1"/>
  <c r="K1265" i="1"/>
  <c r="L1265" i="1"/>
  <c r="J1266" i="1"/>
  <c r="K1266" i="1"/>
  <c r="L1266" i="1"/>
  <c r="J1267" i="1"/>
  <c r="K1267" i="1"/>
  <c r="L1267" i="1"/>
  <c r="J1268" i="1"/>
  <c r="K1268" i="1"/>
  <c r="L1268" i="1"/>
  <c r="J1269" i="1"/>
  <c r="K1269" i="1"/>
  <c r="L1269" i="1"/>
  <c r="J1270" i="1"/>
  <c r="K1270" i="1"/>
  <c r="L1270" i="1"/>
  <c r="J1271" i="1"/>
  <c r="K1271" i="1"/>
  <c r="L1271" i="1"/>
  <c r="J1272" i="1"/>
  <c r="K1272" i="1"/>
  <c r="L1272" i="1"/>
  <c r="J1273" i="1"/>
  <c r="K1273" i="1"/>
  <c r="L1273" i="1"/>
  <c r="J1274" i="1"/>
  <c r="K1274" i="1"/>
  <c r="L1274" i="1"/>
  <c r="J1275" i="1"/>
  <c r="K1275" i="1"/>
  <c r="L1275" i="1"/>
  <c r="J1276" i="1"/>
  <c r="K1276" i="1"/>
  <c r="L1276" i="1"/>
  <c r="J1277" i="1"/>
  <c r="K1277" i="1"/>
  <c r="L1277" i="1"/>
  <c r="J1278" i="1"/>
  <c r="K1278" i="1"/>
  <c r="L1278" i="1"/>
  <c r="J1279" i="1"/>
  <c r="K1279" i="1"/>
  <c r="L1279" i="1"/>
  <c r="J1280" i="1"/>
  <c r="K1280" i="1"/>
  <c r="L1280" i="1"/>
  <c r="J1281" i="1"/>
  <c r="K1281" i="1"/>
  <c r="L1281" i="1"/>
  <c r="J1282" i="1"/>
  <c r="K1282" i="1"/>
  <c r="L1282" i="1"/>
  <c r="J1283" i="1"/>
  <c r="K1283" i="1"/>
  <c r="L1283" i="1"/>
  <c r="J1284" i="1"/>
  <c r="K1284" i="1"/>
  <c r="L1284" i="1"/>
  <c r="J1285" i="1"/>
  <c r="K1285" i="1"/>
  <c r="L1285" i="1"/>
  <c r="J1286" i="1"/>
  <c r="K1286" i="1"/>
  <c r="L1286" i="1"/>
  <c r="J1287" i="1"/>
  <c r="K1287" i="1"/>
  <c r="L1287" i="1"/>
  <c r="J1288" i="1"/>
  <c r="K1288" i="1"/>
  <c r="L1288" i="1"/>
  <c r="J1289" i="1"/>
  <c r="K1289" i="1"/>
  <c r="L1289" i="1"/>
  <c r="J1290" i="1"/>
  <c r="K1290" i="1"/>
  <c r="L1290" i="1"/>
  <c r="J1291" i="1"/>
  <c r="K1291" i="1"/>
  <c r="L1291" i="1"/>
  <c r="J1292" i="1"/>
  <c r="K1292" i="1"/>
  <c r="L1292" i="1"/>
  <c r="J1293" i="1"/>
  <c r="K1293" i="1"/>
  <c r="L1293" i="1"/>
  <c r="J1294" i="1"/>
  <c r="K1294" i="1"/>
  <c r="L1294" i="1"/>
  <c r="J1295" i="1"/>
  <c r="K1295" i="1"/>
  <c r="L1295" i="1"/>
  <c r="J1296" i="1"/>
  <c r="K1296" i="1"/>
  <c r="L1296" i="1"/>
  <c r="J1297" i="1"/>
  <c r="K1297" i="1"/>
  <c r="L1297" i="1"/>
  <c r="J1298" i="1"/>
  <c r="K1298" i="1"/>
  <c r="L1298" i="1"/>
  <c r="J1299" i="1"/>
  <c r="K1299" i="1"/>
  <c r="L1299" i="1"/>
  <c r="J1300" i="1"/>
  <c r="K1300" i="1"/>
  <c r="L1300" i="1"/>
  <c r="J1301" i="1"/>
  <c r="K1301" i="1"/>
  <c r="L1301" i="1"/>
  <c r="J1302" i="1"/>
  <c r="K1302" i="1"/>
  <c r="L1302" i="1"/>
  <c r="J1303" i="1"/>
  <c r="K1303" i="1"/>
  <c r="L1303" i="1"/>
  <c r="J1304" i="1"/>
  <c r="K1304" i="1"/>
  <c r="L1304" i="1"/>
  <c r="J1305" i="1"/>
  <c r="K1305" i="1"/>
  <c r="L1305" i="1"/>
  <c r="J1306" i="1"/>
  <c r="K1306" i="1"/>
  <c r="L1306" i="1"/>
  <c r="J1307" i="1"/>
  <c r="K1307" i="1"/>
  <c r="L1307" i="1"/>
  <c r="J1308" i="1"/>
  <c r="K1308" i="1"/>
  <c r="L1308" i="1"/>
  <c r="J1309" i="1"/>
  <c r="K1309" i="1"/>
  <c r="L1309" i="1"/>
  <c r="J1310" i="1"/>
  <c r="K1310" i="1"/>
  <c r="L1310" i="1"/>
  <c r="J1311" i="1"/>
  <c r="K1311" i="1"/>
  <c r="L1311" i="1"/>
  <c r="J1312" i="1"/>
  <c r="K1312" i="1"/>
  <c r="L1312" i="1"/>
  <c r="J1313" i="1"/>
  <c r="K1313" i="1"/>
  <c r="L1313" i="1"/>
  <c r="J1314" i="1"/>
  <c r="K1314" i="1"/>
  <c r="L1314" i="1"/>
  <c r="J1315" i="1"/>
  <c r="K1315" i="1"/>
  <c r="L1315" i="1"/>
  <c r="J1316" i="1"/>
  <c r="K1316" i="1"/>
  <c r="L1316" i="1"/>
  <c r="J1317" i="1"/>
  <c r="K1317" i="1"/>
  <c r="L1317" i="1"/>
  <c r="J1318" i="1"/>
  <c r="K1318" i="1"/>
  <c r="L1318" i="1"/>
  <c r="J1319" i="1"/>
  <c r="K1319" i="1"/>
  <c r="L1319" i="1"/>
  <c r="J1320" i="1"/>
  <c r="K1320" i="1"/>
  <c r="L1320" i="1"/>
  <c r="J1321" i="1"/>
  <c r="K1321" i="1"/>
  <c r="L1321" i="1"/>
  <c r="J1322" i="1"/>
  <c r="K1322" i="1"/>
  <c r="L1322" i="1"/>
  <c r="J1323" i="1"/>
  <c r="K1323" i="1"/>
  <c r="L1323" i="1"/>
  <c r="J1324" i="1"/>
  <c r="K1324" i="1"/>
  <c r="L1324" i="1"/>
  <c r="J1325" i="1"/>
  <c r="K1325" i="1"/>
  <c r="L1325" i="1"/>
  <c r="J1326" i="1"/>
  <c r="K1326" i="1"/>
  <c r="L1326" i="1"/>
  <c r="J1327" i="1"/>
  <c r="K1327" i="1"/>
  <c r="L1327" i="1"/>
  <c r="J1328" i="1"/>
  <c r="K1328" i="1"/>
  <c r="L1328" i="1"/>
  <c r="J1329" i="1"/>
  <c r="K1329" i="1"/>
  <c r="L1329" i="1"/>
  <c r="J1330" i="1"/>
  <c r="K1330" i="1"/>
  <c r="L1330" i="1"/>
  <c r="J1331" i="1"/>
  <c r="K1331" i="1"/>
  <c r="L1331" i="1"/>
  <c r="J1332" i="1"/>
  <c r="K1332" i="1"/>
  <c r="L1332" i="1"/>
  <c r="J1333" i="1"/>
  <c r="K1333" i="1"/>
  <c r="L1333" i="1"/>
  <c r="J1334" i="1"/>
  <c r="K1334" i="1"/>
  <c r="L1334" i="1"/>
  <c r="J1335" i="1"/>
  <c r="K1335" i="1"/>
  <c r="L1335" i="1"/>
  <c r="J1336" i="1"/>
  <c r="K1336" i="1"/>
  <c r="L1336" i="1"/>
  <c r="J1337" i="1"/>
  <c r="K1337" i="1"/>
  <c r="L1337" i="1"/>
  <c r="J1338" i="1"/>
  <c r="K1338" i="1"/>
  <c r="L1338" i="1"/>
  <c r="J1339" i="1"/>
  <c r="K1339" i="1"/>
  <c r="L1339" i="1"/>
  <c r="J1340" i="1"/>
  <c r="K1340" i="1"/>
  <c r="L1340" i="1"/>
  <c r="J1341" i="1"/>
  <c r="K1341" i="1"/>
  <c r="L1341" i="1"/>
  <c r="J1342" i="1"/>
  <c r="K1342" i="1"/>
  <c r="L1342" i="1"/>
  <c r="J1343" i="1"/>
  <c r="K1343" i="1"/>
  <c r="L1343" i="1"/>
  <c r="J1344" i="1"/>
  <c r="K1344" i="1"/>
  <c r="L1344" i="1"/>
  <c r="J1345" i="1"/>
  <c r="K1345" i="1"/>
  <c r="L1345" i="1"/>
  <c r="J1346" i="1"/>
  <c r="K1346" i="1"/>
  <c r="L1346" i="1"/>
  <c r="J1347" i="1"/>
  <c r="K1347" i="1"/>
  <c r="L1347" i="1"/>
  <c r="J1348" i="1"/>
  <c r="K1348" i="1"/>
  <c r="L1348" i="1"/>
  <c r="J1349" i="1"/>
  <c r="K1349" i="1"/>
  <c r="L1349" i="1"/>
  <c r="J1350" i="1"/>
  <c r="K1350" i="1"/>
  <c r="L1350" i="1"/>
  <c r="J1351" i="1"/>
  <c r="K1351" i="1"/>
  <c r="L1351" i="1"/>
  <c r="J1352" i="1"/>
  <c r="K1352" i="1"/>
  <c r="L1352" i="1"/>
  <c r="J1353" i="1"/>
  <c r="K1353" i="1"/>
  <c r="L1353" i="1"/>
  <c r="J1354" i="1"/>
  <c r="K1354" i="1"/>
  <c r="L1354" i="1"/>
  <c r="J1355" i="1"/>
  <c r="K1355" i="1"/>
  <c r="L1355" i="1"/>
  <c r="J1356" i="1"/>
  <c r="K1356" i="1"/>
  <c r="L1356" i="1"/>
  <c r="J1357" i="1"/>
  <c r="K1357" i="1"/>
  <c r="L1357" i="1"/>
  <c r="J1358" i="1"/>
  <c r="K1358" i="1"/>
  <c r="L1358" i="1"/>
  <c r="J1359" i="1"/>
  <c r="K1359" i="1"/>
  <c r="L1359" i="1"/>
  <c r="J1360" i="1"/>
  <c r="K1360" i="1"/>
  <c r="L1360" i="1"/>
  <c r="J1361" i="1"/>
  <c r="K1361" i="1"/>
  <c r="L1361" i="1"/>
  <c r="J1362" i="1"/>
  <c r="K1362" i="1"/>
  <c r="L1362" i="1"/>
  <c r="J1363" i="1"/>
  <c r="K1363" i="1"/>
  <c r="L1363" i="1"/>
  <c r="J1364" i="1"/>
  <c r="K1364" i="1"/>
  <c r="L1364" i="1"/>
  <c r="J1365" i="1"/>
  <c r="K1365" i="1"/>
  <c r="L1365" i="1"/>
  <c r="J1366" i="1"/>
  <c r="K1366" i="1"/>
  <c r="L1366" i="1"/>
  <c r="J1367" i="1"/>
  <c r="K1367" i="1"/>
  <c r="L1367" i="1"/>
  <c r="J1368" i="1"/>
  <c r="K1368" i="1"/>
  <c r="L1368" i="1"/>
  <c r="J1369" i="1"/>
  <c r="K1369" i="1"/>
  <c r="L1369" i="1"/>
  <c r="J1370" i="1"/>
  <c r="K1370" i="1"/>
  <c r="L1370" i="1"/>
  <c r="J1371" i="1"/>
  <c r="K1371" i="1"/>
  <c r="L1371" i="1"/>
  <c r="J1372" i="1"/>
  <c r="K1372" i="1"/>
  <c r="L1372" i="1"/>
  <c r="J1373" i="1"/>
  <c r="K1373" i="1"/>
  <c r="L1373" i="1"/>
  <c r="J1374" i="1"/>
  <c r="K1374" i="1"/>
  <c r="L1374" i="1"/>
  <c r="J1375" i="1"/>
  <c r="K1375" i="1"/>
  <c r="L1375" i="1"/>
  <c r="J1376" i="1"/>
  <c r="K1376" i="1"/>
  <c r="L1376" i="1"/>
  <c r="J1377" i="1"/>
  <c r="K1377" i="1"/>
  <c r="L1377" i="1"/>
  <c r="J1378" i="1"/>
  <c r="K1378" i="1"/>
  <c r="L1378" i="1"/>
  <c r="J1379" i="1"/>
  <c r="K1379" i="1"/>
  <c r="L1379" i="1"/>
  <c r="J1380" i="1"/>
  <c r="K1380" i="1"/>
  <c r="L1380" i="1"/>
  <c r="J1381" i="1"/>
  <c r="K1381" i="1"/>
  <c r="L1381" i="1"/>
  <c r="J1382" i="1"/>
  <c r="K1382" i="1"/>
  <c r="L1382" i="1"/>
  <c r="J1383" i="1"/>
  <c r="K1383" i="1"/>
  <c r="L1383" i="1"/>
  <c r="J1384" i="1"/>
  <c r="K1384" i="1"/>
  <c r="L1384" i="1"/>
  <c r="J1385" i="1"/>
  <c r="K1385" i="1"/>
  <c r="L1385" i="1"/>
  <c r="J1386" i="1"/>
  <c r="K1386" i="1"/>
  <c r="L1386" i="1"/>
  <c r="J1387" i="1"/>
  <c r="K1387" i="1"/>
  <c r="L1387" i="1"/>
  <c r="J1388" i="1"/>
  <c r="K1388" i="1"/>
  <c r="L1388" i="1"/>
  <c r="J1389" i="1"/>
  <c r="K1389" i="1"/>
  <c r="L1389" i="1"/>
  <c r="J1390" i="1"/>
  <c r="K1390" i="1"/>
  <c r="L1390" i="1"/>
  <c r="J1391" i="1"/>
  <c r="K1391" i="1"/>
  <c r="L1391" i="1"/>
  <c r="J1392" i="1"/>
  <c r="K1392" i="1"/>
  <c r="L1392" i="1"/>
  <c r="J1393" i="1"/>
  <c r="K1393" i="1"/>
  <c r="L1393" i="1"/>
  <c r="J1394" i="1"/>
  <c r="K1394" i="1"/>
  <c r="L1394" i="1"/>
  <c r="J1395" i="1"/>
  <c r="K1395" i="1"/>
  <c r="L1395" i="1"/>
  <c r="J1396" i="1"/>
  <c r="K1396" i="1"/>
  <c r="L1396" i="1"/>
  <c r="J1397" i="1"/>
  <c r="K1397" i="1"/>
  <c r="L1397" i="1"/>
  <c r="J1398" i="1"/>
  <c r="K1398" i="1"/>
  <c r="L1398" i="1"/>
  <c r="J1399" i="1"/>
  <c r="K1399" i="1"/>
  <c r="L1399" i="1"/>
  <c r="J1400" i="1"/>
  <c r="K1400" i="1"/>
  <c r="L1400" i="1"/>
  <c r="J1401" i="1"/>
  <c r="K1401" i="1"/>
  <c r="L1401" i="1"/>
  <c r="J1402" i="1"/>
  <c r="K1402" i="1"/>
  <c r="L1402" i="1"/>
  <c r="J1403" i="1"/>
  <c r="K1403" i="1"/>
  <c r="L1403" i="1"/>
  <c r="J1404" i="1"/>
  <c r="K1404" i="1"/>
  <c r="L1404" i="1"/>
  <c r="J1405" i="1"/>
  <c r="K1405" i="1"/>
  <c r="L1405" i="1"/>
  <c r="J1406" i="1"/>
  <c r="K1406" i="1"/>
  <c r="L1406" i="1"/>
  <c r="J1407" i="1"/>
  <c r="K1407" i="1"/>
  <c r="L1407" i="1"/>
  <c r="J1408" i="1"/>
  <c r="K1408" i="1"/>
  <c r="L1408" i="1"/>
  <c r="J1409" i="1"/>
  <c r="K1409" i="1"/>
  <c r="L1409" i="1"/>
  <c r="J1410" i="1"/>
  <c r="K1410" i="1"/>
  <c r="L1410" i="1"/>
  <c r="J1411" i="1"/>
  <c r="K1411" i="1"/>
  <c r="L1411" i="1"/>
  <c r="J1412" i="1"/>
  <c r="K1412" i="1"/>
  <c r="L1412" i="1"/>
  <c r="J1413" i="1"/>
  <c r="K1413" i="1"/>
  <c r="L1413" i="1"/>
  <c r="J1414" i="1"/>
  <c r="K1414" i="1"/>
  <c r="L1414" i="1"/>
  <c r="J1415" i="1"/>
  <c r="K1415" i="1"/>
  <c r="L1415" i="1"/>
  <c r="J1416" i="1"/>
  <c r="K1416" i="1"/>
  <c r="L1416" i="1"/>
  <c r="J1417" i="1"/>
  <c r="K1417" i="1"/>
  <c r="L1417" i="1"/>
  <c r="J1418" i="1"/>
  <c r="K1418" i="1"/>
  <c r="L1418" i="1"/>
  <c r="J1419" i="1"/>
  <c r="K1419" i="1"/>
  <c r="L1419" i="1"/>
  <c r="J1420" i="1"/>
  <c r="K1420" i="1"/>
  <c r="L1420" i="1"/>
  <c r="J1421" i="1"/>
  <c r="K1421" i="1"/>
  <c r="L1421" i="1"/>
  <c r="J1422" i="1"/>
  <c r="K1422" i="1"/>
  <c r="L1422" i="1"/>
  <c r="J1423" i="1"/>
  <c r="K1423" i="1"/>
  <c r="L1423" i="1"/>
  <c r="J1424" i="1"/>
  <c r="K1424" i="1"/>
  <c r="L1424" i="1"/>
  <c r="J1425" i="1"/>
  <c r="K1425" i="1"/>
  <c r="L1425" i="1"/>
  <c r="J1426" i="1"/>
  <c r="K1426" i="1"/>
  <c r="L1426" i="1"/>
  <c r="J1427" i="1"/>
  <c r="K1427" i="1"/>
  <c r="L1427" i="1"/>
  <c r="J1428" i="1"/>
  <c r="K1428" i="1"/>
  <c r="L1428" i="1"/>
  <c r="J1429" i="1"/>
  <c r="K1429" i="1"/>
  <c r="L1429" i="1"/>
  <c r="J1430" i="1"/>
  <c r="K1430" i="1"/>
  <c r="L1430" i="1"/>
  <c r="J1431" i="1"/>
  <c r="K1431" i="1"/>
  <c r="L1431" i="1"/>
  <c r="J1432" i="1"/>
  <c r="K1432" i="1"/>
  <c r="L1432" i="1"/>
  <c r="J1433" i="1"/>
  <c r="K1433" i="1"/>
  <c r="L1433" i="1"/>
  <c r="J1434" i="1"/>
  <c r="K1434" i="1"/>
  <c r="L1434" i="1"/>
  <c r="J1435" i="1"/>
  <c r="K1435" i="1"/>
  <c r="L1435" i="1"/>
  <c r="J1436" i="1"/>
  <c r="K1436" i="1"/>
  <c r="L1436" i="1"/>
  <c r="J1437" i="1"/>
  <c r="K1437" i="1"/>
  <c r="L1437" i="1"/>
  <c r="J1438" i="1"/>
  <c r="K1438" i="1"/>
  <c r="L1438" i="1"/>
  <c r="J1439" i="1"/>
  <c r="K1439" i="1"/>
  <c r="L1439" i="1"/>
  <c r="J1440" i="1"/>
  <c r="K1440" i="1"/>
  <c r="L1440" i="1"/>
  <c r="J1441" i="1"/>
  <c r="K1441" i="1"/>
  <c r="L1441" i="1"/>
  <c r="J1442" i="1"/>
  <c r="K1442" i="1"/>
  <c r="L1442" i="1"/>
  <c r="J1443" i="1"/>
  <c r="K1443" i="1"/>
  <c r="L1443" i="1"/>
  <c r="J1444" i="1"/>
  <c r="K1444" i="1"/>
  <c r="L1444" i="1"/>
  <c r="J1445" i="1"/>
  <c r="K1445" i="1"/>
  <c r="L1445" i="1"/>
  <c r="J1446" i="1"/>
  <c r="K1446" i="1"/>
  <c r="L1446" i="1"/>
  <c r="J1447" i="1"/>
  <c r="K1447" i="1"/>
  <c r="L1447" i="1"/>
  <c r="J1448" i="1"/>
  <c r="K1448" i="1"/>
  <c r="L1448" i="1"/>
  <c r="J1449" i="1"/>
  <c r="K1449" i="1"/>
  <c r="L1449" i="1"/>
  <c r="J1450" i="1"/>
  <c r="K1450" i="1"/>
  <c r="L1450" i="1"/>
  <c r="J1451" i="1"/>
  <c r="K1451" i="1"/>
  <c r="L1451" i="1"/>
  <c r="J1452" i="1"/>
  <c r="K1452" i="1"/>
  <c r="L1452" i="1"/>
  <c r="J1453" i="1"/>
  <c r="K1453" i="1"/>
  <c r="L1453" i="1"/>
  <c r="J1454" i="1"/>
  <c r="K1454" i="1"/>
  <c r="L1454" i="1"/>
  <c r="J1455" i="1"/>
  <c r="K1455" i="1"/>
  <c r="L1455" i="1"/>
  <c r="J1456" i="1"/>
  <c r="K1456" i="1"/>
  <c r="L1456" i="1"/>
  <c r="J1457" i="1"/>
  <c r="K1457" i="1"/>
  <c r="L1457" i="1"/>
  <c r="J1458" i="1"/>
  <c r="K1458" i="1"/>
  <c r="L1458" i="1"/>
  <c r="J1459" i="1"/>
  <c r="K1459" i="1"/>
  <c r="L1459" i="1"/>
  <c r="J1460" i="1"/>
  <c r="K1460" i="1"/>
  <c r="L1460" i="1"/>
  <c r="J1461" i="1"/>
  <c r="K1461" i="1"/>
  <c r="L1461" i="1"/>
  <c r="J1462" i="1"/>
  <c r="K1462" i="1"/>
  <c r="L1462" i="1"/>
  <c r="J1463" i="1"/>
  <c r="K1463" i="1"/>
  <c r="L1463" i="1"/>
  <c r="J1464" i="1"/>
  <c r="K1464" i="1"/>
  <c r="L1464" i="1"/>
  <c r="J1465" i="1"/>
  <c r="K1465" i="1"/>
  <c r="L1465" i="1"/>
  <c r="J1466" i="1"/>
  <c r="K1466" i="1"/>
  <c r="L1466" i="1"/>
  <c r="J1467" i="1"/>
  <c r="K1467" i="1"/>
  <c r="L1467" i="1"/>
  <c r="J1468" i="1"/>
  <c r="K1468" i="1"/>
  <c r="L1468" i="1"/>
  <c r="J1469" i="1"/>
  <c r="K1469" i="1"/>
  <c r="L1469" i="1"/>
  <c r="J1470" i="1"/>
  <c r="K1470" i="1"/>
  <c r="L1470" i="1"/>
  <c r="J1471" i="1"/>
  <c r="K1471" i="1"/>
  <c r="L1471" i="1"/>
  <c r="J1472" i="1"/>
  <c r="K1472" i="1"/>
  <c r="L1472" i="1"/>
  <c r="J1473" i="1"/>
  <c r="K1473" i="1"/>
  <c r="L1473" i="1"/>
  <c r="J1474" i="1"/>
  <c r="K1474" i="1"/>
  <c r="L1474" i="1"/>
  <c r="J1475" i="1"/>
  <c r="K1475" i="1"/>
  <c r="L1475" i="1"/>
  <c r="J1476" i="1"/>
  <c r="K1476" i="1"/>
  <c r="L1476" i="1"/>
  <c r="J1477" i="1"/>
  <c r="K1477" i="1"/>
  <c r="L1477" i="1"/>
  <c r="J1478" i="1"/>
  <c r="K1478" i="1"/>
  <c r="L1478" i="1"/>
  <c r="J1479" i="1"/>
  <c r="K1479" i="1"/>
  <c r="L1479" i="1"/>
  <c r="J1480" i="1"/>
  <c r="K1480" i="1"/>
  <c r="L1480" i="1"/>
  <c r="J1481" i="1"/>
  <c r="K1481" i="1"/>
  <c r="L1481" i="1"/>
  <c r="J1482" i="1"/>
  <c r="K1482" i="1"/>
  <c r="L1482" i="1"/>
  <c r="J1483" i="1"/>
  <c r="K1483" i="1"/>
  <c r="L1483" i="1"/>
  <c r="J1484" i="1"/>
  <c r="K1484" i="1"/>
  <c r="L1484" i="1"/>
  <c r="J1485" i="1"/>
  <c r="K1485" i="1"/>
  <c r="L1485" i="1"/>
  <c r="J1486" i="1"/>
  <c r="K1486" i="1"/>
  <c r="L1486" i="1"/>
  <c r="J1487" i="1"/>
  <c r="K1487" i="1"/>
  <c r="L1487" i="1"/>
  <c r="J1488" i="1"/>
  <c r="K1488" i="1"/>
  <c r="L1488" i="1"/>
  <c r="J1489" i="1"/>
  <c r="K1489" i="1"/>
  <c r="L1489" i="1"/>
  <c r="J1490" i="1"/>
  <c r="K1490" i="1"/>
  <c r="L1490" i="1"/>
  <c r="J1491" i="1"/>
  <c r="K1491" i="1"/>
  <c r="L1491" i="1"/>
  <c r="J1492" i="1"/>
  <c r="K1492" i="1"/>
  <c r="L1492" i="1"/>
  <c r="J1493" i="1"/>
  <c r="K1493" i="1"/>
  <c r="L1493" i="1"/>
  <c r="J1494" i="1"/>
  <c r="K1494" i="1"/>
  <c r="L1494" i="1"/>
  <c r="J1495" i="1"/>
  <c r="K1495" i="1"/>
  <c r="L1495" i="1"/>
  <c r="J1496" i="1"/>
  <c r="K1496" i="1"/>
  <c r="L1496" i="1"/>
  <c r="J1497" i="1"/>
  <c r="K1497" i="1"/>
  <c r="L1497" i="1"/>
  <c r="J1498" i="1"/>
  <c r="K1498" i="1"/>
  <c r="L1498" i="1"/>
  <c r="J1499" i="1"/>
  <c r="K1499" i="1"/>
  <c r="L1499" i="1"/>
  <c r="J1500" i="1"/>
  <c r="K1500" i="1"/>
  <c r="L1500" i="1"/>
  <c r="J1501" i="1"/>
  <c r="K1501" i="1"/>
  <c r="L1501" i="1"/>
  <c r="J1502" i="1"/>
  <c r="K1502" i="1"/>
  <c r="L1502" i="1"/>
  <c r="J1503" i="1"/>
  <c r="K1503" i="1"/>
  <c r="L1503" i="1"/>
  <c r="J1504" i="1"/>
  <c r="K1504" i="1"/>
  <c r="L1504" i="1"/>
  <c r="J1505" i="1"/>
  <c r="K1505" i="1"/>
  <c r="L1505" i="1"/>
  <c r="J1506" i="1"/>
  <c r="K1506" i="1"/>
  <c r="L1506" i="1"/>
  <c r="J1507" i="1"/>
  <c r="K1507" i="1"/>
  <c r="L1507" i="1"/>
  <c r="J1508" i="1"/>
  <c r="K1508" i="1"/>
  <c r="L1508" i="1"/>
  <c r="J1509" i="1"/>
  <c r="K1509" i="1"/>
  <c r="L1509" i="1"/>
  <c r="J1510" i="1"/>
  <c r="K1510" i="1"/>
  <c r="L1510" i="1"/>
  <c r="J1511" i="1"/>
  <c r="K1511" i="1"/>
  <c r="L1511" i="1"/>
  <c r="J1512" i="1"/>
  <c r="K1512" i="1"/>
  <c r="L1512" i="1"/>
  <c r="J1513" i="1"/>
  <c r="K1513" i="1"/>
  <c r="L1513" i="1"/>
  <c r="J1514" i="1"/>
  <c r="K1514" i="1"/>
  <c r="L1514" i="1"/>
  <c r="J1515" i="1"/>
  <c r="K1515" i="1"/>
  <c r="L1515" i="1"/>
  <c r="J1516" i="1"/>
  <c r="K1516" i="1"/>
  <c r="L1516" i="1"/>
  <c r="J1517" i="1"/>
  <c r="K1517" i="1"/>
  <c r="L1517" i="1"/>
  <c r="J1518" i="1"/>
  <c r="K1518" i="1"/>
  <c r="L1518" i="1"/>
  <c r="J1519" i="1"/>
  <c r="K1519" i="1"/>
  <c r="L1519" i="1"/>
  <c r="J1520" i="1"/>
  <c r="K1520" i="1"/>
  <c r="L1520" i="1"/>
  <c r="J1521" i="1"/>
  <c r="K1521" i="1"/>
  <c r="L1521" i="1"/>
  <c r="J1522" i="1"/>
  <c r="K1522" i="1"/>
  <c r="L1522" i="1"/>
  <c r="J1523" i="1"/>
  <c r="K1523" i="1"/>
  <c r="L1523" i="1"/>
  <c r="J1524" i="1"/>
  <c r="K1524" i="1"/>
  <c r="L1524" i="1"/>
  <c r="J1525" i="1"/>
  <c r="K1525" i="1"/>
  <c r="L1525" i="1"/>
  <c r="J1526" i="1"/>
  <c r="K1526" i="1"/>
  <c r="L1526" i="1"/>
  <c r="J1527" i="1"/>
  <c r="K1527" i="1"/>
  <c r="L1527" i="1"/>
  <c r="J1528" i="1"/>
  <c r="K1528" i="1"/>
  <c r="L1528" i="1"/>
  <c r="J1529" i="1"/>
  <c r="K1529" i="1"/>
  <c r="L1529" i="1"/>
  <c r="J1530" i="1"/>
  <c r="K1530" i="1"/>
  <c r="L1530" i="1"/>
  <c r="J1531" i="1"/>
  <c r="K1531" i="1"/>
  <c r="L1531" i="1"/>
  <c r="J1532" i="1"/>
  <c r="K1532" i="1"/>
  <c r="L1532" i="1"/>
  <c r="J1533" i="1"/>
  <c r="K1533" i="1"/>
  <c r="L1533" i="1"/>
  <c r="J1534" i="1"/>
  <c r="K1534" i="1"/>
  <c r="L1534" i="1"/>
  <c r="J1535" i="1"/>
  <c r="K1535" i="1"/>
  <c r="L1535" i="1"/>
  <c r="J1536" i="1"/>
  <c r="K1536" i="1"/>
  <c r="L1536" i="1"/>
  <c r="J1537" i="1"/>
  <c r="K1537" i="1"/>
  <c r="L1537" i="1"/>
  <c r="J1538" i="1"/>
  <c r="K1538" i="1"/>
  <c r="L1538" i="1"/>
  <c r="J1539" i="1"/>
  <c r="K1539" i="1"/>
  <c r="L1539" i="1"/>
  <c r="J1540" i="1"/>
  <c r="K1540" i="1"/>
  <c r="L1540" i="1"/>
  <c r="J1541" i="1"/>
  <c r="K1541" i="1"/>
  <c r="L1541" i="1"/>
  <c r="J1542" i="1"/>
  <c r="K1542" i="1"/>
  <c r="L1542" i="1"/>
  <c r="J1543" i="1"/>
  <c r="K1543" i="1"/>
  <c r="L1543" i="1"/>
  <c r="J1544" i="1"/>
  <c r="K1544" i="1"/>
  <c r="L1544" i="1"/>
  <c r="J1545" i="1"/>
  <c r="K1545" i="1"/>
  <c r="L1545" i="1"/>
  <c r="J1546" i="1"/>
  <c r="K1546" i="1"/>
  <c r="L1546" i="1"/>
  <c r="J1547" i="1"/>
  <c r="K1547" i="1"/>
  <c r="L1547" i="1"/>
  <c r="J1548" i="1"/>
  <c r="K1548" i="1"/>
  <c r="L1548" i="1"/>
  <c r="J1549" i="1"/>
  <c r="K1549" i="1"/>
  <c r="L1549" i="1"/>
  <c r="J1550" i="1"/>
  <c r="K1550" i="1"/>
  <c r="L1550" i="1"/>
  <c r="J1551" i="1"/>
  <c r="K1551" i="1"/>
  <c r="L1551" i="1"/>
  <c r="J1552" i="1"/>
  <c r="K1552" i="1"/>
  <c r="L1552" i="1"/>
  <c r="J1553" i="1"/>
  <c r="K1553" i="1"/>
  <c r="L1553" i="1"/>
  <c r="J1554" i="1"/>
  <c r="K1554" i="1"/>
  <c r="L1554" i="1"/>
  <c r="J1555" i="1"/>
  <c r="K1555" i="1"/>
  <c r="L1555" i="1"/>
  <c r="J1556" i="1"/>
  <c r="K1556" i="1"/>
  <c r="L1556" i="1"/>
  <c r="J1557" i="1"/>
  <c r="K1557" i="1"/>
  <c r="L1557" i="1"/>
  <c r="J1558" i="1"/>
  <c r="K1558" i="1"/>
  <c r="L1558" i="1"/>
  <c r="J1559" i="1"/>
  <c r="K1559" i="1"/>
  <c r="L1559" i="1"/>
  <c r="J1560" i="1"/>
  <c r="K1560" i="1"/>
  <c r="L1560" i="1"/>
  <c r="J1561" i="1"/>
  <c r="K1561" i="1"/>
  <c r="L1561" i="1"/>
  <c r="J1562" i="1"/>
  <c r="K1562" i="1"/>
  <c r="L1562" i="1"/>
  <c r="J1563" i="1"/>
  <c r="K1563" i="1"/>
  <c r="L1563" i="1"/>
  <c r="J1564" i="1"/>
  <c r="K1564" i="1"/>
  <c r="L1564" i="1"/>
  <c r="J1565" i="1"/>
  <c r="K1565" i="1"/>
  <c r="L1565" i="1"/>
  <c r="J1566" i="1"/>
  <c r="K1566" i="1"/>
  <c r="L1566" i="1"/>
  <c r="J1567" i="1"/>
  <c r="K1567" i="1"/>
  <c r="L1567" i="1"/>
  <c r="J1568" i="1"/>
  <c r="K1568" i="1"/>
  <c r="L1568" i="1"/>
  <c r="J1569" i="1"/>
  <c r="K1569" i="1"/>
  <c r="L1569" i="1"/>
  <c r="J1570" i="1"/>
  <c r="K1570" i="1"/>
  <c r="L1570" i="1"/>
  <c r="J1571" i="1"/>
  <c r="K1571" i="1"/>
  <c r="L1571" i="1"/>
  <c r="J1572" i="1"/>
  <c r="K1572" i="1"/>
  <c r="L1572" i="1"/>
  <c r="J1573" i="1"/>
  <c r="K1573" i="1"/>
  <c r="L1573" i="1"/>
  <c r="J1574" i="1"/>
  <c r="K1574" i="1"/>
  <c r="L1574" i="1"/>
  <c r="J1575" i="1"/>
  <c r="K1575" i="1"/>
  <c r="L1575" i="1"/>
  <c r="J1576" i="1"/>
  <c r="K1576" i="1"/>
  <c r="L1576" i="1"/>
  <c r="J1577" i="1"/>
  <c r="K1577" i="1"/>
  <c r="L1577" i="1"/>
  <c r="J1578" i="1"/>
  <c r="K1578" i="1"/>
  <c r="L1578" i="1"/>
  <c r="J1579" i="1"/>
  <c r="K1579" i="1"/>
  <c r="L1579" i="1"/>
  <c r="J1580" i="1"/>
  <c r="K1580" i="1"/>
  <c r="L1580" i="1"/>
  <c r="J1581" i="1"/>
  <c r="K1581" i="1"/>
  <c r="L1581" i="1"/>
  <c r="J1582" i="1"/>
  <c r="K1582" i="1"/>
  <c r="L1582" i="1"/>
  <c r="J1583" i="1"/>
  <c r="K1583" i="1"/>
  <c r="L1583" i="1"/>
  <c r="J1584" i="1"/>
  <c r="K1584" i="1"/>
  <c r="L1584" i="1"/>
  <c r="J1585" i="1"/>
  <c r="K1585" i="1"/>
  <c r="L1585" i="1"/>
  <c r="J1586" i="1"/>
  <c r="K1586" i="1"/>
  <c r="L1586" i="1"/>
  <c r="J1587" i="1"/>
  <c r="K1587" i="1"/>
  <c r="L1587" i="1"/>
  <c r="J1588" i="1"/>
  <c r="K1588" i="1"/>
  <c r="L1588" i="1"/>
  <c r="J1589" i="1"/>
  <c r="K1589" i="1"/>
  <c r="L1589" i="1"/>
  <c r="J1590" i="1"/>
  <c r="K1590" i="1"/>
  <c r="L1590" i="1"/>
  <c r="J1591" i="1"/>
  <c r="K1591" i="1"/>
  <c r="L1591" i="1"/>
  <c r="J1592" i="1"/>
  <c r="K1592" i="1"/>
  <c r="L1592" i="1"/>
  <c r="J1593" i="1"/>
  <c r="K1593" i="1"/>
  <c r="L1593" i="1"/>
  <c r="J1594" i="1"/>
  <c r="K1594" i="1"/>
  <c r="L1594" i="1"/>
  <c r="J1595" i="1"/>
  <c r="K1595" i="1"/>
  <c r="L1595" i="1"/>
  <c r="J1596" i="1"/>
  <c r="K1596" i="1"/>
  <c r="L1596" i="1"/>
  <c r="J1597" i="1"/>
  <c r="K1597" i="1"/>
  <c r="L1597" i="1"/>
  <c r="J1598" i="1"/>
  <c r="K1598" i="1"/>
  <c r="L1598" i="1"/>
  <c r="J1599" i="1"/>
  <c r="K1599" i="1"/>
  <c r="L1599" i="1"/>
  <c r="J1600" i="1"/>
  <c r="K1600" i="1"/>
  <c r="L1600" i="1"/>
  <c r="J1601" i="1"/>
  <c r="K1601" i="1"/>
  <c r="L1601" i="1"/>
  <c r="J1602" i="1"/>
  <c r="K1602" i="1"/>
  <c r="L1602" i="1"/>
  <c r="J1603" i="1"/>
  <c r="K1603" i="1"/>
  <c r="L1603" i="1"/>
  <c r="J1604" i="1"/>
  <c r="K1604" i="1"/>
  <c r="L1604" i="1"/>
  <c r="J1605" i="1"/>
  <c r="K1605" i="1"/>
  <c r="L1605" i="1"/>
  <c r="J1606" i="1"/>
  <c r="K1606" i="1"/>
  <c r="L1606" i="1"/>
  <c r="J1607" i="1"/>
  <c r="K1607" i="1"/>
  <c r="L1607" i="1"/>
  <c r="J1608" i="1"/>
  <c r="K1608" i="1"/>
  <c r="L1608" i="1"/>
  <c r="J1609" i="1"/>
  <c r="K1609" i="1"/>
  <c r="L1609" i="1"/>
  <c r="J1610" i="1"/>
  <c r="K1610" i="1"/>
  <c r="L1610" i="1"/>
  <c r="J1611" i="1"/>
  <c r="K1611" i="1"/>
  <c r="L1611" i="1"/>
  <c r="J1612" i="1"/>
  <c r="K1612" i="1"/>
  <c r="L1612" i="1"/>
  <c r="J1613" i="1"/>
  <c r="K1613" i="1"/>
  <c r="L1613" i="1"/>
  <c r="J1614" i="1"/>
  <c r="K1614" i="1"/>
  <c r="L1614" i="1"/>
  <c r="J1615" i="1"/>
  <c r="K1615" i="1"/>
  <c r="L1615" i="1"/>
  <c r="J1616" i="1"/>
  <c r="K1616" i="1"/>
  <c r="L1616" i="1"/>
  <c r="J1617" i="1"/>
  <c r="K1617" i="1"/>
  <c r="L1617" i="1"/>
  <c r="J1618" i="1"/>
  <c r="K1618" i="1"/>
  <c r="L1618" i="1"/>
  <c r="J1619" i="1"/>
  <c r="K1619" i="1"/>
  <c r="L1619" i="1"/>
  <c r="J1620" i="1"/>
  <c r="K1620" i="1"/>
  <c r="L1620" i="1"/>
  <c r="J1621" i="1"/>
  <c r="K1621" i="1"/>
  <c r="L1621" i="1"/>
  <c r="J1622" i="1"/>
  <c r="K1622" i="1"/>
  <c r="L1622" i="1"/>
  <c r="J1623" i="1"/>
  <c r="K1623" i="1"/>
  <c r="L1623" i="1"/>
  <c r="J1624" i="1"/>
  <c r="K1624" i="1"/>
  <c r="L1624" i="1"/>
  <c r="J1625" i="1"/>
  <c r="K1625" i="1"/>
  <c r="L1625" i="1"/>
  <c r="J1626" i="1"/>
  <c r="K1626" i="1"/>
  <c r="L1626" i="1"/>
  <c r="J1627" i="1"/>
  <c r="K1627" i="1"/>
  <c r="L1627" i="1"/>
  <c r="J1628" i="1"/>
  <c r="K1628" i="1"/>
  <c r="L1628" i="1"/>
  <c r="J1629" i="1"/>
  <c r="K1629" i="1"/>
  <c r="L1629" i="1"/>
  <c r="J1630" i="1"/>
  <c r="K1630" i="1"/>
  <c r="L1630" i="1"/>
  <c r="J1631" i="1"/>
  <c r="K1631" i="1"/>
  <c r="L1631" i="1"/>
  <c r="J1632" i="1"/>
  <c r="K1632" i="1"/>
  <c r="L1632" i="1"/>
  <c r="J1633" i="1"/>
  <c r="K1633" i="1"/>
  <c r="L1633" i="1"/>
  <c r="J1634" i="1"/>
  <c r="K1634" i="1"/>
  <c r="L1634" i="1"/>
  <c r="J1635" i="1"/>
  <c r="K1635" i="1"/>
  <c r="L1635" i="1"/>
  <c r="J1636" i="1"/>
  <c r="K1636" i="1"/>
  <c r="L1636" i="1"/>
  <c r="J1637" i="1"/>
  <c r="K1637" i="1"/>
  <c r="L1637" i="1"/>
  <c r="J1638" i="1"/>
  <c r="K1638" i="1"/>
  <c r="L1638" i="1"/>
  <c r="J1639" i="1"/>
  <c r="K1639" i="1"/>
  <c r="L1639" i="1"/>
  <c r="J1640" i="1"/>
  <c r="K1640" i="1"/>
  <c r="L1640" i="1"/>
  <c r="J1641" i="1"/>
  <c r="K1641" i="1"/>
  <c r="L1641" i="1"/>
  <c r="J1642" i="1"/>
  <c r="K1642" i="1"/>
  <c r="L1642" i="1"/>
  <c r="J1643" i="1"/>
  <c r="K1643" i="1"/>
  <c r="L1643" i="1"/>
  <c r="J1644" i="1"/>
  <c r="K1644" i="1"/>
  <c r="L1644" i="1"/>
  <c r="J1645" i="1"/>
  <c r="K1645" i="1"/>
  <c r="L1645" i="1"/>
  <c r="J1646" i="1"/>
  <c r="K1646" i="1"/>
  <c r="L1646" i="1"/>
  <c r="J1647" i="1"/>
  <c r="K1647" i="1"/>
  <c r="L1647" i="1"/>
  <c r="J1648" i="1"/>
  <c r="K1648" i="1"/>
  <c r="L1648" i="1"/>
  <c r="J1649" i="1"/>
  <c r="K1649" i="1"/>
  <c r="L1649" i="1"/>
  <c r="J1650" i="1"/>
  <c r="K1650" i="1"/>
  <c r="L1650" i="1"/>
  <c r="J1651" i="1"/>
  <c r="K1651" i="1"/>
  <c r="L1651" i="1"/>
  <c r="J1652" i="1"/>
  <c r="K1652" i="1"/>
  <c r="L1652" i="1"/>
  <c r="J1653" i="1"/>
  <c r="K1653" i="1"/>
  <c r="L1653" i="1"/>
  <c r="J1654" i="1"/>
  <c r="K1654" i="1"/>
  <c r="L1654" i="1"/>
  <c r="J1655" i="1"/>
  <c r="K1655" i="1"/>
  <c r="L1655" i="1"/>
  <c r="J1656" i="1"/>
  <c r="K1656" i="1"/>
  <c r="L1656" i="1"/>
  <c r="J1657" i="1"/>
  <c r="K1657" i="1"/>
  <c r="L1657" i="1"/>
  <c r="J1658" i="1"/>
  <c r="K1658" i="1"/>
  <c r="L1658" i="1"/>
  <c r="J1659" i="1"/>
  <c r="K1659" i="1"/>
  <c r="L1659" i="1"/>
  <c r="J1660" i="1"/>
  <c r="K1660" i="1"/>
  <c r="L1660" i="1"/>
  <c r="J1661" i="1"/>
  <c r="K1661" i="1"/>
  <c r="L1661" i="1"/>
  <c r="J1662" i="1"/>
  <c r="K1662" i="1"/>
  <c r="L1662" i="1"/>
  <c r="J1663" i="1"/>
  <c r="K1663" i="1"/>
  <c r="L1663" i="1"/>
  <c r="J1664" i="1"/>
  <c r="K1664" i="1"/>
  <c r="L1664" i="1"/>
  <c r="J1665" i="1"/>
  <c r="K1665" i="1"/>
  <c r="L1665" i="1"/>
  <c r="J1666" i="1"/>
  <c r="K1666" i="1"/>
  <c r="L1666" i="1"/>
  <c r="J1667" i="1"/>
  <c r="K1667" i="1"/>
  <c r="L1667" i="1"/>
  <c r="J1668" i="1"/>
  <c r="K1668" i="1"/>
  <c r="L1668" i="1"/>
  <c r="J1669" i="1"/>
  <c r="K1669" i="1"/>
  <c r="L1669" i="1"/>
  <c r="J1670" i="1"/>
  <c r="K1670" i="1"/>
  <c r="L1670" i="1"/>
  <c r="J1671" i="1"/>
  <c r="K1671" i="1"/>
  <c r="L1671" i="1"/>
  <c r="J1672" i="1"/>
  <c r="K1672" i="1"/>
  <c r="L1672" i="1"/>
  <c r="J1673" i="1"/>
  <c r="K1673" i="1"/>
  <c r="L1673" i="1"/>
  <c r="J1674" i="1"/>
  <c r="K1674" i="1"/>
  <c r="L1674" i="1"/>
  <c r="J1675" i="1"/>
  <c r="K1675" i="1"/>
  <c r="L1675" i="1"/>
  <c r="J1676" i="1"/>
  <c r="K1676" i="1"/>
  <c r="L1676" i="1"/>
  <c r="J1677" i="1"/>
  <c r="K1677" i="1"/>
  <c r="L1677" i="1"/>
  <c r="J1678" i="1"/>
  <c r="K1678" i="1"/>
  <c r="L1678" i="1"/>
  <c r="J1679" i="1"/>
  <c r="K1679" i="1"/>
  <c r="L1679" i="1"/>
  <c r="J1680" i="1"/>
  <c r="K1680" i="1"/>
  <c r="L1680" i="1"/>
  <c r="J1681" i="1"/>
  <c r="K1681" i="1"/>
  <c r="L1681" i="1"/>
  <c r="J1682" i="1"/>
  <c r="K1682" i="1"/>
  <c r="L1682" i="1"/>
  <c r="J1683" i="1"/>
  <c r="K1683" i="1"/>
  <c r="L1683" i="1"/>
  <c r="J1684" i="1"/>
  <c r="K1684" i="1"/>
  <c r="L1684" i="1"/>
  <c r="J1685" i="1"/>
  <c r="K1685" i="1"/>
  <c r="L1685" i="1"/>
  <c r="J1686" i="1"/>
  <c r="K1686" i="1"/>
  <c r="L1686" i="1"/>
  <c r="J1687" i="1"/>
  <c r="K1687" i="1"/>
  <c r="L1687" i="1"/>
  <c r="J1688" i="1"/>
  <c r="K1688" i="1"/>
  <c r="L1688" i="1"/>
  <c r="J1689" i="1"/>
  <c r="K1689" i="1"/>
  <c r="L1689" i="1"/>
  <c r="J1690" i="1"/>
  <c r="K1690" i="1"/>
  <c r="L1690" i="1"/>
  <c r="J1691" i="1"/>
  <c r="K1691" i="1"/>
  <c r="L1691" i="1"/>
  <c r="J1692" i="1"/>
  <c r="K1692" i="1"/>
  <c r="L1692" i="1"/>
  <c r="J1693" i="1"/>
  <c r="K1693" i="1"/>
  <c r="L1693" i="1"/>
  <c r="J1694" i="1"/>
  <c r="K1694" i="1"/>
  <c r="L1694" i="1"/>
  <c r="J1695" i="1"/>
  <c r="K1695" i="1"/>
  <c r="L1695" i="1"/>
  <c r="J1696" i="1"/>
  <c r="K1696" i="1"/>
  <c r="L1696" i="1"/>
  <c r="J1697" i="1"/>
  <c r="K1697" i="1"/>
  <c r="L1697" i="1"/>
  <c r="J1698" i="1"/>
  <c r="K1698" i="1"/>
  <c r="L1698" i="1"/>
  <c r="J1699" i="1"/>
  <c r="K1699" i="1"/>
  <c r="L1699" i="1"/>
  <c r="J1700" i="1"/>
  <c r="K1700" i="1"/>
  <c r="L1700" i="1"/>
  <c r="J1701" i="1"/>
  <c r="K1701" i="1"/>
  <c r="L1701" i="1"/>
  <c r="J1702" i="1"/>
  <c r="K1702" i="1"/>
  <c r="L1702" i="1"/>
  <c r="J1703" i="1"/>
  <c r="K1703" i="1"/>
  <c r="L1703" i="1"/>
  <c r="J1704" i="1"/>
  <c r="K1704" i="1"/>
  <c r="L1704" i="1"/>
  <c r="J1705" i="1"/>
  <c r="K1705" i="1"/>
  <c r="L1705" i="1"/>
  <c r="J1706" i="1"/>
  <c r="K1706" i="1"/>
  <c r="L1706" i="1"/>
  <c r="J1707" i="1"/>
  <c r="K1707" i="1"/>
  <c r="L1707" i="1"/>
  <c r="J1708" i="1"/>
  <c r="K1708" i="1"/>
  <c r="L1708" i="1"/>
  <c r="J1709" i="1"/>
  <c r="K1709" i="1"/>
  <c r="L1709" i="1"/>
  <c r="J1710" i="1"/>
  <c r="K1710" i="1"/>
  <c r="L1710" i="1"/>
  <c r="J1711" i="1"/>
  <c r="K1711" i="1"/>
  <c r="L1711" i="1"/>
  <c r="J1712" i="1"/>
  <c r="K1712" i="1"/>
  <c r="L1712" i="1"/>
  <c r="J1713" i="1"/>
  <c r="K1713" i="1"/>
  <c r="L1713" i="1"/>
  <c r="J1714" i="1"/>
  <c r="K1714" i="1"/>
  <c r="L1714" i="1"/>
  <c r="J1715" i="1"/>
  <c r="K1715" i="1"/>
  <c r="L1715" i="1"/>
  <c r="J1716" i="1"/>
  <c r="K1716" i="1"/>
  <c r="L1716" i="1"/>
  <c r="J1717" i="1"/>
  <c r="K1717" i="1"/>
  <c r="L1717" i="1"/>
  <c r="J1718" i="1"/>
  <c r="K1718" i="1"/>
  <c r="L1718" i="1"/>
  <c r="J1719" i="1"/>
  <c r="K1719" i="1"/>
  <c r="L1719" i="1"/>
  <c r="J1720" i="1"/>
  <c r="K1720" i="1"/>
  <c r="L1720" i="1"/>
  <c r="J1721" i="1"/>
  <c r="K1721" i="1"/>
  <c r="L1721" i="1"/>
  <c r="J1722" i="1"/>
  <c r="K1722" i="1"/>
  <c r="L1722" i="1"/>
  <c r="J1723" i="1"/>
  <c r="K1723" i="1"/>
  <c r="L1723" i="1"/>
  <c r="J1724" i="1"/>
  <c r="K1724" i="1"/>
  <c r="L1724" i="1"/>
  <c r="J1725" i="1"/>
  <c r="K1725" i="1"/>
  <c r="L1725" i="1"/>
  <c r="J1726" i="1"/>
  <c r="K1726" i="1"/>
  <c r="L1726" i="1"/>
  <c r="J1727" i="1"/>
  <c r="K1727" i="1"/>
  <c r="L1727" i="1"/>
  <c r="J1728" i="1"/>
  <c r="K1728" i="1"/>
  <c r="L1728" i="1"/>
  <c r="J1729" i="1"/>
  <c r="K1729" i="1"/>
  <c r="L1729" i="1"/>
  <c r="J1730" i="1"/>
  <c r="K1730" i="1"/>
  <c r="L1730" i="1"/>
  <c r="J1731" i="1"/>
  <c r="K1731" i="1"/>
  <c r="L1731" i="1"/>
  <c r="J1732" i="1"/>
  <c r="K1732" i="1"/>
  <c r="L1732" i="1"/>
  <c r="J1733" i="1"/>
  <c r="K1733" i="1"/>
  <c r="L1733" i="1"/>
  <c r="J1734" i="1"/>
  <c r="K1734" i="1"/>
  <c r="L1734" i="1"/>
  <c r="J1735" i="1"/>
  <c r="K1735" i="1"/>
  <c r="L1735" i="1"/>
  <c r="J1736" i="1"/>
  <c r="K1736" i="1"/>
  <c r="L1736" i="1"/>
  <c r="J1737" i="1"/>
  <c r="K1737" i="1"/>
  <c r="L1737" i="1"/>
  <c r="J1738" i="1"/>
  <c r="K1738" i="1"/>
  <c r="L1738" i="1"/>
  <c r="J1739" i="1"/>
  <c r="K1739" i="1"/>
  <c r="L1739" i="1"/>
  <c r="J1740" i="1"/>
  <c r="K1740" i="1"/>
  <c r="L1740" i="1"/>
  <c r="J1741" i="1"/>
  <c r="K1741" i="1"/>
  <c r="L1741" i="1"/>
  <c r="J1742" i="1"/>
  <c r="K1742" i="1"/>
  <c r="L1742" i="1"/>
  <c r="J1743" i="1"/>
  <c r="K1743" i="1"/>
  <c r="L1743" i="1"/>
  <c r="J1744" i="1"/>
  <c r="K1744" i="1"/>
  <c r="L1744" i="1"/>
  <c r="J1745" i="1"/>
  <c r="K1745" i="1"/>
  <c r="L1745" i="1"/>
  <c r="J1746" i="1"/>
  <c r="K1746" i="1"/>
  <c r="L1746" i="1"/>
  <c r="J1747" i="1"/>
  <c r="K1747" i="1"/>
  <c r="L1747" i="1"/>
  <c r="J1748" i="1"/>
  <c r="K1748" i="1"/>
  <c r="L1748" i="1"/>
  <c r="J1749" i="1"/>
  <c r="K1749" i="1"/>
  <c r="L1749" i="1"/>
  <c r="J1750" i="1"/>
  <c r="K1750" i="1"/>
  <c r="L1750" i="1"/>
  <c r="J1751" i="1"/>
  <c r="K1751" i="1"/>
  <c r="L1751" i="1"/>
  <c r="J1752" i="1"/>
  <c r="K1752" i="1"/>
  <c r="L1752" i="1"/>
  <c r="J1753" i="1"/>
  <c r="K1753" i="1"/>
  <c r="L1753" i="1"/>
  <c r="J1754" i="1"/>
  <c r="K1754" i="1"/>
  <c r="L1754" i="1"/>
  <c r="J1755" i="1"/>
  <c r="K1755" i="1"/>
  <c r="L1755" i="1"/>
  <c r="J1756" i="1"/>
  <c r="K1756" i="1"/>
  <c r="L1756" i="1"/>
  <c r="J1757" i="1"/>
  <c r="K1757" i="1"/>
  <c r="L1757" i="1"/>
  <c r="J1758" i="1"/>
  <c r="K1758" i="1"/>
  <c r="L1758" i="1"/>
  <c r="J1759" i="1"/>
  <c r="K1759" i="1"/>
  <c r="L1759" i="1"/>
  <c r="J1760" i="1"/>
  <c r="K1760" i="1"/>
  <c r="L1760" i="1"/>
  <c r="J1761" i="1"/>
  <c r="K1761" i="1"/>
  <c r="L1761" i="1"/>
  <c r="J1762" i="1"/>
  <c r="K1762" i="1"/>
  <c r="L1762" i="1"/>
  <c r="J1763" i="1"/>
  <c r="K1763" i="1"/>
  <c r="L1763" i="1"/>
  <c r="J1764" i="1"/>
  <c r="K1764" i="1"/>
  <c r="L1764" i="1"/>
  <c r="J1765" i="1"/>
  <c r="K1765" i="1"/>
  <c r="L1765" i="1"/>
  <c r="J1766" i="1"/>
  <c r="K1766" i="1"/>
  <c r="L1766" i="1"/>
  <c r="J1767" i="1"/>
  <c r="K1767" i="1"/>
  <c r="L1767" i="1"/>
  <c r="J1768" i="1"/>
  <c r="K1768" i="1"/>
  <c r="L1768" i="1"/>
  <c r="J1769" i="1"/>
  <c r="K1769" i="1"/>
  <c r="L1769" i="1"/>
  <c r="J1770" i="1"/>
  <c r="K1770" i="1"/>
  <c r="L1770" i="1"/>
  <c r="J1771" i="1"/>
  <c r="K1771" i="1"/>
  <c r="L1771" i="1"/>
  <c r="J1772" i="1"/>
  <c r="K1772" i="1"/>
  <c r="L1772" i="1"/>
  <c r="J1773" i="1"/>
  <c r="K1773" i="1"/>
  <c r="L1773" i="1"/>
  <c r="J1774" i="1"/>
  <c r="K1774" i="1"/>
  <c r="L1774" i="1"/>
  <c r="J1775" i="1"/>
  <c r="K1775" i="1"/>
  <c r="L1775" i="1"/>
  <c r="J1776" i="1"/>
  <c r="K1776" i="1"/>
  <c r="L1776" i="1"/>
  <c r="J1777" i="1"/>
  <c r="K1777" i="1"/>
  <c r="L1777" i="1"/>
  <c r="J1778" i="1"/>
  <c r="K1778" i="1"/>
  <c r="L1778" i="1"/>
  <c r="J1779" i="1"/>
  <c r="K1779" i="1"/>
  <c r="L1779" i="1"/>
  <c r="J1780" i="1"/>
  <c r="K1780" i="1"/>
  <c r="L1780" i="1"/>
  <c r="J1781" i="1"/>
  <c r="K1781" i="1"/>
  <c r="L1781" i="1"/>
  <c r="J1782" i="1"/>
  <c r="K1782" i="1"/>
  <c r="L1782" i="1"/>
  <c r="J1783" i="1"/>
  <c r="K1783" i="1"/>
  <c r="L1783" i="1"/>
  <c r="J1784" i="1"/>
  <c r="K1784" i="1"/>
  <c r="L1784" i="1"/>
  <c r="J1785" i="1"/>
  <c r="K1785" i="1"/>
  <c r="L1785" i="1"/>
  <c r="J1786" i="1"/>
  <c r="K1786" i="1"/>
  <c r="L1786" i="1"/>
  <c r="J1787" i="1"/>
  <c r="K1787" i="1"/>
  <c r="L1787" i="1"/>
  <c r="J1788" i="1"/>
  <c r="K1788" i="1"/>
  <c r="L1788" i="1"/>
  <c r="J1789" i="1"/>
  <c r="K1789" i="1"/>
  <c r="L1789" i="1"/>
  <c r="J1790" i="1"/>
  <c r="K1790" i="1"/>
  <c r="L1790" i="1"/>
  <c r="J1791" i="1"/>
  <c r="K1791" i="1"/>
  <c r="L1791" i="1"/>
  <c r="J1792" i="1"/>
  <c r="K1792" i="1"/>
  <c r="L1792" i="1"/>
  <c r="J1793" i="1"/>
  <c r="K1793" i="1"/>
  <c r="L1793" i="1"/>
  <c r="J1794" i="1"/>
  <c r="K1794" i="1"/>
  <c r="L1794" i="1"/>
  <c r="J1795" i="1"/>
  <c r="K1795" i="1"/>
  <c r="L1795" i="1"/>
  <c r="J1796" i="1"/>
  <c r="K1796" i="1"/>
  <c r="L1796" i="1"/>
  <c r="J1797" i="1"/>
  <c r="K1797" i="1"/>
  <c r="L1797" i="1"/>
  <c r="J1798" i="1"/>
  <c r="K1798" i="1"/>
  <c r="L1798" i="1"/>
  <c r="J1799" i="1"/>
  <c r="K1799" i="1"/>
  <c r="L1799" i="1"/>
  <c r="J1800" i="1"/>
  <c r="K1800" i="1"/>
  <c r="L1800" i="1"/>
  <c r="J1801" i="1"/>
  <c r="K1801" i="1"/>
  <c r="L1801" i="1"/>
  <c r="J1802" i="1"/>
  <c r="K1802" i="1"/>
  <c r="L1802" i="1"/>
  <c r="J1803" i="1"/>
  <c r="K1803" i="1"/>
  <c r="L1803" i="1"/>
  <c r="J1804" i="1"/>
  <c r="K1804" i="1"/>
  <c r="L1804" i="1"/>
  <c r="J1805" i="1"/>
  <c r="K1805" i="1"/>
  <c r="L1805" i="1"/>
  <c r="J1806" i="1"/>
  <c r="K1806" i="1"/>
  <c r="L1806" i="1"/>
  <c r="J1807" i="1"/>
  <c r="K1807" i="1"/>
  <c r="L1807" i="1"/>
  <c r="J1808" i="1"/>
  <c r="K1808" i="1"/>
  <c r="L1808" i="1"/>
  <c r="J1809" i="1"/>
  <c r="K1809" i="1"/>
  <c r="L1809" i="1"/>
  <c r="J1810" i="1"/>
  <c r="K1810" i="1"/>
  <c r="L1810" i="1"/>
  <c r="J1811" i="1"/>
  <c r="K1811" i="1"/>
  <c r="L1811" i="1"/>
  <c r="J1812" i="1"/>
  <c r="K1812" i="1"/>
  <c r="L1812" i="1"/>
  <c r="J1813" i="1"/>
  <c r="K1813" i="1"/>
  <c r="L1813" i="1"/>
  <c r="J1814" i="1"/>
  <c r="K1814" i="1"/>
  <c r="L1814" i="1"/>
  <c r="J1815" i="1"/>
  <c r="K1815" i="1"/>
  <c r="L1815" i="1"/>
  <c r="J1816" i="1"/>
  <c r="K1816" i="1"/>
  <c r="L1816" i="1"/>
  <c r="J1817" i="1"/>
  <c r="K1817" i="1"/>
  <c r="L1817" i="1"/>
  <c r="J1818" i="1"/>
  <c r="K1818" i="1"/>
  <c r="L1818" i="1"/>
  <c r="J1819" i="1"/>
  <c r="K1819" i="1"/>
  <c r="L1819" i="1"/>
  <c r="J1820" i="1"/>
  <c r="K1820" i="1"/>
  <c r="L1820" i="1"/>
  <c r="J1821" i="1"/>
  <c r="K1821" i="1"/>
  <c r="L1821" i="1"/>
  <c r="J1822" i="1"/>
  <c r="K1822" i="1"/>
  <c r="L1822" i="1"/>
  <c r="J1823" i="1"/>
  <c r="K1823" i="1"/>
  <c r="L1823" i="1"/>
  <c r="J1824" i="1"/>
  <c r="K1824" i="1"/>
  <c r="L1824" i="1"/>
  <c r="J1825" i="1"/>
  <c r="K1825" i="1"/>
  <c r="L1825" i="1"/>
  <c r="J1826" i="1"/>
  <c r="K1826" i="1"/>
  <c r="L1826" i="1"/>
  <c r="J1827" i="1"/>
  <c r="K1827" i="1"/>
  <c r="L1827" i="1"/>
  <c r="J1828" i="1"/>
  <c r="K1828" i="1"/>
  <c r="L1828" i="1"/>
  <c r="J1829" i="1"/>
  <c r="K1829" i="1"/>
  <c r="L1829" i="1"/>
  <c r="J1830" i="1"/>
  <c r="K1830" i="1"/>
  <c r="L1830" i="1"/>
  <c r="J1831" i="1"/>
  <c r="K1831" i="1"/>
  <c r="L1831" i="1"/>
  <c r="J1832" i="1"/>
  <c r="K1832" i="1"/>
  <c r="L1832" i="1"/>
  <c r="J1833" i="1"/>
  <c r="K1833" i="1"/>
  <c r="L1833" i="1"/>
  <c r="J1834" i="1"/>
  <c r="K1834" i="1"/>
  <c r="L1834" i="1"/>
  <c r="J1835" i="1"/>
  <c r="K1835" i="1"/>
  <c r="L1835" i="1"/>
  <c r="J1836" i="1"/>
  <c r="K1836" i="1"/>
  <c r="L1836" i="1"/>
  <c r="J1837" i="1"/>
  <c r="K1837" i="1"/>
  <c r="L1837" i="1"/>
  <c r="J1838" i="1"/>
  <c r="K1838" i="1"/>
  <c r="L1838" i="1"/>
  <c r="J1839" i="1"/>
  <c r="K1839" i="1"/>
  <c r="L1839" i="1"/>
  <c r="J1840" i="1"/>
  <c r="K1840" i="1"/>
  <c r="L1840" i="1"/>
  <c r="J1841" i="1"/>
  <c r="K1841" i="1"/>
  <c r="L1841" i="1"/>
  <c r="J1842" i="1"/>
  <c r="K1842" i="1"/>
  <c r="L1842" i="1"/>
  <c r="J1843" i="1"/>
  <c r="K1843" i="1"/>
  <c r="L1843" i="1"/>
  <c r="J1844" i="1"/>
  <c r="K1844" i="1"/>
  <c r="L1844" i="1"/>
  <c r="J1845" i="1"/>
  <c r="K1845" i="1"/>
  <c r="L1845" i="1"/>
  <c r="J1846" i="1"/>
  <c r="K1846" i="1"/>
  <c r="L1846" i="1"/>
  <c r="J1847" i="1"/>
  <c r="K1847" i="1"/>
  <c r="L1847" i="1"/>
  <c r="J1848" i="1"/>
  <c r="K1848" i="1"/>
  <c r="L1848" i="1"/>
  <c r="J1849" i="1"/>
  <c r="K1849" i="1"/>
  <c r="L1849" i="1"/>
  <c r="J1850" i="1"/>
  <c r="K1850" i="1"/>
  <c r="L1850" i="1"/>
  <c r="J1851" i="1"/>
  <c r="K1851" i="1"/>
  <c r="L1851" i="1"/>
  <c r="J1852" i="1"/>
  <c r="K1852" i="1"/>
  <c r="L1852" i="1"/>
  <c r="J1853" i="1"/>
  <c r="K1853" i="1"/>
  <c r="L1853" i="1"/>
  <c r="J1854" i="1"/>
  <c r="K1854" i="1"/>
  <c r="L1854" i="1"/>
  <c r="J1855" i="1"/>
  <c r="K1855" i="1"/>
  <c r="L1855" i="1"/>
  <c r="J1856" i="1"/>
  <c r="K1856" i="1"/>
  <c r="L1856" i="1"/>
  <c r="J1857" i="1"/>
  <c r="K1857" i="1"/>
  <c r="L1857" i="1"/>
  <c r="J1858" i="1"/>
  <c r="K1858" i="1"/>
  <c r="L1858" i="1"/>
  <c r="J1859" i="1"/>
  <c r="K1859" i="1"/>
  <c r="L1859" i="1"/>
  <c r="J1860" i="1"/>
  <c r="K1860" i="1"/>
  <c r="L1860" i="1"/>
  <c r="J1861" i="1"/>
  <c r="K1861" i="1"/>
  <c r="L1861" i="1"/>
  <c r="J1862" i="1"/>
  <c r="K1862" i="1"/>
  <c r="L1862" i="1"/>
  <c r="J1863" i="1"/>
  <c r="K1863" i="1"/>
  <c r="L1863" i="1"/>
  <c r="J1864" i="1"/>
  <c r="K1864" i="1"/>
  <c r="L1864" i="1"/>
  <c r="J1865" i="1"/>
  <c r="K1865" i="1"/>
  <c r="L1865" i="1"/>
  <c r="J1866" i="1"/>
  <c r="K1866" i="1"/>
  <c r="L1866" i="1"/>
  <c r="J1867" i="1"/>
  <c r="K1867" i="1"/>
  <c r="L1867" i="1"/>
  <c r="J1868" i="1"/>
  <c r="K1868" i="1"/>
  <c r="L1868" i="1"/>
  <c r="J1869" i="1"/>
  <c r="K1869" i="1"/>
  <c r="L1869" i="1"/>
  <c r="J1870" i="1"/>
  <c r="K1870" i="1"/>
  <c r="L1870" i="1"/>
  <c r="J1871" i="1"/>
  <c r="K1871" i="1"/>
  <c r="L1871" i="1"/>
  <c r="J1872" i="1"/>
  <c r="K1872" i="1"/>
  <c r="L1872" i="1"/>
  <c r="J1873" i="1"/>
  <c r="K1873" i="1"/>
  <c r="L1873" i="1"/>
  <c r="J1874" i="1"/>
  <c r="K1874" i="1"/>
  <c r="L1874" i="1"/>
  <c r="J1875" i="1"/>
  <c r="K1875" i="1"/>
  <c r="L1875" i="1"/>
  <c r="J1876" i="1"/>
  <c r="K1876" i="1"/>
  <c r="L1876" i="1"/>
  <c r="J1877" i="1"/>
  <c r="K1877" i="1"/>
  <c r="L1877" i="1"/>
  <c r="J1878" i="1"/>
  <c r="K1878" i="1"/>
  <c r="L1878" i="1"/>
  <c r="J1879" i="1"/>
  <c r="K1879" i="1"/>
  <c r="L1879" i="1"/>
  <c r="J1880" i="1"/>
  <c r="K1880" i="1"/>
  <c r="L1880" i="1"/>
  <c r="J1881" i="1"/>
  <c r="K1881" i="1"/>
  <c r="L1881" i="1"/>
  <c r="J1882" i="1"/>
  <c r="K1882" i="1"/>
  <c r="L1882" i="1"/>
  <c r="J1883" i="1"/>
  <c r="K1883" i="1"/>
  <c r="L1883" i="1"/>
  <c r="J1884" i="1"/>
  <c r="K1884" i="1"/>
  <c r="L1884" i="1"/>
  <c r="J1885" i="1"/>
  <c r="K1885" i="1"/>
  <c r="L1885" i="1"/>
  <c r="J1886" i="1"/>
  <c r="K1886" i="1"/>
  <c r="L1886" i="1"/>
  <c r="J1887" i="1"/>
  <c r="K1887" i="1"/>
  <c r="L1887" i="1"/>
  <c r="J1888" i="1"/>
  <c r="K1888" i="1"/>
  <c r="L1888" i="1"/>
  <c r="J1889" i="1"/>
  <c r="K1889" i="1"/>
  <c r="L1889" i="1"/>
  <c r="J1890" i="1"/>
  <c r="K1890" i="1"/>
  <c r="L1890" i="1"/>
  <c r="J1891" i="1"/>
  <c r="K1891" i="1"/>
  <c r="L1891" i="1"/>
  <c r="J1892" i="1"/>
  <c r="K1892" i="1"/>
  <c r="L1892" i="1"/>
  <c r="J1893" i="1"/>
  <c r="K1893" i="1"/>
  <c r="L1893" i="1"/>
  <c r="J1894" i="1"/>
  <c r="K1894" i="1"/>
  <c r="L1894" i="1"/>
  <c r="J1895" i="1"/>
  <c r="K1895" i="1"/>
  <c r="L1895" i="1"/>
  <c r="J1896" i="1"/>
  <c r="K1896" i="1"/>
  <c r="L1896" i="1"/>
  <c r="J1897" i="1"/>
  <c r="K1897" i="1"/>
  <c r="L1897" i="1"/>
  <c r="J1898" i="1"/>
  <c r="K1898" i="1"/>
  <c r="L1898" i="1"/>
  <c r="J1899" i="1"/>
  <c r="K1899" i="1"/>
  <c r="L1899" i="1"/>
  <c r="J1900" i="1"/>
  <c r="K1900" i="1"/>
  <c r="L1900" i="1"/>
  <c r="J1901" i="1"/>
  <c r="K1901" i="1"/>
  <c r="L1901" i="1"/>
  <c r="J1902" i="1"/>
  <c r="K1902" i="1"/>
  <c r="L1902" i="1"/>
  <c r="J1903" i="1"/>
  <c r="K1903" i="1"/>
  <c r="L1903" i="1"/>
  <c r="J1904" i="1"/>
  <c r="K1904" i="1"/>
  <c r="L1904" i="1"/>
  <c r="J1905" i="1"/>
  <c r="K1905" i="1"/>
  <c r="L1905" i="1"/>
  <c r="J1906" i="1"/>
  <c r="K1906" i="1"/>
  <c r="L1906" i="1"/>
  <c r="J1907" i="1"/>
  <c r="K1907" i="1"/>
  <c r="L1907" i="1"/>
  <c r="J1908" i="1"/>
  <c r="K1908" i="1"/>
  <c r="L1908" i="1"/>
  <c r="J1909" i="1"/>
  <c r="K1909" i="1"/>
  <c r="L1909" i="1"/>
  <c r="J1910" i="1"/>
  <c r="K1910" i="1"/>
  <c r="L1910" i="1"/>
  <c r="J1911" i="1"/>
  <c r="K1911" i="1"/>
  <c r="L1911" i="1"/>
  <c r="J1912" i="1"/>
  <c r="K1912" i="1"/>
  <c r="L1912" i="1"/>
  <c r="J1913" i="1"/>
  <c r="K1913" i="1"/>
  <c r="L1913" i="1"/>
  <c r="J1914" i="1"/>
  <c r="K1914" i="1"/>
  <c r="L1914" i="1"/>
  <c r="J1915" i="1"/>
  <c r="K1915" i="1"/>
  <c r="L1915" i="1"/>
  <c r="J1916" i="1"/>
  <c r="K1916" i="1"/>
  <c r="L1916" i="1"/>
  <c r="J1917" i="1"/>
  <c r="K1917" i="1"/>
  <c r="L1917" i="1"/>
  <c r="J1918" i="1"/>
  <c r="K1918" i="1"/>
  <c r="L1918" i="1"/>
  <c r="J1919" i="1"/>
  <c r="K1919" i="1"/>
  <c r="L1919" i="1"/>
  <c r="J1920" i="1"/>
  <c r="K1920" i="1"/>
  <c r="L1920" i="1"/>
  <c r="J1921" i="1"/>
  <c r="K1921" i="1"/>
  <c r="L1921" i="1"/>
  <c r="J1922" i="1"/>
  <c r="K1922" i="1"/>
  <c r="L1922" i="1"/>
  <c r="J1923" i="1"/>
  <c r="K1923" i="1"/>
  <c r="L1923" i="1"/>
  <c r="J1924" i="1"/>
  <c r="K1924" i="1"/>
  <c r="L1924" i="1"/>
  <c r="J1925" i="1"/>
  <c r="K1925" i="1"/>
  <c r="L1925" i="1"/>
  <c r="J1926" i="1"/>
  <c r="K1926" i="1"/>
  <c r="L1926" i="1"/>
  <c r="J1927" i="1"/>
  <c r="K1927" i="1"/>
  <c r="L1927" i="1"/>
  <c r="J1928" i="1"/>
  <c r="K1928" i="1"/>
  <c r="L1928" i="1"/>
  <c r="J1929" i="1"/>
  <c r="K1929" i="1"/>
  <c r="L1929" i="1"/>
  <c r="J1930" i="1"/>
  <c r="K1930" i="1"/>
  <c r="L1930" i="1"/>
  <c r="J1931" i="1"/>
  <c r="K1931" i="1"/>
  <c r="L1931" i="1"/>
  <c r="J1932" i="1"/>
  <c r="K1932" i="1"/>
  <c r="L1932" i="1"/>
  <c r="J1933" i="1"/>
  <c r="K1933" i="1"/>
  <c r="L1933" i="1"/>
  <c r="J1934" i="1"/>
  <c r="K1934" i="1"/>
  <c r="L1934" i="1"/>
  <c r="J1935" i="1"/>
  <c r="K1935" i="1"/>
  <c r="L1935" i="1"/>
  <c r="J1936" i="1"/>
  <c r="K1936" i="1"/>
  <c r="L1936" i="1"/>
  <c r="J1937" i="1"/>
  <c r="K1937" i="1"/>
  <c r="L1937" i="1"/>
  <c r="J1938" i="1"/>
  <c r="K1938" i="1"/>
  <c r="L1938" i="1"/>
  <c r="J1939" i="1"/>
  <c r="K1939" i="1"/>
  <c r="L1939" i="1"/>
  <c r="J1940" i="1"/>
  <c r="K1940" i="1"/>
  <c r="L1940" i="1"/>
  <c r="J1941" i="1"/>
  <c r="K1941" i="1"/>
  <c r="L1941" i="1"/>
  <c r="J1942" i="1"/>
  <c r="K1942" i="1"/>
  <c r="L1942" i="1"/>
  <c r="J1943" i="1"/>
  <c r="K1943" i="1"/>
  <c r="L1943" i="1"/>
  <c r="J1944" i="1"/>
  <c r="K1944" i="1"/>
  <c r="L1944" i="1"/>
  <c r="J1945" i="1"/>
  <c r="K1945" i="1"/>
  <c r="L1945" i="1"/>
  <c r="J1946" i="1"/>
  <c r="K1946" i="1"/>
  <c r="L1946" i="1"/>
  <c r="J1947" i="1"/>
  <c r="K1947" i="1"/>
  <c r="L1947" i="1"/>
  <c r="J1948" i="1"/>
  <c r="K1948" i="1"/>
  <c r="L1948" i="1"/>
  <c r="J1949" i="1"/>
  <c r="K1949" i="1"/>
  <c r="L1949" i="1"/>
  <c r="J1950" i="1"/>
  <c r="K1950" i="1"/>
  <c r="L1950" i="1"/>
  <c r="J1951" i="1"/>
  <c r="K1951" i="1"/>
  <c r="L1951" i="1"/>
  <c r="J1952" i="1"/>
  <c r="K1952" i="1"/>
  <c r="L1952" i="1"/>
  <c r="J1953" i="1"/>
  <c r="K1953" i="1"/>
  <c r="L1953" i="1"/>
  <c r="J1954" i="1"/>
  <c r="K1954" i="1"/>
  <c r="L1954" i="1"/>
  <c r="J1955" i="1"/>
  <c r="K1955" i="1"/>
  <c r="L1955" i="1"/>
  <c r="J1956" i="1"/>
  <c r="K1956" i="1"/>
  <c r="L1956" i="1"/>
  <c r="J1957" i="1"/>
  <c r="K1957" i="1"/>
  <c r="L1957" i="1"/>
  <c r="J1958" i="1"/>
  <c r="K1958" i="1"/>
  <c r="L1958" i="1"/>
  <c r="J1959" i="1"/>
  <c r="K1959" i="1"/>
  <c r="L1959" i="1"/>
  <c r="J1960" i="1"/>
  <c r="K1960" i="1"/>
  <c r="L1960" i="1"/>
  <c r="J1961" i="1"/>
  <c r="K1961" i="1"/>
  <c r="L1961" i="1"/>
  <c r="J1962" i="1"/>
  <c r="K1962" i="1"/>
  <c r="L1962" i="1"/>
  <c r="J1963" i="1"/>
  <c r="K1963" i="1"/>
  <c r="L1963" i="1"/>
  <c r="J1964" i="1"/>
  <c r="K1964" i="1"/>
  <c r="L1964" i="1"/>
  <c r="J1965" i="1"/>
  <c r="K1965" i="1"/>
  <c r="L1965" i="1"/>
  <c r="J1966" i="1"/>
  <c r="K1966" i="1"/>
  <c r="L1966" i="1"/>
  <c r="J1967" i="1"/>
  <c r="K1967" i="1"/>
  <c r="L1967" i="1"/>
  <c r="J1968" i="1"/>
  <c r="K1968" i="1"/>
  <c r="L1968" i="1"/>
  <c r="J1969" i="1"/>
  <c r="K1969" i="1"/>
  <c r="L1969" i="1"/>
  <c r="J1970" i="1"/>
  <c r="K1970" i="1"/>
  <c r="L1970" i="1"/>
  <c r="J1971" i="1"/>
  <c r="K1971" i="1"/>
  <c r="L1971" i="1"/>
  <c r="J1972" i="1"/>
  <c r="K1972" i="1"/>
  <c r="L1972" i="1"/>
  <c r="J1973" i="1"/>
  <c r="K1973" i="1"/>
  <c r="L1973" i="1"/>
  <c r="J1974" i="1"/>
  <c r="K1974" i="1"/>
  <c r="L1974" i="1"/>
  <c r="J1975" i="1"/>
  <c r="K1975" i="1"/>
  <c r="L1975" i="1"/>
  <c r="J1976" i="1"/>
  <c r="K1976" i="1"/>
  <c r="L1976" i="1"/>
  <c r="J1977" i="1"/>
  <c r="K1977" i="1"/>
  <c r="L1977" i="1"/>
  <c r="J1978" i="1"/>
  <c r="K1978" i="1"/>
  <c r="L1978" i="1"/>
  <c r="J1979" i="1"/>
  <c r="K1979" i="1"/>
  <c r="L1979" i="1"/>
  <c r="J1980" i="1"/>
  <c r="K1980" i="1"/>
  <c r="L1980" i="1"/>
  <c r="J1981" i="1"/>
  <c r="K1981" i="1"/>
  <c r="L1981" i="1"/>
  <c r="J1982" i="1"/>
  <c r="K1982" i="1"/>
  <c r="L1982" i="1"/>
  <c r="J1983" i="1"/>
  <c r="K1983" i="1"/>
  <c r="L1983" i="1"/>
  <c r="J1984" i="1"/>
  <c r="K1984" i="1"/>
  <c r="L1984" i="1"/>
  <c r="J1985" i="1"/>
  <c r="K1985" i="1"/>
  <c r="L1985" i="1"/>
  <c r="J1986" i="1"/>
  <c r="K1986" i="1"/>
  <c r="L1986" i="1"/>
  <c r="J1987" i="1"/>
  <c r="K1987" i="1"/>
  <c r="L1987" i="1"/>
  <c r="J1988" i="1"/>
  <c r="K1988" i="1"/>
  <c r="L1988" i="1"/>
  <c r="J1989" i="1"/>
  <c r="K1989" i="1"/>
  <c r="L1989" i="1"/>
  <c r="J1990" i="1"/>
  <c r="K1990" i="1"/>
  <c r="L1990" i="1"/>
  <c r="J1991" i="1"/>
  <c r="K1991" i="1"/>
  <c r="L1991" i="1"/>
  <c r="J1992" i="1"/>
  <c r="K1992" i="1"/>
  <c r="L1992" i="1"/>
  <c r="J1993" i="1"/>
  <c r="K1993" i="1"/>
  <c r="L1993" i="1"/>
  <c r="J1994" i="1"/>
  <c r="K1994" i="1"/>
  <c r="L1994" i="1"/>
  <c r="J1995" i="1"/>
  <c r="K1995" i="1"/>
  <c r="L1995" i="1"/>
  <c r="J1996" i="1"/>
  <c r="K1996" i="1"/>
  <c r="L1996" i="1"/>
  <c r="J1997" i="1"/>
  <c r="K1997" i="1"/>
  <c r="L1997" i="1"/>
  <c r="J1998" i="1"/>
  <c r="K1998" i="1"/>
  <c r="L1998" i="1"/>
  <c r="J1999" i="1"/>
  <c r="K1999" i="1"/>
  <c r="L1999" i="1"/>
  <c r="J2000" i="1"/>
  <c r="K2000" i="1"/>
  <c r="L2000" i="1"/>
  <c r="J2001" i="1"/>
  <c r="K2001" i="1"/>
  <c r="L2001" i="1"/>
  <c r="J2002" i="1"/>
  <c r="K2002" i="1"/>
  <c r="L2002" i="1"/>
  <c r="J2003" i="1"/>
  <c r="K2003" i="1"/>
  <c r="L2003" i="1"/>
  <c r="J2004" i="1"/>
  <c r="K2004" i="1"/>
  <c r="L2004" i="1"/>
  <c r="J2005" i="1"/>
  <c r="K2005" i="1"/>
  <c r="L2005" i="1"/>
  <c r="J2006" i="1"/>
  <c r="K2006" i="1"/>
  <c r="L2006" i="1"/>
  <c r="J2007" i="1"/>
  <c r="K2007" i="1"/>
  <c r="L2007" i="1"/>
  <c r="J2008" i="1"/>
  <c r="K2008" i="1"/>
  <c r="L2008" i="1"/>
  <c r="J2009" i="1"/>
  <c r="K2009" i="1"/>
  <c r="L2009" i="1"/>
  <c r="J2010" i="1"/>
  <c r="K2010" i="1"/>
  <c r="L2010" i="1"/>
  <c r="J2011" i="1"/>
  <c r="K2011" i="1"/>
  <c r="L2011" i="1"/>
  <c r="J2012" i="1"/>
  <c r="K2012" i="1"/>
  <c r="L2012" i="1"/>
  <c r="J2013" i="1"/>
  <c r="K2013" i="1"/>
  <c r="L2013" i="1"/>
  <c r="J2014" i="1"/>
  <c r="K2014" i="1"/>
  <c r="L2014" i="1"/>
  <c r="J2015" i="1"/>
  <c r="K2015" i="1"/>
  <c r="L2015" i="1"/>
  <c r="J2016" i="1"/>
  <c r="K2016" i="1"/>
  <c r="L2016" i="1"/>
  <c r="J2017" i="1"/>
  <c r="K2017" i="1"/>
  <c r="L2017" i="1"/>
  <c r="J2018" i="1"/>
  <c r="K2018" i="1"/>
  <c r="L2018" i="1"/>
  <c r="J2019" i="1"/>
  <c r="K2019" i="1"/>
  <c r="L2019" i="1"/>
  <c r="J2020" i="1"/>
  <c r="K2020" i="1"/>
  <c r="L2020" i="1"/>
  <c r="J2021" i="1"/>
  <c r="K2021" i="1"/>
  <c r="L2021" i="1"/>
  <c r="J2022" i="1"/>
  <c r="K2022" i="1"/>
  <c r="L2022" i="1"/>
  <c r="J2023" i="1"/>
  <c r="K2023" i="1"/>
  <c r="L2023" i="1"/>
  <c r="J2024" i="1"/>
  <c r="K2024" i="1"/>
  <c r="L2024" i="1"/>
  <c r="J2025" i="1"/>
  <c r="K2025" i="1"/>
  <c r="L2025" i="1"/>
  <c r="J2026" i="1"/>
  <c r="K2026" i="1"/>
  <c r="L2026" i="1"/>
  <c r="J2027" i="1"/>
  <c r="K2027" i="1"/>
  <c r="L2027" i="1"/>
  <c r="J2028" i="1"/>
  <c r="K2028" i="1"/>
  <c r="L2028" i="1"/>
  <c r="J2029" i="1"/>
  <c r="K2029" i="1"/>
  <c r="L2029" i="1"/>
  <c r="J2030" i="1"/>
  <c r="K2030" i="1"/>
  <c r="L2030" i="1"/>
  <c r="J2031" i="1"/>
  <c r="K2031" i="1"/>
  <c r="L2031" i="1"/>
  <c r="J2032" i="1"/>
  <c r="K2032" i="1"/>
  <c r="L2032" i="1"/>
  <c r="J2033" i="1"/>
  <c r="K2033" i="1"/>
  <c r="L2033" i="1"/>
  <c r="J2034" i="1"/>
  <c r="K2034" i="1"/>
  <c r="L2034" i="1"/>
  <c r="J2035" i="1"/>
  <c r="K2035" i="1"/>
  <c r="L2035" i="1"/>
  <c r="J2036" i="1"/>
  <c r="K2036" i="1"/>
  <c r="L2036" i="1"/>
  <c r="J2037" i="1"/>
  <c r="K2037" i="1"/>
  <c r="L2037" i="1"/>
  <c r="J2038" i="1"/>
  <c r="K2038" i="1"/>
  <c r="L2038" i="1"/>
  <c r="J2039" i="1"/>
  <c r="K2039" i="1"/>
  <c r="L2039" i="1"/>
  <c r="J2040" i="1"/>
  <c r="K2040" i="1"/>
  <c r="L2040" i="1"/>
  <c r="J2041" i="1"/>
  <c r="K2041" i="1"/>
  <c r="L2041" i="1"/>
  <c r="J2042" i="1"/>
  <c r="K2042" i="1"/>
  <c r="L2042" i="1"/>
  <c r="J2043" i="1"/>
  <c r="K2043" i="1"/>
  <c r="L2043" i="1"/>
  <c r="J2044" i="1"/>
  <c r="K2044" i="1"/>
  <c r="L2044" i="1"/>
  <c r="J2045" i="1"/>
  <c r="K2045" i="1"/>
  <c r="L2045" i="1"/>
  <c r="J2046" i="1"/>
  <c r="K2046" i="1"/>
  <c r="L2046" i="1"/>
  <c r="J2047" i="1"/>
  <c r="K2047" i="1"/>
  <c r="L2047" i="1"/>
  <c r="J2048" i="1"/>
  <c r="K2048" i="1"/>
  <c r="L2048" i="1"/>
  <c r="J2049" i="1"/>
  <c r="K2049" i="1"/>
  <c r="L2049" i="1"/>
  <c r="J2050" i="1"/>
  <c r="K2050" i="1"/>
  <c r="L2050" i="1"/>
  <c r="J2051" i="1"/>
  <c r="K2051" i="1"/>
  <c r="L2051" i="1"/>
  <c r="J2052" i="1"/>
  <c r="K2052" i="1"/>
  <c r="L2052" i="1"/>
  <c r="J2053" i="1"/>
  <c r="K2053" i="1"/>
  <c r="L2053" i="1"/>
  <c r="J2054" i="1"/>
  <c r="K2054" i="1"/>
  <c r="L2054" i="1"/>
  <c r="J2055" i="1"/>
  <c r="K2055" i="1"/>
  <c r="L2055" i="1"/>
  <c r="J2056" i="1"/>
  <c r="K2056" i="1"/>
  <c r="L2056" i="1"/>
  <c r="J2057" i="1"/>
  <c r="K2057" i="1"/>
  <c r="L2057" i="1"/>
  <c r="J2058" i="1"/>
  <c r="K2058" i="1"/>
  <c r="L2058" i="1"/>
  <c r="J2059" i="1"/>
  <c r="K2059" i="1"/>
  <c r="L2059" i="1"/>
  <c r="J2060" i="1"/>
  <c r="K2060" i="1"/>
  <c r="L2060" i="1"/>
  <c r="J2061" i="1"/>
  <c r="K2061" i="1"/>
  <c r="L2061" i="1"/>
  <c r="J2062" i="1"/>
  <c r="K2062" i="1"/>
  <c r="L2062" i="1"/>
  <c r="J2063" i="1"/>
  <c r="K2063" i="1"/>
  <c r="L2063" i="1"/>
  <c r="J2064" i="1"/>
  <c r="K2064" i="1"/>
  <c r="L2064" i="1"/>
  <c r="J2065" i="1"/>
  <c r="K2065" i="1"/>
  <c r="L2065" i="1"/>
  <c r="J2066" i="1"/>
  <c r="K2066" i="1"/>
  <c r="L2066" i="1"/>
  <c r="J2067" i="1"/>
  <c r="K2067" i="1"/>
  <c r="L2067" i="1"/>
  <c r="J2068" i="1"/>
  <c r="K2068" i="1"/>
  <c r="L2068" i="1"/>
  <c r="J2069" i="1"/>
  <c r="K2069" i="1"/>
  <c r="L2069" i="1"/>
  <c r="J2070" i="1"/>
  <c r="K2070" i="1"/>
  <c r="L2070" i="1"/>
  <c r="J2071" i="1"/>
  <c r="K2071" i="1"/>
  <c r="L2071" i="1"/>
  <c r="J2072" i="1"/>
  <c r="K2072" i="1"/>
  <c r="L2072" i="1"/>
  <c r="J2073" i="1"/>
  <c r="K2073" i="1"/>
  <c r="L2073" i="1"/>
  <c r="J2074" i="1"/>
  <c r="K2074" i="1"/>
  <c r="L2074" i="1"/>
  <c r="J4" i="1"/>
  <c r="K4" i="1"/>
  <c r="L4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3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9" i="1"/>
  <c r="G8" i="1"/>
  <c r="G7" i="1"/>
  <c r="G6" i="1"/>
  <c r="G5" i="1"/>
  <c r="G4" i="1"/>
  <c r="G3" i="1"/>
  <c r="E3" i="2"/>
  <c r="Q3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3" i="1"/>
  <c r="F4" i="1"/>
  <c r="Q4" i="1" l="1"/>
</calcChain>
</file>

<file path=xl/sharedStrings.xml><?xml version="1.0" encoding="utf-8"?>
<sst xmlns="http://schemas.openxmlformats.org/spreadsheetml/2006/main" count="2230" uniqueCount="59">
  <si>
    <t>data</t>
  </si>
  <si>
    <t>nazwa_obszaru</t>
  </si>
  <si>
    <t>masa [kg]</t>
  </si>
  <si>
    <t>zawartosc [%]</t>
  </si>
  <si>
    <t>martianeum_w_zlozu [kg]</t>
  </si>
  <si>
    <t>Suma z okresu 7 dni [kg]</t>
  </si>
  <si>
    <t>rok</t>
  </si>
  <si>
    <t>ileRazy(pomoc)</t>
  </si>
  <si>
    <t>magazyn_koniec_dnia</t>
  </si>
  <si>
    <t>czy_wraca_na_orbite</t>
  </si>
  <si>
    <t>magazyn_po_transporcie</t>
  </si>
  <si>
    <t>Zadanie 6.1.</t>
  </si>
  <si>
    <t>Cebrenia</t>
  </si>
  <si>
    <t>Łączna masa ładunków drona:</t>
  </si>
  <si>
    <t>kg</t>
  </si>
  <si>
    <t>Amenthes</t>
  </si>
  <si>
    <t>Lączna masa martianeum:</t>
  </si>
  <si>
    <t>Noachis</t>
  </si>
  <si>
    <t>Coprates</t>
  </si>
  <si>
    <t>Ismenius Lacus</t>
  </si>
  <si>
    <t>Zadanie 6.2.</t>
  </si>
  <si>
    <t>Mare Boreum</t>
  </si>
  <si>
    <t>Nazwa obszaru z najmniejszą średnią przywiezionych ładunków:</t>
  </si>
  <si>
    <t>Thaumasia</t>
  </si>
  <si>
    <t>Iapygia</t>
  </si>
  <si>
    <t>Amazonis</t>
  </si>
  <si>
    <t>Sinus Sabaeus</t>
  </si>
  <si>
    <t>Eridania</t>
  </si>
  <si>
    <t>Zadanie 6.3.</t>
  </si>
  <si>
    <t>Data początku okresu:</t>
  </si>
  <si>
    <t>Największa łączna masa ładunku w ciągu 7-dniowego okresu:</t>
  </si>
  <si>
    <t>Arabia</t>
  </si>
  <si>
    <t>Phoenicis Lacus</t>
  </si>
  <si>
    <t>Oxia Palus</t>
  </si>
  <si>
    <t>Zadanie 6.4.</t>
  </si>
  <si>
    <t>Aeolis</t>
  </si>
  <si>
    <t>Arcadia</t>
  </si>
  <si>
    <t>Argyre</t>
  </si>
  <si>
    <t>Casius</t>
  </si>
  <si>
    <t>Diacria</t>
  </si>
  <si>
    <t>Elysium</t>
  </si>
  <si>
    <t>Hellas</t>
  </si>
  <si>
    <t>Lunae Palus</t>
  </si>
  <si>
    <t>Mare Acidalium</t>
  </si>
  <si>
    <t>Mare Australe</t>
  </si>
  <si>
    <t>Mare Tyrrhenum</t>
  </si>
  <si>
    <t>Margaritifer Sinus</t>
  </si>
  <si>
    <t>Memnonia</t>
  </si>
  <si>
    <t>Phaethontis</t>
  </si>
  <si>
    <t>Syrtis Major</t>
  </si>
  <si>
    <t>Tharsis</t>
  </si>
  <si>
    <t>Zadanie 6.5</t>
  </si>
  <si>
    <t>Ile razy?</t>
  </si>
  <si>
    <t>Data pierwszego transportu:</t>
  </si>
  <si>
    <t>Data ostatniego transportu:</t>
  </si>
  <si>
    <t>Średnia z masa [kg]</t>
  </si>
  <si>
    <t>Najmniejsza:</t>
  </si>
  <si>
    <t>Suma końcowa</t>
  </si>
  <si>
    <t>Suma z ileRazy(pomoc)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</si>
</sst>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pivotButton="1"/>
    <xf numFmtId="0" fontId="0" fillId="0" borderId="0" xfId="0" applyNumberFormat="1"/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wrapText="1"/>
    </xf>
    <xf numFmtId="14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2" borderId="0" xfId="0" applyFont="1" applyFill="1"/>
    <xf numFmtId="0" fontId="0" fillId="0" borderId="0" xfId="0" applyFont="1"/>
    <xf numFmtId="0" fontId="0" fillId="0" borderId="0" xfId="0" applyNumberFormat="1" applyFont="1"/>
  </cellXfs>
  <cellStyles count="1">
    <cellStyle name="Normalny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Zestawienie ile razy dron przewoził ładunek w poszczególnych latach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Arkusz3!$A$15</c:f>
              <c:strCache>
                <c:ptCount val="1"/>
                <c:pt idx="0">
                  <c:v>2033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Arkusz3!$B$15:$AE$15</c:f>
              <c:numCache>
                <c:formatCode>General</c:formatCode>
                <c:ptCount val="30"/>
                <c:pt idx="0">
                  <c:v>5</c:v>
                </c:pt>
                <c:pt idx="1">
                  <c:v>23</c:v>
                </c:pt>
                <c:pt idx="2">
                  <c:v>10</c:v>
                </c:pt>
                <c:pt idx="3">
                  <c:v>9</c:v>
                </c:pt>
                <c:pt idx="4">
                  <c:v>7</c:v>
                </c:pt>
                <c:pt idx="5">
                  <c:v>4</c:v>
                </c:pt>
                <c:pt idx="6">
                  <c:v>6</c:v>
                </c:pt>
                <c:pt idx="7">
                  <c:v>4</c:v>
                </c:pt>
                <c:pt idx="8">
                  <c:v>21</c:v>
                </c:pt>
                <c:pt idx="9">
                  <c:v>2</c:v>
                </c:pt>
                <c:pt idx="10">
                  <c:v>6</c:v>
                </c:pt>
                <c:pt idx="11">
                  <c:v>8</c:v>
                </c:pt>
                <c:pt idx="12">
                  <c:v>1</c:v>
                </c:pt>
                <c:pt idx="13">
                  <c:v>47</c:v>
                </c:pt>
                <c:pt idx="14">
                  <c:v>6</c:v>
                </c:pt>
                <c:pt idx="15">
                  <c:v>11</c:v>
                </c:pt>
                <c:pt idx="16">
                  <c:v>8</c:v>
                </c:pt>
                <c:pt idx="17">
                  <c:v>2</c:v>
                </c:pt>
                <c:pt idx="18">
                  <c:v>14</c:v>
                </c:pt>
                <c:pt idx="19">
                  <c:v>2</c:v>
                </c:pt>
                <c:pt idx="20">
                  <c:v>4</c:v>
                </c:pt>
                <c:pt idx="21">
                  <c:v>11</c:v>
                </c:pt>
                <c:pt idx="22">
                  <c:v>13</c:v>
                </c:pt>
                <c:pt idx="23">
                  <c:v>3</c:v>
                </c:pt>
                <c:pt idx="24">
                  <c:v>1</c:v>
                </c:pt>
                <c:pt idx="25">
                  <c:v>25</c:v>
                </c:pt>
                <c:pt idx="26">
                  <c:v>14</c:v>
                </c:pt>
                <c:pt idx="27">
                  <c:v>6</c:v>
                </c:pt>
                <c:pt idx="28">
                  <c:v>29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18-4D32-8012-EF23E36AE254}"/>
            </c:ext>
          </c:extLst>
        </c:ser>
        <c:ser>
          <c:idx val="1"/>
          <c:order val="1"/>
          <c:tx>
            <c:strRef>
              <c:f>Arkusz3!$A$16</c:f>
              <c:strCache>
                <c:ptCount val="1"/>
                <c:pt idx="0">
                  <c:v>2034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Arkusz3!$B$16:$AE$16</c:f>
              <c:numCache>
                <c:formatCode>General</c:formatCode>
                <c:ptCount val="30"/>
                <c:pt idx="0">
                  <c:v>7</c:v>
                </c:pt>
                <c:pt idx="1">
                  <c:v>20</c:v>
                </c:pt>
                <c:pt idx="2">
                  <c:v>5</c:v>
                </c:pt>
                <c:pt idx="3">
                  <c:v>10</c:v>
                </c:pt>
                <c:pt idx="4">
                  <c:v>7</c:v>
                </c:pt>
                <c:pt idx="5">
                  <c:v>4</c:v>
                </c:pt>
                <c:pt idx="6">
                  <c:v>10</c:v>
                </c:pt>
                <c:pt idx="7">
                  <c:v>5</c:v>
                </c:pt>
                <c:pt idx="8">
                  <c:v>27</c:v>
                </c:pt>
                <c:pt idx="9">
                  <c:v>3</c:v>
                </c:pt>
                <c:pt idx="10">
                  <c:v>9</c:v>
                </c:pt>
                <c:pt idx="11">
                  <c:v>19</c:v>
                </c:pt>
                <c:pt idx="12">
                  <c:v>4</c:v>
                </c:pt>
                <c:pt idx="13">
                  <c:v>51</c:v>
                </c:pt>
                <c:pt idx="14">
                  <c:v>4</c:v>
                </c:pt>
                <c:pt idx="15">
                  <c:v>11</c:v>
                </c:pt>
                <c:pt idx="16">
                  <c:v>14</c:v>
                </c:pt>
                <c:pt idx="17">
                  <c:v>3</c:v>
                </c:pt>
                <c:pt idx="18">
                  <c:v>19</c:v>
                </c:pt>
                <c:pt idx="19">
                  <c:v>5</c:v>
                </c:pt>
                <c:pt idx="20">
                  <c:v>5</c:v>
                </c:pt>
                <c:pt idx="21">
                  <c:v>24</c:v>
                </c:pt>
                <c:pt idx="22">
                  <c:v>11</c:v>
                </c:pt>
                <c:pt idx="23">
                  <c:v>3</c:v>
                </c:pt>
                <c:pt idx="24">
                  <c:v>7</c:v>
                </c:pt>
                <c:pt idx="25">
                  <c:v>22</c:v>
                </c:pt>
                <c:pt idx="26">
                  <c:v>12</c:v>
                </c:pt>
                <c:pt idx="27">
                  <c:v>2</c:v>
                </c:pt>
                <c:pt idx="28">
                  <c:v>40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18-4D32-8012-EF23E36AE254}"/>
            </c:ext>
          </c:extLst>
        </c:ser>
        <c:ser>
          <c:idx val="2"/>
          <c:order val="2"/>
          <c:tx>
            <c:strRef>
              <c:f>Arkusz3!$A$17</c:f>
              <c:strCache>
                <c:ptCount val="1"/>
                <c:pt idx="0">
                  <c:v>2035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Arkusz3!$B$17:$AE$17</c:f>
              <c:numCache>
                <c:formatCode>General</c:formatCode>
                <c:ptCount val="30"/>
                <c:pt idx="0">
                  <c:v>11</c:v>
                </c:pt>
                <c:pt idx="1">
                  <c:v>21</c:v>
                </c:pt>
                <c:pt idx="2">
                  <c:v>9</c:v>
                </c:pt>
                <c:pt idx="3">
                  <c:v>15</c:v>
                </c:pt>
                <c:pt idx="4">
                  <c:v>11</c:v>
                </c:pt>
                <c:pt idx="5">
                  <c:v>3</c:v>
                </c:pt>
                <c:pt idx="6">
                  <c:v>7</c:v>
                </c:pt>
                <c:pt idx="7">
                  <c:v>1</c:v>
                </c:pt>
                <c:pt idx="8">
                  <c:v>18</c:v>
                </c:pt>
                <c:pt idx="9">
                  <c:v>2</c:v>
                </c:pt>
                <c:pt idx="10">
                  <c:v>5</c:v>
                </c:pt>
                <c:pt idx="11">
                  <c:v>23</c:v>
                </c:pt>
                <c:pt idx="12">
                  <c:v>2</c:v>
                </c:pt>
                <c:pt idx="13">
                  <c:v>67</c:v>
                </c:pt>
                <c:pt idx="14">
                  <c:v>5</c:v>
                </c:pt>
                <c:pt idx="15">
                  <c:v>9</c:v>
                </c:pt>
                <c:pt idx="16">
                  <c:v>10</c:v>
                </c:pt>
                <c:pt idx="17">
                  <c:v>2</c:v>
                </c:pt>
                <c:pt idx="18">
                  <c:v>8</c:v>
                </c:pt>
                <c:pt idx="19">
                  <c:v>3</c:v>
                </c:pt>
                <c:pt idx="20">
                  <c:v>5</c:v>
                </c:pt>
                <c:pt idx="21">
                  <c:v>23</c:v>
                </c:pt>
                <c:pt idx="22">
                  <c:v>11</c:v>
                </c:pt>
                <c:pt idx="23">
                  <c:v>1</c:v>
                </c:pt>
                <c:pt idx="24">
                  <c:v>2</c:v>
                </c:pt>
                <c:pt idx="25">
                  <c:v>25</c:v>
                </c:pt>
                <c:pt idx="26">
                  <c:v>19</c:v>
                </c:pt>
                <c:pt idx="27">
                  <c:v>5</c:v>
                </c:pt>
                <c:pt idx="28">
                  <c:v>38</c:v>
                </c:pt>
                <c:pt idx="2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18-4D32-8012-EF23E36AE254}"/>
            </c:ext>
          </c:extLst>
        </c:ser>
        <c:ser>
          <c:idx val="3"/>
          <c:order val="3"/>
          <c:tx>
            <c:strRef>
              <c:f>Arkusz3!$A$18</c:f>
              <c:strCache>
                <c:ptCount val="1"/>
                <c:pt idx="0">
                  <c:v>2036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Arkusz3!$B$18:$AE$18</c:f>
              <c:numCache>
                <c:formatCode>General</c:formatCode>
                <c:ptCount val="30"/>
                <c:pt idx="0">
                  <c:v>2</c:v>
                </c:pt>
                <c:pt idx="1">
                  <c:v>29</c:v>
                </c:pt>
                <c:pt idx="2">
                  <c:v>12</c:v>
                </c:pt>
                <c:pt idx="3">
                  <c:v>8</c:v>
                </c:pt>
                <c:pt idx="4">
                  <c:v>14</c:v>
                </c:pt>
                <c:pt idx="5">
                  <c:v>3</c:v>
                </c:pt>
                <c:pt idx="6">
                  <c:v>13</c:v>
                </c:pt>
                <c:pt idx="7">
                  <c:v>1</c:v>
                </c:pt>
                <c:pt idx="8">
                  <c:v>33</c:v>
                </c:pt>
                <c:pt idx="9">
                  <c:v>3</c:v>
                </c:pt>
                <c:pt idx="10">
                  <c:v>4</c:v>
                </c:pt>
                <c:pt idx="11">
                  <c:v>20</c:v>
                </c:pt>
                <c:pt idx="12">
                  <c:v>1</c:v>
                </c:pt>
                <c:pt idx="13">
                  <c:v>53</c:v>
                </c:pt>
                <c:pt idx="14">
                  <c:v>3</c:v>
                </c:pt>
                <c:pt idx="15">
                  <c:v>10</c:v>
                </c:pt>
                <c:pt idx="16">
                  <c:v>8</c:v>
                </c:pt>
                <c:pt idx="17">
                  <c:v>3</c:v>
                </c:pt>
                <c:pt idx="18">
                  <c:v>13</c:v>
                </c:pt>
                <c:pt idx="19">
                  <c:v>2</c:v>
                </c:pt>
                <c:pt idx="20">
                  <c:v>2</c:v>
                </c:pt>
                <c:pt idx="21">
                  <c:v>19</c:v>
                </c:pt>
                <c:pt idx="22">
                  <c:v>25</c:v>
                </c:pt>
                <c:pt idx="24">
                  <c:v>4</c:v>
                </c:pt>
                <c:pt idx="25">
                  <c:v>22</c:v>
                </c:pt>
                <c:pt idx="26">
                  <c:v>13</c:v>
                </c:pt>
                <c:pt idx="27">
                  <c:v>4</c:v>
                </c:pt>
                <c:pt idx="28">
                  <c:v>41</c:v>
                </c:pt>
                <c:pt idx="2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18-4D32-8012-EF23E36AE254}"/>
            </c:ext>
          </c:extLst>
        </c:ser>
        <c:ser>
          <c:idx val="4"/>
          <c:order val="4"/>
          <c:tx>
            <c:strRef>
              <c:f>Arkusz3!$A$19</c:f>
              <c:strCache>
                <c:ptCount val="1"/>
                <c:pt idx="0">
                  <c:v>2037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Arkusz3!$B$19:$AE$19</c:f>
              <c:numCache>
                <c:formatCode>General</c:formatCode>
                <c:ptCount val="30"/>
                <c:pt idx="0">
                  <c:v>13</c:v>
                </c:pt>
                <c:pt idx="1">
                  <c:v>20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7</c:v>
                </c:pt>
                <c:pt idx="7">
                  <c:v>1</c:v>
                </c:pt>
                <c:pt idx="8">
                  <c:v>30</c:v>
                </c:pt>
                <c:pt idx="9">
                  <c:v>3</c:v>
                </c:pt>
                <c:pt idx="10">
                  <c:v>8</c:v>
                </c:pt>
                <c:pt idx="11">
                  <c:v>22</c:v>
                </c:pt>
                <c:pt idx="12">
                  <c:v>3</c:v>
                </c:pt>
                <c:pt idx="13">
                  <c:v>51</c:v>
                </c:pt>
                <c:pt idx="14">
                  <c:v>9</c:v>
                </c:pt>
                <c:pt idx="15">
                  <c:v>10</c:v>
                </c:pt>
                <c:pt idx="16">
                  <c:v>14</c:v>
                </c:pt>
                <c:pt idx="17">
                  <c:v>2</c:v>
                </c:pt>
                <c:pt idx="18">
                  <c:v>14</c:v>
                </c:pt>
                <c:pt idx="20">
                  <c:v>2</c:v>
                </c:pt>
                <c:pt idx="21">
                  <c:v>14</c:v>
                </c:pt>
                <c:pt idx="22">
                  <c:v>17</c:v>
                </c:pt>
                <c:pt idx="23">
                  <c:v>4</c:v>
                </c:pt>
                <c:pt idx="24">
                  <c:v>5</c:v>
                </c:pt>
                <c:pt idx="25">
                  <c:v>15</c:v>
                </c:pt>
                <c:pt idx="26">
                  <c:v>12</c:v>
                </c:pt>
                <c:pt idx="27">
                  <c:v>6</c:v>
                </c:pt>
                <c:pt idx="28">
                  <c:v>46</c:v>
                </c:pt>
                <c:pt idx="2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18-4D32-8012-EF23E36AE254}"/>
            </c:ext>
          </c:extLst>
        </c:ser>
        <c:ser>
          <c:idx val="5"/>
          <c:order val="5"/>
          <c:tx>
            <c:strRef>
              <c:f>Arkusz3!$A$20</c:f>
              <c:strCache>
                <c:ptCount val="1"/>
                <c:pt idx="0">
                  <c:v>2038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Arkusz3!$B$14:$AE$14</c:f>
              <c:strCache>
                <c:ptCount val="30"/>
                <c:pt idx="0">
                  <c:v>Aeolis</c:v>
                </c:pt>
                <c:pt idx="1">
                  <c:v>Amazonis</c:v>
                </c:pt>
                <c:pt idx="2">
                  <c:v>Amenthes</c:v>
                </c:pt>
                <c:pt idx="3">
                  <c:v>Arabia</c:v>
                </c:pt>
                <c:pt idx="4">
                  <c:v>Arcadia</c:v>
                </c:pt>
                <c:pt idx="5">
                  <c:v>Argyre</c:v>
                </c:pt>
                <c:pt idx="6">
                  <c:v>Casius</c:v>
                </c:pt>
                <c:pt idx="7">
                  <c:v>Cebrenia</c:v>
                </c:pt>
                <c:pt idx="8">
                  <c:v>Coprates</c:v>
                </c:pt>
                <c:pt idx="9">
                  <c:v>Diacria</c:v>
                </c:pt>
                <c:pt idx="10">
                  <c:v>Elysium</c:v>
                </c:pt>
                <c:pt idx="11">
                  <c:v>Eridania</c:v>
                </c:pt>
                <c:pt idx="12">
                  <c:v>Hellas</c:v>
                </c:pt>
                <c:pt idx="13">
                  <c:v>Iapygia</c:v>
                </c:pt>
                <c:pt idx="14">
                  <c:v>Ismenius Lacus</c:v>
                </c:pt>
                <c:pt idx="15">
                  <c:v>Lunae Palus</c:v>
                </c:pt>
                <c:pt idx="16">
                  <c:v>Mare Acidalium</c:v>
                </c:pt>
                <c:pt idx="17">
                  <c:v>Mare Australe</c:v>
                </c:pt>
                <c:pt idx="18">
                  <c:v>Mare Boreum</c:v>
                </c:pt>
                <c:pt idx="19">
                  <c:v>Mare Tyrrhenum</c:v>
                </c:pt>
                <c:pt idx="20">
                  <c:v>Margaritifer Sinus</c:v>
                </c:pt>
                <c:pt idx="21">
                  <c:v>Memnonia</c:v>
                </c:pt>
                <c:pt idx="22">
                  <c:v>Noachis</c:v>
                </c:pt>
                <c:pt idx="23">
                  <c:v>Oxia Palus</c:v>
                </c:pt>
                <c:pt idx="24">
                  <c:v>Phaethontis</c:v>
                </c:pt>
                <c:pt idx="25">
                  <c:v>Phoenicis Lacus</c:v>
                </c:pt>
                <c:pt idx="26">
                  <c:v>Sinus Sabaeus</c:v>
                </c:pt>
                <c:pt idx="27">
                  <c:v>Syrtis Major</c:v>
                </c:pt>
                <c:pt idx="28">
                  <c:v>Tharsis</c:v>
                </c:pt>
                <c:pt idx="29">
                  <c:v>Thaumasia</c:v>
                </c:pt>
              </c:strCache>
            </c:strRef>
          </c:cat>
          <c:val>
            <c:numRef>
              <c:f>Arkusz3!$B$20:$AE$20</c:f>
              <c:numCache>
                <c:formatCode>General</c:formatCode>
                <c:ptCount val="30"/>
                <c:pt idx="0">
                  <c:v>5</c:v>
                </c:pt>
                <c:pt idx="1">
                  <c:v>25</c:v>
                </c:pt>
                <c:pt idx="2">
                  <c:v>10</c:v>
                </c:pt>
                <c:pt idx="3">
                  <c:v>7</c:v>
                </c:pt>
                <c:pt idx="4">
                  <c:v>9</c:v>
                </c:pt>
                <c:pt idx="5">
                  <c:v>7</c:v>
                </c:pt>
                <c:pt idx="6">
                  <c:v>7</c:v>
                </c:pt>
                <c:pt idx="7">
                  <c:v>1</c:v>
                </c:pt>
                <c:pt idx="8">
                  <c:v>23</c:v>
                </c:pt>
                <c:pt idx="9">
                  <c:v>2</c:v>
                </c:pt>
                <c:pt idx="10">
                  <c:v>7</c:v>
                </c:pt>
                <c:pt idx="11">
                  <c:v>16</c:v>
                </c:pt>
                <c:pt idx="12">
                  <c:v>4</c:v>
                </c:pt>
                <c:pt idx="13">
                  <c:v>33</c:v>
                </c:pt>
                <c:pt idx="14">
                  <c:v>13</c:v>
                </c:pt>
                <c:pt idx="15">
                  <c:v>3</c:v>
                </c:pt>
                <c:pt idx="16">
                  <c:v>10</c:v>
                </c:pt>
                <c:pt idx="17">
                  <c:v>2</c:v>
                </c:pt>
                <c:pt idx="18">
                  <c:v>12</c:v>
                </c:pt>
                <c:pt idx="19">
                  <c:v>2</c:v>
                </c:pt>
                <c:pt idx="20">
                  <c:v>7</c:v>
                </c:pt>
                <c:pt idx="21">
                  <c:v>13</c:v>
                </c:pt>
                <c:pt idx="22">
                  <c:v>14</c:v>
                </c:pt>
                <c:pt idx="23">
                  <c:v>2</c:v>
                </c:pt>
                <c:pt idx="24">
                  <c:v>4</c:v>
                </c:pt>
                <c:pt idx="25">
                  <c:v>18</c:v>
                </c:pt>
                <c:pt idx="26">
                  <c:v>6</c:v>
                </c:pt>
                <c:pt idx="27">
                  <c:v>3</c:v>
                </c:pt>
                <c:pt idx="28">
                  <c:v>39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18-4D32-8012-EF23E36AE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8181896"/>
        <c:axId val="1718183944"/>
      </c:barChart>
      <c:catAx>
        <c:axId val="1718181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nazwy obszarów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83944"/>
        <c:crosses val="autoZero"/>
        <c:auto val="1"/>
        <c:lblAlgn val="ctr"/>
        <c:lblOffset val="100"/>
        <c:noMultiLvlLbl val="0"/>
      </c:catAx>
      <c:valAx>
        <c:axId val="171818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liczba przewozów ładunku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181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20</xdr:row>
      <xdr:rowOff>57150</xdr:rowOff>
    </xdr:from>
    <xdr:to>
      <xdr:col>13</xdr:col>
      <xdr:colOff>152400</xdr:colOff>
      <xdr:row>38</xdr:row>
      <xdr:rowOff>0</xdr:rowOff>
    </xdr:to>
    <xdr:graphicFrame macro="">
      <xdr:nvGraphicFramePr>
        <xdr:cNvPr id="5" name="Wykres 4">
          <a:extLst>
            <a:ext uri="{FF2B5EF4-FFF2-40B4-BE49-F238E27FC236}">
              <a16:creationId xmlns:a16="http://schemas.microsoft.com/office/drawing/2014/main" id="{4F84C518-16B9-361E-960B-A4B6E0C8CA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6.696464004628" createdVersion="8" refreshedVersion="8" minRefreshableVersion="3" recordCount="2072" xr:uid="{588BAAB9-11F9-40C5-BFB1-5585DEF2BF13}">
  <cacheSource type="worksheet">
    <worksheetSource ref="B2:F2074" sheet="Arkusz1"/>
  </cacheSource>
  <cacheFields count="5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martianeum_w_zlozu [kg]" numFmtId="0">
      <sharedItems containsSemiMixedTypes="0" containsString="0" containsNumber="1" minValue="0" maxValue="13.6407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56.70715347222" createdVersion="8" refreshedVersion="8" minRefreshableVersion="3" recordCount="2072" xr:uid="{0D624694-8262-4E58-8347-558A1EF8C6A1}">
  <cacheSource type="worksheet">
    <worksheetSource ref="B2:I2074" sheet="Arkusz1"/>
  </cacheSource>
  <cacheFields count="8">
    <cacheField name="data" numFmtId="14">
      <sharedItems containsSemiMixedTypes="0" containsNonDate="0" containsDate="1" containsString="0" minDate="2033-03-03T00:00:00" maxDate="2038-11-04T00:00:00"/>
    </cacheField>
    <cacheField name="nazwa_obszaru" numFmtId="0">
      <sharedItems count="30">
        <s v="Cebrenia"/>
        <s v="Amenthes"/>
        <s v="Noachis"/>
        <s v="Coprates"/>
        <s v="Ismenius Lacus"/>
        <s v="Mare Boreum"/>
        <s v="Iapygia"/>
        <s v="Amazonis"/>
        <s v="Sinus Sabaeus"/>
        <s v="Eridania"/>
        <s v="Arabia"/>
        <s v="Phoenicis Lacus"/>
        <s v="Oxia Palus"/>
        <s v="Lunae Palus"/>
        <s v="Memnonia"/>
        <s v="Tharsis"/>
        <s v="Elysium"/>
        <s v="Margaritifer Sinus"/>
        <s v="Mare Acidalium"/>
        <s v="Aeolis"/>
        <s v="Argyre"/>
        <s v="Syrtis Major"/>
        <s v="Arcadia"/>
        <s v="Casius"/>
        <s v="Thaumasia"/>
        <s v="Mare Australe"/>
        <s v="Diacria"/>
        <s v="Hellas"/>
        <s v="Mare Tyrrhenum"/>
        <s v="Phaethontis"/>
      </sharedItems>
    </cacheField>
    <cacheField name="masa [kg]" numFmtId="0">
      <sharedItems containsSemiMixedTypes="0" containsString="0" containsNumber="1" minValue="10" maxValue="30"/>
    </cacheField>
    <cacheField name="zawartosc [%]" numFmtId="0">
      <sharedItems containsSemiMixedTypes="0" containsString="0" containsNumber="1" minValue="0" maxValue="50.4"/>
    </cacheField>
    <cacheField name="martianeum_w_zlozu [kg]" numFmtId="0">
      <sharedItems containsSemiMixedTypes="0" containsString="0" containsNumber="1" minValue="0" maxValue="13.640799999999999"/>
    </cacheField>
    <cacheField name="Suma z okresu 7 dni [kg]" numFmtId="0">
      <sharedItems containsSemiMixedTypes="0" containsString="0" containsNumber="1" minValue="10" maxValue="174.49999999999997"/>
    </cacheField>
    <cacheField name="rok" numFmtId="0">
      <sharedItems containsSemiMixedTypes="0" containsString="0" containsNumber="1" containsInteger="1" minValue="2033" maxValue="2038" count="6">
        <n v="2033"/>
        <n v="2034"/>
        <n v="2035"/>
        <n v="2036"/>
        <n v="2037"/>
        <n v="2038"/>
      </sharedItems>
    </cacheField>
    <cacheField name="ileRazy(pomoc)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  <n v="0"/>
  </r>
  <r>
    <d v="2033-03-04T00:00:00"/>
    <x v="1"/>
    <n v="11.8"/>
    <n v="1.7"/>
    <n v="0.20060000000000003"/>
  </r>
  <r>
    <d v="2033-03-05T00:00:00"/>
    <x v="2"/>
    <n v="21"/>
    <n v="6"/>
    <n v="1.26"/>
  </r>
  <r>
    <d v="2033-03-06T00:00:00"/>
    <x v="3"/>
    <n v="26.3"/>
    <n v="11.4"/>
    <n v="2.9981999999999998"/>
  </r>
  <r>
    <d v="2033-03-07T00:00:00"/>
    <x v="4"/>
    <n v="28.8"/>
    <n v="0"/>
    <n v="0"/>
  </r>
  <r>
    <d v="2033-03-08T00:00:00"/>
    <x v="5"/>
    <n v="29.2"/>
    <n v="0"/>
    <n v="0"/>
  </r>
  <r>
    <d v="2033-03-09T00:00:00"/>
    <x v="6"/>
    <n v="25.6"/>
    <n v="28.7"/>
    <n v="7.3472"/>
  </r>
  <r>
    <d v="2033-03-10T00:00:00"/>
    <x v="7"/>
    <n v="10.1"/>
    <n v="7.7"/>
    <n v="0.77769999999999995"/>
  </r>
  <r>
    <d v="2033-03-11T00:00:00"/>
    <x v="8"/>
    <n v="14.6"/>
    <n v="0"/>
    <n v="0"/>
  </r>
  <r>
    <d v="2033-03-12T00:00:00"/>
    <x v="9"/>
    <n v="11.5"/>
    <n v="1.9"/>
    <n v="0.21849999999999997"/>
  </r>
  <r>
    <d v="2033-03-13T00:00:00"/>
    <x v="5"/>
    <n v="15.2"/>
    <n v="0"/>
    <n v="0"/>
  </r>
  <r>
    <d v="2033-03-14T00:00:00"/>
    <x v="6"/>
    <n v="10.199999999999999"/>
    <n v="13.3"/>
    <n v="1.3566"/>
  </r>
  <r>
    <d v="2033-03-15T00:00:00"/>
    <x v="10"/>
    <n v="20.399999999999999"/>
    <n v="4.5999999999999996"/>
    <n v="0.9383999999999999"/>
  </r>
  <r>
    <d v="2033-03-16T00:00:00"/>
    <x v="10"/>
    <n v="13.6"/>
    <n v="8"/>
    <n v="1.0880000000000001"/>
  </r>
  <r>
    <d v="2033-03-17T00:00:00"/>
    <x v="11"/>
    <n v="11"/>
    <n v="11.6"/>
    <n v="1.276"/>
  </r>
  <r>
    <d v="2033-03-18T00:00:00"/>
    <x v="12"/>
    <n v="14.1"/>
    <n v="0"/>
    <n v="0"/>
  </r>
  <r>
    <d v="2033-03-19T00:00:00"/>
    <x v="6"/>
    <n v="19.2"/>
    <n v="0"/>
    <n v="0"/>
  </r>
  <r>
    <d v="2033-03-20T00:00:00"/>
    <x v="6"/>
    <n v="20.7"/>
    <n v="0"/>
    <n v="0"/>
  </r>
  <r>
    <d v="2033-03-21T00:00:00"/>
    <x v="13"/>
    <n v="29.5"/>
    <n v="2.1"/>
    <n v="0.61950000000000005"/>
  </r>
  <r>
    <d v="2033-03-22T00:00:00"/>
    <x v="7"/>
    <n v="24.4"/>
    <n v="10.1"/>
    <n v="2.4643999999999995"/>
  </r>
  <r>
    <d v="2033-03-23T00:00:00"/>
    <x v="14"/>
    <n v="15.6"/>
    <n v="6.6"/>
    <n v="1.0295999999999998"/>
  </r>
  <r>
    <d v="2033-03-24T00:00:00"/>
    <x v="5"/>
    <n v="22.7"/>
    <n v="2.9"/>
    <n v="0.6583"/>
  </r>
  <r>
    <d v="2033-03-25T00:00:00"/>
    <x v="11"/>
    <n v="15.1"/>
    <n v="0"/>
    <n v="0"/>
  </r>
  <r>
    <d v="2033-03-26T00:00:00"/>
    <x v="15"/>
    <n v="14.1"/>
    <n v="0.8"/>
    <n v="0"/>
  </r>
  <r>
    <d v="2033-03-27T00:00:00"/>
    <x v="3"/>
    <n v="24.9"/>
    <n v="2.2000000000000002"/>
    <n v="0.54780000000000006"/>
  </r>
  <r>
    <d v="2033-03-28T00:00:00"/>
    <x v="16"/>
    <n v="14.8"/>
    <n v="0"/>
    <n v="0"/>
  </r>
  <r>
    <d v="2033-03-29T00:00:00"/>
    <x v="10"/>
    <n v="18.8"/>
    <n v="0"/>
    <n v="0"/>
  </r>
  <r>
    <d v="2033-03-30T00:00:00"/>
    <x v="11"/>
    <n v="29.3"/>
    <n v="8"/>
    <n v="2.3439999999999999"/>
  </r>
  <r>
    <d v="2033-03-31T00:00:00"/>
    <x v="17"/>
    <n v="29.4"/>
    <n v="2.4"/>
    <n v="0.70559999999999989"/>
  </r>
  <r>
    <d v="2033-04-01T00:00:00"/>
    <x v="18"/>
    <n v="16.8"/>
    <n v="2.9"/>
    <n v="0.48719999999999997"/>
  </r>
  <r>
    <d v="2033-04-02T00:00:00"/>
    <x v="8"/>
    <n v="21.4"/>
    <n v="6.3"/>
    <n v="1.3481999999999998"/>
  </r>
  <r>
    <d v="2033-04-03T00:00:00"/>
    <x v="3"/>
    <n v="23.9"/>
    <n v="0"/>
    <n v="0"/>
  </r>
  <r>
    <d v="2033-04-04T00:00:00"/>
    <x v="8"/>
    <n v="26.7"/>
    <n v="0"/>
    <n v="0"/>
  </r>
  <r>
    <d v="2033-04-05T00:00:00"/>
    <x v="3"/>
    <n v="12.4"/>
    <n v="0"/>
    <n v="0"/>
  </r>
  <r>
    <d v="2033-04-06T00:00:00"/>
    <x v="8"/>
    <n v="10.4"/>
    <n v="10.7"/>
    <n v="1.1128"/>
  </r>
  <r>
    <d v="2033-04-07T00:00:00"/>
    <x v="5"/>
    <n v="17.899999999999999"/>
    <n v="0"/>
    <n v="0"/>
  </r>
  <r>
    <d v="2033-04-08T00:00:00"/>
    <x v="16"/>
    <n v="17.399999999999999"/>
    <n v="1.6"/>
    <n v="0.27839999999999998"/>
  </r>
  <r>
    <d v="2033-04-09T00:00:00"/>
    <x v="7"/>
    <n v="29.4"/>
    <n v="21.7"/>
    <n v="6.3797999999999995"/>
  </r>
  <r>
    <d v="2033-04-10T00:00:00"/>
    <x v="15"/>
    <n v="22.9"/>
    <n v="26.9"/>
    <n v="6.160099999999999"/>
  </r>
  <r>
    <d v="2033-04-11T00:00:00"/>
    <x v="15"/>
    <n v="18.899999999999999"/>
    <n v="11.3"/>
    <n v="2.1356999999999999"/>
  </r>
  <r>
    <d v="2033-04-12T00:00:00"/>
    <x v="1"/>
    <n v="23.5"/>
    <n v="0"/>
    <n v="0"/>
  </r>
  <r>
    <d v="2033-04-13T00:00:00"/>
    <x v="14"/>
    <n v="13.4"/>
    <n v="14.2"/>
    <n v="1.9028"/>
  </r>
  <r>
    <d v="2033-04-14T00:00:00"/>
    <x v="16"/>
    <n v="18.899999999999999"/>
    <n v="1.5"/>
    <n v="0.28349999999999997"/>
  </r>
  <r>
    <d v="2033-04-15T00:00:00"/>
    <x v="13"/>
    <n v="13.5"/>
    <n v="1.4"/>
    <n v="0.18899999999999997"/>
  </r>
  <r>
    <d v="2033-04-16T00:00:00"/>
    <x v="1"/>
    <n v="17.7"/>
    <n v="5.9"/>
    <n v="1.0443"/>
  </r>
  <r>
    <d v="2033-04-17T00:00:00"/>
    <x v="7"/>
    <n v="24.7"/>
    <n v="0"/>
    <n v="0"/>
  </r>
  <r>
    <d v="2033-04-18T00:00:00"/>
    <x v="14"/>
    <n v="25.6"/>
    <n v="1.9"/>
    <n v="0.4864"/>
  </r>
  <r>
    <d v="2033-04-19T00:00:00"/>
    <x v="18"/>
    <n v="18.399999999999999"/>
    <n v="0"/>
    <n v="0"/>
  </r>
  <r>
    <d v="2033-04-20T00:00:00"/>
    <x v="19"/>
    <n v="27"/>
    <n v="0"/>
    <n v="0"/>
  </r>
  <r>
    <d v="2033-04-21T00:00:00"/>
    <x v="6"/>
    <n v="16"/>
    <n v="0"/>
    <n v="0"/>
  </r>
  <r>
    <d v="2033-04-22T00:00:00"/>
    <x v="3"/>
    <n v="18.600000000000001"/>
    <n v="7.4"/>
    <n v="1.3764000000000001"/>
  </r>
  <r>
    <d v="2033-04-23T00:00:00"/>
    <x v="6"/>
    <n v="12.7"/>
    <n v="30.8"/>
    <n v="3.9115999999999995"/>
  </r>
  <r>
    <d v="2033-04-24T00:00:00"/>
    <x v="15"/>
    <n v="14.5"/>
    <n v="0"/>
    <n v="0"/>
  </r>
  <r>
    <d v="2033-04-25T00:00:00"/>
    <x v="20"/>
    <n v="12.2"/>
    <n v="3.5"/>
    <n v="0.42699999999999994"/>
  </r>
  <r>
    <d v="2033-04-26T00:00:00"/>
    <x v="21"/>
    <n v="19.899999999999999"/>
    <n v="0"/>
    <n v="0"/>
  </r>
  <r>
    <d v="2033-04-27T00:00:00"/>
    <x v="22"/>
    <n v="28.1"/>
    <n v="5.3"/>
    <n v="1.4893000000000001"/>
  </r>
  <r>
    <d v="2033-04-28T00:00:00"/>
    <x v="6"/>
    <n v="27.7"/>
    <n v="45.3"/>
    <n v="12.5481"/>
  </r>
  <r>
    <d v="2033-04-29T00:00:00"/>
    <x v="1"/>
    <n v="14.6"/>
    <n v="5.2"/>
    <n v="0.75919999999999999"/>
  </r>
  <r>
    <d v="2033-04-30T00:00:00"/>
    <x v="14"/>
    <n v="10.8"/>
    <n v="0"/>
    <n v="0"/>
  </r>
  <r>
    <d v="2033-05-01T00:00:00"/>
    <x v="23"/>
    <n v="12.4"/>
    <n v="3.2"/>
    <n v="0.39680000000000004"/>
  </r>
  <r>
    <d v="2033-05-02T00:00:00"/>
    <x v="6"/>
    <n v="25.2"/>
    <n v="0"/>
    <n v="0"/>
  </r>
  <r>
    <d v="2033-05-03T00:00:00"/>
    <x v="6"/>
    <n v="28.9"/>
    <n v="0"/>
    <n v="0"/>
  </r>
  <r>
    <d v="2033-05-04T00:00:00"/>
    <x v="15"/>
    <n v="13.2"/>
    <n v="23.3"/>
    <n v="3.0756000000000001"/>
  </r>
  <r>
    <d v="2033-05-05T00:00:00"/>
    <x v="6"/>
    <n v="27.9"/>
    <n v="0"/>
    <n v="0"/>
  </r>
  <r>
    <d v="2033-05-06T00:00:00"/>
    <x v="3"/>
    <n v="10.9"/>
    <n v="3.5"/>
    <n v="0.38150000000000001"/>
  </r>
  <r>
    <d v="2033-05-07T00:00:00"/>
    <x v="11"/>
    <n v="25.5"/>
    <n v="20"/>
    <n v="5.0999999999999996"/>
  </r>
  <r>
    <d v="2033-05-08T00:00:00"/>
    <x v="5"/>
    <n v="26"/>
    <n v="0"/>
    <n v="0"/>
  </r>
  <r>
    <d v="2033-05-09T00:00:00"/>
    <x v="21"/>
    <n v="25.8"/>
    <n v="0.1"/>
    <n v="0"/>
  </r>
  <r>
    <d v="2033-05-10T00:00:00"/>
    <x v="10"/>
    <n v="17.5"/>
    <n v="0.5"/>
    <n v="0"/>
  </r>
  <r>
    <d v="2033-05-11T00:00:00"/>
    <x v="6"/>
    <n v="17.8"/>
    <n v="3.3"/>
    <n v="0.58740000000000003"/>
  </r>
  <r>
    <d v="2033-05-12T00:00:00"/>
    <x v="6"/>
    <n v="17.5"/>
    <n v="0"/>
    <n v="0"/>
  </r>
  <r>
    <d v="2033-05-13T00:00:00"/>
    <x v="9"/>
    <n v="16.100000000000001"/>
    <n v="0"/>
    <n v="0"/>
  </r>
  <r>
    <d v="2033-05-14T00:00:00"/>
    <x v="1"/>
    <n v="11.8"/>
    <n v="7"/>
    <n v="0.82600000000000007"/>
  </r>
  <r>
    <d v="2033-05-15T00:00:00"/>
    <x v="11"/>
    <n v="26.2"/>
    <n v="0"/>
    <n v="0"/>
  </r>
  <r>
    <d v="2033-05-16T00:00:00"/>
    <x v="2"/>
    <n v="28.8"/>
    <n v="2.9"/>
    <n v="0.83519999999999994"/>
  </r>
  <r>
    <d v="2033-05-17T00:00:00"/>
    <x v="6"/>
    <n v="18.7"/>
    <n v="0"/>
    <n v="0"/>
  </r>
  <r>
    <d v="2033-05-18T00:00:00"/>
    <x v="14"/>
    <n v="10.3"/>
    <n v="9.1999999999999993"/>
    <n v="0.9476"/>
  </r>
  <r>
    <d v="2033-05-19T00:00:00"/>
    <x v="2"/>
    <n v="29.8"/>
    <n v="3.4"/>
    <n v="1.0131999999999999"/>
  </r>
  <r>
    <d v="2033-05-20T00:00:00"/>
    <x v="6"/>
    <n v="26.2"/>
    <n v="32.299999999999997"/>
    <n v="8.4625999999999983"/>
  </r>
  <r>
    <d v="2033-05-21T00:00:00"/>
    <x v="15"/>
    <n v="13.8"/>
    <n v="15.9"/>
    <n v="2.1942000000000004"/>
  </r>
  <r>
    <d v="2033-05-22T00:00:00"/>
    <x v="15"/>
    <n v="22.4"/>
    <n v="24.5"/>
    <n v="5.4879999999999995"/>
  </r>
  <r>
    <d v="2033-05-23T00:00:00"/>
    <x v="15"/>
    <n v="24.5"/>
    <n v="0.9"/>
    <n v="0"/>
  </r>
  <r>
    <d v="2033-05-24T00:00:00"/>
    <x v="24"/>
    <n v="23.1"/>
    <n v="0.3"/>
    <n v="0"/>
  </r>
  <r>
    <d v="2033-05-25T00:00:00"/>
    <x v="21"/>
    <n v="29.8"/>
    <n v="0"/>
    <n v="0"/>
  </r>
  <r>
    <d v="2033-05-26T00:00:00"/>
    <x v="0"/>
    <n v="11.2"/>
    <n v="0"/>
    <n v="0"/>
  </r>
  <r>
    <d v="2033-05-27T00:00:00"/>
    <x v="15"/>
    <n v="18.7"/>
    <n v="0"/>
    <n v="0"/>
  </r>
  <r>
    <d v="2033-05-28T00:00:00"/>
    <x v="14"/>
    <n v="11.4"/>
    <n v="8.1"/>
    <n v="0.9234"/>
  </r>
  <r>
    <d v="2033-05-29T00:00:00"/>
    <x v="9"/>
    <n v="21.3"/>
    <n v="13.4"/>
    <n v="2.8542000000000001"/>
  </r>
  <r>
    <d v="2033-05-30T00:00:00"/>
    <x v="1"/>
    <n v="24.5"/>
    <n v="2.6"/>
    <n v="0.63700000000000001"/>
  </r>
  <r>
    <d v="2033-05-31T00:00:00"/>
    <x v="15"/>
    <n v="20"/>
    <n v="13.2"/>
    <n v="2.64"/>
  </r>
  <r>
    <d v="2033-06-01T00:00:00"/>
    <x v="6"/>
    <n v="28.4"/>
    <n v="12"/>
    <n v="3.4079999999999995"/>
  </r>
  <r>
    <d v="2033-06-02T00:00:00"/>
    <x v="7"/>
    <n v="14.8"/>
    <n v="10.1"/>
    <n v="1.4947999999999999"/>
  </r>
  <r>
    <d v="2033-06-03T00:00:00"/>
    <x v="25"/>
    <n v="27.9"/>
    <n v="0.6"/>
    <n v="0"/>
  </r>
  <r>
    <d v="2033-06-04T00:00:00"/>
    <x v="8"/>
    <n v="19.899999999999999"/>
    <n v="9.8000000000000007"/>
    <n v="1.9502000000000002"/>
  </r>
  <r>
    <d v="2033-06-05T00:00:00"/>
    <x v="15"/>
    <n v="22.5"/>
    <n v="0"/>
    <n v="0"/>
  </r>
  <r>
    <d v="2033-06-06T00:00:00"/>
    <x v="4"/>
    <n v="21.6"/>
    <n v="4.9000000000000004"/>
    <n v="1.0584000000000002"/>
  </r>
  <r>
    <d v="2033-06-07T00:00:00"/>
    <x v="6"/>
    <n v="28.1"/>
    <n v="0"/>
    <n v="0"/>
  </r>
  <r>
    <d v="2033-06-08T00:00:00"/>
    <x v="8"/>
    <n v="21.5"/>
    <n v="8.6"/>
    <n v="1.849"/>
  </r>
  <r>
    <d v="2033-06-09T00:00:00"/>
    <x v="10"/>
    <n v="22.7"/>
    <n v="0.1"/>
    <n v="0"/>
  </r>
  <r>
    <d v="2033-06-10T00:00:00"/>
    <x v="6"/>
    <n v="27.4"/>
    <n v="21.8"/>
    <n v="5.9731999999999994"/>
  </r>
  <r>
    <d v="2033-06-11T00:00:00"/>
    <x v="15"/>
    <n v="18.3"/>
    <n v="17.3"/>
    <n v="3.1659000000000002"/>
  </r>
  <r>
    <d v="2033-06-12T00:00:00"/>
    <x v="15"/>
    <n v="29"/>
    <n v="27.3"/>
    <n v="7.9170000000000007"/>
  </r>
  <r>
    <d v="2033-06-13T00:00:00"/>
    <x v="14"/>
    <n v="18.100000000000001"/>
    <n v="0"/>
    <n v="0"/>
  </r>
  <r>
    <d v="2033-06-14T00:00:00"/>
    <x v="16"/>
    <n v="16.399999999999999"/>
    <n v="1.1000000000000001"/>
    <n v="0.1804"/>
  </r>
  <r>
    <d v="2033-06-15T00:00:00"/>
    <x v="2"/>
    <n v="21.8"/>
    <n v="0"/>
    <n v="0"/>
  </r>
  <r>
    <d v="2033-06-16T00:00:00"/>
    <x v="25"/>
    <n v="27.2"/>
    <n v="0"/>
    <n v="0"/>
  </r>
  <r>
    <d v="2033-06-17T00:00:00"/>
    <x v="18"/>
    <n v="21.2"/>
    <n v="0"/>
    <n v="0"/>
  </r>
  <r>
    <d v="2033-06-18T00:00:00"/>
    <x v="15"/>
    <n v="17.7"/>
    <n v="13.9"/>
    <n v="2.4603000000000002"/>
  </r>
  <r>
    <d v="2033-06-19T00:00:00"/>
    <x v="18"/>
    <n v="10.6"/>
    <n v="6.9"/>
    <n v="0.73140000000000005"/>
  </r>
  <r>
    <d v="2033-06-20T00:00:00"/>
    <x v="23"/>
    <n v="10.4"/>
    <n v="1.1000000000000001"/>
    <n v="0.11440000000000002"/>
  </r>
  <r>
    <d v="2033-06-21T00:00:00"/>
    <x v="6"/>
    <n v="15.8"/>
    <n v="7.1"/>
    <n v="1.1217999999999999"/>
  </r>
  <r>
    <d v="2033-06-22T00:00:00"/>
    <x v="5"/>
    <n v="19.899999999999999"/>
    <n v="10.8"/>
    <n v="2.1492"/>
  </r>
  <r>
    <d v="2033-06-23T00:00:00"/>
    <x v="7"/>
    <n v="13"/>
    <n v="0"/>
    <n v="0"/>
  </r>
  <r>
    <d v="2033-06-24T00:00:00"/>
    <x v="3"/>
    <n v="28.1"/>
    <n v="15"/>
    <n v="4.2149999999999999"/>
  </r>
  <r>
    <d v="2033-06-25T00:00:00"/>
    <x v="8"/>
    <n v="22.5"/>
    <n v="8.6"/>
    <n v="1.9350000000000001"/>
  </r>
  <r>
    <d v="2033-06-26T00:00:00"/>
    <x v="15"/>
    <n v="14"/>
    <n v="36.1"/>
    <n v="5.0540000000000003"/>
  </r>
  <r>
    <d v="2033-06-27T00:00:00"/>
    <x v="6"/>
    <n v="10.6"/>
    <n v="18.399999999999999"/>
    <n v="1.9503999999999999"/>
  </r>
  <r>
    <d v="2033-06-28T00:00:00"/>
    <x v="19"/>
    <n v="22.3"/>
    <n v="0"/>
    <n v="0"/>
  </r>
  <r>
    <d v="2033-06-29T00:00:00"/>
    <x v="15"/>
    <n v="14.5"/>
    <n v="26"/>
    <n v="3.77"/>
  </r>
  <r>
    <d v="2033-06-30T00:00:00"/>
    <x v="1"/>
    <n v="21"/>
    <n v="1.7"/>
    <n v="0.35699999999999998"/>
  </r>
  <r>
    <d v="2033-07-01T00:00:00"/>
    <x v="0"/>
    <n v="17.7"/>
    <n v="0.4"/>
    <n v="0"/>
  </r>
  <r>
    <d v="2033-07-02T00:00:00"/>
    <x v="3"/>
    <n v="24.3"/>
    <n v="9.6999999999999993"/>
    <n v="2.3571"/>
  </r>
  <r>
    <d v="2033-07-03T00:00:00"/>
    <x v="11"/>
    <n v="18.8"/>
    <n v="6.4"/>
    <n v="1.2032"/>
  </r>
  <r>
    <d v="2033-07-04T00:00:00"/>
    <x v="9"/>
    <n v="15.9"/>
    <n v="5.2"/>
    <n v="0.82680000000000009"/>
  </r>
  <r>
    <d v="2033-07-05T00:00:00"/>
    <x v="3"/>
    <n v="26.1"/>
    <n v="0"/>
    <n v="0"/>
  </r>
  <r>
    <d v="2033-07-06T00:00:00"/>
    <x v="15"/>
    <n v="29.4"/>
    <n v="8.8000000000000007"/>
    <n v="2.5872000000000002"/>
  </r>
  <r>
    <d v="2033-07-07T00:00:00"/>
    <x v="9"/>
    <n v="10.5"/>
    <n v="14.5"/>
    <n v="1.5225"/>
  </r>
  <r>
    <d v="2033-07-08T00:00:00"/>
    <x v="26"/>
    <n v="18.100000000000001"/>
    <n v="0"/>
    <n v="0"/>
  </r>
  <r>
    <d v="2033-07-09T00:00:00"/>
    <x v="11"/>
    <n v="20.6"/>
    <n v="0"/>
    <n v="0"/>
  </r>
  <r>
    <d v="2033-07-10T00:00:00"/>
    <x v="11"/>
    <n v="17.100000000000001"/>
    <n v="0"/>
    <n v="0"/>
  </r>
  <r>
    <d v="2033-07-11T00:00:00"/>
    <x v="18"/>
    <n v="17"/>
    <n v="0.3"/>
    <n v="0"/>
  </r>
  <r>
    <d v="2033-07-12T00:00:00"/>
    <x v="19"/>
    <n v="14.7"/>
    <n v="2.2999999999999998"/>
    <n v="0.33809999999999996"/>
  </r>
  <r>
    <d v="2033-07-13T00:00:00"/>
    <x v="11"/>
    <n v="21.7"/>
    <n v="0"/>
    <n v="0"/>
  </r>
  <r>
    <d v="2033-07-14T00:00:00"/>
    <x v="12"/>
    <n v="12.5"/>
    <n v="0"/>
    <n v="0"/>
  </r>
  <r>
    <d v="2033-07-15T00:00:00"/>
    <x v="4"/>
    <n v="17.8"/>
    <n v="4.0999999999999996"/>
    <n v="0.72979999999999989"/>
  </r>
  <r>
    <d v="2033-07-16T00:00:00"/>
    <x v="6"/>
    <n v="28.9"/>
    <n v="38.700000000000003"/>
    <n v="11.1843"/>
  </r>
  <r>
    <d v="2033-07-17T00:00:00"/>
    <x v="7"/>
    <n v="21"/>
    <n v="3.5"/>
    <n v="0.73499999999999999"/>
  </r>
  <r>
    <d v="2033-07-18T00:00:00"/>
    <x v="17"/>
    <n v="13"/>
    <n v="0.1"/>
    <n v="0"/>
  </r>
  <r>
    <d v="2033-07-19T00:00:00"/>
    <x v="6"/>
    <n v="23.1"/>
    <n v="0"/>
    <n v="0"/>
  </r>
  <r>
    <d v="2033-07-20T00:00:00"/>
    <x v="11"/>
    <n v="28.5"/>
    <n v="0"/>
    <n v="0"/>
  </r>
  <r>
    <d v="2033-07-21T00:00:00"/>
    <x v="11"/>
    <n v="12.8"/>
    <n v="0"/>
    <n v="0"/>
  </r>
  <r>
    <d v="2033-07-22T00:00:00"/>
    <x v="27"/>
    <n v="26.8"/>
    <n v="0"/>
    <n v="0"/>
  </r>
  <r>
    <d v="2033-07-23T00:00:00"/>
    <x v="6"/>
    <n v="15.1"/>
    <n v="24.8"/>
    <n v="3.7448000000000001"/>
  </r>
  <r>
    <d v="2033-07-24T00:00:00"/>
    <x v="14"/>
    <n v="14.4"/>
    <n v="13.5"/>
    <n v="1.944"/>
  </r>
  <r>
    <d v="2033-07-25T00:00:00"/>
    <x v="7"/>
    <n v="29.2"/>
    <n v="15.7"/>
    <n v="4.5843999999999996"/>
  </r>
  <r>
    <d v="2033-07-26T00:00:00"/>
    <x v="6"/>
    <n v="28.9"/>
    <n v="47.2"/>
    <n v="13.640799999999999"/>
  </r>
  <r>
    <d v="2033-07-27T00:00:00"/>
    <x v="16"/>
    <n v="18.399999999999999"/>
    <n v="3.9"/>
    <n v="0.7175999999999999"/>
  </r>
  <r>
    <d v="2033-07-28T00:00:00"/>
    <x v="13"/>
    <n v="26.2"/>
    <n v="4"/>
    <n v="1.048"/>
  </r>
  <r>
    <d v="2033-07-29T00:00:00"/>
    <x v="6"/>
    <n v="14.3"/>
    <n v="45.1"/>
    <n v="6.4493000000000009"/>
  </r>
  <r>
    <d v="2033-07-30T00:00:00"/>
    <x v="3"/>
    <n v="14.5"/>
    <n v="0"/>
    <n v="0"/>
  </r>
  <r>
    <d v="2033-07-31T00:00:00"/>
    <x v="6"/>
    <n v="18.600000000000001"/>
    <n v="5.5"/>
    <n v="1.0230000000000001"/>
  </r>
  <r>
    <d v="2033-08-01T00:00:00"/>
    <x v="3"/>
    <n v="26.3"/>
    <n v="14.5"/>
    <n v="3.8135000000000003"/>
  </r>
  <r>
    <d v="2033-08-02T00:00:00"/>
    <x v="28"/>
    <n v="25.9"/>
    <n v="0.7"/>
    <n v="0"/>
  </r>
  <r>
    <d v="2033-08-03T00:00:00"/>
    <x v="8"/>
    <n v="29.8"/>
    <n v="0"/>
    <n v="0"/>
  </r>
  <r>
    <d v="2033-08-04T00:00:00"/>
    <x v="6"/>
    <n v="18.3"/>
    <n v="18.7"/>
    <n v="3.4220999999999999"/>
  </r>
  <r>
    <d v="2033-08-05T00:00:00"/>
    <x v="8"/>
    <n v="24.5"/>
    <n v="6.7"/>
    <n v="1.6415"/>
  </r>
  <r>
    <d v="2033-08-06T00:00:00"/>
    <x v="15"/>
    <n v="18.7"/>
    <n v="0"/>
    <n v="0"/>
  </r>
  <r>
    <d v="2033-08-07T00:00:00"/>
    <x v="15"/>
    <n v="29.2"/>
    <n v="34.9"/>
    <n v="10.190799999999999"/>
  </r>
  <r>
    <d v="2033-08-08T00:00:00"/>
    <x v="5"/>
    <n v="21.4"/>
    <n v="10.7"/>
    <n v="2.2897999999999996"/>
  </r>
  <r>
    <d v="2033-08-09T00:00:00"/>
    <x v="11"/>
    <n v="25.6"/>
    <n v="3.1"/>
    <n v="0.79360000000000008"/>
  </r>
  <r>
    <d v="2033-08-10T00:00:00"/>
    <x v="11"/>
    <n v="15.7"/>
    <n v="5.0999999999999996"/>
    <n v="0.80069999999999997"/>
  </r>
  <r>
    <d v="2033-08-11T00:00:00"/>
    <x v="2"/>
    <n v="27.3"/>
    <n v="11"/>
    <n v="3.0030000000000001"/>
  </r>
  <r>
    <d v="2033-08-12T00:00:00"/>
    <x v="21"/>
    <n v="28.4"/>
    <n v="2.7"/>
    <n v="0.76680000000000004"/>
  </r>
  <r>
    <d v="2033-08-13T00:00:00"/>
    <x v="7"/>
    <n v="22"/>
    <n v="3.3"/>
    <n v="0.72599999999999998"/>
  </r>
  <r>
    <d v="2033-08-14T00:00:00"/>
    <x v="4"/>
    <n v="19.399999999999999"/>
    <n v="0"/>
    <n v="0"/>
  </r>
  <r>
    <d v="2033-08-15T00:00:00"/>
    <x v="11"/>
    <n v="22.7"/>
    <n v="14.8"/>
    <n v="3.3595999999999999"/>
  </r>
  <r>
    <d v="2033-08-16T00:00:00"/>
    <x v="3"/>
    <n v="22.6"/>
    <n v="16.5"/>
    <n v="3.7290000000000005"/>
  </r>
  <r>
    <d v="2033-08-17T00:00:00"/>
    <x v="13"/>
    <n v="26.1"/>
    <n v="0"/>
    <n v="0"/>
  </r>
  <r>
    <d v="2033-08-18T00:00:00"/>
    <x v="11"/>
    <n v="27.6"/>
    <n v="6.7"/>
    <n v="1.8492000000000002"/>
  </r>
  <r>
    <d v="2033-08-19T00:00:00"/>
    <x v="8"/>
    <n v="13.2"/>
    <n v="0"/>
    <n v="0"/>
  </r>
  <r>
    <d v="2033-08-20T00:00:00"/>
    <x v="17"/>
    <n v="22"/>
    <n v="0"/>
    <n v="0"/>
  </r>
  <r>
    <d v="2033-08-21T00:00:00"/>
    <x v="5"/>
    <n v="10.8"/>
    <n v="7.6"/>
    <n v="0.82079999999999997"/>
  </r>
  <r>
    <d v="2033-08-22T00:00:00"/>
    <x v="6"/>
    <n v="15.6"/>
    <n v="38.4"/>
    <n v="5.9903999999999993"/>
  </r>
  <r>
    <d v="2033-08-23T00:00:00"/>
    <x v="22"/>
    <n v="11.7"/>
    <n v="0.5"/>
    <n v="0"/>
  </r>
  <r>
    <d v="2033-08-24T00:00:00"/>
    <x v="6"/>
    <n v="27.2"/>
    <n v="8.3000000000000007"/>
    <n v="2.2576000000000001"/>
  </r>
  <r>
    <d v="2033-08-25T00:00:00"/>
    <x v="6"/>
    <n v="24.7"/>
    <n v="28.9"/>
    <n v="7.1382999999999992"/>
  </r>
  <r>
    <d v="2033-08-26T00:00:00"/>
    <x v="7"/>
    <n v="18.2"/>
    <n v="12.5"/>
    <n v="2.2749999999999999"/>
  </r>
  <r>
    <d v="2033-08-27T00:00:00"/>
    <x v="7"/>
    <n v="14.6"/>
    <n v="17.899999999999999"/>
    <n v="2.6133999999999999"/>
  </r>
  <r>
    <d v="2033-08-28T00:00:00"/>
    <x v="7"/>
    <n v="16.5"/>
    <n v="13.9"/>
    <n v="2.2934999999999999"/>
  </r>
  <r>
    <d v="2033-08-29T00:00:00"/>
    <x v="14"/>
    <n v="29.4"/>
    <n v="0"/>
    <n v="0"/>
  </r>
  <r>
    <d v="2033-08-30T00:00:00"/>
    <x v="6"/>
    <n v="17.899999999999999"/>
    <n v="0"/>
    <n v="0"/>
  </r>
  <r>
    <d v="2033-08-31T00:00:00"/>
    <x v="13"/>
    <n v="29.8"/>
    <n v="0"/>
    <n v="0"/>
  </r>
  <r>
    <d v="2033-09-01T00:00:00"/>
    <x v="0"/>
    <n v="18.7"/>
    <n v="0"/>
    <n v="0"/>
  </r>
  <r>
    <d v="2033-09-02T00:00:00"/>
    <x v="8"/>
    <n v="24.3"/>
    <n v="7.8"/>
    <n v="1.8954"/>
  </r>
  <r>
    <d v="2033-09-03T00:00:00"/>
    <x v="9"/>
    <n v="29.3"/>
    <n v="4.5999999999999996"/>
    <n v="1.3478000000000001"/>
  </r>
  <r>
    <d v="2033-09-04T00:00:00"/>
    <x v="3"/>
    <n v="18.399999999999999"/>
    <n v="0"/>
    <n v="0"/>
  </r>
  <r>
    <d v="2033-09-05T00:00:00"/>
    <x v="3"/>
    <n v="10.3"/>
    <n v="16"/>
    <n v="1.6480000000000001"/>
  </r>
  <r>
    <d v="2033-09-06T00:00:00"/>
    <x v="6"/>
    <n v="27.5"/>
    <n v="0"/>
    <n v="0"/>
  </r>
  <r>
    <d v="2033-09-07T00:00:00"/>
    <x v="3"/>
    <n v="20.6"/>
    <n v="15.7"/>
    <n v="3.2342"/>
  </r>
  <r>
    <d v="2033-09-08T00:00:00"/>
    <x v="7"/>
    <n v="21.3"/>
    <n v="0"/>
    <n v="0"/>
  </r>
  <r>
    <d v="2033-09-09T00:00:00"/>
    <x v="15"/>
    <n v="26.2"/>
    <n v="0"/>
    <n v="0"/>
  </r>
  <r>
    <d v="2033-09-10T00:00:00"/>
    <x v="6"/>
    <n v="23.9"/>
    <n v="0"/>
    <n v="0"/>
  </r>
  <r>
    <d v="2033-09-11T00:00:00"/>
    <x v="23"/>
    <n v="26.6"/>
    <n v="1.6"/>
    <n v="0.42560000000000003"/>
  </r>
  <r>
    <d v="2033-09-12T00:00:00"/>
    <x v="6"/>
    <n v="18.600000000000001"/>
    <n v="20.399999999999999"/>
    <n v="3.7944"/>
  </r>
  <r>
    <d v="2033-09-13T00:00:00"/>
    <x v="14"/>
    <n v="22.3"/>
    <n v="1.7"/>
    <n v="0.37910000000000005"/>
  </r>
  <r>
    <d v="2033-09-14T00:00:00"/>
    <x v="13"/>
    <n v="18.399999999999999"/>
    <n v="3.9"/>
    <n v="0.7175999999999999"/>
  </r>
  <r>
    <d v="2033-09-15T00:00:00"/>
    <x v="23"/>
    <n v="28"/>
    <n v="4.4000000000000004"/>
    <n v="1.2320000000000002"/>
  </r>
  <r>
    <d v="2033-09-16T00:00:00"/>
    <x v="6"/>
    <n v="10.9"/>
    <n v="32.9"/>
    <n v="3.5861000000000001"/>
  </r>
  <r>
    <d v="2033-09-17T00:00:00"/>
    <x v="15"/>
    <n v="25.1"/>
    <n v="33.299999999999997"/>
    <n v="8.3582999999999998"/>
  </r>
  <r>
    <d v="2033-09-18T00:00:00"/>
    <x v="24"/>
    <n v="10.7"/>
    <n v="0.3"/>
    <n v="0"/>
  </r>
  <r>
    <d v="2033-09-19T00:00:00"/>
    <x v="6"/>
    <n v="26.1"/>
    <n v="31"/>
    <n v="8.0910000000000011"/>
  </r>
  <r>
    <d v="2033-09-20T00:00:00"/>
    <x v="7"/>
    <n v="15.2"/>
    <n v="12.7"/>
    <n v="1.9303999999999999"/>
  </r>
  <r>
    <d v="2033-09-21T00:00:00"/>
    <x v="10"/>
    <n v="28.8"/>
    <n v="4.3"/>
    <n v="1.2383999999999999"/>
  </r>
  <r>
    <d v="2033-09-22T00:00:00"/>
    <x v="22"/>
    <n v="10.3"/>
    <n v="0"/>
    <n v="0"/>
  </r>
  <r>
    <d v="2033-09-23T00:00:00"/>
    <x v="2"/>
    <n v="14.9"/>
    <n v="0.1"/>
    <n v="0"/>
  </r>
  <r>
    <d v="2033-09-24T00:00:00"/>
    <x v="6"/>
    <n v="11.3"/>
    <n v="0"/>
    <n v="0"/>
  </r>
  <r>
    <d v="2033-09-25T00:00:00"/>
    <x v="6"/>
    <n v="20.8"/>
    <n v="34.9"/>
    <n v="7.2591999999999999"/>
  </r>
  <r>
    <d v="2033-09-26T00:00:00"/>
    <x v="15"/>
    <n v="18.2"/>
    <n v="0"/>
    <n v="0"/>
  </r>
  <r>
    <d v="2033-09-27T00:00:00"/>
    <x v="13"/>
    <n v="12.7"/>
    <n v="5.3"/>
    <n v="0.67309999999999992"/>
  </r>
  <r>
    <d v="2033-09-28T00:00:00"/>
    <x v="10"/>
    <n v="21.4"/>
    <n v="8.3000000000000007"/>
    <n v="1.7762"/>
  </r>
  <r>
    <d v="2033-09-29T00:00:00"/>
    <x v="2"/>
    <n v="21.3"/>
    <n v="11.8"/>
    <n v="2.5134000000000003"/>
  </r>
  <r>
    <d v="2033-09-30T00:00:00"/>
    <x v="13"/>
    <n v="20.7"/>
    <n v="3.9"/>
    <n v="0.80729999999999991"/>
  </r>
  <r>
    <d v="2033-10-01T00:00:00"/>
    <x v="16"/>
    <n v="19.7"/>
    <n v="0"/>
    <n v="0"/>
  </r>
  <r>
    <d v="2033-10-02T00:00:00"/>
    <x v="7"/>
    <n v="27.2"/>
    <n v="17.600000000000001"/>
    <n v="4.7872000000000003"/>
  </r>
  <r>
    <d v="2033-10-03T00:00:00"/>
    <x v="21"/>
    <n v="16.600000000000001"/>
    <n v="1.7"/>
    <n v="0.28220000000000001"/>
  </r>
  <r>
    <d v="2033-10-04T00:00:00"/>
    <x v="7"/>
    <n v="22.3"/>
    <n v="0"/>
    <n v="0"/>
  </r>
  <r>
    <d v="2033-10-05T00:00:00"/>
    <x v="6"/>
    <n v="18"/>
    <n v="40.799999999999997"/>
    <n v="7.3439999999999994"/>
  </r>
  <r>
    <d v="2033-10-06T00:00:00"/>
    <x v="20"/>
    <n v="21.8"/>
    <n v="0"/>
    <n v="0"/>
  </r>
  <r>
    <d v="2033-10-07T00:00:00"/>
    <x v="2"/>
    <n v="22.2"/>
    <n v="11.2"/>
    <n v="2.4863999999999997"/>
  </r>
  <r>
    <d v="2033-10-08T00:00:00"/>
    <x v="2"/>
    <n v="20"/>
    <n v="0"/>
    <n v="0"/>
  </r>
  <r>
    <d v="2033-10-09T00:00:00"/>
    <x v="28"/>
    <n v="29.4"/>
    <n v="0.7"/>
    <n v="0"/>
  </r>
  <r>
    <d v="2033-10-10T00:00:00"/>
    <x v="6"/>
    <n v="23.6"/>
    <n v="0"/>
    <n v="0"/>
  </r>
  <r>
    <d v="2033-10-11T00:00:00"/>
    <x v="3"/>
    <n v="16.3"/>
    <n v="22"/>
    <n v="3.5860000000000003"/>
  </r>
  <r>
    <d v="2033-10-12T00:00:00"/>
    <x v="11"/>
    <n v="15"/>
    <n v="0"/>
    <n v="0"/>
  </r>
  <r>
    <d v="2033-10-13T00:00:00"/>
    <x v="10"/>
    <n v="10.8"/>
    <n v="0"/>
    <n v="0"/>
  </r>
  <r>
    <d v="2033-10-14T00:00:00"/>
    <x v="15"/>
    <n v="10.5"/>
    <n v="0"/>
    <n v="0"/>
  </r>
  <r>
    <d v="2033-10-15T00:00:00"/>
    <x v="1"/>
    <n v="20.3"/>
    <n v="0"/>
    <n v="0"/>
  </r>
  <r>
    <d v="2033-10-16T00:00:00"/>
    <x v="6"/>
    <n v="13.1"/>
    <n v="50.4"/>
    <n v="6.6024000000000003"/>
  </r>
  <r>
    <d v="2033-10-17T00:00:00"/>
    <x v="8"/>
    <n v="24.8"/>
    <n v="7.9"/>
    <n v="1.9592000000000001"/>
  </r>
  <r>
    <d v="2033-10-18T00:00:00"/>
    <x v="7"/>
    <n v="23.6"/>
    <n v="0.8"/>
    <n v="0"/>
  </r>
  <r>
    <d v="2033-10-19T00:00:00"/>
    <x v="13"/>
    <n v="17.899999999999999"/>
    <n v="0"/>
    <n v="0"/>
  </r>
  <r>
    <d v="2033-10-20T00:00:00"/>
    <x v="8"/>
    <n v="23.2"/>
    <n v="3"/>
    <n v="0.69599999999999995"/>
  </r>
  <r>
    <d v="2033-10-21T00:00:00"/>
    <x v="4"/>
    <n v="21.8"/>
    <n v="2"/>
    <n v="0.436"/>
  </r>
  <r>
    <d v="2033-10-22T00:00:00"/>
    <x v="22"/>
    <n v="22.2"/>
    <n v="3.1"/>
    <n v="0.68819999999999992"/>
  </r>
  <r>
    <d v="2033-10-23T00:00:00"/>
    <x v="11"/>
    <n v="29"/>
    <n v="16.399999999999999"/>
    <n v="4.7559999999999993"/>
  </r>
  <r>
    <d v="2033-10-24T00:00:00"/>
    <x v="20"/>
    <n v="24.6"/>
    <n v="1.7"/>
    <n v="0.41820000000000002"/>
  </r>
  <r>
    <d v="2033-10-25T00:00:00"/>
    <x v="8"/>
    <n v="23.4"/>
    <n v="0.6"/>
    <n v="0"/>
  </r>
  <r>
    <d v="2033-10-26T00:00:00"/>
    <x v="11"/>
    <n v="21"/>
    <n v="0"/>
    <n v="0"/>
  </r>
  <r>
    <d v="2033-10-27T00:00:00"/>
    <x v="1"/>
    <n v="22"/>
    <n v="0"/>
    <n v="0"/>
  </r>
  <r>
    <d v="2033-10-28T00:00:00"/>
    <x v="5"/>
    <n v="29.9"/>
    <n v="8"/>
    <n v="2.3919999999999999"/>
  </r>
  <r>
    <d v="2033-10-29T00:00:00"/>
    <x v="3"/>
    <n v="27.2"/>
    <n v="19.2"/>
    <n v="5.2224000000000004"/>
  </r>
  <r>
    <d v="2033-10-30T00:00:00"/>
    <x v="15"/>
    <n v="10.9"/>
    <n v="9"/>
    <n v="0.98100000000000009"/>
  </r>
  <r>
    <d v="2033-10-31T00:00:00"/>
    <x v="5"/>
    <n v="22.6"/>
    <n v="5.9"/>
    <n v="1.3334000000000001"/>
  </r>
  <r>
    <d v="2033-11-01T00:00:00"/>
    <x v="19"/>
    <n v="12"/>
    <n v="3.9"/>
    <n v="0.46799999999999997"/>
  </r>
  <r>
    <d v="2033-11-02T00:00:00"/>
    <x v="11"/>
    <n v="19.5"/>
    <n v="14.2"/>
    <n v="2.7689999999999997"/>
  </r>
  <r>
    <d v="2033-11-03T00:00:00"/>
    <x v="6"/>
    <n v="27"/>
    <n v="10.9"/>
    <n v="2.9430000000000001"/>
  </r>
  <r>
    <d v="2033-11-04T00:00:00"/>
    <x v="18"/>
    <n v="10.7"/>
    <n v="5.6"/>
    <n v="0.59919999999999995"/>
  </r>
  <r>
    <d v="2033-11-05T00:00:00"/>
    <x v="15"/>
    <n v="29.1"/>
    <n v="0"/>
    <n v="0"/>
  </r>
  <r>
    <d v="2033-11-06T00:00:00"/>
    <x v="23"/>
    <n v="25.3"/>
    <n v="0"/>
    <n v="0"/>
  </r>
  <r>
    <d v="2033-11-07T00:00:00"/>
    <x v="2"/>
    <n v="13.3"/>
    <n v="4.4000000000000004"/>
    <n v="0.58520000000000005"/>
  </r>
  <r>
    <d v="2033-11-08T00:00:00"/>
    <x v="3"/>
    <n v="16.899999999999999"/>
    <n v="0"/>
    <n v="0"/>
  </r>
  <r>
    <d v="2033-11-09T00:00:00"/>
    <x v="11"/>
    <n v="26.4"/>
    <n v="6.8"/>
    <n v="1.7951999999999999"/>
  </r>
  <r>
    <d v="2033-11-10T00:00:00"/>
    <x v="10"/>
    <n v="29.7"/>
    <n v="0"/>
    <n v="0"/>
  </r>
  <r>
    <d v="2033-11-11T00:00:00"/>
    <x v="3"/>
    <n v="17.600000000000001"/>
    <n v="8.6999999999999993"/>
    <n v="1.5312000000000001"/>
  </r>
  <r>
    <d v="2033-11-12T00:00:00"/>
    <x v="13"/>
    <n v="13.2"/>
    <n v="3.3"/>
    <n v="0.43559999999999993"/>
  </r>
  <r>
    <d v="2033-11-13T00:00:00"/>
    <x v="11"/>
    <n v="21.2"/>
    <n v="0"/>
    <n v="0"/>
  </r>
  <r>
    <d v="2033-11-14T00:00:00"/>
    <x v="11"/>
    <n v="23"/>
    <n v="7.7"/>
    <n v="1.7709999999999999"/>
  </r>
  <r>
    <d v="2033-11-15T00:00:00"/>
    <x v="7"/>
    <n v="23"/>
    <n v="0"/>
    <n v="0"/>
  </r>
  <r>
    <d v="2033-11-16T00:00:00"/>
    <x v="7"/>
    <n v="23.4"/>
    <n v="0"/>
    <n v="0"/>
  </r>
  <r>
    <d v="2033-11-17T00:00:00"/>
    <x v="3"/>
    <n v="28.7"/>
    <n v="3.3"/>
    <n v="0.94709999999999994"/>
  </r>
  <r>
    <d v="2033-11-18T00:00:00"/>
    <x v="22"/>
    <n v="23.6"/>
    <n v="4.3"/>
    <n v="1.0148000000000001"/>
  </r>
  <r>
    <d v="2033-11-19T00:00:00"/>
    <x v="2"/>
    <n v="10.199999999999999"/>
    <n v="8.6999999999999993"/>
    <n v="0.88739999999999986"/>
  </r>
  <r>
    <d v="2033-11-20T00:00:00"/>
    <x v="5"/>
    <n v="13.8"/>
    <n v="0"/>
    <n v="0"/>
  </r>
  <r>
    <d v="2033-11-21T00:00:00"/>
    <x v="4"/>
    <n v="27.7"/>
    <n v="0"/>
    <n v="0"/>
  </r>
  <r>
    <d v="2033-11-22T00:00:00"/>
    <x v="3"/>
    <n v="13.3"/>
    <n v="7.2"/>
    <n v="0.95760000000000001"/>
  </r>
  <r>
    <d v="2033-11-23T00:00:00"/>
    <x v="7"/>
    <n v="26"/>
    <n v="0.7"/>
    <n v="0"/>
  </r>
  <r>
    <d v="2033-11-24T00:00:00"/>
    <x v="2"/>
    <n v="16.3"/>
    <n v="11"/>
    <n v="1.7930000000000001"/>
  </r>
  <r>
    <d v="2033-11-25T00:00:00"/>
    <x v="11"/>
    <n v="23.5"/>
    <n v="15.5"/>
    <n v="3.6425000000000001"/>
  </r>
  <r>
    <d v="2033-11-26T00:00:00"/>
    <x v="23"/>
    <n v="15.7"/>
    <n v="0"/>
    <n v="0"/>
  </r>
  <r>
    <d v="2033-11-27T00:00:00"/>
    <x v="22"/>
    <n v="26"/>
    <n v="6.4"/>
    <n v="1.6640000000000001"/>
  </r>
  <r>
    <d v="2033-11-28T00:00:00"/>
    <x v="15"/>
    <n v="22.7"/>
    <n v="0"/>
    <n v="0"/>
  </r>
  <r>
    <d v="2033-11-29T00:00:00"/>
    <x v="5"/>
    <n v="26.2"/>
    <n v="5.7"/>
    <n v="1.4934000000000001"/>
  </r>
  <r>
    <d v="2033-11-30T00:00:00"/>
    <x v="18"/>
    <n v="14.1"/>
    <n v="0"/>
    <n v="0"/>
  </r>
  <r>
    <d v="2033-12-01T00:00:00"/>
    <x v="7"/>
    <n v="23.6"/>
    <n v="19.7"/>
    <n v="4.6492000000000004"/>
  </r>
  <r>
    <d v="2033-12-02T00:00:00"/>
    <x v="15"/>
    <n v="25.2"/>
    <n v="37.200000000000003"/>
    <n v="9.3744000000000014"/>
  </r>
  <r>
    <d v="2033-12-03T00:00:00"/>
    <x v="9"/>
    <n v="23"/>
    <n v="0"/>
    <n v="0"/>
  </r>
  <r>
    <d v="2033-12-04T00:00:00"/>
    <x v="2"/>
    <n v="29.7"/>
    <n v="6.8"/>
    <n v="2.0195999999999996"/>
  </r>
  <r>
    <d v="2033-12-05T00:00:00"/>
    <x v="5"/>
    <n v="17.2"/>
    <n v="3.5"/>
    <n v="0.60199999999999998"/>
  </r>
  <r>
    <d v="2033-12-06T00:00:00"/>
    <x v="5"/>
    <n v="21.7"/>
    <n v="2.5"/>
    <n v="0.54249999999999998"/>
  </r>
  <r>
    <d v="2033-12-07T00:00:00"/>
    <x v="7"/>
    <n v="25.8"/>
    <n v="3.8"/>
    <n v="0.98039999999999994"/>
  </r>
  <r>
    <d v="2033-12-08T00:00:00"/>
    <x v="22"/>
    <n v="12.9"/>
    <n v="1.6"/>
    <n v="0.2064"/>
  </r>
  <r>
    <d v="2033-12-09T00:00:00"/>
    <x v="12"/>
    <n v="18.2"/>
    <n v="0"/>
    <n v="0"/>
  </r>
  <r>
    <d v="2033-12-10T00:00:00"/>
    <x v="6"/>
    <n v="20"/>
    <n v="25.7"/>
    <n v="5.14"/>
  </r>
  <r>
    <d v="2033-12-11T00:00:00"/>
    <x v="15"/>
    <n v="17.100000000000001"/>
    <n v="33"/>
    <n v="5.6430000000000007"/>
  </r>
  <r>
    <d v="2033-12-12T00:00:00"/>
    <x v="1"/>
    <n v="23.2"/>
    <n v="2.2999999999999998"/>
    <n v="0.53359999999999996"/>
  </r>
  <r>
    <d v="2033-12-13T00:00:00"/>
    <x v="11"/>
    <n v="23.1"/>
    <n v="2.2000000000000002"/>
    <n v="0.5082000000000001"/>
  </r>
  <r>
    <d v="2033-12-14T00:00:00"/>
    <x v="6"/>
    <n v="22.4"/>
    <n v="33.5"/>
    <n v="7.5039999999999996"/>
  </r>
  <r>
    <d v="2033-12-15T00:00:00"/>
    <x v="29"/>
    <n v="25.4"/>
    <n v="0.9"/>
    <n v="0"/>
  </r>
  <r>
    <d v="2033-12-16T00:00:00"/>
    <x v="6"/>
    <n v="15.4"/>
    <n v="1.6"/>
    <n v="0.24640000000000001"/>
  </r>
  <r>
    <d v="2033-12-17T00:00:00"/>
    <x v="21"/>
    <n v="23.5"/>
    <n v="0.6"/>
    <n v="0"/>
  </r>
  <r>
    <d v="2033-12-18T00:00:00"/>
    <x v="11"/>
    <n v="10.3"/>
    <n v="15.4"/>
    <n v="1.5862000000000001"/>
  </r>
  <r>
    <d v="2033-12-19T00:00:00"/>
    <x v="6"/>
    <n v="15.5"/>
    <n v="20.2"/>
    <n v="3.1309999999999998"/>
  </r>
  <r>
    <d v="2033-12-20T00:00:00"/>
    <x v="20"/>
    <n v="20.7"/>
    <n v="3"/>
    <n v="0.621"/>
  </r>
  <r>
    <d v="2033-12-21T00:00:00"/>
    <x v="9"/>
    <n v="12.7"/>
    <n v="14.4"/>
    <n v="1.8288"/>
  </r>
  <r>
    <d v="2033-12-22T00:00:00"/>
    <x v="19"/>
    <n v="22.8"/>
    <n v="3.3"/>
    <n v="0.75239999999999996"/>
  </r>
  <r>
    <d v="2033-12-23T00:00:00"/>
    <x v="26"/>
    <n v="20.5"/>
    <n v="0"/>
    <n v="0"/>
  </r>
  <r>
    <d v="2033-12-24T00:00:00"/>
    <x v="18"/>
    <n v="13.1"/>
    <n v="5.9"/>
    <n v="0.77290000000000003"/>
  </r>
  <r>
    <d v="2033-12-25T00:00:00"/>
    <x v="17"/>
    <n v="29"/>
    <n v="1"/>
    <n v="0.28999999999999998"/>
  </r>
  <r>
    <d v="2033-12-26T00:00:00"/>
    <x v="15"/>
    <n v="15.4"/>
    <n v="0"/>
    <n v="0"/>
  </r>
  <r>
    <d v="2033-12-27T00:00:00"/>
    <x v="6"/>
    <n v="20.3"/>
    <n v="10.7"/>
    <n v="2.1720999999999999"/>
  </r>
  <r>
    <d v="2033-12-28T00:00:00"/>
    <x v="6"/>
    <n v="15"/>
    <n v="0"/>
    <n v="0"/>
  </r>
  <r>
    <d v="2033-12-29T00:00:00"/>
    <x v="14"/>
    <n v="16.600000000000001"/>
    <n v="0"/>
    <n v="0"/>
  </r>
  <r>
    <d v="2033-12-30T00:00:00"/>
    <x v="7"/>
    <n v="28.6"/>
    <n v="0"/>
    <n v="0"/>
  </r>
  <r>
    <d v="2033-12-31T00:00:00"/>
    <x v="13"/>
    <n v="11.4"/>
    <n v="3.6"/>
    <n v="0.41039999999999999"/>
  </r>
  <r>
    <d v="2034-01-01T00:00:00"/>
    <x v="5"/>
    <n v="15.5"/>
    <n v="1"/>
    <n v="0.155"/>
  </r>
  <r>
    <d v="2034-01-02T00:00:00"/>
    <x v="2"/>
    <n v="18.3"/>
    <n v="0.7"/>
    <n v="0"/>
  </r>
  <r>
    <d v="2034-01-03T00:00:00"/>
    <x v="15"/>
    <n v="14.9"/>
    <n v="6.1"/>
    <n v="0.90890000000000004"/>
  </r>
  <r>
    <d v="2034-01-04T00:00:00"/>
    <x v="7"/>
    <n v="29.7"/>
    <n v="13.3"/>
    <n v="3.9500999999999999"/>
  </r>
  <r>
    <d v="2034-01-05T00:00:00"/>
    <x v="3"/>
    <n v="28.9"/>
    <n v="13.8"/>
    <n v="3.9882"/>
  </r>
  <r>
    <d v="2034-01-06T00:00:00"/>
    <x v="13"/>
    <n v="24.3"/>
    <n v="0"/>
    <n v="0"/>
  </r>
  <r>
    <d v="2034-01-07T00:00:00"/>
    <x v="6"/>
    <n v="24"/>
    <n v="19.7"/>
    <n v="4.7279999999999998"/>
  </r>
  <r>
    <d v="2034-01-08T00:00:00"/>
    <x v="11"/>
    <n v="11.8"/>
    <n v="13.3"/>
    <n v="1.5694000000000004"/>
  </r>
  <r>
    <d v="2034-01-09T00:00:00"/>
    <x v="6"/>
    <n v="26.5"/>
    <n v="19.7"/>
    <n v="5.2204999999999995"/>
  </r>
  <r>
    <d v="2034-01-10T00:00:00"/>
    <x v="22"/>
    <n v="12.4"/>
    <n v="5.0999999999999996"/>
    <n v="0.63239999999999996"/>
  </r>
  <r>
    <d v="2034-01-11T00:00:00"/>
    <x v="6"/>
    <n v="21.9"/>
    <n v="6.6"/>
    <n v="1.4454"/>
  </r>
  <r>
    <d v="2034-01-12T00:00:00"/>
    <x v="6"/>
    <n v="20.3"/>
    <n v="0"/>
    <n v="0"/>
  </r>
  <r>
    <d v="2034-01-13T00:00:00"/>
    <x v="28"/>
    <n v="27.7"/>
    <n v="0.3"/>
    <n v="0"/>
  </r>
  <r>
    <d v="2034-01-14T00:00:00"/>
    <x v="15"/>
    <n v="28.5"/>
    <n v="30"/>
    <n v="8.5500000000000007"/>
  </r>
  <r>
    <d v="2034-01-15T00:00:00"/>
    <x v="17"/>
    <n v="28.7"/>
    <n v="1.9"/>
    <n v="0.5452999999999999"/>
  </r>
  <r>
    <d v="2034-01-16T00:00:00"/>
    <x v="0"/>
    <n v="10.9"/>
    <n v="0"/>
    <n v="0"/>
  </r>
  <r>
    <d v="2034-01-17T00:00:00"/>
    <x v="5"/>
    <n v="13.7"/>
    <n v="0"/>
    <n v="0"/>
  </r>
  <r>
    <d v="2034-01-18T00:00:00"/>
    <x v="7"/>
    <n v="28.2"/>
    <n v="0"/>
    <n v="0"/>
  </r>
  <r>
    <d v="2034-01-19T00:00:00"/>
    <x v="15"/>
    <n v="20.100000000000001"/>
    <n v="0"/>
    <n v="0"/>
  </r>
  <r>
    <d v="2034-01-20T00:00:00"/>
    <x v="7"/>
    <n v="20.6"/>
    <n v="0"/>
    <n v="0"/>
  </r>
  <r>
    <d v="2034-01-21T00:00:00"/>
    <x v="9"/>
    <n v="15.5"/>
    <n v="16.8"/>
    <n v="2.6040000000000005"/>
  </r>
  <r>
    <d v="2034-01-22T00:00:00"/>
    <x v="8"/>
    <n v="22.2"/>
    <n v="2.4"/>
    <n v="0.53279999999999994"/>
  </r>
  <r>
    <d v="2034-01-23T00:00:00"/>
    <x v="9"/>
    <n v="15"/>
    <n v="4.0999999999999996"/>
    <n v="0.61499999999999988"/>
  </r>
  <r>
    <d v="2034-01-24T00:00:00"/>
    <x v="15"/>
    <n v="18.399999999999999"/>
    <n v="30.4"/>
    <n v="5.5935999999999986"/>
  </r>
  <r>
    <d v="2034-01-25T00:00:00"/>
    <x v="28"/>
    <n v="29.3"/>
    <n v="0.4"/>
    <n v="0"/>
  </r>
  <r>
    <d v="2034-01-26T00:00:00"/>
    <x v="19"/>
    <n v="23.9"/>
    <n v="3.3"/>
    <n v="0.78869999999999996"/>
  </r>
  <r>
    <d v="2034-01-27T00:00:00"/>
    <x v="16"/>
    <n v="29.8"/>
    <n v="3.3"/>
    <n v="0.98340000000000005"/>
  </r>
  <r>
    <d v="2034-01-28T00:00:00"/>
    <x v="6"/>
    <n v="29.1"/>
    <n v="23"/>
    <n v="6.6930000000000005"/>
  </r>
  <r>
    <d v="2034-01-29T00:00:00"/>
    <x v="7"/>
    <n v="22.5"/>
    <n v="17.2"/>
    <n v="3.87"/>
  </r>
  <r>
    <d v="2034-01-30T00:00:00"/>
    <x v="15"/>
    <n v="15.3"/>
    <n v="21.5"/>
    <n v="3.2894999999999999"/>
  </r>
  <r>
    <d v="2034-01-31T00:00:00"/>
    <x v="6"/>
    <n v="13.8"/>
    <n v="40.4"/>
    <n v="5.5751999999999997"/>
  </r>
  <r>
    <d v="2034-02-01T00:00:00"/>
    <x v="3"/>
    <n v="12.3"/>
    <n v="0"/>
    <n v="0"/>
  </r>
  <r>
    <d v="2034-02-02T00:00:00"/>
    <x v="1"/>
    <n v="18.5"/>
    <n v="4.2"/>
    <n v="0.77700000000000002"/>
  </r>
  <r>
    <d v="2034-02-03T00:00:00"/>
    <x v="16"/>
    <n v="10.3"/>
    <n v="3.2"/>
    <n v="0.3296"/>
  </r>
  <r>
    <d v="2034-02-04T00:00:00"/>
    <x v="15"/>
    <n v="24.9"/>
    <n v="12.1"/>
    <n v="3.0128999999999997"/>
  </r>
  <r>
    <d v="2034-02-05T00:00:00"/>
    <x v="6"/>
    <n v="26.4"/>
    <n v="0"/>
    <n v="0"/>
  </r>
  <r>
    <d v="2034-02-06T00:00:00"/>
    <x v="3"/>
    <n v="11.8"/>
    <n v="0"/>
    <n v="0"/>
  </r>
  <r>
    <d v="2034-02-07T00:00:00"/>
    <x v="2"/>
    <n v="11"/>
    <n v="7.5"/>
    <n v="0.82499999999999996"/>
  </r>
  <r>
    <d v="2034-02-08T00:00:00"/>
    <x v="6"/>
    <n v="15.4"/>
    <n v="5.2"/>
    <n v="0.80079999999999996"/>
  </r>
  <r>
    <d v="2034-02-09T00:00:00"/>
    <x v="23"/>
    <n v="25.7"/>
    <n v="5.8"/>
    <n v="1.4905999999999999"/>
  </r>
  <r>
    <d v="2034-02-10T00:00:00"/>
    <x v="9"/>
    <n v="14.8"/>
    <n v="0"/>
    <n v="0"/>
  </r>
  <r>
    <d v="2034-02-11T00:00:00"/>
    <x v="27"/>
    <n v="21.5"/>
    <n v="0.8"/>
    <n v="0"/>
  </r>
  <r>
    <d v="2034-02-12T00:00:00"/>
    <x v="15"/>
    <n v="26.2"/>
    <n v="8.9"/>
    <n v="2.3317999999999999"/>
  </r>
  <r>
    <d v="2034-02-13T00:00:00"/>
    <x v="0"/>
    <n v="20.6"/>
    <n v="0.1"/>
    <n v="0"/>
  </r>
  <r>
    <d v="2034-02-14T00:00:00"/>
    <x v="6"/>
    <n v="14.1"/>
    <n v="20.9"/>
    <n v="2.9468999999999999"/>
  </r>
  <r>
    <d v="2034-02-15T00:00:00"/>
    <x v="20"/>
    <n v="20.8"/>
    <n v="0.7"/>
    <n v="0"/>
  </r>
  <r>
    <d v="2034-02-16T00:00:00"/>
    <x v="14"/>
    <n v="17.600000000000001"/>
    <n v="10.5"/>
    <n v="1.8480000000000001"/>
  </r>
  <r>
    <d v="2034-02-17T00:00:00"/>
    <x v="6"/>
    <n v="16.8"/>
    <n v="38.9"/>
    <n v="6.5351999999999997"/>
  </r>
  <r>
    <d v="2034-02-18T00:00:00"/>
    <x v="0"/>
    <n v="23.1"/>
    <n v="0"/>
    <n v="0"/>
  </r>
  <r>
    <d v="2034-02-19T00:00:00"/>
    <x v="23"/>
    <n v="16.3"/>
    <n v="3.4"/>
    <n v="0.55420000000000003"/>
  </r>
  <r>
    <d v="2034-02-20T00:00:00"/>
    <x v="3"/>
    <n v="15.7"/>
    <n v="10.9"/>
    <n v="1.7113"/>
  </r>
  <r>
    <d v="2034-02-21T00:00:00"/>
    <x v="14"/>
    <n v="29.3"/>
    <n v="2.1"/>
    <n v="0.61529999999999996"/>
  </r>
  <r>
    <d v="2034-02-22T00:00:00"/>
    <x v="18"/>
    <n v="24"/>
    <n v="7.3"/>
    <n v="1.7519999999999998"/>
  </r>
  <r>
    <d v="2034-02-23T00:00:00"/>
    <x v="2"/>
    <n v="27"/>
    <n v="0.6"/>
    <n v="0"/>
  </r>
  <r>
    <d v="2034-02-24T00:00:00"/>
    <x v="6"/>
    <n v="26.3"/>
    <n v="1.2"/>
    <n v="0.31559999999999999"/>
  </r>
  <r>
    <d v="2034-02-25T00:00:00"/>
    <x v="11"/>
    <n v="26.3"/>
    <n v="8.1999999999999993"/>
    <n v="2.1566000000000001"/>
  </r>
  <r>
    <d v="2034-02-26T00:00:00"/>
    <x v="2"/>
    <n v="25.2"/>
    <n v="4.7"/>
    <n v="1.1843999999999999"/>
  </r>
  <r>
    <d v="2034-02-27T00:00:00"/>
    <x v="6"/>
    <n v="22.1"/>
    <n v="0"/>
    <n v="0"/>
  </r>
  <r>
    <d v="2034-02-28T00:00:00"/>
    <x v="6"/>
    <n v="11.9"/>
    <n v="41.6"/>
    <n v="4.9504000000000001"/>
  </r>
  <r>
    <d v="2034-03-01T00:00:00"/>
    <x v="9"/>
    <n v="19.600000000000001"/>
    <n v="0"/>
    <n v="0"/>
  </r>
  <r>
    <d v="2034-03-02T00:00:00"/>
    <x v="23"/>
    <n v="15.9"/>
    <n v="0"/>
    <n v="0"/>
  </r>
  <r>
    <d v="2034-03-03T00:00:00"/>
    <x v="8"/>
    <n v="24.3"/>
    <n v="1.7"/>
    <n v="0.41310000000000002"/>
  </r>
  <r>
    <d v="2034-03-04T00:00:00"/>
    <x v="10"/>
    <n v="20"/>
    <n v="0"/>
    <n v="0"/>
  </r>
  <r>
    <d v="2034-03-05T00:00:00"/>
    <x v="6"/>
    <n v="14.2"/>
    <n v="32.200000000000003"/>
    <n v="4.5724"/>
  </r>
  <r>
    <d v="2034-03-06T00:00:00"/>
    <x v="3"/>
    <n v="20.5"/>
    <n v="18.3"/>
    <n v="3.7515000000000005"/>
  </r>
  <r>
    <d v="2034-03-07T00:00:00"/>
    <x v="6"/>
    <n v="22.4"/>
    <n v="0"/>
    <n v="0"/>
  </r>
  <r>
    <d v="2034-03-08T00:00:00"/>
    <x v="18"/>
    <n v="19.100000000000001"/>
    <n v="0"/>
    <n v="0"/>
  </r>
  <r>
    <d v="2034-03-09T00:00:00"/>
    <x v="11"/>
    <n v="20.399999999999999"/>
    <n v="4.3"/>
    <n v="0.87719999999999987"/>
  </r>
  <r>
    <d v="2034-03-10T00:00:00"/>
    <x v="15"/>
    <n v="29.8"/>
    <n v="0"/>
    <n v="0"/>
  </r>
  <r>
    <d v="2034-03-11T00:00:00"/>
    <x v="29"/>
    <n v="13.7"/>
    <n v="0.7"/>
    <n v="0"/>
  </r>
  <r>
    <d v="2034-03-12T00:00:00"/>
    <x v="4"/>
    <n v="20.2"/>
    <n v="3.7"/>
    <n v="0.74739999999999995"/>
  </r>
  <r>
    <d v="2034-03-13T00:00:00"/>
    <x v="7"/>
    <n v="18.2"/>
    <n v="1.6"/>
    <n v="0.29120000000000001"/>
  </r>
  <r>
    <d v="2034-03-14T00:00:00"/>
    <x v="9"/>
    <n v="14.2"/>
    <n v="2"/>
    <n v="0.28399999999999997"/>
  </r>
  <r>
    <d v="2034-03-15T00:00:00"/>
    <x v="11"/>
    <n v="11.2"/>
    <n v="14.3"/>
    <n v="1.6015999999999999"/>
  </r>
  <r>
    <d v="2034-03-16T00:00:00"/>
    <x v="28"/>
    <n v="13.9"/>
    <n v="0.2"/>
    <n v="0"/>
  </r>
  <r>
    <d v="2034-03-17T00:00:00"/>
    <x v="7"/>
    <n v="22.6"/>
    <n v="15.1"/>
    <n v="3.4125999999999999"/>
  </r>
  <r>
    <d v="2034-03-18T00:00:00"/>
    <x v="11"/>
    <n v="29.8"/>
    <n v="0"/>
    <n v="0"/>
  </r>
  <r>
    <d v="2034-03-19T00:00:00"/>
    <x v="16"/>
    <n v="12.7"/>
    <n v="2.6"/>
    <n v="0.33019999999999994"/>
  </r>
  <r>
    <d v="2034-03-20T00:00:00"/>
    <x v="23"/>
    <n v="14.4"/>
    <n v="0"/>
    <n v="0"/>
  </r>
  <r>
    <d v="2034-03-21T00:00:00"/>
    <x v="29"/>
    <n v="18.399999999999999"/>
    <n v="0.2"/>
    <n v="0"/>
  </r>
  <r>
    <d v="2034-03-22T00:00:00"/>
    <x v="5"/>
    <n v="27.2"/>
    <n v="9.6"/>
    <n v="2.6112000000000002"/>
  </r>
  <r>
    <d v="2034-03-23T00:00:00"/>
    <x v="18"/>
    <n v="12.5"/>
    <n v="8.8000000000000007"/>
    <n v="1.1000000000000001"/>
  </r>
  <r>
    <d v="2034-03-24T00:00:00"/>
    <x v="22"/>
    <n v="22.6"/>
    <n v="3.5"/>
    <n v="0.79100000000000004"/>
  </r>
  <r>
    <d v="2034-03-25T00:00:00"/>
    <x v="3"/>
    <n v="21.8"/>
    <n v="6.5"/>
    <n v="1.4170000000000003"/>
  </r>
  <r>
    <d v="2034-03-26T00:00:00"/>
    <x v="19"/>
    <n v="17.2"/>
    <n v="0"/>
    <n v="0"/>
  </r>
  <r>
    <d v="2034-03-27T00:00:00"/>
    <x v="9"/>
    <n v="13.4"/>
    <n v="14.1"/>
    <n v="1.8894"/>
  </r>
  <r>
    <d v="2034-03-28T00:00:00"/>
    <x v="5"/>
    <n v="13.8"/>
    <n v="9.9"/>
    <n v="1.3662000000000001"/>
  </r>
  <r>
    <d v="2034-03-29T00:00:00"/>
    <x v="20"/>
    <n v="10.6"/>
    <n v="1.2"/>
    <n v="0.12719999999999998"/>
  </r>
  <r>
    <d v="2034-03-30T00:00:00"/>
    <x v="12"/>
    <n v="28.8"/>
    <n v="0.1"/>
    <n v="0"/>
  </r>
  <r>
    <d v="2034-03-31T00:00:00"/>
    <x v="24"/>
    <n v="16.899999999999999"/>
    <n v="0.7"/>
    <n v="0"/>
  </r>
  <r>
    <d v="2034-04-01T00:00:00"/>
    <x v="14"/>
    <n v="11.2"/>
    <n v="4.8"/>
    <n v="0.53759999999999997"/>
  </r>
  <r>
    <d v="2034-04-02T00:00:00"/>
    <x v="6"/>
    <n v="13.9"/>
    <n v="23"/>
    <n v="3.1970000000000001"/>
  </r>
  <r>
    <d v="2034-04-03T00:00:00"/>
    <x v="7"/>
    <n v="25.3"/>
    <n v="21.9"/>
    <n v="5.5406999999999993"/>
  </r>
  <r>
    <d v="2034-04-04T00:00:00"/>
    <x v="6"/>
    <n v="14.7"/>
    <n v="0"/>
    <n v="0"/>
  </r>
  <r>
    <d v="2034-04-05T00:00:00"/>
    <x v="8"/>
    <n v="20.3"/>
    <n v="5.3"/>
    <n v="1.0759000000000001"/>
  </r>
  <r>
    <d v="2034-04-06T00:00:00"/>
    <x v="11"/>
    <n v="25"/>
    <n v="3.8"/>
    <n v="0.95"/>
  </r>
  <r>
    <d v="2034-04-07T00:00:00"/>
    <x v="14"/>
    <n v="19.600000000000001"/>
    <n v="0.6"/>
    <n v="0"/>
  </r>
  <r>
    <d v="2034-04-08T00:00:00"/>
    <x v="8"/>
    <n v="10.8"/>
    <n v="0"/>
    <n v="0"/>
  </r>
  <r>
    <d v="2034-04-09T00:00:00"/>
    <x v="17"/>
    <n v="17.100000000000001"/>
    <n v="0.7"/>
    <n v="0"/>
  </r>
  <r>
    <d v="2034-04-10T00:00:00"/>
    <x v="10"/>
    <n v="15.1"/>
    <n v="0"/>
    <n v="0"/>
  </r>
  <r>
    <d v="2034-04-11T00:00:00"/>
    <x v="14"/>
    <n v="26.4"/>
    <n v="1.9"/>
    <n v="0.50159999999999993"/>
  </r>
  <r>
    <d v="2034-04-12T00:00:00"/>
    <x v="6"/>
    <n v="11.6"/>
    <n v="14.4"/>
    <n v="1.6703999999999999"/>
  </r>
  <r>
    <d v="2034-04-13T00:00:00"/>
    <x v="6"/>
    <n v="16.600000000000001"/>
    <n v="40.6"/>
    <n v="6.7396000000000003"/>
  </r>
  <r>
    <d v="2034-04-14T00:00:00"/>
    <x v="15"/>
    <n v="19.5"/>
    <n v="24.9"/>
    <n v="4.8554999999999993"/>
  </r>
  <r>
    <d v="2034-04-15T00:00:00"/>
    <x v="13"/>
    <n v="24.9"/>
    <n v="6.5"/>
    <n v="1.6185"/>
  </r>
  <r>
    <d v="2034-04-16T00:00:00"/>
    <x v="19"/>
    <n v="19.3"/>
    <n v="0.8"/>
    <n v="0"/>
  </r>
  <r>
    <d v="2034-04-17T00:00:00"/>
    <x v="13"/>
    <n v="26.2"/>
    <n v="2.8"/>
    <n v="0.73360000000000003"/>
  </r>
  <r>
    <d v="2034-04-18T00:00:00"/>
    <x v="3"/>
    <n v="28.1"/>
    <n v="0.6"/>
    <n v="0"/>
  </r>
  <r>
    <d v="2034-04-19T00:00:00"/>
    <x v="10"/>
    <n v="17"/>
    <n v="4.8"/>
    <n v="0.81599999999999995"/>
  </r>
  <r>
    <d v="2034-04-20T00:00:00"/>
    <x v="13"/>
    <n v="28.5"/>
    <n v="7.1"/>
    <n v="2.0234999999999999"/>
  </r>
  <r>
    <d v="2034-04-21T00:00:00"/>
    <x v="1"/>
    <n v="14.2"/>
    <n v="2.1"/>
    <n v="0.29820000000000002"/>
  </r>
  <r>
    <d v="2034-04-22T00:00:00"/>
    <x v="3"/>
    <n v="24.9"/>
    <n v="8.3000000000000007"/>
    <n v="2.0667"/>
  </r>
  <r>
    <d v="2034-04-23T00:00:00"/>
    <x v="13"/>
    <n v="19.100000000000001"/>
    <n v="3.4"/>
    <n v="0.64939999999999998"/>
  </r>
  <r>
    <d v="2034-04-24T00:00:00"/>
    <x v="6"/>
    <n v="14.9"/>
    <n v="23.1"/>
    <n v="3.4419000000000004"/>
  </r>
  <r>
    <d v="2034-04-25T00:00:00"/>
    <x v="23"/>
    <n v="16.899999999999999"/>
    <n v="6.8"/>
    <n v="1.1491999999999998"/>
  </r>
  <r>
    <d v="2034-04-26T00:00:00"/>
    <x v="8"/>
    <n v="15.9"/>
    <n v="6.8"/>
    <n v="1.0811999999999999"/>
  </r>
  <r>
    <d v="2034-04-27T00:00:00"/>
    <x v="25"/>
    <n v="26.3"/>
    <n v="0.7"/>
    <n v="0"/>
  </r>
  <r>
    <d v="2034-04-28T00:00:00"/>
    <x v="6"/>
    <n v="12.2"/>
    <n v="0"/>
    <n v="0"/>
  </r>
  <r>
    <d v="2034-04-29T00:00:00"/>
    <x v="3"/>
    <n v="27.5"/>
    <n v="0"/>
    <n v="0"/>
  </r>
  <r>
    <d v="2034-04-30T00:00:00"/>
    <x v="17"/>
    <n v="23"/>
    <n v="0"/>
    <n v="0"/>
  </r>
  <r>
    <d v="2034-05-01T00:00:00"/>
    <x v="15"/>
    <n v="17.899999999999999"/>
    <n v="36.799999999999997"/>
    <n v="6.5871999999999993"/>
  </r>
  <r>
    <d v="2034-05-02T00:00:00"/>
    <x v="15"/>
    <n v="27.3"/>
    <n v="0"/>
    <n v="0"/>
  </r>
  <r>
    <d v="2034-05-03T00:00:00"/>
    <x v="0"/>
    <n v="19.3"/>
    <n v="0.4"/>
    <n v="0"/>
  </r>
  <r>
    <d v="2034-05-04T00:00:00"/>
    <x v="10"/>
    <n v="25.5"/>
    <n v="0"/>
    <n v="0"/>
  </r>
  <r>
    <d v="2034-05-05T00:00:00"/>
    <x v="2"/>
    <n v="13.7"/>
    <n v="11.7"/>
    <n v="1.6029"/>
  </r>
  <r>
    <d v="2034-05-06T00:00:00"/>
    <x v="15"/>
    <n v="18.399999999999999"/>
    <n v="0"/>
    <n v="0"/>
  </r>
  <r>
    <d v="2034-05-07T00:00:00"/>
    <x v="14"/>
    <n v="11.1"/>
    <n v="0"/>
    <n v="0"/>
  </r>
  <r>
    <d v="2034-05-08T00:00:00"/>
    <x v="8"/>
    <n v="28"/>
    <n v="0"/>
    <n v="0"/>
  </r>
  <r>
    <d v="2034-05-09T00:00:00"/>
    <x v="2"/>
    <n v="16.2"/>
    <n v="13.7"/>
    <n v="2.2193999999999998"/>
  </r>
  <r>
    <d v="2034-05-10T00:00:00"/>
    <x v="15"/>
    <n v="12.1"/>
    <n v="37.200000000000003"/>
    <n v="4.5011999999999999"/>
  </r>
  <r>
    <d v="2034-05-11T00:00:00"/>
    <x v="16"/>
    <n v="21.4"/>
    <n v="3.1"/>
    <n v="0.66339999999999999"/>
  </r>
  <r>
    <d v="2034-05-12T00:00:00"/>
    <x v="6"/>
    <n v="11.2"/>
    <n v="0"/>
    <n v="0"/>
  </r>
  <r>
    <d v="2034-05-13T00:00:00"/>
    <x v="24"/>
    <n v="18.399999999999999"/>
    <n v="0.2"/>
    <n v="0"/>
  </r>
  <r>
    <d v="2034-05-14T00:00:00"/>
    <x v="8"/>
    <n v="13.7"/>
    <n v="0"/>
    <n v="0"/>
  </r>
  <r>
    <d v="2034-05-15T00:00:00"/>
    <x v="15"/>
    <n v="10.4"/>
    <n v="15.6"/>
    <n v="1.6224000000000001"/>
  </r>
  <r>
    <d v="2034-05-16T00:00:00"/>
    <x v="27"/>
    <n v="21.8"/>
    <n v="0"/>
    <n v="0"/>
  </r>
  <r>
    <d v="2034-05-17T00:00:00"/>
    <x v="3"/>
    <n v="11"/>
    <n v="0.4"/>
    <n v="0"/>
  </r>
  <r>
    <d v="2034-05-18T00:00:00"/>
    <x v="6"/>
    <n v="19"/>
    <n v="21.9"/>
    <n v="4.1609999999999996"/>
  </r>
  <r>
    <d v="2034-05-19T00:00:00"/>
    <x v="6"/>
    <n v="12.5"/>
    <n v="0"/>
    <n v="0"/>
  </r>
  <r>
    <d v="2034-05-20T00:00:00"/>
    <x v="11"/>
    <n v="13.6"/>
    <n v="12.6"/>
    <n v="1.7135999999999998"/>
  </r>
  <r>
    <d v="2034-05-21T00:00:00"/>
    <x v="6"/>
    <n v="20.2"/>
    <n v="17.899999999999999"/>
    <n v="3.6157999999999997"/>
  </r>
  <r>
    <d v="2034-05-22T00:00:00"/>
    <x v="6"/>
    <n v="28.7"/>
    <n v="0"/>
    <n v="0"/>
  </r>
  <r>
    <d v="2034-05-23T00:00:00"/>
    <x v="16"/>
    <n v="13.4"/>
    <n v="4.8"/>
    <n v="0.64319999999999988"/>
  </r>
  <r>
    <d v="2034-05-24T00:00:00"/>
    <x v="11"/>
    <n v="12"/>
    <n v="8.9"/>
    <n v="1.0680000000000001"/>
  </r>
  <r>
    <d v="2034-05-25T00:00:00"/>
    <x v="7"/>
    <n v="28.9"/>
    <n v="13.9"/>
    <n v="4.0171000000000001"/>
  </r>
  <r>
    <d v="2034-05-26T00:00:00"/>
    <x v="18"/>
    <n v="25.2"/>
    <n v="0"/>
    <n v="0"/>
  </r>
  <r>
    <d v="2034-05-27T00:00:00"/>
    <x v="7"/>
    <n v="18.600000000000001"/>
    <n v="1.8"/>
    <n v="0.33480000000000004"/>
  </r>
  <r>
    <d v="2034-05-28T00:00:00"/>
    <x v="22"/>
    <n v="20"/>
    <n v="2.4"/>
    <n v="0.48"/>
  </r>
  <r>
    <d v="2034-05-29T00:00:00"/>
    <x v="5"/>
    <n v="14.3"/>
    <n v="3.9"/>
    <n v="0.55770000000000008"/>
  </r>
  <r>
    <d v="2034-05-30T00:00:00"/>
    <x v="6"/>
    <n v="28.8"/>
    <n v="25.1"/>
    <n v="7.2288000000000014"/>
  </r>
  <r>
    <d v="2034-05-31T00:00:00"/>
    <x v="15"/>
    <n v="26.8"/>
    <n v="10.8"/>
    <n v="2.8944000000000005"/>
  </r>
  <r>
    <d v="2034-06-01T00:00:00"/>
    <x v="15"/>
    <n v="20.399999999999999"/>
    <n v="0"/>
    <n v="0"/>
  </r>
  <r>
    <d v="2034-06-02T00:00:00"/>
    <x v="18"/>
    <n v="14.1"/>
    <n v="4.5"/>
    <n v="0.63449999999999995"/>
  </r>
  <r>
    <d v="2034-06-03T00:00:00"/>
    <x v="10"/>
    <n v="28.1"/>
    <n v="6.3"/>
    <n v="1.7703"/>
  </r>
  <r>
    <d v="2034-06-04T00:00:00"/>
    <x v="9"/>
    <n v="15.7"/>
    <n v="11.5"/>
    <n v="1.8054999999999999"/>
  </r>
  <r>
    <d v="2034-06-05T00:00:00"/>
    <x v="25"/>
    <n v="27.7"/>
    <n v="0.6"/>
    <n v="0"/>
  </r>
  <r>
    <d v="2034-06-06T00:00:00"/>
    <x v="3"/>
    <n v="22.9"/>
    <n v="22.6"/>
    <n v="5.1753999999999998"/>
  </r>
  <r>
    <d v="2034-06-07T00:00:00"/>
    <x v="9"/>
    <n v="10.3"/>
    <n v="0"/>
    <n v="0"/>
  </r>
  <r>
    <d v="2034-06-08T00:00:00"/>
    <x v="19"/>
    <n v="28.4"/>
    <n v="4"/>
    <n v="1.1359999999999999"/>
  </r>
  <r>
    <d v="2034-06-09T00:00:00"/>
    <x v="14"/>
    <n v="18.7"/>
    <n v="15"/>
    <n v="2.8050000000000002"/>
  </r>
  <r>
    <d v="2034-06-10T00:00:00"/>
    <x v="15"/>
    <n v="13.7"/>
    <n v="9.4"/>
    <n v="1.2878000000000001"/>
  </r>
  <r>
    <d v="2034-06-11T00:00:00"/>
    <x v="10"/>
    <n v="16.3"/>
    <n v="3.6"/>
    <n v="0.5868000000000001"/>
  </r>
  <r>
    <d v="2034-06-12T00:00:00"/>
    <x v="23"/>
    <n v="14"/>
    <n v="0"/>
    <n v="0"/>
  </r>
  <r>
    <d v="2034-06-13T00:00:00"/>
    <x v="11"/>
    <n v="26"/>
    <n v="5.5"/>
    <n v="1.43"/>
  </r>
  <r>
    <d v="2034-06-14T00:00:00"/>
    <x v="15"/>
    <n v="27"/>
    <n v="38.6"/>
    <n v="10.422000000000001"/>
  </r>
  <r>
    <d v="2034-06-15T00:00:00"/>
    <x v="6"/>
    <n v="26.6"/>
    <n v="49.7"/>
    <n v="13.220200000000002"/>
  </r>
  <r>
    <d v="2034-06-16T00:00:00"/>
    <x v="15"/>
    <n v="20.9"/>
    <n v="30"/>
    <n v="6.27"/>
  </r>
  <r>
    <d v="2034-06-17T00:00:00"/>
    <x v="18"/>
    <n v="28.5"/>
    <n v="5.3"/>
    <n v="1.5104999999999997"/>
  </r>
  <r>
    <d v="2034-06-18T00:00:00"/>
    <x v="1"/>
    <n v="10.4"/>
    <n v="0"/>
    <n v="0"/>
  </r>
  <r>
    <d v="2034-06-19T00:00:00"/>
    <x v="14"/>
    <n v="25.9"/>
    <n v="9.1999999999999993"/>
    <n v="2.3827999999999996"/>
  </r>
  <r>
    <d v="2034-06-20T00:00:00"/>
    <x v="7"/>
    <n v="24.6"/>
    <n v="11"/>
    <n v="2.7060000000000004"/>
  </r>
  <r>
    <d v="2034-06-21T00:00:00"/>
    <x v="12"/>
    <n v="22"/>
    <n v="0"/>
    <n v="0"/>
  </r>
  <r>
    <d v="2034-06-22T00:00:00"/>
    <x v="4"/>
    <n v="16.8"/>
    <n v="2.4"/>
    <n v="0.4032"/>
  </r>
  <r>
    <d v="2034-06-23T00:00:00"/>
    <x v="6"/>
    <n v="21.7"/>
    <n v="44.1"/>
    <n v="9.569700000000001"/>
  </r>
  <r>
    <d v="2034-06-24T00:00:00"/>
    <x v="8"/>
    <n v="28.9"/>
    <n v="0"/>
    <n v="0"/>
  </r>
  <r>
    <d v="2034-06-25T00:00:00"/>
    <x v="9"/>
    <n v="26.6"/>
    <n v="0.4"/>
    <n v="0"/>
  </r>
  <r>
    <d v="2034-06-26T00:00:00"/>
    <x v="11"/>
    <n v="28"/>
    <n v="16.7"/>
    <n v="4.6759999999999993"/>
  </r>
  <r>
    <d v="2034-06-27T00:00:00"/>
    <x v="13"/>
    <n v="27.5"/>
    <n v="0"/>
    <n v="0"/>
  </r>
  <r>
    <d v="2034-06-28T00:00:00"/>
    <x v="18"/>
    <n v="18.2"/>
    <n v="0"/>
    <n v="0"/>
  </r>
  <r>
    <d v="2034-06-29T00:00:00"/>
    <x v="14"/>
    <n v="25.1"/>
    <n v="0"/>
    <n v="0"/>
  </r>
  <r>
    <d v="2034-06-30T00:00:00"/>
    <x v="0"/>
    <n v="10.1"/>
    <n v="0.2"/>
    <n v="0"/>
  </r>
  <r>
    <d v="2034-07-01T00:00:00"/>
    <x v="11"/>
    <n v="13.1"/>
    <n v="7.9"/>
    <n v="1.0348999999999999"/>
  </r>
  <r>
    <d v="2034-07-02T00:00:00"/>
    <x v="5"/>
    <n v="22.9"/>
    <n v="0"/>
    <n v="0"/>
  </r>
  <r>
    <d v="2034-07-03T00:00:00"/>
    <x v="5"/>
    <n v="26.3"/>
    <n v="4"/>
    <n v="1.052"/>
  </r>
  <r>
    <d v="2034-07-04T00:00:00"/>
    <x v="15"/>
    <n v="11.3"/>
    <n v="19.8"/>
    <n v="2.2374000000000001"/>
  </r>
  <r>
    <d v="2034-07-05T00:00:00"/>
    <x v="6"/>
    <n v="30"/>
    <n v="0"/>
    <n v="0"/>
  </r>
  <r>
    <d v="2034-07-06T00:00:00"/>
    <x v="18"/>
    <n v="20.399999999999999"/>
    <n v="0"/>
    <n v="0"/>
  </r>
  <r>
    <d v="2034-07-07T00:00:00"/>
    <x v="3"/>
    <n v="24.5"/>
    <n v="8.6999999999999993"/>
    <n v="2.1315"/>
  </r>
  <r>
    <d v="2034-07-08T00:00:00"/>
    <x v="7"/>
    <n v="17"/>
    <n v="2.7"/>
    <n v="0.45900000000000007"/>
  </r>
  <r>
    <d v="2034-07-09T00:00:00"/>
    <x v="15"/>
    <n v="21"/>
    <n v="5.6"/>
    <n v="1.1759999999999999"/>
  </r>
  <r>
    <d v="2034-07-10T00:00:00"/>
    <x v="15"/>
    <n v="20.7"/>
    <n v="0"/>
    <n v="0"/>
  </r>
  <r>
    <d v="2034-07-11T00:00:00"/>
    <x v="8"/>
    <n v="26.7"/>
    <n v="9.8000000000000007"/>
    <n v="2.6166"/>
  </r>
  <r>
    <d v="2034-07-12T00:00:00"/>
    <x v="26"/>
    <n v="10.199999999999999"/>
    <n v="0.1"/>
    <n v="0"/>
  </r>
  <r>
    <d v="2034-07-13T00:00:00"/>
    <x v="6"/>
    <n v="15.7"/>
    <n v="5.8"/>
    <n v="0.91059999999999985"/>
  </r>
  <r>
    <d v="2034-07-14T00:00:00"/>
    <x v="29"/>
    <n v="15.9"/>
    <n v="2.2000000000000002"/>
    <n v="0.34980000000000006"/>
  </r>
  <r>
    <d v="2034-07-15T00:00:00"/>
    <x v="15"/>
    <n v="21"/>
    <n v="13.1"/>
    <n v="2.7509999999999994"/>
  </r>
  <r>
    <d v="2034-07-16T00:00:00"/>
    <x v="5"/>
    <n v="10.9"/>
    <n v="8.1"/>
    <n v="0.88289999999999991"/>
  </r>
  <r>
    <d v="2034-07-17T00:00:00"/>
    <x v="18"/>
    <n v="20.9"/>
    <n v="5.9"/>
    <n v="1.2331000000000001"/>
  </r>
  <r>
    <d v="2034-07-18T00:00:00"/>
    <x v="15"/>
    <n v="21.8"/>
    <n v="15.9"/>
    <n v="3.4662000000000002"/>
  </r>
  <r>
    <d v="2034-07-19T00:00:00"/>
    <x v="11"/>
    <n v="11.9"/>
    <n v="18.100000000000001"/>
    <n v="2.1539000000000001"/>
  </r>
  <r>
    <d v="2034-07-20T00:00:00"/>
    <x v="9"/>
    <n v="12.9"/>
    <n v="0"/>
    <n v="0"/>
  </r>
  <r>
    <d v="2034-07-21T00:00:00"/>
    <x v="15"/>
    <n v="14.9"/>
    <n v="4.8"/>
    <n v="0.71519999999999995"/>
  </r>
  <r>
    <d v="2034-07-22T00:00:00"/>
    <x v="6"/>
    <n v="29.5"/>
    <n v="0"/>
    <n v="0"/>
  </r>
  <r>
    <d v="2034-07-23T00:00:00"/>
    <x v="15"/>
    <n v="18.100000000000001"/>
    <n v="0"/>
    <n v="0"/>
  </r>
  <r>
    <d v="2034-07-24T00:00:00"/>
    <x v="2"/>
    <n v="10.8"/>
    <n v="11.8"/>
    <n v="1.2744000000000002"/>
  </r>
  <r>
    <d v="2034-07-25T00:00:00"/>
    <x v="5"/>
    <n v="13.5"/>
    <n v="5.4"/>
    <n v="0.72900000000000009"/>
  </r>
  <r>
    <d v="2034-07-26T00:00:00"/>
    <x v="18"/>
    <n v="15.9"/>
    <n v="0"/>
    <n v="0"/>
  </r>
  <r>
    <d v="2034-07-27T00:00:00"/>
    <x v="22"/>
    <n v="23.1"/>
    <n v="0"/>
    <n v="0"/>
  </r>
  <r>
    <d v="2034-07-28T00:00:00"/>
    <x v="12"/>
    <n v="26.7"/>
    <n v="0"/>
    <n v="0"/>
  </r>
  <r>
    <d v="2034-07-29T00:00:00"/>
    <x v="6"/>
    <n v="26"/>
    <n v="29.1"/>
    <n v="7.5659999999999998"/>
  </r>
  <r>
    <d v="2034-07-30T00:00:00"/>
    <x v="14"/>
    <n v="23.6"/>
    <n v="9.1"/>
    <n v="2.1475999999999997"/>
  </r>
  <r>
    <d v="2034-07-31T00:00:00"/>
    <x v="22"/>
    <n v="29.8"/>
    <n v="5.7"/>
    <n v="1.6986000000000001"/>
  </r>
  <r>
    <d v="2034-08-01T00:00:00"/>
    <x v="15"/>
    <n v="18.600000000000001"/>
    <n v="0"/>
    <n v="0"/>
  </r>
  <r>
    <d v="2034-08-02T00:00:00"/>
    <x v="11"/>
    <n v="17.600000000000001"/>
    <n v="2.4"/>
    <n v="0.4224"/>
  </r>
  <r>
    <d v="2034-08-03T00:00:00"/>
    <x v="11"/>
    <n v="12.6"/>
    <n v="9.1999999999999993"/>
    <n v="1.1591999999999998"/>
  </r>
  <r>
    <d v="2034-08-04T00:00:00"/>
    <x v="13"/>
    <n v="25.4"/>
    <n v="5.4"/>
    <n v="1.3715999999999999"/>
  </r>
  <r>
    <d v="2034-08-05T00:00:00"/>
    <x v="16"/>
    <n v="12.8"/>
    <n v="3.6"/>
    <n v="0.46080000000000004"/>
  </r>
  <r>
    <d v="2034-08-06T00:00:00"/>
    <x v="7"/>
    <n v="18.7"/>
    <n v="0"/>
    <n v="0"/>
  </r>
  <r>
    <d v="2034-08-07T00:00:00"/>
    <x v="29"/>
    <n v="22.3"/>
    <n v="0"/>
    <n v="0"/>
  </r>
  <r>
    <d v="2034-08-08T00:00:00"/>
    <x v="14"/>
    <n v="26.4"/>
    <n v="0.5"/>
    <n v="0"/>
  </r>
  <r>
    <d v="2034-08-09T00:00:00"/>
    <x v="3"/>
    <n v="28.5"/>
    <n v="3.2"/>
    <n v="0.91200000000000003"/>
  </r>
  <r>
    <d v="2034-08-10T00:00:00"/>
    <x v="13"/>
    <n v="16.8"/>
    <n v="5.5"/>
    <n v="0.92400000000000004"/>
  </r>
  <r>
    <d v="2034-08-11T00:00:00"/>
    <x v="23"/>
    <n v="24.7"/>
    <n v="0.8"/>
    <n v="0"/>
  </r>
  <r>
    <d v="2034-08-12T00:00:00"/>
    <x v="5"/>
    <n v="29.6"/>
    <n v="0"/>
    <n v="0"/>
  </r>
  <r>
    <d v="2034-08-13T00:00:00"/>
    <x v="6"/>
    <n v="23.3"/>
    <n v="29.4"/>
    <n v="6.8502000000000001"/>
  </r>
  <r>
    <d v="2034-08-14T00:00:00"/>
    <x v="5"/>
    <n v="28.8"/>
    <n v="11.5"/>
    <n v="3.3119999999999998"/>
  </r>
  <r>
    <d v="2034-08-15T00:00:00"/>
    <x v="5"/>
    <n v="26.5"/>
    <n v="0"/>
    <n v="0"/>
  </r>
  <r>
    <d v="2034-08-16T00:00:00"/>
    <x v="19"/>
    <n v="17.100000000000001"/>
    <n v="3.6"/>
    <n v="0.61560000000000015"/>
  </r>
  <r>
    <d v="2034-08-17T00:00:00"/>
    <x v="5"/>
    <n v="17.8"/>
    <n v="7"/>
    <n v="1.246"/>
  </r>
  <r>
    <d v="2034-08-18T00:00:00"/>
    <x v="23"/>
    <n v="24.7"/>
    <n v="1.5"/>
    <n v="0.3705"/>
  </r>
  <r>
    <d v="2034-08-19T00:00:00"/>
    <x v="15"/>
    <n v="25.1"/>
    <n v="0"/>
    <n v="0"/>
  </r>
  <r>
    <d v="2034-08-20T00:00:00"/>
    <x v="28"/>
    <n v="27"/>
    <n v="0"/>
    <n v="0"/>
  </r>
  <r>
    <d v="2034-08-21T00:00:00"/>
    <x v="14"/>
    <n v="18.2"/>
    <n v="13.9"/>
    <n v="2.5297999999999998"/>
  </r>
  <r>
    <d v="2034-08-22T00:00:00"/>
    <x v="11"/>
    <n v="10.8"/>
    <n v="7.9"/>
    <n v="0.85320000000000007"/>
  </r>
  <r>
    <d v="2034-08-23T00:00:00"/>
    <x v="3"/>
    <n v="27.9"/>
    <n v="9.9"/>
    <n v="2.7620999999999998"/>
  </r>
  <r>
    <d v="2034-08-24T00:00:00"/>
    <x v="20"/>
    <n v="14.1"/>
    <n v="0.7"/>
    <n v="0"/>
  </r>
  <r>
    <d v="2034-08-25T00:00:00"/>
    <x v="14"/>
    <n v="17.5"/>
    <n v="3.2"/>
    <n v="0.56000000000000005"/>
  </r>
  <r>
    <d v="2034-08-26T00:00:00"/>
    <x v="6"/>
    <n v="14.3"/>
    <n v="0"/>
    <n v="0"/>
  </r>
  <r>
    <d v="2034-08-27T00:00:00"/>
    <x v="16"/>
    <n v="15.4"/>
    <n v="0"/>
    <n v="0"/>
  </r>
  <r>
    <d v="2034-08-28T00:00:00"/>
    <x v="15"/>
    <n v="17.5"/>
    <n v="0"/>
    <n v="0"/>
  </r>
  <r>
    <d v="2034-08-29T00:00:00"/>
    <x v="9"/>
    <n v="11.6"/>
    <n v="4.0999999999999996"/>
    <n v="0.47559999999999997"/>
  </r>
  <r>
    <d v="2034-08-30T00:00:00"/>
    <x v="5"/>
    <n v="27.9"/>
    <n v="10.3"/>
    <n v="2.8736999999999999"/>
  </r>
  <r>
    <d v="2034-08-31T00:00:00"/>
    <x v="15"/>
    <n v="11.8"/>
    <n v="20.2"/>
    <n v="2.3835999999999999"/>
  </r>
  <r>
    <d v="2034-09-01T00:00:00"/>
    <x v="3"/>
    <n v="12"/>
    <n v="8.5"/>
    <n v="1.02"/>
  </r>
  <r>
    <d v="2034-09-02T00:00:00"/>
    <x v="6"/>
    <n v="11.8"/>
    <n v="7.8"/>
    <n v="0.92040000000000011"/>
  </r>
  <r>
    <d v="2034-09-03T00:00:00"/>
    <x v="13"/>
    <n v="22.2"/>
    <n v="0"/>
    <n v="0"/>
  </r>
  <r>
    <d v="2034-09-04T00:00:00"/>
    <x v="3"/>
    <n v="13.3"/>
    <n v="3.8"/>
    <n v="0.50539999999999996"/>
  </r>
  <r>
    <d v="2034-09-05T00:00:00"/>
    <x v="9"/>
    <n v="24.6"/>
    <n v="2.1"/>
    <n v="0.51660000000000006"/>
  </r>
  <r>
    <d v="2034-09-06T00:00:00"/>
    <x v="15"/>
    <n v="15.7"/>
    <n v="0"/>
    <n v="0"/>
  </r>
  <r>
    <d v="2034-09-07T00:00:00"/>
    <x v="14"/>
    <n v="26.7"/>
    <n v="16.2"/>
    <n v="4.3253999999999992"/>
  </r>
  <r>
    <d v="2034-09-08T00:00:00"/>
    <x v="11"/>
    <n v="28.1"/>
    <n v="1.1000000000000001"/>
    <n v="0.30910000000000004"/>
  </r>
  <r>
    <d v="2034-09-09T00:00:00"/>
    <x v="6"/>
    <n v="29.1"/>
    <n v="3"/>
    <n v="0.87300000000000011"/>
  </r>
  <r>
    <d v="2034-09-10T00:00:00"/>
    <x v="3"/>
    <n v="26.2"/>
    <n v="0"/>
    <n v="0"/>
  </r>
  <r>
    <d v="2034-09-11T00:00:00"/>
    <x v="27"/>
    <n v="23.3"/>
    <n v="0"/>
    <n v="0"/>
  </r>
  <r>
    <d v="2034-09-12T00:00:00"/>
    <x v="15"/>
    <n v="21.7"/>
    <n v="10.4"/>
    <n v="2.2568000000000001"/>
  </r>
  <r>
    <d v="2034-09-13T00:00:00"/>
    <x v="14"/>
    <n v="18.8"/>
    <n v="15.6"/>
    <n v="2.9328000000000003"/>
  </r>
  <r>
    <d v="2034-09-14T00:00:00"/>
    <x v="11"/>
    <n v="25.4"/>
    <n v="7.4"/>
    <n v="1.8796000000000002"/>
  </r>
  <r>
    <d v="2034-09-15T00:00:00"/>
    <x v="7"/>
    <n v="21.1"/>
    <n v="1"/>
    <n v="0.21100000000000002"/>
  </r>
  <r>
    <d v="2034-09-16T00:00:00"/>
    <x v="7"/>
    <n v="25.1"/>
    <n v="20"/>
    <n v="5.0199999999999996"/>
  </r>
  <r>
    <d v="2034-09-17T00:00:00"/>
    <x v="3"/>
    <n v="17.600000000000001"/>
    <n v="0"/>
    <n v="0"/>
  </r>
  <r>
    <d v="2034-09-18T00:00:00"/>
    <x v="11"/>
    <n v="21.2"/>
    <n v="3.4"/>
    <n v="0.7208"/>
  </r>
  <r>
    <d v="2034-09-19T00:00:00"/>
    <x v="3"/>
    <n v="26.4"/>
    <n v="14.7"/>
    <n v="3.8807999999999998"/>
  </r>
  <r>
    <d v="2034-09-20T00:00:00"/>
    <x v="1"/>
    <n v="13.5"/>
    <n v="0"/>
    <n v="0"/>
  </r>
  <r>
    <d v="2034-09-21T00:00:00"/>
    <x v="18"/>
    <n v="25.1"/>
    <n v="0"/>
    <n v="0"/>
  </r>
  <r>
    <d v="2034-09-22T00:00:00"/>
    <x v="7"/>
    <n v="10.4"/>
    <n v="11"/>
    <n v="1.1440000000000001"/>
  </r>
  <r>
    <d v="2034-09-23T00:00:00"/>
    <x v="11"/>
    <n v="24.3"/>
    <n v="4.9000000000000004"/>
    <n v="1.1907000000000001"/>
  </r>
  <r>
    <d v="2034-09-24T00:00:00"/>
    <x v="8"/>
    <n v="18.7"/>
    <n v="6.2"/>
    <n v="1.1594"/>
  </r>
  <r>
    <d v="2034-09-25T00:00:00"/>
    <x v="29"/>
    <n v="14.1"/>
    <n v="0"/>
    <n v="0"/>
  </r>
  <r>
    <d v="2034-09-26T00:00:00"/>
    <x v="19"/>
    <n v="24.2"/>
    <n v="0"/>
    <n v="0"/>
  </r>
  <r>
    <d v="2034-09-27T00:00:00"/>
    <x v="18"/>
    <n v="26.4"/>
    <n v="0"/>
    <n v="0"/>
  </r>
  <r>
    <d v="2034-09-28T00:00:00"/>
    <x v="6"/>
    <n v="24.5"/>
    <n v="4"/>
    <n v="0.98"/>
  </r>
  <r>
    <d v="2034-09-29T00:00:00"/>
    <x v="10"/>
    <n v="25.5"/>
    <n v="2.9"/>
    <n v="0.73950000000000005"/>
  </r>
  <r>
    <d v="2034-09-30T00:00:00"/>
    <x v="7"/>
    <n v="11.8"/>
    <n v="13.5"/>
    <n v="1.5930000000000002"/>
  </r>
  <r>
    <d v="2034-10-01T00:00:00"/>
    <x v="18"/>
    <n v="14.3"/>
    <n v="5.4"/>
    <n v="0.77220000000000011"/>
  </r>
  <r>
    <d v="2034-10-02T00:00:00"/>
    <x v="5"/>
    <n v="12.4"/>
    <n v="1.2"/>
    <n v="0.14879999999999999"/>
  </r>
  <r>
    <d v="2034-10-03T00:00:00"/>
    <x v="15"/>
    <n v="29.3"/>
    <n v="19.8"/>
    <n v="5.8014000000000001"/>
  </r>
  <r>
    <d v="2034-10-04T00:00:00"/>
    <x v="3"/>
    <n v="29.4"/>
    <n v="0"/>
    <n v="0"/>
  </r>
  <r>
    <d v="2034-10-05T00:00:00"/>
    <x v="9"/>
    <n v="29.8"/>
    <n v="16"/>
    <n v="4.7679999999999998"/>
  </r>
  <r>
    <d v="2034-10-06T00:00:00"/>
    <x v="15"/>
    <n v="29.9"/>
    <n v="13.3"/>
    <n v="3.9767000000000001"/>
  </r>
  <r>
    <d v="2034-10-07T00:00:00"/>
    <x v="5"/>
    <n v="11.6"/>
    <n v="9.6999999999999993"/>
    <n v="1.1251999999999998"/>
  </r>
  <r>
    <d v="2034-10-08T00:00:00"/>
    <x v="7"/>
    <n v="10.199999999999999"/>
    <n v="0"/>
    <n v="0"/>
  </r>
  <r>
    <d v="2034-10-09T00:00:00"/>
    <x v="5"/>
    <n v="10.7"/>
    <n v="11.9"/>
    <n v="1.2732999999999999"/>
  </r>
  <r>
    <d v="2034-10-10T00:00:00"/>
    <x v="26"/>
    <n v="11.7"/>
    <n v="0.1"/>
    <n v="0"/>
  </r>
  <r>
    <d v="2034-10-11T00:00:00"/>
    <x v="14"/>
    <n v="29.4"/>
    <n v="9.6"/>
    <n v="2.8223999999999996"/>
  </r>
  <r>
    <d v="2034-10-12T00:00:00"/>
    <x v="16"/>
    <n v="29.1"/>
    <n v="2.6"/>
    <n v="0.75660000000000016"/>
  </r>
  <r>
    <d v="2034-10-13T00:00:00"/>
    <x v="6"/>
    <n v="20.5"/>
    <n v="30.1"/>
    <n v="6.1705000000000005"/>
  </r>
  <r>
    <d v="2034-10-14T00:00:00"/>
    <x v="3"/>
    <n v="26.2"/>
    <n v="19"/>
    <n v="4.9779999999999998"/>
  </r>
  <r>
    <d v="2034-10-15T00:00:00"/>
    <x v="11"/>
    <n v="22.6"/>
    <n v="0"/>
    <n v="0"/>
  </r>
  <r>
    <d v="2034-10-16T00:00:00"/>
    <x v="10"/>
    <n v="17.7"/>
    <n v="0"/>
    <n v="0"/>
  </r>
  <r>
    <d v="2034-10-17T00:00:00"/>
    <x v="15"/>
    <n v="21.2"/>
    <n v="0"/>
    <n v="0"/>
  </r>
  <r>
    <d v="2034-10-18T00:00:00"/>
    <x v="29"/>
    <n v="10.3"/>
    <n v="0.2"/>
    <n v="0"/>
  </r>
  <r>
    <d v="2034-10-19T00:00:00"/>
    <x v="21"/>
    <n v="10.1"/>
    <n v="2.1"/>
    <n v="0.21210000000000001"/>
  </r>
  <r>
    <d v="2034-10-20T00:00:00"/>
    <x v="4"/>
    <n v="23.4"/>
    <n v="3.9"/>
    <n v="0.91259999999999986"/>
  </r>
  <r>
    <d v="2034-10-21T00:00:00"/>
    <x v="27"/>
    <n v="11.7"/>
    <n v="0"/>
    <n v="0"/>
  </r>
  <r>
    <d v="2034-10-22T00:00:00"/>
    <x v="1"/>
    <n v="26"/>
    <n v="2.1"/>
    <n v="0.54600000000000004"/>
  </r>
  <r>
    <d v="2034-10-23T00:00:00"/>
    <x v="26"/>
    <n v="29.5"/>
    <n v="0.4"/>
    <n v="0"/>
  </r>
  <r>
    <d v="2034-10-24T00:00:00"/>
    <x v="10"/>
    <n v="13"/>
    <n v="4.4000000000000004"/>
    <n v="0.57200000000000006"/>
  </r>
  <r>
    <d v="2034-10-25T00:00:00"/>
    <x v="5"/>
    <n v="17.100000000000001"/>
    <n v="3.8"/>
    <n v="0.64980000000000004"/>
  </r>
  <r>
    <d v="2034-10-26T00:00:00"/>
    <x v="23"/>
    <n v="12.6"/>
    <n v="0.2"/>
    <n v="0"/>
  </r>
  <r>
    <d v="2034-10-27T00:00:00"/>
    <x v="6"/>
    <n v="23.6"/>
    <n v="24.1"/>
    <n v="5.6876000000000007"/>
  </r>
  <r>
    <d v="2034-10-28T00:00:00"/>
    <x v="7"/>
    <n v="14.9"/>
    <n v="14.2"/>
    <n v="2.1157999999999997"/>
  </r>
  <r>
    <d v="2034-10-29T00:00:00"/>
    <x v="8"/>
    <n v="17"/>
    <n v="0"/>
    <n v="0"/>
  </r>
  <r>
    <d v="2034-10-30T00:00:00"/>
    <x v="7"/>
    <n v="12.8"/>
    <n v="0"/>
    <n v="0"/>
  </r>
  <r>
    <d v="2034-10-31T00:00:00"/>
    <x v="9"/>
    <n v="17.5"/>
    <n v="0"/>
    <n v="0"/>
  </r>
  <r>
    <d v="2034-11-01T00:00:00"/>
    <x v="6"/>
    <n v="13.9"/>
    <n v="15.3"/>
    <n v="2.1267"/>
  </r>
  <r>
    <d v="2034-11-02T00:00:00"/>
    <x v="15"/>
    <n v="25.9"/>
    <n v="14.5"/>
    <n v="3.7554999999999996"/>
  </r>
  <r>
    <d v="2034-11-03T00:00:00"/>
    <x v="13"/>
    <n v="12.1"/>
    <n v="0"/>
    <n v="0"/>
  </r>
  <r>
    <d v="2034-11-04T00:00:00"/>
    <x v="3"/>
    <n v="25.8"/>
    <n v="12.3"/>
    <n v="3.1734000000000004"/>
  </r>
  <r>
    <d v="2034-11-05T00:00:00"/>
    <x v="5"/>
    <n v="29.1"/>
    <n v="0"/>
    <n v="0"/>
  </r>
  <r>
    <d v="2034-11-06T00:00:00"/>
    <x v="6"/>
    <n v="13.2"/>
    <n v="0"/>
    <n v="0"/>
  </r>
  <r>
    <d v="2034-11-07T00:00:00"/>
    <x v="3"/>
    <n v="29.4"/>
    <n v="12.8"/>
    <n v="3.7631999999999999"/>
  </r>
  <r>
    <d v="2034-11-08T00:00:00"/>
    <x v="11"/>
    <n v="21"/>
    <n v="0"/>
    <n v="0"/>
  </r>
  <r>
    <d v="2034-11-09T00:00:00"/>
    <x v="2"/>
    <n v="22.7"/>
    <n v="12.4"/>
    <n v="2.8148"/>
  </r>
  <r>
    <d v="2034-11-10T00:00:00"/>
    <x v="6"/>
    <n v="25.1"/>
    <n v="43.4"/>
    <n v="10.8934"/>
  </r>
  <r>
    <d v="2034-11-11T00:00:00"/>
    <x v="6"/>
    <n v="26.8"/>
    <n v="26.9"/>
    <n v="7.2091999999999992"/>
  </r>
  <r>
    <d v="2034-11-12T00:00:00"/>
    <x v="25"/>
    <n v="15.9"/>
    <n v="0.5"/>
    <n v="0"/>
  </r>
  <r>
    <d v="2034-11-13T00:00:00"/>
    <x v="14"/>
    <n v="27.6"/>
    <n v="0"/>
    <n v="0"/>
  </r>
  <r>
    <d v="2034-11-14T00:00:00"/>
    <x v="21"/>
    <n v="20.8"/>
    <n v="0"/>
    <n v="0"/>
  </r>
  <r>
    <d v="2034-11-15T00:00:00"/>
    <x v="2"/>
    <n v="23.9"/>
    <n v="9.9"/>
    <n v="2.3660999999999999"/>
  </r>
  <r>
    <d v="2034-11-16T00:00:00"/>
    <x v="23"/>
    <n v="24.8"/>
    <n v="4.7"/>
    <n v="1.1656"/>
  </r>
  <r>
    <d v="2034-11-17T00:00:00"/>
    <x v="15"/>
    <n v="16.3"/>
    <n v="0"/>
    <n v="0"/>
  </r>
  <r>
    <d v="2034-11-18T00:00:00"/>
    <x v="14"/>
    <n v="20.100000000000001"/>
    <n v="0"/>
    <n v="0"/>
  </r>
  <r>
    <d v="2034-11-19T00:00:00"/>
    <x v="18"/>
    <n v="25.9"/>
    <n v="8.9"/>
    <n v="2.3050999999999999"/>
  </r>
  <r>
    <d v="2034-11-20T00:00:00"/>
    <x v="15"/>
    <n v="27.3"/>
    <n v="15.8"/>
    <n v="4.3134000000000006"/>
  </r>
  <r>
    <d v="2034-11-21T00:00:00"/>
    <x v="2"/>
    <n v="19.100000000000001"/>
    <n v="6.3"/>
    <n v="1.2033"/>
  </r>
  <r>
    <d v="2034-11-22T00:00:00"/>
    <x v="6"/>
    <n v="16.899999999999999"/>
    <n v="0"/>
    <n v="0"/>
  </r>
  <r>
    <d v="2034-11-23T00:00:00"/>
    <x v="3"/>
    <n v="13.4"/>
    <n v="20.100000000000001"/>
    <n v="2.6934000000000005"/>
  </r>
  <r>
    <d v="2034-11-24T00:00:00"/>
    <x v="20"/>
    <n v="24.8"/>
    <n v="0.4"/>
    <n v="0"/>
  </r>
  <r>
    <d v="2034-11-25T00:00:00"/>
    <x v="13"/>
    <n v="28.4"/>
    <n v="1.6"/>
    <n v="0.45439999999999997"/>
  </r>
  <r>
    <d v="2034-11-26T00:00:00"/>
    <x v="19"/>
    <n v="25.3"/>
    <n v="1.8"/>
    <n v="0.45539999999999997"/>
  </r>
  <r>
    <d v="2034-11-27T00:00:00"/>
    <x v="14"/>
    <n v="25.9"/>
    <n v="1.6"/>
    <n v="0.41439999999999999"/>
  </r>
  <r>
    <d v="2034-11-28T00:00:00"/>
    <x v="2"/>
    <n v="12.2"/>
    <n v="0.8"/>
    <n v="0"/>
  </r>
  <r>
    <d v="2034-11-29T00:00:00"/>
    <x v="29"/>
    <n v="22.8"/>
    <n v="2.2999999999999998"/>
    <n v="0.52439999999999998"/>
  </r>
  <r>
    <d v="2034-11-30T00:00:00"/>
    <x v="15"/>
    <n v="12.7"/>
    <n v="0"/>
    <n v="0"/>
  </r>
  <r>
    <d v="2034-12-01T00:00:00"/>
    <x v="22"/>
    <n v="13"/>
    <n v="5.0999999999999996"/>
    <n v="0.66299999999999992"/>
  </r>
  <r>
    <d v="2034-12-02T00:00:00"/>
    <x v="6"/>
    <n v="13.5"/>
    <n v="4.9000000000000004"/>
    <n v="0.66150000000000009"/>
  </r>
  <r>
    <d v="2034-12-03T00:00:00"/>
    <x v="9"/>
    <n v="17.8"/>
    <n v="5"/>
    <n v="0.89"/>
  </r>
  <r>
    <d v="2034-12-04T00:00:00"/>
    <x v="6"/>
    <n v="21.5"/>
    <n v="47.1"/>
    <n v="10.1265"/>
  </r>
  <r>
    <d v="2034-12-05T00:00:00"/>
    <x v="4"/>
    <n v="20.5"/>
    <n v="0.1"/>
    <n v="0"/>
  </r>
  <r>
    <d v="2034-12-06T00:00:00"/>
    <x v="9"/>
    <n v="14.4"/>
    <n v="0"/>
    <n v="0"/>
  </r>
  <r>
    <d v="2034-12-07T00:00:00"/>
    <x v="11"/>
    <n v="12.3"/>
    <n v="0"/>
    <n v="0"/>
  </r>
  <r>
    <d v="2034-12-08T00:00:00"/>
    <x v="9"/>
    <n v="26.5"/>
    <n v="14"/>
    <n v="3.71"/>
  </r>
  <r>
    <d v="2034-12-09T00:00:00"/>
    <x v="9"/>
    <n v="17.7"/>
    <n v="0"/>
    <n v="0"/>
  </r>
  <r>
    <d v="2034-12-10T00:00:00"/>
    <x v="22"/>
    <n v="15.7"/>
    <n v="1"/>
    <n v="0.157"/>
  </r>
  <r>
    <d v="2034-12-11T00:00:00"/>
    <x v="16"/>
    <n v="16.2"/>
    <n v="0"/>
    <n v="0"/>
  </r>
  <r>
    <d v="2034-12-12T00:00:00"/>
    <x v="17"/>
    <n v="18.600000000000001"/>
    <n v="1.4"/>
    <n v="0.26039999999999996"/>
  </r>
  <r>
    <d v="2034-12-13T00:00:00"/>
    <x v="14"/>
    <n v="23.9"/>
    <n v="4"/>
    <n v="0.95599999999999996"/>
  </r>
  <r>
    <d v="2034-12-14T00:00:00"/>
    <x v="6"/>
    <n v="15.8"/>
    <n v="50.3"/>
    <n v="7.9474"/>
  </r>
  <r>
    <d v="2034-12-15T00:00:00"/>
    <x v="8"/>
    <n v="26.2"/>
    <n v="8.5"/>
    <n v="2.2269999999999999"/>
  </r>
  <r>
    <d v="2034-12-16T00:00:00"/>
    <x v="6"/>
    <n v="23.1"/>
    <n v="0"/>
    <n v="0"/>
  </r>
  <r>
    <d v="2034-12-17T00:00:00"/>
    <x v="17"/>
    <n v="10.8"/>
    <n v="0"/>
    <n v="0"/>
  </r>
  <r>
    <d v="2034-12-18T00:00:00"/>
    <x v="14"/>
    <n v="21.2"/>
    <n v="16.100000000000001"/>
    <n v="3.4131999999999998"/>
  </r>
  <r>
    <d v="2034-12-19T00:00:00"/>
    <x v="3"/>
    <n v="26.3"/>
    <n v="21.1"/>
    <n v="5.5493000000000006"/>
  </r>
  <r>
    <d v="2034-12-20T00:00:00"/>
    <x v="3"/>
    <n v="22.8"/>
    <n v="22.7"/>
    <n v="5.1755999999999993"/>
  </r>
  <r>
    <d v="2034-12-21T00:00:00"/>
    <x v="14"/>
    <n v="24"/>
    <n v="11.5"/>
    <n v="2.76"/>
  </r>
  <r>
    <d v="2034-12-22T00:00:00"/>
    <x v="10"/>
    <n v="16.8"/>
    <n v="2"/>
    <n v="0.33600000000000002"/>
  </r>
  <r>
    <d v="2034-12-23T00:00:00"/>
    <x v="9"/>
    <n v="12.5"/>
    <n v="4.7"/>
    <n v="0.58750000000000002"/>
  </r>
  <r>
    <d v="2034-12-24T00:00:00"/>
    <x v="6"/>
    <n v="15"/>
    <n v="1.7"/>
    <n v="0.255"/>
  </r>
  <r>
    <d v="2034-12-25T00:00:00"/>
    <x v="14"/>
    <n v="16.2"/>
    <n v="0"/>
    <n v="0"/>
  </r>
  <r>
    <d v="2034-12-26T00:00:00"/>
    <x v="3"/>
    <n v="29.3"/>
    <n v="0"/>
    <n v="0"/>
  </r>
  <r>
    <d v="2034-12-27T00:00:00"/>
    <x v="28"/>
    <n v="26.4"/>
    <n v="0.2"/>
    <n v="0"/>
  </r>
  <r>
    <d v="2034-12-28T00:00:00"/>
    <x v="14"/>
    <n v="23"/>
    <n v="0"/>
    <n v="0"/>
  </r>
  <r>
    <d v="2034-12-29T00:00:00"/>
    <x v="7"/>
    <n v="25.4"/>
    <n v="1.2"/>
    <n v="0.30479999999999996"/>
  </r>
  <r>
    <d v="2034-12-30T00:00:00"/>
    <x v="6"/>
    <n v="24.5"/>
    <n v="22.5"/>
    <n v="5.5125000000000002"/>
  </r>
  <r>
    <d v="2034-12-31T00:00:00"/>
    <x v="15"/>
    <n v="19"/>
    <n v="18.899999999999999"/>
    <n v="3.5909999999999997"/>
  </r>
  <r>
    <d v="2035-01-01T00:00:00"/>
    <x v="15"/>
    <n v="10"/>
    <n v="7.6"/>
    <n v="0.76"/>
  </r>
  <r>
    <d v="2035-01-02T00:00:00"/>
    <x v="6"/>
    <n v="10.4"/>
    <n v="20.6"/>
    <n v="2.1424000000000003"/>
  </r>
  <r>
    <d v="2035-01-03T00:00:00"/>
    <x v="17"/>
    <n v="10.5"/>
    <n v="0"/>
    <n v="0"/>
  </r>
  <r>
    <d v="2035-01-04T00:00:00"/>
    <x v="2"/>
    <n v="12.1"/>
    <n v="8.8000000000000007"/>
    <n v="1.0648"/>
  </r>
  <r>
    <d v="2035-01-05T00:00:00"/>
    <x v="6"/>
    <n v="20.5"/>
    <n v="0"/>
    <n v="0"/>
  </r>
  <r>
    <d v="2035-01-06T00:00:00"/>
    <x v="9"/>
    <n v="13.1"/>
    <n v="0"/>
    <n v="0"/>
  </r>
  <r>
    <d v="2035-01-07T00:00:00"/>
    <x v="22"/>
    <n v="29.8"/>
    <n v="1.1000000000000001"/>
    <n v="0.32780000000000004"/>
  </r>
  <r>
    <d v="2035-01-08T00:00:00"/>
    <x v="11"/>
    <n v="17.100000000000001"/>
    <n v="5.5"/>
    <n v="0.94050000000000011"/>
  </r>
  <r>
    <d v="2035-01-09T00:00:00"/>
    <x v="10"/>
    <n v="29.1"/>
    <n v="0.4"/>
    <n v="0"/>
  </r>
  <r>
    <d v="2035-01-10T00:00:00"/>
    <x v="14"/>
    <n v="10.9"/>
    <n v="0"/>
    <n v="0"/>
  </r>
  <r>
    <d v="2035-01-11T00:00:00"/>
    <x v="28"/>
    <n v="27.4"/>
    <n v="0.3"/>
    <n v="0"/>
  </r>
  <r>
    <d v="2035-01-12T00:00:00"/>
    <x v="15"/>
    <n v="16.3"/>
    <n v="9.8000000000000007"/>
    <n v="1.5974000000000002"/>
  </r>
  <r>
    <d v="2035-01-13T00:00:00"/>
    <x v="3"/>
    <n v="14.7"/>
    <n v="0"/>
    <n v="0"/>
  </r>
  <r>
    <d v="2035-01-14T00:00:00"/>
    <x v="8"/>
    <n v="17.2"/>
    <n v="2"/>
    <n v="0.34399999999999997"/>
  </r>
  <r>
    <d v="2035-01-15T00:00:00"/>
    <x v="11"/>
    <n v="24.2"/>
    <n v="9.9"/>
    <n v="2.3957999999999999"/>
  </r>
  <r>
    <d v="2035-01-16T00:00:00"/>
    <x v="9"/>
    <n v="22.3"/>
    <n v="0"/>
    <n v="0"/>
  </r>
  <r>
    <d v="2035-01-17T00:00:00"/>
    <x v="25"/>
    <n v="26.7"/>
    <n v="0.6"/>
    <n v="0"/>
  </r>
  <r>
    <d v="2035-01-18T00:00:00"/>
    <x v="8"/>
    <n v="10.9"/>
    <n v="3.8"/>
    <n v="0.41420000000000001"/>
  </r>
  <r>
    <d v="2035-01-19T00:00:00"/>
    <x v="17"/>
    <n v="23.7"/>
    <n v="0"/>
    <n v="0"/>
  </r>
  <r>
    <d v="2035-01-20T00:00:00"/>
    <x v="6"/>
    <n v="16"/>
    <n v="22.3"/>
    <n v="3.5680000000000001"/>
  </r>
  <r>
    <d v="2035-01-21T00:00:00"/>
    <x v="6"/>
    <n v="19.399999999999999"/>
    <n v="41.6"/>
    <n v="8.0703999999999994"/>
  </r>
  <r>
    <d v="2035-01-22T00:00:00"/>
    <x v="7"/>
    <n v="26.7"/>
    <n v="10"/>
    <n v="2.67"/>
  </r>
  <r>
    <d v="2035-01-23T00:00:00"/>
    <x v="15"/>
    <n v="20.8"/>
    <n v="0"/>
    <n v="0"/>
  </r>
  <r>
    <d v="2035-01-24T00:00:00"/>
    <x v="6"/>
    <n v="25.6"/>
    <n v="0"/>
    <n v="0"/>
  </r>
  <r>
    <d v="2035-01-25T00:00:00"/>
    <x v="14"/>
    <n v="18.3"/>
    <n v="0.5"/>
    <n v="0"/>
  </r>
  <r>
    <d v="2035-01-26T00:00:00"/>
    <x v="5"/>
    <n v="27.4"/>
    <n v="4.2"/>
    <n v="1.1508"/>
  </r>
  <r>
    <d v="2035-01-27T00:00:00"/>
    <x v="19"/>
    <n v="16.100000000000001"/>
    <n v="3.4"/>
    <n v="0.5474"/>
  </r>
  <r>
    <d v="2035-01-28T00:00:00"/>
    <x v="10"/>
    <n v="27.5"/>
    <n v="8"/>
    <n v="2.2000000000000002"/>
  </r>
  <r>
    <d v="2035-01-29T00:00:00"/>
    <x v="5"/>
    <n v="28.4"/>
    <n v="10.199999999999999"/>
    <n v="2.8967999999999994"/>
  </r>
  <r>
    <d v="2035-01-30T00:00:00"/>
    <x v="9"/>
    <n v="16.100000000000001"/>
    <n v="4"/>
    <n v="0.64400000000000002"/>
  </r>
  <r>
    <d v="2035-01-31T00:00:00"/>
    <x v="19"/>
    <n v="28.4"/>
    <n v="2.6"/>
    <n v="0.73840000000000006"/>
  </r>
  <r>
    <d v="2035-02-01T00:00:00"/>
    <x v="10"/>
    <n v="29.3"/>
    <n v="0"/>
    <n v="0"/>
  </r>
  <r>
    <d v="2035-02-02T00:00:00"/>
    <x v="9"/>
    <n v="19.7"/>
    <n v="16.2"/>
    <n v="3.1913999999999998"/>
  </r>
  <r>
    <d v="2035-02-03T00:00:00"/>
    <x v="27"/>
    <n v="11.5"/>
    <n v="0.3"/>
    <n v="0"/>
  </r>
  <r>
    <d v="2035-02-04T00:00:00"/>
    <x v="15"/>
    <n v="19.5"/>
    <n v="0"/>
    <n v="0"/>
  </r>
  <r>
    <d v="2035-02-05T00:00:00"/>
    <x v="16"/>
    <n v="22.7"/>
    <n v="0.7"/>
    <n v="0"/>
  </r>
  <r>
    <d v="2035-02-06T00:00:00"/>
    <x v="3"/>
    <n v="19.7"/>
    <n v="7.3"/>
    <n v="1.4380999999999999"/>
  </r>
  <r>
    <d v="2035-02-07T00:00:00"/>
    <x v="22"/>
    <n v="19.399999999999999"/>
    <n v="0.4"/>
    <n v="0"/>
  </r>
  <r>
    <d v="2035-02-08T00:00:00"/>
    <x v="19"/>
    <n v="13.8"/>
    <n v="1.1000000000000001"/>
    <n v="0.15180000000000002"/>
  </r>
  <r>
    <d v="2035-02-09T00:00:00"/>
    <x v="9"/>
    <n v="19.600000000000001"/>
    <n v="2.2999999999999998"/>
    <n v="0.45079999999999998"/>
  </r>
  <r>
    <d v="2035-02-10T00:00:00"/>
    <x v="15"/>
    <n v="22.6"/>
    <n v="13.3"/>
    <n v="3.0058000000000002"/>
  </r>
  <r>
    <d v="2035-02-11T00:00:00"/>
    <x v="2"/>
    <n v="18.2"/>
    <n v="7.6"/>
    <n v="1.3832"/>
  </r>
  <r>
    <d v="2035-02-12T00:00:00"/>
    <x v="15"/>
    <n v="27.3"/>
    <n v="38.4"/>
    <n v="10.4832"/>
  </r>
  <r>
    <d v="2035-02-13T00:00:00"/>
    <x v="15"/>
    <n v="14.7"/>
    <n v="31.8"/>
    <n v="4.6745999999999999"/>
  </r>
  <r>
    <d v="2035-02-14T00:00:00"/>
    <x v="18"/>
    <n v="20.6"/>
    <n v="5.9"/>
    <n v="1.2154000000000003"/>
  </r>
  <r>
    <d v="2035-02-15T00:00:00"/>
    <x v="6"/>
    <n v="12.6"/>
    <n v="14.4"/>
    <n v="1.8144"/>
  </r>
  <r>
    <d v="2035-02-16T00:00:00"/>
    <x v="7"/>
    <n v="14.5"/>
    <n v="0"/>
    <n v="0"/>
  </r>
  <r>
    <d v="2035-02-17T00:00:00"/>
    <x v="6"/>
    <n v="24.7"/>
    <n v="36"/>
    <n v="8.8919999999999995"/>
  </r>
  <r>
    <d v="2035-02-18T00:00:00"/>
    <x v="15"/>
    <n v="17.899999999999999"/>
    <n v="24.9"/>
    <n v="4.4570999999999996"/>
  </r>
  <r>
    <d v="2035-02-19T00:00:00"/>
    <x v="10"/>
    <n v="20.2"/>
    <n v="2.9"/>
    <n v="0.58579999999999999"/>
  </r>
  <r>
    <d v="2035-02-20T00:00:00"/>
    <x v="4"/>
    <n v="13.4"/>
    <n v="1.7"/>
    <n v="0.2278"/>
  </r>
  <r>
    <d v="2035-02-21T00:00:00"/>
    <x v="13"/>
    <n v="12.2"/>
    <n v="6"/>
    <n v="0.73199999999999987"/>
  </r>
  <r>
    <d v="2035-02-22T00:00:00"/>
    <x v="26"/>
    <n v="29.8"/>
    <n v="0.4"/>
    <n v="0"/>
  </r>
  <r>
    <d v="2035-02-23T00:00:00"/>
    <x v="15"/>
    <n v="16.100000000000001"/>
    <n v="28.7"/>
    <n v="4.6207000000000003"/>
  </r>
  <r>
    <d v="2035-02-24T00:00:00"/>
    <x v="6"/>
    <n v="18.8"/>
    <n v="0"/>
    <n v="0"/>
  </r>
  <r>
    <d v="2035-02-25T00:00:00"/>
    <x v="11"/>
    <n v="17.100000000000001"/>
    <n v="0"/>
    <n v="0"/>
  </r>
  <r>
    <d v="2035-02-26T00:00:00"/>
    <x v="5"/>
    <n v="11.7"/>
    <n v="7.7"/>
    <n v="0.90090000000000003"/>
  </r>
  <r>
    <d v="2035-02-27T00:00:00"/>
    <x v="14"/>
    <n v="25.4"/>
    <n v="14.2"/>
    <n v="3.6067999999999993"/>
  </r>
  <r>
    <d v="2035-02-28T00:00:00"/>
    <x v="18"/>
    <n v="12.6"/>
    <n v="9"/>
    <n v="1.1339999999999999"/>
  </r>
  <r>
    <d v="2035-03-01T00:00:00"/>
    <x v="6"/>
    <n v="15.8"/>
    <n v="0"/>
    <n v="0"/>
  </r>
  <r>
    <d v="2035-03-02T00:00:00"/>
    <x v="14"/>
    <n v="24.7"/>
    <n v="13.9"/>
    <n v="3.4333"/>
  </r>
  <r>
    <d v="2035-03-03T00:00:00"/>
    <x v="23"/>
    <n v="26.7"/>
    <n v="0"/>
    <n v="0"/>
  </r>
  <r>
    <d v="2035-03-04T00:00:00"/>
    <x v="15"/>
    <n v="21.2"/>
    <n v="5.3"/>
    <n v="1.1235999999999999"/>
  </r>
  <r>
    <d v="2035-03-05T00:00:00"/>
    <x v="2"/>
    <n v="10.4"/>
    <n v="8.6"/>
    <n v="0.89439999999999997"/>
  </r>
  <r>
    <d v="2035-03-06T00:00:00"/>
    <x v="22"/>
    <n v="25.1"/>
    <n v="3.3"/>
    <n v="0.82830000000000004"/>
  </r>
  <r>
    <d v="2035-03-07T00:00:00"/>
    <x v="15"/>
    <n v="27.8"/>
    <n v="20.9"/>
    <n v="5.8102"/>
  </r>
  <r>
    <d v="2035-03-08T00:00:00"/>
    <x v="7"/>
    <n v="26.1"/>
    <n v="0"/>
    <n v="0"/>
  </r>
  <r>
    <d v="2035-03-09T00:00:00"/>
    <x v="9"/>
    <n v="18.3"/>
    <n v="7.8"/>
    <n v="1.4274"/>
  </r>
  <r>
    <d v="2035-03-10T00:00:00"/>
    <x v="7"/>
    <n v="16.3"/>
    <n v="0"/>
    <n v="0"/>
  </r>
  <r>
    <d v="2035-03-11T00:00:00"/>
    <x v="7"/>
    <n v="17.2"/>
    <n v="12.5"/>
    <n v="2.15"/>
  </r>
  <r>
    <d v="2035-03-12T00:00:00"/>
    <x v="20"/>
    <n v="22.1"/>
    <n v="3.7"/>
    <n v="0.81770000000000009"/>
  </r>
  <r>
    <d v="2035-03-13T00:00:00"/>
    <x v="19"/>
    <n v="18.8"/>
    <n v="0"/>
    <n v="0"/>
  </r>
  <r>
    <d v="2035-03-14T00:00:00"/>
    <x v="14"/>
    <n v="12.3"/>
    <n v="7.1"/>
    <n v="0.87329999999999997"/>
  </r>
  <r>
    <d v="2035-03-15T00:00:00"/>
    <x v="6"/>
    <n v="27.5"/>
    <n v="34.299999999999997"/>
    <n v="9.4324999999999992"/>
  </r>
  <r>
    <d v="2035-03-16T00:00:00"/>
    <x v="14"/>
    <n v="23.1"/>
    <n v="0"/>
    <n v="0"/>
  </r>
  <r>
    <d v="2035-03-17T00:00:00"/>
    <x v="7"/>
    <n v="21.3"/>
    <n v="0"/>
    <n v="0"/>
  </r>
  <r>
    <d v="2035-03-18T00:00:00"/>
    <x v="22"/>
    <n v="13.8"/>
    <n v="5.9"/>
    <n v="0.81420000000000015"/>
  </r>
  <r>
    <d v="2035-03-19T00:00:00"/>
    <x v="9"/>
    <n v="20"/>
    <n v="16"/>
    <n v="3.2"/>
  </r>
  <r>
    <d v="2035-03-20T00:00:00"/>
    <x v="8"/>
    <n v="23.9"/>
    <n v="0"/>
    <n v="0"/>
  </r>
  <r>
    <d v="2035-03-21T00:00:00"/>
    <x v="25"/>
    <n v="15.3"/>
    <n v="0.1"/>
    <n v="0"/>
  </r>
  <r>
    <d v="2035-03-22T00:00:00"/>
    <x v="10"/>
    <n v="16.600000000000001"/>
    <n v="0"/>
    <n v="0"/>
  </r>
  <r>
    <d v="2035-03-23T00:00:00"/>
    <x v="23"/>
    <n v="20.8"/>
    <n v="2"/>
    <n v="0.41600000000000004"/>
  </r>
  <r>
    <d v="2035-03-24T00:00:00"/>
    <x v="7"/>
    <n v="10.8"/>
    <n v="12.3"/>
    <n v="1.3284"/>
  </r>
  <r>
    <d v="2035-03-25T00:00:00"/>
    <x v="7"/>
    <n v="12.5"/>
    <n v="18.399999999999999"/>
    <n v="2.2999999999999998"/>
  </r>
  <r>
    <d v="2035-03-26T00:00:00"/>
    <x v="5"/>
    <n v="24"/>
    <n v="4.9000000000000004"/>
    <n v="1.1760000000000002"/>
  </r>
  <r>
    <d v="2035-03-27T00:00:00"/>
    <x v="6"/>
    <n v="21.4"/>
    <n v="11.1"/>
    <n v="2.3753999999999995"/>
  </r>
  <r>
    <d v="2035-03-28T00:00:00"/>
    <x v="18"/>
    <n v="18.3"/>
    <n v="0"/>
    <n v="0"/>
  </r>
  <r>
    <d v="2035-03-29T00:00:00"/>
    <x v="11"/>
    <n v="10.5"/>
    <n v="3.9"/>
    <n v="0.40949999999999998"/>
  </r>
  <r>
    <d v="2035-03-30T00:00:00"/>
    <x v="6"/>
    <n v="11.7"/>
    <n v="0"/>
    <n v="0"/>
  </r>
  <r>
    <d v="2035-03-31T00:00:00"/>
    <x v="3"/>
    <n v="26.8"/>
    <n v="0"/>
    <n v="0"/>
  </r>
  <r>
    <d v="2035-04-01T00:00:00"/>
    <x v="6"/>
    <n v="22.1"/>
    <n v="33.799999999999997"/>
    <n v="7.4698000000000002"/>
  </r>
  <r>
    <d v="2035-04-02T00:00:00"/>
    <x v="28"/>
    <n v="17.100000000000001"/>
    <n v="0"/>
    <n v="0"/>
  </r>
  <r>
    <d v="2035-04-03T00:00:00"/>
    <x v="9"/>
    <n v="12.1"/>
    <n v="14.4"/>
    <n v="1.7424000000000002"/>
  </r>
  <r>
    <d v="2035-04-04T00:00:00"/>
    <x v="15"/>
    <n v="28.6"/>
    <n v="23.2"/>
    <n v="6.6352000000000002"/>
  </r>
  <r>
    <d v="2035-04-05T00:00:00"/>
    <x v="2"/>
    <n v="21.2"/>
    <n v="1.5"/>
    <n v="0.31799999999999995"/>
  </r>
  <r>
    <d v="2035-04-06T00:00:00"/>
    <x v="5"/>
    <n v="17.2"/>
    <n v="2.4"/>
    <n v="0.41279999999999994"/>
  </r>
  <r>
    <d v="2035-04-07T00:00:00"/>
    <x v="6"/>
    <n v="22.3"/>
    <n v="0"/>
    <n v="0"/>
  </r>
  <r>
    <d v="2035-04-08T00:00:00"/>
    <x v="11"/>
    <n v="13.2"/>
    <n v="3.6"/>
    <n v="0.47519999999999996"/>
  </r>
  <r>
    <d v="2035-04-09T00:00:00"/>
    <x v="14"/>
    <n v="13.6"/>
    <n v="13.4"/>
    <n v="1.8224"/>
  </r>
  <r>
    <d v="2035-04-10T00:00:00"/>
    <x v="8"/>
    <n v="15.7"/>
    <n v="0"/>
    <n v="0"/>
  </r>
  <r>
    <d v="2035-04-11T00:00:00"/>
    <x v="5"/>
    <n v="24.8"/>
    <n v="0"/>
    <n v="0"/>
  </r>
  <r>
    <d v="2035-04-12T00:00:00"/>
    <x v="6"/>
    <n v="25.1"/>
    <n v="5.0999999999999996"/>
    <n v="1.2801"/>
  </r>
  <r>
    <d v="2035-04-13T00:00:00"/>
    <x v="15"/>
    <n v="14.2"/>
    <n v="23.5"/>
    <n v="3.3369999999999997"/>
  </r>
  <r>
    <d v="2035-04-14T00:00:00"/>
    <x v="10"/>
    <n v="21.1"/>
    <n v="1.4"/>
    <n v="0.2954"/>
  </r>
  <r>
    <d v="2035-04-15T00:00:00"/>
    <x v="6"/>
    <n v="25.4"/>
    <n v="28"/>
    <n v="7.1119999999999992"/>
  </r>
  <r>
    <d v="2035-04-16T00:00:00"/>
    <x v="6"/>
    <n v="24.7"/>
    <n v="5.7"/>
    <n v="1.4078999999999999"/>
  </r>
  <r>
    <d v="2035-04-17T00:00:00"/>
    <x v="9"/>
    <n v="19.8"/>
    <n v="0"/>
    <n v="0"/>
  </r>
  <r>
    <d v="2035-04-18T00:00:00"/>
    <x v="23"/>
    <n v="28.4"/>
    <n v="2.9"/>
    <n v="0.8236"/>
  </r>
  <r>
    <d v="2035-04-19T00:00:00"/>
    <x v="7"/>
    <n v="26.5"/>
    <n v="0"/>
    <n v="0"/>
  </r>
  <r>
    <d v="2035-04-20T00:00:00"/>
    <x v="6"/>
    <n v="14.1"/>
    <n v="13.1"/>
    <n v="1.8470999999999997"/>
  </r>
  <r>
    <d v="2035-04-21T00:00:00"/>
    <x v="24"/>
    <n v="15.9"/>
    <n v="0.5"/>
    <n v="0"/>
  </r>
  <r>
    <d v="2035-04-22T00:00:00"/>
    <x v="15"/>
    <n v="28.2"/>
    <n v="26.9"/>
    <n v="7.585799999999999"/>
  </r>
  <r>
    <d v="2035-04-23T00:00:00"/>
    <x v="24"/>
    <n v="17.100000000000001"/>
    <n v="0.5"/>
    <n v="0"/>
  </r>
  <r>
    <d v="2035-04-24T00:00:00"/>
    <x v="15"/>
    <n v="27"/>
    <n v="0"/>
    <n v="0"/>
  </r>
  <r>
    <d v="2035-04-25T00:00:00"/>
    <x v="14"/>
    <n v="24.1"/>
    <n v="0"/>
    <n v="0"/>
  </r>
  <r>
    <d v="2035-04-26T00:00:00"/>
    <x v="8"/>
    <n v="10.4"/>
    <n v="7.2"/>
    <n v="0.74880000000000013"/>
  </r>
  <r>
    <d v="2035-04-27T00:00:00"/>
    <x v="9"/>
    <n v="27.2"/>
    <n v="15.1"/>
    <n v="4.1071999999999997"/>
  </r>
  <r>
    <d v="2035-04-28T00:00:00"/>
    <x v="18"/>
    <n v="22.1"/>
    <n v="0"/>
    <n v="0"/>
  </r>
  <r>
    <d v="2035-04-29T00:00:00"/>
    <x v="10"/>
    <n v="13.3"/>
    <n v="8.5"/>
    <n v="1.1305000000000001"/>
  </r>
  <r>
    <d v="2035-04-30T00:00:00"/>
    <x v="8"/>
    <n v="26.4"/>
    <n v="0"/>
    <n v="0"/>
  </r>
  <r>
    <d v="2035-05-01T00:00:00"/>
    <x v="21"/>
    <n v="25.8"/>
    <n v="2.9"/>
    <n v="0.74819999999999998"/>
  </r>
  <r>
    <d v="2035-05-02T00:00:00"/>
    <x v="11"/>
    <n v="23"/>
    <n v="3.8"/>
    <n v="0.87399999999999989"/>
  </r>
  <r>
    <d v="2035-05-03T00:00:00"/>
    <x v="9"/>
    <n v="22.7"/>
    <n v="0"/>
    <n v="0"/>
  </r>
  <r>
    <d v="2035-05-04T00:00:00"/>
    <x v="22"/>
    <n v="26.2"/>
    <n v="5.0999999999999996"/>
    <n v="1.3361999999999998"/>
  </r>
  <r>
    <d v="2035-05-05T00:00:00"/>
    <x v="10"/>
    <n v="16.600000000000001"/>
    <n v="0"/>
    <n v="0"/>
  </r>
  <r>
    <d v="2035-05-06T00:00:00"/>
    <x v="19"/>
    <n v="23.9"/>
    <n v="0"/>
    <n v="0"/>
  </r>
  <r>
    <d v="2035-05-07T00:00:00"/>
    <x v="3"/>
    <n v="10.6"/>
    <n v="21.3"/>
    <n v="2.2578"/>
  </r>
  <r>
    <d v="2035-05-08T00:00:00"/>
    <x v="6"/>
    <n v="22.8"/>
    <n v="24.6"/>
    <n v="5.6087999999999996"/>
  </r>
  <r>
    <d v="2035-05-09T00:00:00"/>
    <x v="1"/>
    <n v="26.8"/>
    <n v="7.5"/>
    <n v="2.0099999999999998"/>
  </r>
  <r>
    <d v="2035-05-10T00:00:00"/>
    <x v="15"/>
    <n v="21.3"/>
    <n v="37.700000000000003"/>
    <n v="8.0301000000000009"/>
  </r>
  <r>
    <d v="2035-05-11T00:00:00"/>
    <x v="8"/>
    <n v="20.3"/>
    <n v="11"/>
    <n v="2.2330000000000001"/>
  </r>
  <r>
    <d v="2035-05-12T00:00:00"/>
    <x v="15"/>
    <n v="25.6"/>
    <n v="20.100000000000001"/>
    <n v="5.1456000000000008"/>
  </r>
  <r>
    <d v="2035-05-13T00:00:00"/>
    <x v="9"/>
    <n v="25.1"/>
    <n v="14.7"/>
    <n v="3.6897000000000002"/>
  </r>
  <r>
    <d v="2035-05-14T00:00:00"/>
    <x v="3"/>
    <n v="24.3"/>
    <n v="24.3"/>
    <n v="5.9049000000000005"/>
  </r>
  <r>
    <d v="2035-05-15T00:00:00"/>
    <x v="10"/>
    <n v="12.9"/>
    <n v="2.7"/>
    <n v="0.34830000000000005"/>
  </r>
  <r>
    <d v="2035-05-16T00:00:00"/>
    <x v="15"/>
    <n v="16.7"/>
    <n v="27.7"/>
    <n v="4.6258999999999997"/>
  </r>
  <r>
    <d v="2035-05-17T00:00:00"/>
    <x v="6"/>
    <n v="16.2"/>
    <n v="20.5"/>
    <n v="3.3209999999999997"/>
  </r>
  <r>
    <d v="2035-05-18T00:00:00"/>
    <x v="8"/>
    <n v="19.5"/>
    <n v="5.0999999999999996"/>
    <n v="0.99449999999999994"/>
  </r>
  <r>
    <d v="2035-05-19T00:00:00"/>
    <x v="6"/>
    <n v="22.9"/>
    <n v="6.6"/>
    <n v="1.5113999999999999"/>
  </r>
  <r>
    <d v="2035-05-20T00:00:00"/>
    <x v="15"/>
    <n v="25.9"/>
    <n v="4.4000000000000004"/>
    <n v="1.1396000000000002"/>
  </r>
  <r>
    <d v="2035-05-21T00:00:00"/>
    <x v="14"/>
    <n v="20.3"/>
    <n v="4.5999999999999996"/>
    <n v="0.93379999999999996"/>
  </r>
  <r>
    <d v="2035-05-22T00:00:00"/>
    <x v="24"/>
    <n v="11.3"/>
    <n v="0.3"/>
    <n v="0"/>
  </r>
  <r>
    <d v="2035-05-23T00:00:00"/>
    <x v="6"/>
    <n v="27.4"/>
    <n v="29.9"/>
    <n v="8.1925999999999988"/>
  </r>
  <r>
    <d v="2035-05-24T00:00:00"/>
    <x v="15"/>
    <n v="29.2"/>
    <n v="0"/>
    <n v="0"/>
  </r>
  <r>
    <d v="2035-05-25T00:00:00"/>
    <x v="0"/>
    <n v="27.4"/>
    <n v="0"/>
    <n v="0"/>
  </r>
  <r>
    <d v="2035-05-26T00:00:00"/>
    <x v="15"/>
    <n v="10.1"/>
    <n v="8.1"/>
    <n v="0.81809999999999983"/>
  </r>
  <r>
    <d v="2035-05-27T00:00:00"/>
    <x v="1"/>
    <n v="12.9"/>
    <n v="5.9"/>
    <n v="0.76110000000000011"/>
  </r>
  <r>
    <d v="2035-05-28T00:00:00"/>
    <x v="10"/>
    <n v="18.7"/>
    <n v="0"/>
    <n v="0"/>
  </r>
  <r>
    <d v="2035-05-29T00:00:00"/>
    <x v="28"/>
    <n v="17.8"/>
    <n v="0.3"/>
    <n v="0"/>
  </r>
  <r>
    <d v="2035-05-30T00:00:00"/>
    <x v="6"/>
    <n v="24.7"/>
    <n v="42.9"/>
    <n v="10.596299999999999"/>
  </r>
  <r>
    <d v="2035-05-31T00:00:00"/>
    <x v="6"/>
    <n v="28.7"/>
    <n v="33.799999999999997"/>
    <n v="9.7005999999999997"/>
  </r>
  <r>
    <d v="2035-06-01T00:00:00"/>
    <x v="14"/>
    <n v="12.3"/>
    <n v="1.7"/>
    <n v="0.20910000000000001"/>
  </r>
  <r>
    <d v="2035-06-02T00:00:00"/>
    <x v="15"/>
    <n v="22.9"/>
    <n v="0"/>
    <n v="0"/>
  </r>
  <r>
    <d v="2035-06-03T00:00:00"/>
    <x v="13"/>
    <n v="20"/>
    <n v="3"/>
    <n v="0.6"/>
  </r>
  <r>
    <d v="2035-06-04T00:00:00"/>
    <x v="6"/>
    <n v="27.3"/>
    <n v="0"/>
    <n v="0"/>
  </r>
  <r>
    <d v="2035-06-05T00:00:00"/>
    <x v="9"/>
    <n v="29.9"/>
    <n v="7.7"/>
    <n v="2.3022999999999998"/>
  </r>
  <r>
    <d v="2035-06-06T00:00:00"/>
    <x v="8"/>
    <n v="27.5"/>
    <n v="2.7"/>
    <n v="0.74250000000000005"/>
  </r>
  <r>
    <d v="2035-06-07T00:00:00"/>
    <x v="14"/>
    <n v="16.5"/>
    <n v="13.3"/>
    <n v="2.1945000000000001"/>
  </r>
  <r>
    <d v="2035-06-08T00:00:00"/>
    <x v="1"/>
    <n v="23.5"/>
    <n v="5.9"/>
    <n v="1.3865000000000001"/>
  </r>
  <r>
    <d v="2035-06-09T00:00:00"/>
    <x v="1"/>
    <n v="21.5"/>
    <n v="4.0999999999999996"/>
    <n v="0.88149999999999995"/>
  </r>
  <r>
    <d v="2035-06-10T00:00:00"/>
    <x v="11"/>
    <n v="10.3"/>
    <n v="15.6"/>
    <n v="1.6068"/>
  </r>
  <r>
    <d v="2035-06-11T00:00:00"/>
    <x v="6"/>
    <n v="15"/>
    <n v="0"/>
    <n v="0"/>
  </r>
  <r>
    <d v="2035-06-12T00:00:00"/>
    <x v="2"/>
    <n v="23.3"/>
    <n v="5.3"/>
    <n v="1.2348999999999999"/>
  </r>
  <r>
    <d v="2035-06-13T00:00:00"/>
    <x v="11"/>
    <n v="10.5"/>
    <n v="14.4"/>
    <n v="1.5120000000000002"/>
  </r>
  <r>
    <d v="2035-06-14T00:00:00"/>
    <x v="6"/>
    <n v="18.5"/>
    <n v="0"/>
    <n v="0"/>
  </r>
  <r>
    <d v="2035-06-15T00:00:00"/>
    <x v="10"/>
    <n v="20.2"/>
    <n v="5.4"/>
    <n v="1.0908"/>
  </r>
  <r>
    <d v="2035-06-16T00:00:00"/>
    <x v="19"/>
    <n v="29"/>
    <n v="4.2"/>
    <n v="1.2180000000000002"/>
  </r>
  <r>
    <d v="2035-06-17T00:00:00"/>
    <x v="11"/>
    <n v="12.1"/>
    <n v="18.100000000000001"/>
    <n v="2.1901000000000002"/>
  </r>
  <r>
    <d v="2035-06-18T00:00:00"/>
    <x v="9"/>
    <n v="14.1"/>
    <n v="5.6"/>
    <n v="0.78959999999999997"/>
  </r>
  <r>
    <d v="2035-06-19T00:00:00"/>
    <x v="6"/>
    <n v="19.5"/>
    <n v="2.7"/>
    <n v="0.52650000000000008"/>
  </r>
  <r>
    <d v="2035-06-20T00:00:00"/>
    <x v="23"/>
    <n v="28.7"/>
    <n v="0.3"/>
    <n v="0"/>
  </r>
  <r>
    <d v="2035-06-21T00:00:00"/>
    <x v="15"/>
    <n v="20.3"/>
    <n v="15"/>
    <n v="3.0449999999999999"/>
  </r>
  <r>
    <d v="2035-06-22T00:00:00"/>
    <x v="3"/>
    <n v="25.9"/>
    <n v="4.7"/>
    <n v="1.2173"/>
  </r>
  <r>
    <d v="2035-06-23T00:00:00"/>
    <x v="3"/>
    <n v="25.3"/>
    <n v="0"/>
    <n v="0"/>
  </r>
  <r>
    <d v="2035-06-24T00:00:00"/>
    <x v="16"/>
    <n v="22.8"/>
    <n v="0.6"/>
    <n v="0"/>
  </r>
  <r>
    <d v="2035-06-25T00:00:00"/>
    <x v="18"/>
    <n v="28.4"/>
    <n v="2.2999999999999998"/>
    <n v="0.65319999999999989"/>
  </r>
  <r>
    <d v="2035-06-26T00:00:00"/>
    <x v="18"/>
    <n v="29.7"/>
    <n v="0"/>
    <n v="0"/>
  </r>
  <r>
    <d v="2035-06-27T00:00:00"/>
    <x v="11"/>
    <n v="11.7"/>
    <n v="6.4"/>
    <n v="0.74879999999999991"/>
  </r>
  <r>
    <d v="2035-06-28T00:00:00"/>
    <x v="18"/>
    <n v="12.8"/>
    <n v="6.9"/>
    <n v="0.8832000000000001"/>
  </r>
  <r>
    <d v="2035-06-29T00:00:00"/>
    <x v="6"/>
    <n v="11"/>
    <n v="0"/>
    <n v="0"/>
  </r>
  <r>
    <d v="2035-06-30T00:00:00"/>
    <x v="29"/>
    <n v="14.7"/>
    <n v="0.5"/>
    <n v="0"/>
  </r>
  <r>
    <d v="2035-07-01T00:00:00"/>
    <x v="22"/>
    <n v="13.2"/>
    <n v="2.5"/>
    <n v="0.33"/>
  </r>
  <r>
    <d v="2035-07-02T00:00:00"/>
    <x v="22"/>
    <n v="28"/>
    <n v="3.8"/>
    <n v="1.0639999999999998"/>
  </r>
  <r>
    <d v="2035-07-03T00:00:00"/>
    <x v="7"/>
    <n v="27.5"/>
    <n v="10.3"/>
    <n v="2.8325"/>
  </r>
  <r>
    <d v="2035-07-04T00:00:00"/>
    <x v="22"/>
    <n v="12.1"/>
    <n v="4.7"/>
    <n v="0.56869999999999998"/>
  </r>
  <r>
    <d v="2035-07-05T00:00:00"/>
    <x v="11"/>
    <n v="24.7"/>
    <n v="7.2"/>
    <n v="1.7784"/>
  </r>
  <r>
    <d v="2035-07-06T00:00:00"/>
    <x v="21"/>
    <n v="27.1"/>
    <n v="2.6"/>
    <n v="0.70460000000000012"/>
  </r>
  <r>
    <d v="2035-07-07T00:00:00"/>
    <x v="3"/>
    <n v="28.7"/>
    <n v="3"/>
    <n v="0.86099999999999999"/>
  </r>
  <r>
    <d v="2035-07-08T00:00:00"/>
    <x v="6"/>
    <n v="15"/>
    <n v="21.4"/>
    <n v="3.21"/>
  </r>
  <r>
    <d v="2035-07-09T00:00:00"/>
    <x v="7"/>
    <n v="11.6"/>
    <n v="3.7"/>
    <n v="0.42920000000000003"/>
  </r>
  <r>
    <d v="2035-07-10T00:00:00"/>
    <x v="6"/>
    <n v="13.1"/>
    <n v="0"/>
    <n v="0"/>
  </r>
  <r>
    <d v="2035-07-11T00:00:00"/>
    <x v="22"/>
    <n v="25.5"/>
    <n v="0"/>
    <n v="0"/>
  </r>
  <r>
    <d v="2035-07-12T00:00:00"/>
    <x v="24"/>
    <n v="19.399999999999999"/>
    <n v="0.7"/>
    <n v="0"/>
  </r>
  <r>
    <d v="2035-07-13T00:00:00"/>
    <x v="3"/>
    <n v="27.3"/>
    <n v="2.6"/>
    <n v="0.70979999999999999"/>
  </r>
  <r>
    <d v="2035-07-14T00:00:00"/>
    <x v="6"/>
    <n v="21"/>
    <n v="27.8"/>
    <n v="5.838000000000001"/>
  </r>
  <r>
    <d v="2035-07-15T00:00:00"/>
    <x v="10"/>
    <n v="11.5"/>
    <n v="0"/>
    <n v="0"/>
  </r>
  <r>
    <d v="2035-07-16T00:00:00"/>
    <x v="17"/>
    <n v="13.6"/>
    <n v="2.7"/>
    <n v="0.36719999999999997"/>
  </r>
  <r>
    <d v="2035-07-17T00:00:00"/>
    <x v="4"/>
    <n v="17.8"/>
    <n v="0.3"/>
    <n v="0"/>
  </r>
  <r>
    <d v="2035-07-18T00:00:00"/>
    <x v="4"/>
    <n v="10.8"/>
    <n v="0"/>
    <n v="0"/>
  </r>
  <r>
    <d v="2035-07-19T00:00:00"/>
    <x v="6"/>
    <n v="23"/>
    <n v="3.3"/>
    <n v="0.7589999999999999"/>
  </r>
  <r>
    <d v="2035-07-20T00:00:00"/>
    <x v="7"/>
    <n v="14"/>
    <n v="18.100000000000001"/>
    <n v="2.5340000000000003"/>
  </r>
  <r>
    <d v="2035-07-21T00:00:00"/>
    <x v="22"/>
    <n v="10.7"/>
    <n v="0.4"/>
    <n v="0"/>
  </r>
  <r>
    <d v="2035-07-22T00:00:00"/>
    <x v="9"/>
    <n v="24.7"/>
    <n v="9.1"/>
    <n v="2.2477"/>
  </r>
  <r>
    <d v="2035-07-23T00:00:00"/>
    <x v="15"/>
    <n v="12.2"/>
    <n v="18.600000000000001"/>
    <n v="2.2692000000000001"/>
  </r>
  <r>
    <d v="2035-07-24T00:00:00"/>
    <x v="2"/>
    <n v="23.8"/>
    <n v="7.7"/>
    <n v="1.8326000000000002"/>
  </r>
  <r>
    <d v="2035-07-25T00:00:00"/>
    <x v="8"/>
    <n v="18.5"/>
    <n v="0"/>
    <n v="0"/>
  </r>
  <r>
    <d v="2035-07-26T00:00:00"/>
    <x v="13"/>
    <n v="24.6"/>
    <n v="0.4"/>
    <n v="0"/>
  </r>
  <r>
    <d v="2035-07-27T00:00:00"/>
    <x v="15"/>
    <n v="24.6"/>
    <n v="10.4"/>
    <n v="2.5584000000000002"/>
  </r>
  <r>
    <d v="2035-07-28T00:00:00"/>
    <x v="8"/>
    <n v="25.4"/>
    <n v="11.2"/>
    <n v="2.8447999999999998"/>
  </r>
  <r>
    <d v="2035-07-29T00:00:00"/>
    <x v="7"/>
    <n v="13.1"/>
    <n v="22.2"/>
    <n v="2.9081999999999999"/>
  </r>
  <r>
    <d v="2035-07-30T00:00:00"/>
    <x v="6"/>
    <n v="10.1"/>
    <n v="11.6"/>
    <n v="1.1716"/>
  </r>
  <r>
    <d v="2035-07-31T00:00:00"/>
    <x v="11"/>
    <n v="25"/>
    <n v="0"/>
    <n v="0"/>
  </r>
  <r>
    <d v="2035-08-01T00:00:00"/>
    <x v="14"/>
    <n v="20.9"/>
    <n v="11.4"/>
    <n v="2.3826000000000001"/>
  </r>
  <r>
    <d v="2035-08-02T00:00:00"/>
    <x v="10"/>
    <n v="27.6"/>
    <n v="2.5"/>
    <n v="0.69"/>
  </r>
  <r>
    <d v="2035-08-03T00:00:00"/>
    <x v="6"/>
    <n v="22.8"/>
    <n v="0"/>
    <n v="0"/>
  </r>
  <r>
    <d v="2035-08-04T00:00:00"/>
    <x v="5"/>
    <n v="12"/>
    <n v="0"/>
    <n v="0"/>
  </r>
  <r>
    <d v="2035-08-05T00:00:00"/>
    <x v="19"/>
    <n v="16.8"/>
    <n v="4.9000000000000004"/>
    <n v="0.82320000000000004"/>
  </r>
  <r>
    <d v="2035-08-06T00:00:00"/>
    <x v="16"/>
    <n v="12.9"/>
    <n v="3"/>
    <n v="0.38700000000000001"/>
  </r>
  <r>
    <d v="2035-08-07T00:00:00"/>
    <x v="6"/>
    <n v="18"/>
    <n v="13.6"/>
    <n v="2.448"/>
  </r>
  <r>
    <d v="2035-08-08T00:00:00"/>
    <x v="15"/>
    <n v="26"/>
    <n v="30.4"/>
    <n v="7.9039999999999999"/>
  </r>
  <r>
    <d v="2035-08-09T00:00:00"/>
    <x v="11"/>
    <n v="21.3"/>
    <n v="0"/>
    <n v="0"/>
  </r>
  <r>
    <d v="2035-08-10T00:00:00"/>
    <x v="7"/>
    <n v="15.7"/>
    <n v="5.9"/>
    <n v="0.9262999999999999"/>
  </r>
  <r>
    <d v="2035-08-11T00:00:00"/>
    <x v="6"/>
    <n v="19.100000000000001"/>
    <n v="0"/>
    <n v="0"/>
  </r>
  <r>
    <d v="2035-08-12T00:00:00"/>
    <x v="15"/>
    <n v="24.6"/>
    <n v="12.3"/>
    <n v="3.0258000000000003"/>
  </r>
  <r>
    <d v="2035-08-13T00:00:00"/>
    <x v="6"/>
    <n v="18.7"/>
    <n v="17.8"/>
    <n v="3.3286000000000002"/>
  </r>
  <r>
    <d v="2035-08-14T00:00:00"/>
    <x v="5"/>
    <n v="13.2"/>
    <n v="3.2"/>
    <n v="0.4224"/>
  </r>
  <r>
    <d v="2035-08-15T00:00:00"/>
    <x v="8"/>
    <n v="24.8"/>
    <n v="2.2999999999999998"/>
    <n v="0.57040000000000002"/>
  </r>
  <r>
    <d v="2035-08-16T00:00:00"/>
    <x v="11"/>
    <n v="19.3"/>
    <n v="1.8"/>
    <n v="0.34740000000000004"/>
  </r>
  <r>
    <d v="2035-08-17T00:00:00"/>
    <x v="14"/>
    <n v="22.7"/>
    <n v="0"/>
    <n v="0"/>
  </r>
  <r>
    <d v="2035-08-18T00:00:00"/>
    <x v="7"/>
    <n v="15.2"/>
    <n v="0"/>
    <n v="0"/>
  </r>
  <r>
    <d v="2035-08-19T00:00:00"/>
    <x v="19"/>
    <n v="28.6"/>
    <n v="0.2"/>
    <n v="0"/>
  </r>
  <r>
    <d v="2035-08-20T00:00:00"/>
    <x v="3"/>
    <n v="17.899999999999999"/>
    <n v="18.600000000000001"/>
    <n v="3.3294000000000001"/>
  </r>
  <r>
    <d v="2035-08-21T00:00:00"/>
    <x v="27"/>
    <n v="11.6"/>
    <n v="0"/>
    <n v="0"/>
  </r>
  <r>
    <d v="2035-08-22T00:00:00"/>
    <x v="17"/>
    <n v="19"/>
    <n v="2.2000000000000002"/>
    <n v="0.41800000000000004"/>
  </r>
  <r>
    <d v="2035-08-23T00:00:00"/>
    <x v="8"/>
    <n v="17.600000000000001"/>
    <n v="7.2"/>
    <n v="1.2672000000000001"/>
  </r>
  <r>
    <d v="2035-08-24T00:00:00"/>
    <x v="3"/>
    <n v="12.1"/>
    <n v="7.2"/>
    <n v="0.87120000000000009"/>
  </r>
  <r>
    <d v="2035-08-25T00:00:00"/>
    <x v="9"/>
    <n v="28.3"/>
    <n v="1.8"/>
    <n v="0.50940000000000007"/>
  </r>
  <r>
    <d v="2035-08-26T00:00:00"/>
    <x v="14"/>
    <n v="13.3"/>
    <n v="0"/>
    <n v="0"/>
  </r>
  <r>
    <d v="2035-08-27T00:00:00"/>
    <x v="7"/>
    <n v="21"/>
    <n v="4.2"/>
    <n v="0.88200000000000001"/>
  </r>
  <r>
    <d v="2035-08-28T00:00:00"/>
    <x v="6"/>
    <n v="12"/>
    <n v="2.2000000000000002"/>
    <n v="0.26400000000000001"/>
  </r>
  <r>
    <d v="2035-08-29T00:00:00"/>
    <x v="15"/>
    <n v="12.1"/>
    <n v="0"/>
    <n v="0"/>
  </r>
  <r>
    <d v="2035-08-30T00:00:00"/>
    <x v="7"/>
    <n v="15.8"/>
    <n v="17.2"/>
    <n v="2.7176"/>
  </r>
  <r>
    <d v="2035-08-31T00:00:00"/>
    <x v="8"/>
    <n v="25.7"/>
    <n v="5.9"/>
    <n v="1.5163"/>
  </r>
  <r>
    <d v="2035-09-01T00:00:00"/>
    <x v="6"/>
    <n v="20.5"/>
    <n v="26"/>
    <n v="5.33"/>
  </r>
  <r>
    <d v="2035-09-02T00:00:00"/>
    <x v="9"/>
    <n v="23.5"/>
    <n v="15.3"/>
    <n v="3.5954999999999999"/>
  </r>
  <r>
    <d v="2035-09-03T00:00:00"/>
    <x v="8"/>
    <n v="21.7"/>
    <n v="1.2"/>
    <n v="0.26039999999999996"/>
  </r>
  <r>
    <d v="2035-09-04T00:00:00"/>
    <x v="6"/>
    <n v="29.8"/>
    <n v="0"/>
    <n v="0"/>
  </r>
  <r>
    <d v="2035-09-05T00:00:00"/>
    <x v="3"/>
    <n v="27.1"/>
    <n v="0"/>
    <n v="0"/>
  </r>
  <r>
    <d v="2035-09-06T00:00:00"/>
    <x v="8"/>
    <n v="27.3"/>
    <n v="0"/>
    <n v="0"/>
  </r>
  <r>
    <d v="2035-09-07T00:00:00"/>
    <x v="15"/>
    <n v="15.5"/>
    <n v="27.6"/>
    <n v="4.2780000000000005"/>
  </r>
  <r>
    <d v="2035-09-08T00:00:00"/>
    <x v="9"/>
    <n v="27.9"/>
    <n v="5.0999999999999996"/>
    <n v="1.4228999999999998"/>
  </r>
  <r>
    <d v="2035-09-09T00:00:00"/>
    <x v="6"/>
    <n v="19.7"/>
    <n v="21.4"/>
    <n v="4.2157999999999998"/>
  </r>
  <r>
    <d v="2035-09-10T00:00:00"/>
    <x v="6"/>
    <n v="27.8"/>
    <n v="27.6"/>
    <n v="7.6728000000000005"/>
  </r>
  <r>
    <d v="2035-09-11T00:00:00"/>
    <x v="18"/>
    <n v="12.3"/>
    <n v="2.9"/>
    <n v="0.35670000000000002"/>
  </r>
  <r>
    <d v="2035-09-12T00:00:00"/>
    <x v="14"/>
    <n v="12.8"/>
    <n v="8.8000000000000007"/>
    <n v="1.1264000000000001"/>
  </r>
  <r>
    <d v="2035-09-13T00:00:00"/>
    <x v="6"/>
    <n v="15"/>
    <n v="0"/>
    <n v="0"/>
  </r>
  <r>
    <d v="2035-09-14T00:00:00"/>
    <x v="19"/>
    <n v="27.6"/>
    <n v="4.7"/>
    <n v="1.2971999999999999"/>
  </r>
  <r>
    <d v="2035-09-15T00:00:00"/>
    <x v="6"/>
    <n v="19.600000000000001"/>
    <n v="0"/>
    <n v="0"/>
  </r>
  <r>
    <d v="2035-09-16T00:00:00"/>
    <x v="26"/>
    <n v="16"/>
    <n v="0.4"/>
    <n v="0"/>
  </r>
  <r>
    <d v="2035-09-17T00:00:00"/>
    <x v="6"/>
    <n v="10.3"/>
    <n v="0"/>
    <n v="0"/>
  </r>
  <r>
    <d v="2035-09-18T00:00:00"/>
    <x v="14"/>
    <n v="20.2"/>
    <n v="13.9"/>
    <n v="2.8077999999999999"/>
  </r>
  <r>
    <d v="2035-09-19T00:00:00"/>
    <x v="22"/>
    <n v="26.4"/>
    <n v="6.8"/>
    <n v="1.7951999999999999"/>
  </r>
  <r>
    <d v="2035-09-20T00:00:00"/>
    <x v="13"/>
    <n v="20.6"/>
    <n v="0"/>
    <n v="0"/>
  </r>
  <r>
    <d v="2035-09-21T00:00:00"/>
    <x v="15"/>
    <n v="12.3"/>
    <n v="0.2"/>
    <n v="0"/>
  </r>
  <r>
    <d v="2035-09-22T00:00:00"/>
    <x v="15"/>
    <n v="11.2"/>
    <n v="36.200000000000003"/>
    <n v="4.0544000000000002"/>
  </r>
  <r>
    <d v="2035-09-23T00:00:00"/>
    <x v="4"/>
    <n v="22.6"/>
    <n v="2.4"/>
    <n v="0.54239999999999999"/>
  </r>
  <r>
    <d v="2035-09-24T00:00:00"/>
    <x v="21"/>
    <n v="16.399999999999999"/>
    <n v="0.1"/>
    <n v="0"/>
  </r>
  <r>
    <d v="2035-09-25T00:00:00"/>
    <x v="23"/>
    <n v="23.4"/>
    <n v="0"/>
    <n v="0"/>
  </r>
  <r>
    <d v="2035-09-26T00:00:00"/>
    <x v="19"/>
    <n v="20.2"/>
    <n v="0.3"/>
    <n v="0"/>
  </r>
  <r>
    <d v="2035-09-27T00:00:00"/>
    <x v="7"/>
    <n v="17.600000000000001"/>
    <n v="15"/>
    <n v="2.64"/>
  </r>
  <r>
    <d v="2035-09-28T00:00:00"/>
    <x v="6"/>
    <n v="21.7"/>
    <n v="33.299999999999997"/>
    <n v="7.2260999999999989"/>
  </r>
  <r>
    <d v="2035-09-29T00:00:00"/>
    <x v="6"/>
    <n v="18.399999999999999"/>
    <n v="19.3"/>
    <n v="3.5512000000000001"/>
  </r>
  <r>
    <d v="2035-09-30T00:00:00"/>
    <x v="3"/>
    <n v="20.100000000000001"/>
    <n v="15.4"/>
    <n v="3.0954000000000002"/>
  </r>
  <r>
    <d v="2035-10-01T00:00:00"/>
    <x v="14"/>
    <n v="16.5"/>
    <n v="14.7"/>
    <n v="2.4255"/>
  </r>
  <r>
    <d v="2035-10-02T00:00:00"/>
    <x v="6"/>
    <n v="12.3"/>
    <n v="30.2"/>
    <n v="3.7146000000000003"/>
  </r>
  <r>
    <d v="2035-10-03T00:00:00"/>
    <x v="6"/>
    <n v="29.6"/>
    <n v="42.8"/>
    <n v="12.668799999999999"/>
  </r>
  <r>
    <d v="2035-10-04T00:00:00"/>
    <x v="8"/>
    <n v="26.6"/>
    <n v="9.1999999999999993"/>
    <n v="2.4472"/>
  </r>
  <r>
    <d v="2035-10-05T00:00:00"/>
    <x v="14"/>
    <n v="26.7"/>
    <n v="4"/>
    <n v="1.0680000000000001"/>
  </r>
  <r>
    <d v="2035-10-06T00:00:00"/>
    <x v="11"/>
    <n v="23.6"/>
    <n v="0"/>
    <n v="0"/>
  </r>
  <r>
    <d v="2035-10-07T00:00:00"/>
    <x v="21"/>
    <n v="13.6"/>
    <n v="2.8"/>
    <n v="0.38079999999999997"/>
  </r>
  <r>
    <d v="2035-10-08T00:00:00"/>
    <x v="1"/>
    <n v="13.8"/>
    <n v="6.5"/>
    <n v="0.89700000000000002"/>
  </r>
  <r>
    <d v="2035-10-09T00:00:00"/>
    <x v="2"/>
    <n v="12.3"/>
    <n v="0"/>
    <n v="0"/>
  </r>
  <r>
    <d v="2035-10-10T00:00:00"/>
    <x v="3"/>
    <n v="12.3"/>
    <n v="0"/>
    <n v="0"/>
  </r>
  <r>
    <d v="2035-10-11T00:00:00"/>
    <x v="14"/>
    <n v="22.7"/>
    <n v="10.3"/>
    <n v="2.3380999999999998"/>
  </r>
  <r>
    <d v="2035-10-12T00:00:00"/>
    <x v="6"/>
    <n v="19"/>
    <n v="0"/>
    <n v="0"/>
  </r>
  <r>
    <d v="2035-10-13T00:00:00"/>
    <x v="4"/>
    <n v="23.4"/>
    <n v="0"/>
    <n v="0"/>
  </r>
  <r>
    <d v="2035-10-14T00:00:00"/>
    <x v="11"/>
    <n v="28.2"/>
    <n v="0"/>
    <n v="0"/>
  </r>
  <r>
    <d v="2035-10-15T00:00:00"/>
    <x v="11"/>
    <n v="20.100000000000001"/>
    <n v="9.6999999999999993"/>
    <n v="1.9497"/>
  </r>
  <r>
    <d v="2035-10-16T00:00:00"/>
    <x v="13"/>
    <n v="29.6"/>
    <n v="0"/>
    <n v="0"/>
  </r>
  <r>
    <d v="2035-10-17T00:00:00"/>
    <x v="3"/>
    <n v="25.8"/>
    <n v="0"/>
    <n v="0"/>
  </r>
  <r>
    <d v="2035-10-18T00:00:00"/>
    <x v="6"/>
    <n v="19.600000000000001"/>
    <n v="18.5"/>
    <n v="3.6260000000000003"/>
  </r>
  <r>
    <d v="2035-10-19T00:00:00"/>
    <x v="15"/>
    <n v="21.5"/>
    <n v="3"/>
    <n v="0.64500000000000002"/>
  </r>
  <r>
    <d v="2035-10-20T00:00:00"/>
    <x v="11"/>
    <n v="24.2"/>
    <n v="17.399999999999999"/>
    <n v="4.210799999999999"/>
  </r>
  <r>
    <d v="2035-10-21T00:00:00"/>
    <x v="23"/>
    <n v="12"/>
    <n v="0"/>
    <n v="0"/>
  </r>
  <r>
    <d v="2035-10-22T00:00:00"/>
    <x v="29"/>
    <n v="23"/>
    <n v="0"/>
    <n v="0"/>
  </r>
  <r>
    <d v="2035-10-23T00:00:00"/>
    <x v="15"/>
    <n v="19.8"/>
    <n v="29.2"/>
    <n v="5.7816000000000001"/>
  </r>
  <r>
    <d v="2035-10-24T00:00:00"/>
    <x v="1"/>
    <n v="14.9"/>
    <n v="0.8"/>
    <n v="0"/>
  </r>
  <r>
    <d v="2035-10-25T00:00:00"/>
    <x v="11"/>
    <n v="17.899999999999999"/>
    <n v="10.3"/>
    <n v="1.8437000000000001"/>
  </r>
  <r>
    <d v="2035-10-26T00:00:00"/>
    <x v="3"/>
    <n v="26"/>
    <n v="0"/>
    <n v="0"/>
  </r>
  <r>
    <d v="2035-10-27T00:00:00"/>
    <x v="8"/>
    <n v="21.5"/>
    <n v="9.3000000000000007"/>
    <n v="1.9995000000000003"/>
  </r>
  <r>
    <d v="2035-10-28T00:00:00"/>
    <x v="15"/>
    <n v="29.9"/>
    <n v="2.4"/>
    <n v="0.7175999999999999"/>
  </r>
  <r>
    <d v="2035-10-29T00:00:00"/>
    <x v="6"/>
    <n v="12.3"/>
    <n v="35.1"/>
    <n v="4.3173000000000004"/>
  </r>
  <r>
    <d v="2035-10-30T00:00:00"/>
    <x v="13"/>
    <n v="21.7"/>
    <n v="3.9"/>
    <n v="0.84629999999999994"/>
  </r>
  <r>
    <d v="2035-10-31T00:00:00"/>
    <x v="6"/>
    <n v="10.7"/>
    <n v="0"/>
    <n v="0"/>
  </r>
  <r>
    <d v="2035-11-01T00:00:00"/>
    <x v="1"/>
    <n v="21.5"/>
    <n v="0"/>
    <n v="0"/>
  </r>
  <r>
    <d v="2035-11-02T00:00:00"/>
    <x v="6"/>
    <n v="26"/>
    <n v="33.799999999999997"/>
    <n v="8.7880000000000003"/>
  </r>
  <r>
    <d v="2035-11-03T00:00:00"/>
    <x v="11"/>
    <n v="24.4"/>
    <n v="15.4"/>
    <n v="3.7576000000000001"/>
  </r>
  <r>
    <d v="2035-11-04T00:00:00"/>
    <x v="1"/>
    <n v="20.8"/>
    <n v="0"/>
    <n v="0"/>
  </r>
  <r>
    <d v="2035-11-05T00:00:00"/>
    <x v="9"/>
    <n v="18.2"/>
    <n v="15.7"/>
    <n v="2.8573999999999997"/>
  </r>
  <r>
    <d v="2035-11-06T00:00:00"/>
    <x v="13"/>
    <n v="25.6"/>
    <n v="7"/>
    <n v="1.7920000000000003"/>
  </r>
  <r>
    <d v="2035-11-07T00:00:00"/>
    <x v="7"/>
    <n v="25.2"/>
    <n v="0"/>
    <n v="0"/>
  </r>
  <r>
    <d v="2035-11-08T00:00:00"/>
    <x v="8"/>
    <n v="19.5"/>
    <n v="5.3"/>
    <n v="1.0334999999999999"/>
  </r>
  <r>
    <d v="2035-11-09T00:00:00"/>
    <x v="20"/>
    <n v="15.2"/>
    <n v="2.1"/>
    <n v="0.31919999999999998"/>
  </r>
  <r>
    <d v="2035-11-10T00:00:00"/>
    <x v="11"/>
    <n v="21.3"/>
    <n v="11.4"/>
    <n v="2.4282000000000004"/>
  </r>
  <r>
    <d v="2035-11-11T00:00:00"/>
    <x v="11"/>
    <n v="21.8"/>
    <n v="17.399999999999999"/>
    <n v="3.7932000000000001"/>
  </r>
  <r>
    <d v="2035-11-12T00:00:00"/>
    <x v="12"/>
    <n v="27.7"/>
    <n v="0.5"/>
    <n v="0"/>
  </r>
  <r>
    <d v="2035-11-13T00:00:00"/>
    <x v="6"/>
    <n v="28.5"/>
    <n v="46"/>
    <n v="13.11"/>
  </r>
  <r>
    <d v="2035-11-14T00:00:00"/>
    <x v="23"/>
    <n v="25.7"/>
    <n v="0"/>
    <n v="0"/>
  </r>
  <r>
    <d v="2035-11-15T00:00:00"/>
    <x v="6"/>
    <n v="18"/>
    <n v="0.5"/>
    <n v="0"/>
  </r>
  <r>
    <d v="2035-11-16T00:00:00"/>
    <x v="2"/>
    <n v="29.5"/>
    <n v="0"/>
    <n v="0"/>
  </r>
  <r>
    <d v="2035-11-17T00:00:00"/>
    <x v="14"/>
    <n v="21"/>
    <n v="10.3"/>
    <n v="2.1630000000000003"/>
  </r>
  <r>
    <d v="2035-11-18T00:00:00"/>
    <x v="16"/>
    <n v="11.4"/>
    <n v="3.2"/>
    <n v="0.36480000000000001"/>
  </r>
  <r>
    <d v="2035-11-19T00:00:00"/>
    <x v="6"/>
    <n v="12.7"/>
    <n v="0"/>
    <n v="0"/>
  </r>
  <r>
    <d v="2035-11-20T00:00:00"/>
    <x v="1"/>
    <n v="14.1"/>
    <n v="6.2"/>
    <n v="0.87419999999999998"/>
  </r>
  <r>
    <d v="2035-11-21T00:00:00"/>
    <x v="6"/>
    <n v="29.5"/>
    <n v="29.9"/>
    <n v="8.8204999999999991"/>
  </r>
  <r>
    <d v="2035-11-22T00:00:00"/>
    <x v="18"/>
    <n v="18.399999999999999"/>
    <n v="0"/>
    <n v="0"/>
  </r>
  <r>
    <d v="2035-11-23T00:00:00"/>
    <x v="6"/>
    <n v="29.6"/>
    <n v="43.9"/>
    <n v="12.994400000000001"/>
  </r>
  <r>
    <d v="2035-11-24T00:00:00"/>
    <x v="11"/>
    <n v="22.6"/>
    <n v="14.6"/>
    <n v="3.2996000000000003"/>
  </r>
  <r>
    <d v="2035-11-25T00:00:00"/>
    <x v="10"/>
    <n v="13.2"/>
    <n v="6.7"/>
    <n v="0.88439999999999996"/>
  </r>
  <r>
    <d v="2035-11-26T00:00:00"/>
    <x v="2"/>
    <n v="10.4"/>
    <n v="8.5"/>
    <n v="0.88400000000000001"/>
  </r>
  <r>
    <d v="2035-11-27T00:00:00"/>
    <x v="9"/>
    <n v="16.899999999999999"/>
    <n v="16.399999999999999"/>
    <n v="2.7715999999999998"/>
  </r>
  <r>
    <d v="2035-11-28T00:00:00"/>
    <x v="11"/>
    <n v="19.399999999999999"/>
    <n v="0"/>
    <n v="0"/>
  </r>
  <r>
    <d v="2035-11-29T00:00:00"/>
    <x v="20"/>
    <n v="16.899999999999999"/>
    <n v="1"/>
    <n v="0.16899999999999998"/>
  </r>
  <r>
    <d v="2035-11-30T00:00:00"/>
    <x v="6"/>
    <n v="18.399999999999999"/>
    <n v="0"/>
    <n v="0"/>
  </r>
  <r>
    <d v="2035-12-01T00:00:00"/>
    <x v="11"/>
    <n v="13.4"/>
    <n v="12.8"/>
    <n v="1.7152000000000001"/>
  </r>
  <r>
    <d v="2035-12-02T00:00:00"/>
    <x v="3"/>
    <n v="28.8"/>
    <n v="0"/>
    <n v="0"/>
  </r>
  <r>
    <d v="2035-12-03T00:00:00"/>
    <x v="9"/>
    <n v="19.5"/>
    <n v="1.3"/>
    <n v="0.2535"/>
  </r>
  <r>
    <d v="2035-12-04T00:00:00"/>
    <x v="7"/>
    <n v="29"/>
    <n v="14"/>
    <n v="4.0599999999999996"/>
  </r>
  <r>
    <d v="2035-12-05T00:00:00"/>
    <x v="6"/>
    <n v="29.6"/>
    <n v="28.7"/>
    <n v="8.4952000000000005"/>
  </r>
  <r>
    <d v="2035-12-06T00:00:00"/>
    <x v="2"/>
    <n v="26.5"/>
    <n v="0"/>
    <n v="0"/>
  </r>
  <r>
    <d v="2035-12-07T00:00:00"/>
    <x v="14"/>
    <n v="24.8"/>
    <n v="12.1"/>
    <n v="3.0007999999999999"/>
  </r>
  <r>
    <d v="2035-12-08T00:00:00"/>
    <x v="6"/>
    <n v="20"/>
    <n v="14.7"/>
    <n v="2.94"/>
  </r>
  <r>
    <d v="2035-12-09T00:00:00"/>
    <x v="15"/>
    <n v="16.899999999999999"/>
    <n v="38.299999999999997"/>
    <n v="6.4726999999999988"/>
  </r>
  <r>
    <d v="2035-12-10T00:00:00"/>
    <x v="6"/>
    <n v="11.5"/>
    <n v="24.7"/>
    <n v="2.8405"/>
  </r>
  <r>
    <d v="2035-12-11T00:00:00"/>
    <x v="9"/>
    <n v="11.4"/>
    <n v="0"/>
    <n v="0"/>
  </r>
  <r>
    <d v="2035-12-12T00:00:00"/>
    <x v="2"/>
    <n v="28.5"/>
    <n v="0"/>
    <n v="0"/>
  </r>
  <r>
    <d v="2035-12-13T00:00:00"/>
    <x v="18"/>
    <n v="27.9"/>
    <n v="0.7"/>
    <n v="0"/>
  </r>
  <r>
    <d v="2035-12-14T00:00:00"/>
    <x v="3"/>
    <n v="26.7"/>
    <n v="15.5"/>
    <n v="4.1384999999999996"/>
  </r>
  <r>
    <d v="2035-12-15T00:00:00"/>
    <x v="14"/>
    <n v="28.3"/>
    <n v="6.8"/>
    <n v="1.9243999999999999"/>
  </r>
  <r>
    <d v="2035-12-16T00:00:00"/>
    <x v="6"/>
    <n v="28.9"/>
    <n v="0"/>
    <n v="0"/>
  </r>
  <r>
    <d v="2035-12-17T00:00:00"/>
    <x v="16"/>
    <n v="21.6"/>
    <n v="4"/>
    <n v="0.8640000000000001"/>
  </r>
  <r>
    <d v="2035-12-18T00:00:00"/>
    <x v="19"/>
    <n v="16.5"/>
    <n v="4.2"/>
    <n v="0.69299999999999995"/>
  </r>
  <r>
    <d v="2035-12-19T00:00:00"/>
    <x v="9"/>
    <n v="24.6"/>
    <n v="10.6"/>
    <n v="2.6075999999999997"/>
  </r>
  <r>
    <d v="2035-12-20T00:00:00"/>
    <x v="6"/>
    <n v="28.9"/>
    <n v="40.799999999999997"/>
    <n v="11.791199999999998"/>
  </r>
  <r>
    <d v="2035-12-21T00:00:00"/>
    <x v="6"/>
    <n v="22.1"/>
    <n v="10"/>
    <n v="2.21"/>
  </r>
  <r>
    <d v="2035-12-22T00:00:00"/>
    <x v="17"/>
    <n v="29.3"/>
    <n v="0"/>
    <n v="0"/>
  </r>
  <r>
    <d v="2035-12-23T00:00:00"/>
    <x v="14"/>
    <n v="18.8"/>
    <n v="4.7"/>
    <n v="0.88360000000000016"/>
  </r>
  <r>
    <d v="2035-12-24T00:00:00"/>
    <x v="15"/>
    <n v="26.5"/>
    <n v="7.3"/>
    <n v="1.9344999999999999"/>
  </r>
  <r>
    <d v="2035-12-25T00:00:00"/>
    <x v="7"/>
    <n v="24"/>
    <n v="0"/>
    <n v="0"/>
  </r>
  <r>
    <d v="2035-12-26T00:00:00"/>
    <x v="15"/>
    <n v="21"/>
    <n v="12.2"/>
    <n v="2.5619999999999998"/>
  </r>
  <r>
    <d v="2035-12-27T00:00:00"/>
    <x v="13"/>
    <n v="28.1"/>
    <n v="6.7"/>
    <n v="1.8827"/>
  </r>
  <r>
    <d v="2035-12-28T00:00:00"/>
    <x v="10"/>
    <n v="23.3"/>
    <n v="4.8"/>
    <n v="1.1184000000000001"/>
  </r>
  <r>
    <d v="2035-12-29T00:00:00"/>
    <x v="13"/>
    <n v="14.3"/>
    <n v="1.5"/>
    <n v="0.21450000000000002"/>
  </r>
  <r>
    <d v="2035-12-30T00:00:00"/>
    <x v="21"/>
    <n v="12.6"/>
    <n v="1.1000000000000001"/>
    <n v="0.1386"/>
  </r>
  <r>
    <d v="2035-12-31T00:00:00"/>
    <x v="15"/>
    <n v="18.100000000000001"/>
    <n v="0"/>
    <n v="0"/>
  </r>
  <r>
    <d v="2036-01-01T00:00:00"/>
    <x v="11"/>
    <n v="19"/>
    <n v="11"/>
    <n v="2.09"/>
  </r>
  <r>
    <d v="2036-01-02T00:00:00"/>
    <x v="10"/>
    <n v="13.1"/>
    <n v="0"/>
    <n v="0"/>
  </r>
  <r>
    <d v="2036-01-03T00:00:00"/>
    <x v="9"/>
    <n v="17.3"/>
    <n v="1.1000000000000001"/>
    <n v="0.19030000000000002"/>
  </r>
  <r>
    <d v="2036-01-04T00:00:00"/>
    <x v="13"/>
    <n v="23.7"/>
    <n v="5.9"/>
    <n v="1.3983000000000001"/>
  </r>
  <r>
    <d v="2036-01-05T00:00:00"/>
    <x v="29"/>
    <n v="26.3"/>
    <n v="0"/>
    <n v="0"/>
  </r>
  <r>
    <d v="2036-01-06T00:00:00"/>
    <x v="11"/>
    <n v="16.399999999999999"/>
    <n v="0"/>
    <n v="0"/>
  </r>
  <r>
    <d v="2036-01-07T00:00:00"/>
    <x v="5"/>
    <n v="13"/>
    <n v="0"/>
    <n v="0"/>
  </r>
  <r>
    <d v="2036-01-08T00:00:00"/>
    <x v="7"/>
    <n v="28.6"/>
    <n v="1"/>
    <n v="0.28600000000000003"/>
  </r>
  <r>
    <d v="2036-01-09T00:00:00"/>
    <x v="6"/>
    <n v="11.1"/>
    <n v="2.4"/>
    <n v="0.26639999999999997"/>
  </r>
  <r>
    <d v="2036-01-10T00:00:00"/>
    <x v="20"/>
    <n v="12.9"/>
    <n v="2.9"/>
    <n v="0.37409999999999999"/>
  </r>
  <r>
    <d v="2036-01-11T00:00:00"/>
    <x v="26"/>
    <n v="28.4"/>
    <n v="0.9"/>
    <n v="0"/>
  </r>
  <r>
    <d v="2036-01-12T00:00:00"/>
    <x v="15"/>
    <n v="21.8"/>
    <n v="3.4"/>
    <n v="0.74120000000000008"/>
  </r>
  <r>
    <d v="2036-01-13T00:00:00"/>
    <x v="2"/>
    <n v="20.8"/>
    <n v="11.8"/>
    <n v="2.4544000000000001"/>
  </r>
  <r>
    <d v="2036-01-14T00:00:00"/>
    <x v="9"/>
    <n v="17.399999999999999"/>
    <n v="0"/>
    <n v="0"/>
  </r>
  <r>
    <d v="2036-01-15T00:00:00"/>
    <x v="2"/>
    <n v="24.8"/>
    <n v="0"/>
    <n v="0"/>
  </r>
  <r>
    <d v="2036-01-16T00:00:00"/>
    <x v="5"/>
    <n v="12.9"/>
    <n v="0"/>
    <n v="0"/>
  </r>
  <r>
    <d v="2036-01-17T00:00:00"/>
    <x v="13"/>
    <n v="25.9"/>
    <n v="0"/>
    <n v="0"/>
  </r>
  <r>
    <d v="2036-01-18T00:00:00"/>
    <x v="6"/>
    <n v="11.5"/>
    <n v="23.2"/>
    <n v="2.6680000000000001"/>
  </r>
  <r>
    <d v="2036-01-19T00:00:00"/>
    <x v="16"/>
    <n v="25.5"/>
    <n v="0"/>
    <n v="0"/>
  </r>
  <r>
    <d v="2036-01-20T00:00:00"/>
    <x v="29"/>
    <n v="22.6"/>
    <n v="2.2000000000000002"/>
    <n v="0.49720000000000009"/>
  </r>
  <r>
    <d v="2036-01-21T00:00:00"/>
    <x v="6"/>
    <n v="14.2"/>
    <n v="0"/>
    <n v="0"/>
  </r>
  <r>
    <d v="2036-01-22T00:00:00"/>
    <x v="9"/>
    <n v="26.9"/>
    <n v="9.1999999999999993"/>
    <n v="2.4747999999999997"/>
  </r>
  <r>
    <d v="2036-01-23T00:00:00"/>
    <x v="15"/>
    <n v="30"/>
    <n v="32.299999999999997"/>
    <n v="9.69"/>
  </r>
  <r>
    <d v="2036-01-24T00:00:00"/>
    <x v="23"/>
    <n v="16.2"/>
    <n v="5.2"/>
    <n v="0.84239999999999993"/>
  </r>
  <r>
    <d v="2036-01-25T00:00:00"/>
    <x v="7"/>
    <n v="12.2"/>
    <n v="0"/>
    <n v="0"/>
  </r>
  <r>
    <d v="2036-01-26T00:00:00"/>
    <x v="11"/>
    <n v="28.7"/>
    <n v="0.5"/>
    <n v="0"/>
  </r>
  <r>
    <d v="2036-01-27T00:00:00"/>
    <x v="2"/>
    <n v="23.3"/>
    <n v="11.1"/>
    <n v="2.5863"/>
  </r>
  <r>
    <d v="2036-01-28T00:00:00"/>
    <x v="11"/>
    <n v="30"/>
    <n v="16.100000000000001"/>
    <n v="4.830000000000001"/>
  </r>
  <r>
    <d v="2036-01-29T00:00:00"/>
    <x v="14"/>
    <n v="16"/>
    <n v="9.8000000000000007"/>
    <n v="1.5680000000000001"/>
  </r>
  <r>
    <d v="2036-01-30T00:00:00"/>
    <x v="16"/>
    <n v="21.6"/>
    <n v="3.4"/>
    <n v="0.73439999999999994"/>
  </r>
  <r>
    <d v="2036-01-31T00:00:00"/>
    <x v="15"/>
    <n v="27.9"/>
    <n v="4.8"/>
    <n v="1.3391999999999999"/>
  </r>
  <r>
    <d v="2036-02-01T00:00:00"/>
    <x v="9"/>
    <n v="17.5"/>
    <n v="14.7"/>
    <n v="2.5724999999999998"/>
  </r>
  <r>
    <d v="2036-02-02T00:00:00"/>
    <x v="3"/>
    <n v="20.7"/>
    <n v="0"/>
    <n v="0"/>
  </r>
  <r>
    <d v="2036-02-03T00:00:00"/>
    <x v="6"/>
    <n v="10.8"/>
    <n v="36.4"/>
    <n v="3.9312"/>
  </r>
  <r>
    <d v="2036-02-04T00:00:00"/>
    <x v="15"/>
    <n v="27.6"/>
    <n v="32.799999999999997"/>
    <n v="9.0527999999999995"/>
  </r>
  <r>
    <d v="2036-02-05T00:00:00"/>
    <x v="7"/>
    <n v="10.8"/>
    <n v="11.6"/>
    <n v="1.2527999999999999"/>
  </r>
  <r>
    <d v="2036-02-06T00:00:00"/>
    <x v="13"/>
    <n v="13.7"/>
    <n v="0"/>
    <n v="0"/>
  </r>
  <r>
    <d v="2036-02-07T00:00:00"/>
    <x v="14"/>
    <n v="19.5"/>
    <n v="0"/>
    <n v="0"/>
  </r>
  <r>
    <d v="2036-02-08T00:00:00"/>
    <x v="5"/>
    <n v="21.6"/>
    <n v="11.6"/>
    <n v="2.5055999999999998"/>
  </r>
  <r>
    <d v="2036-02-09T00:00:00"/>
    <x v="13"/>
    <n v="21.6"/>
    <n v="2.7"/>
    <n v="0.58320000000000005"/>
  </r>
  <r>
    <d v="2036-02-10T00:00:00"/>
    <x v="20"/>
    <n v="16.100000000000001"/>
    <n v="0"/>
    <n v="0"/>
  </r>
  <r>
    <d v="2036-02-11T00:00:00"/>
    <x v="2"/>
    <n v="29.4"/>
    <n v="12.5"/>
    <n v="3.6749999999999998"/>
  </r>
  <r>
    <d v="2036-02-12T00:00:00"/>
    <x v="22"/>
    <n v="17.8"/>
    <n v="5.9"/>
    <n v="1.0502"/>
  </r>
  <r>
    <d v="2036-02-13T00:00:00"/>
    <x v="15"/>
    <n v="26.1"/>
    <n v="14.8"/>
    <n v="3.8628000000000005"/>
  </r>
  <r>
    <d v="2036-02-14T00:00:00"/>
    <x v="6"/>
    <n v="13.8"/>
    <n v="0"/>
    <n v="0"/>
  </r>
  <r>
    <d v="2036-02-15T00:00:00"/>
    <x v="8"/>
    <n v="16.100000000000001"/>
    <n v="6.2"/>
    <n v="0.99820000000000009"/>
  </r>
  <r>
    <d v="2036-02-16T00:00:00"/>
    <x v="6"/>
    <n v="23.2"/>
    <n v="45.8"/>
    <n v="10.625599999999999"/>
  </r>
  <r>
    <d v="2036-02-17T00:00:00"/>
    <x v="8"/>
    <n v="18.899999999999999"/>
    <n v="0"/>
    <n v="0"/>
  </r>
  <r>
    <d v="2036-02-18T00:00:00"/>
    <x v="15"/>
    <n v="28.9"/>
    <n v="34.1"/>
    <n v="9.8549000000000007"/>
  </r>
  <r>
    <d v="2036-02-19T00:00:00"/>
    <x v="6"/>
    <n v="19.3"/>
    <n v="49.6"/>
    <n v="9.5728000000000009"/>
  </r>
  <r>
    <d v="2036-02-20T00:00:00"/>
    <x v="14"/>
    <n v="23.9"/>
    <n v="11.7"/>
    <n v="2.7962999999999996"/>
  </r>
  <r>
    <d v="2036-02-21T00:00:00"/>
    <x v="9"/>
    <n v="28.6"/>
    <n v="11.5"/>
    <n v="3.2890000000000001"/>
  </r>
  <r>
    <d v="2036-02-22T00:00:00"/>
    <x v="22"/>
    <n v="14.5"/>
    <n v="0.3"/>
    <n v="0"/>
  </r>
  <r>
    <d v="2036-02-23T00:00:00"/>
    <x v="6"/>
    <n v="13"/>
    <n v="0"/>
    <n v="0"/>
  </r>
  <r>
    <d v="2036-02-24T00:00:00"/>
    <x v="15"/>
    <n v="16.2"/>
    <n v="9.1999999999999993"/>
    <n v="1.4903999999999999"/>
  </r>
  <r>
    <d v="2036-02-25T00:00:00"/>
    <x v="11"/>
    <n v="27.1"/>
    <n v="6.3"/>
    <n v="1.7073000000000003"/>
  </r>
  <r>
    <d v="2036-02-26T00:00:00"/>
    <x v="6"/>
    <n v="15.6"/>
    <n v="28"/>
    <n v="4.3680000000000003"/>
  </r>
  <r>
    <d v="2036-02-27T00:00:00"/>
    <x v="22"/>
    <n v="28.9"/>
    <n v="6.8"/>
    <n v="1.9651999999999998"/>
  </r>
  <r>
    <d v="2036-02-28T00:00:00"/>
    <x v="2"/>
    <n v="13.8"/>
    <n v="11.9"/>
    <n v="1.6422000000000003"/>
  </r>
  <r>
    <d v="2036-02-29T00:00:00"/>
    <x v="2"/>
    <n v="17.8"/>
    <n v="1.5"/>
    <n v="0.26700000000000002"/>
  </r>
  <r>
    <d v="2036-03-01T00:00:00"/>
    <x v="18"/>
    <n v="25.1"/>
    <n v="0"/>
    <n v="0"/>
  </r>
  <r>
    <d v="2036-03-02T00:00:00"/>
    <x v="18"/>
    <n v="29.5"/>
    <n v="0"/>
    <n v="0"/>
  </r>
  <r>
    <d v="2036-03-03T00:00:00"/>
    <x v="22"/>
    <n v="16.100000000000001"/>
    <n v="7.1"/>
    <n v="1.1431"/>
  </r>
  <r>
    <d v="2036-03-04T00:00:00"/>
    <x v="5"/>
    <n v="18"/>
    <n v="12"/>
    <n v="2.16"/>
  </r>
  <r>
    <d v="2036-03-05T00:00:00"/>
    <x v="6"/>
    <n v="12.2"/>
    <n v="26.8"/>
    <n v="3.2695999999999996"/>
  </r>
  <r>
    <d v="2036-03-06T00:00:00"/>
    <x v="10"/>
    <n v="20.7"/>
    <n v="4.7"/>
    <n v="0.9729000000000001"/>
  </r>
  <r>
    <d v="2036-03-07T00:00:00"/>
    <x v="6"/>
    <n v="20.100000000000001"/>
    <n v="47.4"/>
    <n v="9.5274000000000001"/>
  </r>
  <r>
    <d v="2036-03-08T00:00:00"/>
    <x v="6"/>
    <n v="14.9"/>
    <n v="43.8"/>
    <n v="6.5262000000000002"/>
  </r>
  <r>
    <d v="2036-03-09T00:00:00"/>
    <x v="6"/>
    <n v="19"/>
    <n v="0"/>
    <n v="0"/>
  </r>
  <r>
    <d v="2036-03-10T00:00:00"/>
    <x v="2"/>
    <n v="12.5"/>
    <n v="0"/>
    <n v="0"/>
  </r>
  <r>
    <d v="2036-03-11T00:00:00"/>
    <x v="9"/>
    <n v="15.2"/>
    <n v="13.9"/>
    <n v="2.1128"/>
  </r>
  <r>
    <d v="2036-03-12T00:00:00"/>
    <x v="15"/>
    <n v="29.2"/>
    <n v="26.8"/>
    <n v="7.8255999999999997"/>
  </r>
  <r>
    <d v="2036-03-13T00:00:00"/>
    <x v="2"/>
    <n v="13.9"/>
    <n v="1.1000000000000001"/>
    <n v="0.15290000000000001"/>
  </r>
  <r>
    <d v="2036-03-14T00:00:00"/>
    <x v="11"/>
    <n v="11.4"/>
    <n v="0"/>
    <n v="0"/>
  </r>
  <r>
    <d v="2036-03-15T00:00:00"/>
    <x v="5"/>
    <n v="15.8"/>
    <n v="7"/>
    <n v="1.1060000000000001"/>
  </r>
  <r>
    <d v="2036-03-16T00:00:00"/>
    <x v="6"/>
    <n v="10.199999999999999"/>
    <n v="43.3"/>
    <n v="4.4165999999999999"/>
  </r>
  <r>
    <d v="2036-03-17T00:00:00"/>
    <x v="9"/>
    <n v="19.600000000000001"/>
    <n v="8.9"/>
    <n v="1.7444000000000002"/>
  </r>
  <r>
    <d v="2036-03-18T00:00:00"/>
    <x v="2"/>
    <n v="15.5"/>
    <n v="10.1"/>
    <n v="1.5654999999999999"/>
  </r>
  <r>
    <d v="2036-03-19T00:00:00"/>
    <x v="11"/>
    <n v="19.899999999999999"/>
    <n v="16.2"/>
    <n v="3.2237999999999993"/>
  </r>
  <r>
    <d v="2036-03-20T00:00:00"/>
    <x v="14"/>
    <n v="10.7"/>
    <n v="2.8"/>
    <n v="0.29959999999999998"/>
  </r>
  <r>
    <d v="2036-03-21T00:00:00"/>
    <x v="22"/>
    <n v="11.5"/>
    <n v="5.9"/>
    <n v="0.6785000000000001"/>
  </r>
  <r>
    <d v="2036-03-22T00:00:00"/>
    <x v="10"/>
    <n v="28.4"/>
    <n v="1"/>
    <n v="0.28399999999999997"/>
  </r>
  <r>
    <d v="2036-03-23T00:00:00"/>
    <x v="15"/>
    <n v="22.3"/>
    <n v="5.0999999999999996"/>
    <n v="1.1373"/>
  </r>
  <r>
    <d v="2036-03-24T00:00:00"/>
    <x v="9"/>
    <n v="28.7"/>
    <n v="11.5"/>
    <n v="3.3005"/>
  </r>
  <r>
    <d v="2036-03-25T00:00:00"/>
    <x v="2"/>
    <n v="19.100000000000001"/>
    <n v="0"/>
    <n v="0"/>
  </r>
  <r>
    <d v="2036-03-26T00:00:00"/>
    <x v="6"/>
    <n v="10.199999999999999"/>
    <n v="7.6"/>
    <n v="0.7752"/>
  </r>
  <r>
    <d v="2036-03-27T00:00:00"/>
    <x v="6"/>
    <n v="18.399999999999999"/>
    <n v="0"/>
    <n v="0"/>
  </r>
  <r>
    <d v="2036-03-28T00:00:00"/>
    <x v="15"/>
    <n v="29.3"/>
    <n v="0"/>
    <n v="0"/>
  </r>
  <r>
    <d v="2036-03-29T00:00:00"/>
    <x v="13"/>
    <n v="26.7"/>
    <n v="5.7"/>
    <n v="1.5219"/>
  </r>
  <r>
    <d v="2036-03-30T00:00:00"/>
    <x v="4"/>
    <n v="22.2"/>
    <n v="0.9"/>
    <n v="0"/>
  </r>
  <r>
    <d v="2036-03-31T00:00:00"/>
    <x v="9"/>
    <n v="25.5"/>
    <n v="5.8"/>
    <n v="1.4790000000000001"/>
  </r>
  <r>
    <d v="2036-04-01T00:00:00"/>
    <x v="15"/>
    <n v="23.5"/>
    <n v="32"/>
    <n v="7.52"/>
  </r>
  <r>
    <d v="2036-04-02T00:00:00"/>
    <x v="1"/>
    <n v="28.4"/>
    <n v="5.7"/>
    <n v="1.6188"/>
  </r>
  <r>
    <d v="2036-04-03T00:00:00"/>
    <x v="18"/>
    <n v="13.7"/>
    <n v="6"/>
    <n v="0.82199999999999984"/>
  </r>
  <r>
    <d v="2036-04-04T00:00:00"/>
    <x v="5"/>
    <n v="22.1"/>
    <n v="11.7"/>
    <n v="2.5857000000000001"/>
  </r>
  <r>
    <d v="2036-04-05T00:00:00"/>
    <x v="7"/>
    <n v="16.899999999999999"/>
    <n v="18.2"/>
    <n v="3.0757999999999996"/>
  </r>
  <r>
    <d v="2036-04-06T00:00:00"/>
    <x v="18"/>
    <n v="28"/>
    <n v="0"/>
    <n v="0"/>
  </r>
  <r>
    <d v="2036-04-07T00:00:00"/>
    <x v="6"/>
    <n v="13.5"/>
    <n v="3.7"/>
    <n v="0.49950000000000006"/>
  </r>
  <r>
    <d v="2036-04-08T00:00:00"/>
    <x v="15"/>
    <n v="13.4"/>
    <n v="22.5"/>
    <n v="3.0150000000000001"/>
  </r>
  <r>
    <d v="2036-04-09T00:00:00"/>
    <x v="2"/>
    <n v="19.899999999999999"/>
    <n v="11.6"/>
    <n v="2.3083999999999998"/>
  </r>
  <r>
    <d v="2036-04-10T00:00:00"/>
    <x v="3"/>
    <n v="24.2"/>
    <n v="11"/>
    <n v="2.6619999999999999"/>
  </r>
  <r>
    <d v="2036-04-11T00:00:00"/>
    <x v="23"/>
    <n v="20.399999999999999"/>
    <n v="0"/>
    <n v="0"/>
  </r>
  <r>
    <d v="2036-04-12T00:00:00"/>
    <x v="23"/>
    <n v="16.600000000000001"/>
    <n v="3.9"/>
    <n v="0.64740000000000009"/>
  </r>
  <r>
    <d v="2036-04-13T00:00:00"/>
    <x v="29"/>
    <n v="14.3"/>
    <n v="0"/>
    <n v="0"/>
  </r>
  <r>
    <d v="2036-04-14T00:00:00"/>
    <x v="22"/>
    <n v="24.4"/>
    <n v="4.4000000000000004"/>
    <n v="1.0735999999999999"/>
  </r>
  <r>
    <d v="2036-04-15T00:00:00"/>
    <x v="6"/>
    <n v="26.7"/>
    <n v="30.4"/>
    <n v="8.1167999999999996"/>
  </r>
  <r>
    <d v="2036-04-16T00:00:00"/>
    <x v="9"/>
    <n v="20.100000000000001"/>
    <n v="3.1"/>
    <n v="0.6231000000000001"/>
  </r>
  <r>
    <d v="2036-04-17T00:00:00"/>
    <x v="2"/>
    <n v="13.5"/>
    <n v="6.9"/>
    <n v="0.93150000000000011"/>
  </r>
  <r>
    <d v="2036-04-18T00:00:00"/>
    <x v="3"/>
    <n v="18.8"/>
    <n v="21.5"/>
    <n v="4.0419999999999998"/>
  </r>
  <r>
    <d v="2036-04-19T00:00:00"/>
    <x v="15"/>
    <n v="18"/>
    <n v="13.9"/>
    <n v="2.5020000000000002"/>
  </r>
  <r>
    <d v="2036-04-20T00:00:00"/>
    <x v="23"/>
    <n v="16.899999999999999"/>
    <n v="1.8"/>
    <n v="0.30419999999999997"/>
  </r>
  <r>
    <d v="2036-04-21T00:00:00"/>
    <x v="2"/>
    <n v="23.7"/>
    <n v="13"/>
    <n v="3.0809999999999995"/>
  </r>
  <r>
    <d v="2036-04-22T00:00:00"/>
    <x v="28"/>
    <n v="17.600000000000001"/>
    <n v="0.6"/>
    <n v="0"/>
  </r>
  <r>
    <d v="2036-04-23T00:00:00"/>
    <x v="3"/>
    <n v="29.1"/>
    <n v="8.3000000000000007"/>
    <n v="2.4153000000000002"/>
  </r>
  <r>
    <d v="2036-04-24T00:00:00"/>
    <x v="5"/>
    <n v="26.8"/>
    <n v="11.2"/>
    <n v="3.0015999999999998"/>
  </r>
  <r>
    <d v="2036-04-25T00:00:00"/>
    <x v="14"/>
    <n v="10.5"/>
    <n v="0"/>
    <n v="0"/>
  </r>
  <r>
    <d v="2036-04-26T00:00:00"/>
    <x v="7"/>
    <n v="13.5"/>
    <n v="0"/>
    <n v="0"/>
  </r>
  <r>
    <d v="2036-04-27T00:00:00"/>
    <x v="6"/>
    <n v="14"/>
    <n v="22"/>
    <n v="3.08"/>
  </r>
  <r>
    <d v="2036-04-28T00:00:00"/>
    <x v="7"/>
    <n v="26.7"/>
    <n v="8"/>
    <n v="2.1360000000000001"/>
  </r>
  <r>
    <d v="2036-04-29T00:00:00"/>
    <x v="22"/>
    <n v="11.2"/>
    <n v="6.1"/>
    <n v="0.68319999999999992"/>
  </r>
  <r>
    <d v="2036-04-30T00:00:00"/>
    <x v="23"/>
    <n v="24.7"/>
    <n v="0"/>
    <n v="0"/>
  </r>
  <r>
    <d v="2036-05-01T00:00:00"/>
    <x v="25"/>
    <n v="27.2"/>
    <n v="0.3"/>
    <n v="0"/>
  </r>
  <r>
    <d v="2036-05-02T00:00:00"/>
    <x v="26"/>
    <n v="11"/>
    <n v="0"/>
    <n v="0"/>
  </r>
  <r>
    <d v="2036-05-03T00:00:00"/>
    <x v="8"/>
    <n v="10.9"/>
    <n v="4.4000000000000004"/>
    <n v="0.47960000000000008"/>
  </r>
  <r>
    <d v="2036-05-04T00:00:00"/>
    <x v="3"/>
    <n v="27.4"/>
    <n v="6"/>
    <n v="1.6439999999999997"/>
  </r>
  <r>
    <d v="2036-05-05T00:00:00"/>
    <x v="2"/>
    <n v="20"/>
    <n v="7.6"/>
    <n v="1.52"/>
  </r>
  <r>
    <d v="2036-05-06T00:00:00"/>
    <x v="14"/>
    <n v="23.5"/>
    <n v="2.5"/>
    <n v="0.58750000000000002"/>
  </r>
  <r>
    <d v="2036-05-07T00:00:00"/>
    <x v="7"/>
    <n v="28.5"/>
    <n v="0"/>
    <n v="0"/>
  </r>
  <r>
    <d v="2036-05-08T00:00:00"/>
    <x v="23"/>
    <n v="10.8"/>
    <n v="5.8"/>
    <n v="0.62639999999999996"/>
  </r>
  <r>
    <d v="2036-05-09T00:00:00"/>
    <x v="11"/>
    <n v="18.899999999999999"/>
    <n v="9.5"/>
    <n v="1.7954999999999999"/>
  </r>
  <r>
    <d v="2036-05-10T00:00:00"/>
    <x v="9"/>
    <n v="24"/>
    <n v="4"/>
    <n v="0.96"/>
  </r>
  <r>
    <d v="2036-05-11T00:00:00"/>
    <x v="8"/>
    <n v="12.7"/>
    <n v="3"/>
    <n v="0.38099999999999995"/>
  </r>
  <r>
    <d v="2036-05-12T00:00:00"/>
    <x v="3"/>
    <n v="13.4"/>
    <n v="6.2"/>
    <n v="0.83079999999999998"/>
  </r>
  <r>
    <d v="2036-05-13T00:00:00"/>
    <x v="6"/>
    <n v="15.9"/>
    <n v="0"/>
    <n v="0"/>
  </r>
  <r>
    <d v="2036-05-14T00:00:00"/>
    <x v="7"/>
    <n v="19.399999999999999"/>
    <n v="21.2"/>
    <n v="4.1128"/>
  </r>
  <r>
    <d v="2036-05-15T00:00:00"/>
    <x v="11"/>
    <n v="16.3"/>
    <n v="17.600000000000001"/>
    <n v="2.8688000000000007"/>
  </r>
  <r>
    <d v="2036-05-16T00:00:00"/>
    <x v="7"/>
    <n v="28"/>
    <n v="20.399999999999999"/>
    <n v="5.7119999999999997"/>
  </r>
  <r>
    <d v="2036-05-17T00:00:00"/>
    <x v="8"/>
    <n v="19"/>
    <n v="5.2"/>
    <n v="0.98799999999999999"/>
  </r>
  <r>
    <d v="2036-05-18T00:00:00"/>
    <x v="23"/>
    <n v="24.1"/>
    <n v="4.8"/>
    <n v="1.1568000000000001"/>
  </r>
  <r>
    <d v="2036-05-19T00:00:00"/>
    <x v="6"/>
    <n v="15.2"/>
    <n v="25.7"/>
    <n v="3.9063999999999997"/>
  </r>
  <r>
    <d v="2036-05-20T00:00:00"/>
    <x v="7"/>
    <n v="16.3"/>
    <n v="21"/>
    <n v="3.423"/>
  </r>
  <r>
    <d v="2036-05-21T00:00:00"/>
    <x v="3"/>
    <n v="26.9"/>
    <n v="0"/>
    <n v="0"/>
  </r>
  <r>
    <d v="2036-05-22T00:00:00"/>
    <x v="5"/>
    <n v="25"/>
    <n v="0.5"/>
    <n v="0"/>
  </r>
  <r>
    <d v="2036-05-23T00:00:00"/>
    <x v="13"/>
    <n v="25.1"/>
    <n v="5.2"/>
    <n v="1.3052000000000001"/>
  </r>
  <r>
    <d v="2036-05-24T00:00:00"/>
    <x v="8"/>
    <n v="29.2"/>
    <n v="7.1"/>
    <n v="2.0731999999999999"/>
  </r>
  <r>
    <d v="2036-05-25T00:00:00"/>
    <x v="9"/>
    <n v="18.100000000000001"/>
    <n v="5.0999999999999996"/>
    <n v="0.92310000000000003"/>
  </r>
  <r>
    <d v="2036-05-26T00:00:00"/>
    <x v="7"/>
    <n v="12.5"/>
    <n v="0"/>
    <n v="0"/>
  </r>
  <r>
    <d v="2036-05-27T00:00:00"/>
    <x v="7"/>
    <n v="19.100000000000001"/>
    <n v="0.3"/>
    <n v="0"/>
  </r>
  <r>
    <d v="2036-05-28T00:00:00"/>
    <x v="15"/>
    <n v="27.4"/>
    <n v="0"/>
    <n v="0"/>
  </r>
  <r>
    <d v="2036-05-29T00:00:00"/>
    <x v="3"/>
    <n v="21.1"/>
    <n v="10.4"/>
    <n v="2.1944000000000004"/>
  </r>
  <r>
    <d v="2036-05-30T00:00:00"/>
    <x v="23"/>
    <n v="13.4"/>
    <n v="0"/>
    <n v="0"/>
  </r>
  <r>
    <d v="2036-05-31T00:00:00"/>
    <x v="1"/>
    <n v="11.9"/>
    <n v="7.3"/>
    <n v="0.86870000000000003"/>
  </r>
  <r>
    <d v="2036-06-01T00:00:00"/>
    <x v="9"/>
    <n v="20.399999999999999"/>
    <n v="4.3"/>
    <n v="0.87719999999999987"/>
  </r>
  <r>
    <d v="2036-06-02T00:00:00"/>
    <x v="3"/>
    <n v="29.5"/>
    <n v="18.600000000000001"/>
    <n v="5.4870000000000001"/>
  </r>
  <r>
    <d v="2036-06-03T00:00:00"/>
    <x v="8"/>
    <n v="24.1"/>
    <n v="5"/>
    <n v="1.2050000000000001"/>
  </r>
  <r>
    <d v="2036-06-04T00:00:00"/>
    <x v="10"/>
    <n v="11.5"/>
    <n v="3.6"/>
    <n v="0.41399999999999998"/>
  </r>
  <r>
    <d v="2036-06-05T00:00:00"/>
    <x v="21"/>
    <n v="21.2"/>
    <n v="1.8"/>
    <n v="0.38159999999999994"/>
  </r>
  <r>
    <d v="2036-06-06T00:00:00"/>
    <x v="6"/>
    <n v="22.2"/>
    <n v="40.299999999999997"/>
    <n v="8.9465999999999983"/>
  </r>
  <r>
    <d v="2036-06-07T00:00:00"/>
    <x v="6"/>
    <n v="14.6"/>
    <n v="2.6"/>
    <n v="0.37959999999999999"/>
  </r>
  <r>
    <d v="2036-06-08T00:00:00"/>
    <x v="9"/>
    <n v="23.3"/>
    <n v="8.1"/>
    <n v="1.8873"/>
  </r>
  <r>
    <d v="2036-06-09T00:00:00"/>
    <x v="9"/>
    <n v="16.2"/>
    <n v="10.4"/>
    <n v="1.6847999999999999"/>
  </r>
  <r>
    <d v="2036-06-10T00:00:00"/>
    <x v="6"/>
    <n v="25.9"/>
    <n v="0"/>
    <n v="0"/>
  </r>
  <r>
    <d v="2036-06-11T00:00:00"/>
    <x v="1"/>
    <n v="14.6"/>
    <n v="7"/>
    <n v="1.022"/>
  </r>
  <r>
    <d v="2036-06-12T00:00:00"/>
    <x v="14"/>
    <n v="15.1"/>
    <n v="11.7"/>
    <n v="1.7666999999999999"/>
  </r>
  <r>
    <d v="2036-06-13T00:00:00"/>
    <x v="15"/>
    <n v="14.1"/>
    <n v="6.5"/>
    <n v="0.91649999999999987"/>
  </r>
  <r>
    <d v="2036-06-14T00:00:00"/>
    <x v="23"/>
    <n v="22.1"/>
    <n v="1.8"/>
    <n v="0.39779999999999999"/>
  </r>
  <r>
    <d v="2036-06-15T00:00:00"/>
    <x v="7"/>
    <n v="27.2"/>
    <n v="21.9"/>
    <n v="5.9567999999999994"/>
  </r>
  <r>
    <d v="2036-06-16T00:00:00"/>
    <x v="2"/>
    <n v="10.8"/>
    <n v="0"/>
    <n v="0"/>
  </r>
  <r>
    <d v="2036-06-17T00:00:00"/>
    <x v="3"/>
    <n v="24.6"/>
    <n v="0"/>
    <n v="0"/>
  </r>
  <r>
    <d v="2036-06-18T00:00:00"/>
    <x v="6"/>
    <n v="27.8"/>
    <n v="26.3"/>
    <n v="7.3113999999999999"/>
  </r>
  <r>
    <d v="2036-06-19T00:00:00"/>
    <x v="10"/>
    <n v="12.9"/>
    <n v="2.8"/>
    <n v="0.36119999999999997"/>
  </r>
  <r>
    <d v="2036-06-20T00:00:00"/>
    <x v="9"/>
    <n v="13.9"/>
    <n v="0.6"/>
    <n v="0"/>
  </r>
  <r>
    <d v="2036-06-21T00:00:00"/>
    <x v="25"/>
    <n v="27.6"/>
    <n v="0.6"/>
    <n v="0"/>
  </r>
  <r>
    <d v="2036-06-22T00:00:00"/>
    <x v="7"/>
    <n v="18.600000000000001"/>
    <n v="21.5"/>
    <n v="3.9990000000000006"/>
  </r>
  <r>
    <d v="2036-06-23T00:00:00"/>
    <x v="2"/>
    <n v="17.8"/>
    <n v="0"/>
    <n v="0"/>
  </r>
  <r>
    <d v="2036-06-24T00:00:00"/>
    <x v="11"/>
    <n v="20.8"/>
    <n v="8.5"/>
    <n v="1.768"/>
  </r>
  <r>
    <d v="2036-06-25T00:00:00"/>
    <x v="18"/>
    <n v="16.399999999999999"/>
    <n v="6.8"/>
    <n v="1.1151999999999997"/>
  </r>
  <r>
    <d v="2036-06-26T00:00:00"/>
    <x v="23"/>
    <n v="14.6"/>
    <n v="0"/>
    <n v="0"/>
  </r>
  <r>
    <d v="2036-06-27T00:00:00"/>
    <x v="5"/>
    <n v="27.1"/>
    <n v="1.2"/>
    <n v="0.32520000000000004"/>
  </r>
  <r>
    <d v="2036-06-28T00:00:00"/>
    <x v="6"/>
    <n v="18.3"/>
    <n v="3.7"/>
    <n v="0.67710000000000004"/>
  </r>
  <r>
    <d v="2036-06-29T00:00:00"/>
    <x v="25"/>
    <n v="27.1"/>
    <n v="0.2"/>
    <n v="0"/>
  </r>
  <r>
    <d v="2036-06-30T00:00:00"/>
    <x v="11"/>
    <n v="12.9"/>
    <n v="10.199999999999999"/>
    <n v="1.3157999999999999"/>
  </r>
  <r>
    <d v="2036-07-01T00:00:00"/>
    <x v="15"/>
    <n v="19.100000000000001"/>
    <n v="19.600000000000001"/>
    <n v="3.7436000000000007"/>
  </r>
  <r>
    <d v="2036-07-02T00:00:00"/>
    <x v="2"/>
    <n v="19.2"/>
    <n v="3.6"/>
    <n v="0.69120000000000004"/>
  </r>
  <r>
    <d v="2036-07-03T00:00:00"/>
    <x v="5"/>
    <n v="25.2"/>
    <n v="0"/>
    <n v="0"/>
  </r>
  <r>
    <d v="2036-07-04T00:00:00"/>
    <x v="11"/>
    <n v="13.5"/>
    <n v="6.3"/>
    <n v="0.85049999999999992"/>
  </r>
  <r>
    <d v="2036-07-05T00:00:00"/>
    <x v="8"/>
    <n v="19.2"/>
    <n v="7.7"/>
    <n v="1.4783999999999999"/>
  </r>
  <r>
    <d v="2036-07-06T00:00:00"/>
    <x v="10"/>
    <n v="24.1"/>
    <n v="7.8"/>
    <n v="1.8798000000000001"/>
  </r>
  <r>
    <d v="2036-07-07T00:00:00"/>
    <x v="6"/>
    <n v="17.8"/>
    <n v="13.4"/>
    <n v="2.3852000000000002"/>
  </r>
  <r>
    <d v="2036-07-08T00:00:00"/>
    <x v="3"/>
    <n v="24.7"/>
    <n v="21.1"/>
    <n v="5.2117000000000004"/>
  </r>
  <r>
    <d v="2036-07-09T00:00:00"/>
    <x v="16"/>
    <n v="16.8"/>
    <n v="0"/>
    <n v="0"/>
  </r>
  <r>
    <d v="2036-07-10T00:00:00"/>
    <x v="1"/>
    <n v="10.7"/>
    <n v="3"/>
    <n v="0.32099999999999995"/>
  </r>
  <r>
    <d v="2036-07-11T00:00:00"/>
    <x v="2"/>
    <n v="29.3"/>
    <n v="8.3000000000000007"/>
    <n v="2.4319000000000002"/>
  </r>
  <r>
    <d v="2036-07-12T00:00:00"/>
    <x v="21"/>
    <n v="28.2"/>
    <n v="0"/>
    <n v="0"/>
  </r>
  <r>
    <d v="2036-07-13T00:00:00"/>
    <x v="6"/>
    <n v="17.3"/>
    <n v="33.6"/>
    <n v="5.8128000000000011"/>
  </r>
  <r>
    <d v="2036-07-14T00:00:00"/>
    <x v="2"/>
    <n v="24.6"/>
    <n v="0"/>
    <n v="0"/>
  </r>
  <r>
    <d v="2036-07-15T00:00:00"/>
    <x v="8"/>
    <n v="12.6"/>
    <n v="0.6"/>
    <n v="0"/>
  </r>
  <r>
    <d v="2036-07-16T00:00:00"/>
    <x v="15"/>
    <n v="27.3"/>
    <n v="0"/>
    <n v="0"/>
  </r>
  <r>
    <d v="2036-07-17T00:00:00"/>
    <x v="4"/>
    <n v="14.4"/>
    <n v="2"/>
    <n v="0.28800000000000003"/>
  </r>
  <r>
    <d v="2036-07-18T00:00:00"/>
    <x v="6"/>
    <n v="11.2"/>
    <n v="32.6"/>
    <n v="3.6512000000000002"/>
  </r>
  <r>
    <d v="2036-07-19T00:00:00"/>
    <x v="15"/>
    <n v="11.4"/>
    <n v="5.5"/>
    <n v="0.627"/>
  </r>
  <r>
    <d v="2036-07-20T00:00:00"/>
    <x v="10"/>
    <n v="22.9"/>
    <n v="0"/>
    <n v="0"/>
  </r>
  <r>
    <d v="2036-07-21T00:00:00"/>
    <x v="3"/>
    <n v="14.3"/>
    <n v="13.2"/>
    <n v="1.8875999999999999"/>
  </r>
  <r>
    <d v="2036-07-22T00:00:00"/>
    <x v="6"/>
    <n v="22.9"/>
    <n v="22.9"/>
    <n v="5.2440999999999995"/>
  </r>
  <r>
    <d v="2036-07-23T00:00:00"/>
    <x v="7"/>
    <n v="11.8"/>
    <n v="0"/>
    <n v="0"/>
  </r>
  <r>
    <d v="2036-07-24T00:00:00"/>
    <x v="14"/>
    <n v="24.5"/>
    <n v="0"/>
    <n v="0"/>
  </r>
  <r>
    <d v="2036-07-25T00:00:00"/>
    <x v="11"/>
    <n v="25.5"/>
    <n v="19.3"/>
    <n v="4.9215"/>
  </r>
  <r>
    <d v="2036-07-26T00:00:00"/>
    <x v="15"/>
    <n v="14.7"/>
    <n v="18.3"/>
    <n v="2.6900999999999997"/>
  </r>
  <r>
    <d v="2036-07-27T00:00:00"/>
    <x v="11"/>
    <n v="28.7"/>
    <n v="0"/>
    <n v="0"/>
  </r>
  <r>
    <d v="2036-07-28T00:00:00"/>
    <x v="6"/>
    <n v="16.7"/>
    <n v="0"/>
    <n v="0"/>
  </r>
  <r>
    <d v="2036-07-29T00:00:00"/>
    <x v="11"/>
    <n v="17.399999999999999"/>
    <n v="13.7"/>
    <n v="2.3837999999999995"/>
  </r>
  <r>
    <d v="2036-07-30T00:00:00"/>
    <x v="6"/>
    <n v="15.6"/>
    <n v="0"/>
    <n v="0"/>
  </r>
  <r>
    <d v="2036-07-31T00:00:00"/>
    <x v="15"/>
    <n v="21.7"/>
    <n v="0"/>
    <n v="0"/>
  </r>
  <r>
    <d v="2036-08-01T00:00:00"/>
    <x v="3"/>
    <n v="26"/>
    <n v="0"/>
    <n v="0"/>
  </r>
  <r>
    <d v="2036-08-02T00:00:00"/>
    <x v="18"/>
    <n v="24.5"/>
    <n v="9"/>
    <n v="2.2050000000000001"/>
  </r>
  <r>
    <d v="2036-08-03T00:00:00"/>
    <x v="13"/>
    <n v="23.2"/>
    <n v="0"/>
    <n v="0"/>
  </r>
  <r>
    <d v="2036-08-04T00:00:00"/>
    <x v="20"/>
    <n v="17.600000000000001"/>
    <n v="0.8"/>
    <n v="0"/>
  </r>
  <r>
    <d v="2036-08-05T00:00:00"/>
    <x v="3"/>
    <n v="13.9"/>
    <n v="8.8000000000000007"/>
    <n v="1.2232000000000001"/>
  </r>
  <r>
    <d v="2036-08-06T00:00:00"/>
    <x v="23"/>
    <n v="20.7"/>
    <n v="4.3"/>
    <n v="0.89009999999999989"/>
  </r>
  <r>
    <d v="2036-08-07T00:00:00"/>
    <x v="1"/>
    <n v="10.1"/>
    <n v="1.7"/>
    <n v="0.17169999999999999"/>
  </r>
  <r>
    <d v="2036-08-08T00:00:00"/>
    <x v="3"/>
    <n v="26.2"/>
    <n v="22.7"/>
    <n v="5.9474"/>
  </r>
  <r>
    <d v="2036-08-09T00:00:00"/>
    <x v="15"/>
    <n v="27.6"/>
    <n v="13.8"/>
    <n v="3.8088000000000006"/>
  </r>
  <r>
    <d v="2036-08-10T00:00:00"/>
    <x v="2"/>
    <n v="20.6"/>
    <n v="4.7"/>
    <n v="0.96820000000000006"/>
  </r>
  <r>
    <d v="2036-08-11T00:00:00"/>
    <x v="5"/>
    <n v="21.4"/>
    <n v="5"/>
    <n v="1.07"/>
  </r>
  <r>
    <d v="2036-08-12T00:00:00"/>
    <x v="2"/>
    <n v="17.100000000000001"/>
    <n v="0"/>
    <n v="0"/>
  </r>
  <r>
    <d v="2036-08-13T00:00:00"/>
    <x v="6"/>
    <n v="19.5"/>
    <n v="20.5"/>
    <n v="3.9975000000000001"/>
  </r>
  <r>
    <d v="2036-08-14T00:00:00"/>
    <x v="9"/>
    <n v="15.9"/>
    <n v="0"/>
    <n v="0"/>
  </r>
  <r>
    <d v="2036-08-15T00:00:00"/>
    <x v="6"/>
    <n v="21.1"/>
    <n v="46.8"/>
    <n v="9.8748000000000005"/>
  </r>
  <r>
    <d v="2036-08-16T00:00:00"/>
    <x v="15"/>
    <n v="20.2"/>
    <n v="36.6"/>
    <n v="7.3932000000000002"/>
  </r>
  <r>
    <d v="2036-08-17T00:00:00"/>
    <x v="8"/>
    <n v="25"/>
    <n v="7.8"/>
    <n v="1.95"/>
  </r>
  <r>
    <d v="2036-08-18T00:00:00"/>
    <x v="6"/>
    <n v="22.1"/>
    <n v="8.8000000000000007"/>
    <n v="1.9448000000000001"/>
  </r>
  <r>
    <d v="2036-08-19T00:00:00"/>
    <x v="29"/>
    <n v="28.9"/>
    <n v="0.5"/>
    <n v="0"/>
  </r>
  <r>
    <d v="2036-08-20T00:00:00"/>
    <x v="7"/>
    <n v="19.600000000000001"/>
    <n v="0"/>
    <n v="0"/>
  </r>
  <r>
    <d v="2036-08-21T00:00:00"/>
    <x v="3"/>
    <n v="18"/>
    <n v="13.2"/>
    <n v="2.3759999999999999"/>
  </r>
  <r>
    <d v="2036-08-22T00:00:00"/>
    <x v="8"/>
    <n v="28.3"/>
    <n v="0"/>
    <n v="0"/>
  </r>
  <r>
    <d v="2036-08-23T00:00:00"/>
    <x v="2"/>
    <n v="25.2"/>
    <n v="0"/>
    <n v="0"/>
  </r>
  <r>
    <d v="2036-08-24T00:00:00"/>
    <x v="6"/>
    <n v="22.5"/>
    <n v="0"/>
    <n v="0"/>
  </r>
  <r>
    <d v="2036-08-25T00:00:00"/>
    <x v="9"/>
    <n v="19.899999999999999"/>
    <n v="6.7"/>
    <n v="1.3332999999999999"/>
  </r>
  <r>
    <d v="2036-08-26T00:00:00"/>
    <x v="7"/>
    <n v="10.8"/>
    <n v="19.600000000000001"/>
    <n v="2.1168000000000005"/>
  </r>
  <r>
    <d v="2036-08-27T00:00:00"/>
    <x v="15"/>
    <n v="18.399999999999999"/>
    <n v="0.6"/>
    <n v="0"/>
  </r>
  <r>
    <d v="2036-08-28T00:00:00"/>
    <x v="22"/>
    <n v="27.6"/>
    <n v="3.7"/>
    <n v="1.0212000000000001"/>
  </r>
  <r>
    <d v="2036-08-29T00:00:00"/>
    <x v="22"/>
    <n v="11.3"/>
    <n v="1.9"/>
    <n v="0.2147"/>
  </r>
  <r>
    <d v="2036-08-30T00:00:00"/>
    <x v="22"/>
    <n v="28.7"/>
    <n v="0"/>
    <n v="0"/>
  </r>
  <r>
    <d v="2036-08-31T00:00:00"/>
    <x v="17"/>
    <n v="15"/>
    <n v="1.7"/>
    <n v="0.255"/>
  </r>
  <r>
    <d v="2036-09-01T00:00:00"/>
    <x v="3"/>
    <n v="15.1"/>
    <n v="13.5"/>
    <n v="2.0385"/>
  </r>
  <r>
    <d v="2036-09-02T00:00:00"/>
    <x v="15"/>
    <n v="19.399999999999999"/>
    <n v="29.6"/>
    <n v="5.7423999999999999"/>
  </r>
  <r>
    <d v="2036-09-03T00:00:00"/>
    <x v="3"/>
    <n v="21.9"/>
    <n v="1.6"/>
    <n v="0.35039999999999999"/>
  </r>
  <r>
    <d v="2036-09-04T00:00:00"/>
    <x v="14"/>
    <n v="19.399999999999999"/>
    <n v="9.8000000000000007"/>
    <n v="1.9012"/>
  </r>
  <r>
    <d v="2036-09-05T00:00:00"/>
    <x v="3"/>
    <n v="21.8"/>
    <n v="18.5"/>
    <n v="4.0330000000000004"/>
  </r>
  <r>
    <d v="2036-09-06T00:00:00"/>
    <x v="13"/>
    <n v="29.3"/>
    <n v="2.8"/>
    <n v="0.82039999999999991"/>
  </r>
  <r>
    <d v="2036-09-07T00:00:00"/>
    <x v="15"/>
    <n v="14.4"/>
    <n v="0"/>
    <n v="0"/>
  </r>
  <r>
    <d v="2036-09-08T00:00:00"/>
    <x v="6"/>
    <n v="14.5"/>
    <n v="0"/>
    <n v="0"/>
  </r>
  <r>
    <d v="2036-09-09T00:00:00"/>
    <x v="11"/>
    <n v="18.399999999999999"/>
    <n v="10.1"/>
    <n v="1.8583999999999998"/>
  </r>
  <r>
    <d v="2036-09-10T00:00:00"/>
    <x v="14"/>
    <n v="29.8"/>
    <n v="0"/>
    <n v="0"/>
  </r>
  <r>
    <d v="2036-09-11T00:00:00"/>
    <x v="3"/>
    <n v="27.3"/>
    <n v="18.600000000000001"/>
    <n v="5.0777999999999999"/>
  </r>
  <r>
    <d v="2036-09-12T00:00:00"/>
    <x v="5"/>
    <n v="22.7"/>
    <n v="0"/>
    <n v="0"/>
  </r>
  <r>
    <d v="2036-09-13T00:00:00"/>
    <x v="6"/>
    <n v="27.3"/>
    <n v="18.399999999999999"/>
    <n v="5.0232000000000001"/>
  </r>
  <r>
    <d v="2036-09-14T00:00:00"/>
    <x v="14"/>
    <n v="12.9"/>
    <n v="0"/>
    <n v="0"/>
  </r>
  <r>
    <d v="2036-09-15T00:00:00"/>
    <x v="15"/>
    <n v="24.3"/>
    <n v="1.9"/>
    <n v="0.4617"/>
  </r>
  <r>
    <d v="2036-09-16T00:00:00"/>
    <x v="14"/>
    <n v="20.6"/>
    <n v="14.6"/>
    <n v="3.0076000000000001"/>
  </r>
  <r>
    <d v="2036-09-17T00:00:00"/>
    <x v="1"/>
    <n v="24.2"/>
    <n v="0"/>
    <n v="0"/>
  </r>
  <r>
    <d v="2036-09-18T00:00:00"/>
    <x v="6"/>
    <n v="15.2"/>
    <n v="0"/>
    <n v="0"/>
  </r>
  <r>
    <d v="2036-09-19T00:00:00"/>
    <x v="21"/>
    <n v="27.3"/>
    <n v="2.5"/>
    <n v="0.6825"/>
  </r>
  <r>
    <d v="2036-09-20T00:00:00"/>
    <x v="21"/>
    <n v="28"/>
    <n v="0"/>
    <n v="0"/>
  </r>
  <r>
    <d v="2036-09-21T00:00:00"/>
    <x v="27"/>
    <n v="16.100000000000001"/>
    <n v="0"/>
    <n v="0"/>
  </r>
  <r>
    <d v="2036-09-22T00:00:00"/>
    <x v="15"/>
    <n v="18.8"/>
    <n v="16.899999999999999"/>
    <n v="3.1771999999999996"/>
  </r>
  <r>
    <d v="2036-09-23T00:00:00"/>
    <x v="6"/>
    <n v="13.2"/>
    <n v="10.4"/>
    <n v="1.3728"/>
  </r>
  <r>
    <d v="2036-09-24T00:00:00"/>
    <x v="1"/>
    <n v="17.899999999999999"/>
    <n v="3.5"/>
    <n v="0.62649999999999995"/>
  </r>
  <r>
    <d v="2036-09-25T00:00:00"/>
    <x v="3"/>
    <n v="18.3"/>
    <n v="16.7"/>
    <n v="3.0561000000000003"/>
  </r>
  <r>
    <d v="2036-09-26T00:00:00"/>
    <x v="13"/>
    <n v="25.7"/>
    <n v="2"/>
    <n v="0.51400000000000001"/>
  </r>
  <r>
    <d v="2036-09-27T00:00:00"/>
    <x v="6"/>
    <n v="29.2"/>
    <n v="31.5"/>
    <n v="9.1980000000000004"/>
  </r>
  <r>
    <d v="2036-09-28T00:00:00"/>
    <x v="3"/>
    <n v="21.5"/>
    <n v="0"/>
    <n v="0"/>
  </r>
  <r>
    <d v="2036-09-29T00:00:00"/>
    <x v="7"/>
    <n v="29.5"/>
    <n v="12.2"/>
    <n v="3.5989999999999998"/>
  </r>
  <r>
    <d v="2036-09-30T00:00:00"/>
    <x v="3"/>
    <n v="17.7"/>
    <n v="10.1"/>
    <n v="1.7876999999999998"/>
  </r>
  <r>
    <d v="2036-10-01T00:00:00"/>
    <x v="15"/>
    <n v="26.7"/>
    <n v="1.2"/>
    <n v="0.32040000000000002"/>
  </r>
  <r>
    <d v="2036-10-02T00:00:00"/>
    <x v="6"/>
    <n v="13.3"/>
    <n v="0.5"/>
    <n v="0"/>
  </r>
  <r>
    <d v="2036-10-03T00:00:00"/>
    <x v="3"/>
    <n v="13.4"/>
    <n v="23.4"/>
    <n v="3.1356000000000002"/>
  </r>
  <r>
    <d v="2036-10-04T00:00:00"/>
    <x v="7"/>
    <n v="22.1"/>
    <n v="17.7"/>
    <n v="3.9117000000000002"/>
  </r>
  <r>
    <d v="2036-10-05T00:00:00"/>
    <x v="18"/>
    <n v="11.4"/>
    <n v="0"/>
    <n v="0"/>
  </r>
  <r>
    <d v="2036-10-06T00:00:00"/>
    <x v="11"/>
    <n v="26"/>
    <n v="4.9000000000000004"/>
    <n v="1.274"/>
  </r>
  <r>
    <d v="2036-10-07T00:00:00"/>
    <x v="11"/>
    <n v="27.8"/>
    <n v="6.7"/>
    <n v="1.8626000000000003"/>
  </r>
  <r>
    <d v="2036-10-08T00:00:00"/>
    <x v="3"/>
    <n v="29.3"/>
    <n v="1.7"/>
    <n v="0.49810000000000004"/>
  </r>
  <r>
    <d v="2036-10-09T00:00:00"/>
    <x v="19"/>
    <n v="24.7"/>
    <n v="2.5"/>
    <n v="0.61750000000000005"/>
  </r>
  <r>
    <d v="2036-10-10T00:00:00"/>
    <x v="0"/>
    <n v="16.600000000000001"/>
    <n v="0.1"/>
    <n v="0"/>
  </r>
  <r>
    <d v="2036-10-11T00:00:00"/>
    <x v="14"/>
    <n v="27.5"/>
    <n v="0"/>
    <n v="0"/>
  </r>
  <r>
    <d v="2036-10-12T00:00:00"/>
    <x v="11"/>
    <n v="22.7"/>
    <n v="0"/>
    <n v="0"/>
  </r>
  <r>
    <d v="2036-10-13T00:00:00"/>
    <x v="8"/>
    <n v="20.100000000000001"/>
    <n v="10.5"/>
    <n v="2.1105"/>
  </r>
  <r>
    <d v="2036-10-14T00:00:00"/>
    <x v="3"/>
    <n v="16.100000000000001"/>
    <n v="8.1"/>
    <n v="1.3041"/>
  </r>
  <r>
    <d v="2036-10-15T00:00:00"/>
    <x v="3"/>
    <n v="13.9"/>
    <n v="0"/>
    <n v="0"/>
  </r>
  <r>
    <d v="2036-10-16T00:00:00"/>
    <x v="8"/>
    <n v="22.3"/>
    <n v="0"/>
    <n v="0"/>
  </r>
  <r>
    <d v="2036-10-17T00:00:00"/>
    <x v="22"/>
    <n v="13"/>
    <n v="0"/>
    <n v="0"/>
  </r>
  <r>
    <d v="2036-10-18T00:00:00"/>
    <x v="7"/>
    <n v="16.2"/>
    <n v="0"/>
    <n v="0"/>
  </r>
  <r>
    <d v="2036-10-19T00:00:00"/>
    <x v="10"/>
    <n v="24.8"/>
    <n v="0"/>
    <n v="0"/>
  </r>
  <r>
    <d v="2036-10-20T00:00:00"/>
    <x v="9"/>
    <n v="29.7"/>
    <n v="0"/>
    <n v="0"/>
  </r>
  <r>
    <d v="2036-10-21T00:00:00"/>
    <x v="6"/>
    <n v="17.600000000000001"/>
    <n v="14.7"/>
    <n v="2.5872000000000002"/>
  </r>
  <r>
    <d v="2036-10-22T00:00:00"/>
    <x v="6"/>
    <n v="10.4"/>
    <n v="27.7"/>
    <n v="2.8807999999999998"/>
  </r>
  <r>
    <d v="2036-10-23T00:00:00"/>
    <x v="11"/>
    <n v="17"/>
    <n v="1.1000000000000001"/>
    <n v="0.18700000000000003"/>
  </r>
  <r>
    <d v="2036-10-24T00:00:00"/>
    <x v="14"/>
    <n v="15.7"/>
    <n v="5.9"/>
    <n v="0.9262999999999999"/>
  </r>
  <r>
    <d v="2036-10-25T00:00:00"/>
    <x v="15"/>
    <n v="23.8"/>
    <n v="4.3"/>
    <n v="1.0234000000000001"/>
  </r>
  <r>
    <d v="2036-10-26T00:00:00"/>
    <x v="7"/>
    <n v="16.2"/>
    <n v="8.6999999999999993"/>
    <n v="1.4093999999999998"/>
  </r>
  <r>
    <d v="2036-10-27T00:00:00"/>
    <x v="1"/>
    <n v="23.3"/>
    <n v="5.8"/>
    <n v="1.3513999999999999"/>
  </r>
  <r>
    <d v="2036-10-28T00:00:00"/>
    <x v="3"/>
    <n v="18.7"/>
    <n v="1.1000000000000001"/>
    <n v="0.20569999999999999"/>
  </r>
  <r>
    <d v="2036-10-29T00:00:00"/>
    <x v="13"/>
    <n v="27.9"/>
    <n v="2.6"/>
    <n v="0.72539999999999993"/>
  </r>
  <r>
    <d v="2036-10-30T00:00:00"/>
    <x v="14"/>
    <n v="19.8"/>
    <n v="0"/>
    <n v="0"/>
  </r>
  <r>
    <d v="2036-10-31T00:00:00"/>
    <x v="7"/>
    <n v="16.7"/>
    <n v="3.5"/>
    <n v="0.58449999999999991"/>
  </r>
  <r>
    <d v="2036-11-01T00:00:00"/>
    <x v="19"/>
    <n v="28.6"/>
    <n v="0"/>
    <n v="0"/>
  </r>
  <r>
    <d v="2036-11-02T00:00:00"/>
    <x v="6"/>
    <n v="10.8"/>
    <n v="32.9"/>
    <n v="3.5531999999999999"/>
  </r>
  <r>
    <d v="2036-11-03T00:00:00"/>
    <x v="14"/>
    <n v="12.8"/>
    <n v="0"/>
    <n v="0"/>
  </r>
  <r>
    <d v="2036-11-04T00:00:00"/>
    <x v="22"/>
    <n v="17.600000000000001"/>
    <n v="0"/>
    <n v="0"/>
  </r>
  <r>
    <d v="2036-11-05T00:00:00"/>
    <x v="18"/>
    <n v="24.1"/>
    <n v="0"/>
    <n v="0"/>
  </r>
  <r>
    <d v="2036-11-06T00:00:00"/>
    <x v="7"/>
    <n v="11.4"/>
    <n v="18.2"/>
    <n v="2.0747999999999998"/>
  </r>
  <r>
    <d v="2036-11-07T00:00:00"/>
    <x v="5"/>
    <n v="21.9"/>
    <n v="5.4"/>
    <n v="1.1826000000000001"/>
  </r>
  <r>
    <d v="2036-11-08T00:00:00"/>
    <x v="22"/>
    <n v="16.8"/>
    <n v="1.6"/>
    <n v="0.26880000000000004"/>
  </r>
  <r>
    <d v="2036-11-09T00:00:00"/>
    <x v="2"/>
    <n v="26"/>
    <n v="0"/>
    <n v="0"/>
  </r>
  <r>
    <d v="2036-11-10T00:00:00"/>
    <x v="7"/>
    <n v="20.2"/>
    <n v="10"/>
    <n v="2.02"/>
  </r>
  <r>
    <d v="2036-11-11T00:00:00"/>
    <x v="15"/>
    <n v="20.3"/>
    <n v="37.799999999999997"/>
    <n v="7.6733999999999991"/>
  </r>
  <r>
    <d v="2036-11-12T00:00:00"/>
    <x v="3"/>
    <n v="27.5"/>
    <n v="20.8"/>
    <n v="5.72"/>
  </r>
  <r>
    <d v="2036-11-13T00:00:00"/>
    <x v="15"/>
    <n v="24.2"/>
    <n v="2.9"/>
    <n v="0.70179999999999998"/>
  </r>
  <r>
    <d v="2036-11-14T00:00:00"/>
    <x v="7"/>
    <n v="10.7"/>
    <n v="14.3"/>
    <n v="1.5301"/>
  </r>
  <r>
    <d v="2036-11-15T00:00:00"/>
    <x v="15"/>
    <n v="17.3"/>
    <n v="0"/>
    <n v="0"/>
  </r>
  <r>
    <d v="2036-11-16T00:00:00"/>
    <x v="7"/>
    <n v="13.5"/>
    <n v="21.1"/>
    <n v="2.8485"/>
  </r>
  <r>
    <d v="2036-11-17T00:00:00"/>
    <x v="2"/>
    <n v="13.6"/>
    <n v="6"/>
    <n v="0.81599999999999995"/>
  </r>
  <r>
    <d v="2036-11-18T00:00:00"/>
    <x v="1"/>
    <n v="19.899999999999999"/>
    <n v="0"/>
    <n v="0"/>
  </r>
  <r>
    <d v="2036-11-19T00:00:00"/>
    <x v="14"/>
    <n v="13.1"/>
    <n v="10.199999999999999"/>
    <n v="1.3361999999999998"/>
  </r>
  <r>
    <d v="2036-11-20T00:00:00"/>
    <x v="17"/>
    <n v="29.8"/>
    <n v="1.9"/>
    <n v="0.56619999999999993"/>
  </r>
  <r>
    <d v="2036-11-21T00:00:00"/>
    <x v="24"/>
    <n v="23.7"/>
    <n v="0.3"/>
    <n v="0"/>
  </r>
  <r>
    <d v="2036-11-22T00:00:00"/>
    <x v="15"/>
    <n v="14"/>
    <n v="0"/>
    <n v="0"/>
  </r>
  <r>
    <d v="2036-11-23T00:00:00"/>
    <x v="26"/>
    <n v="19"/>
    <n v="0.5"/>
    <n v="0"/>
  </r>
  <r>
    <d v="2036-11-24T00:00:00"/>
    <x v="28"/>
    <n v="23.9"/>
    <n v="0.5"/>
    <n v="0"/>
  </r>
  <r>
    <d v="2036-11-25T00:00:00"/>
    <x v="15"/>
    <n v="12.8"/>
    <n v="26.7"/>
    <n v="3.4175999999999997"/>
  </r>
  <r>
    <d v="2036-11-26T00:00:00"/>
    <x v="3"/>
    <n v="26.9"/>
    <n v="4.5"/>
    <n v="1.2104999999999999"/>
  </r>
  <r>
    <d v="2036-11-27T00:00:00"/>
    <x v="22"/>
    <n v="10.6"/>
    <n v="0"/>
    <n v="0"/>
  </r>
  <r>
    <d v="2036-11-28T00:00:00"/>
    <x v="7"/>
    <n v="21.1"/>
    <n v="10.6"/>
    <n v="2.2366000000000001"/>
  </r>
  <r>
    <d v="2036-11-29T00:00:00"/>
    <x v="2"/>
    <n v="11.7"/>
    <n v="9.9"/>
    <n v="1.1582999999999999"/>
  </r>
  <r>
    <d v="2036-11-30T00:00:00"/>
    <x v="4"/>
    <n v="20.5"/>
    <n v="3.7"/>
    <n v="0.75850000000000006"/>
  </r>
  <r>
    <d v="2036-12-01T00:00:00"/>
    <x v="15"/>
    <n v="27.4"/>
    <n v="10.4"/>
    <n v="2.8495999999999997"/>
  </r>
  <r>
    <d v="2036-12-02T00:00:00"/>
    <x v="6"/>
    <n v="15.8"/>
    <n v="10.199999999999999"/>
    <n v="1.6115999999999999"/>
  </r>
  <r>
    <d v="2036-12-03T00:00:00"/>
    <x v="15"/>
    <n v="19.600000000000001"/>
    <n v="0"/>
    <n v="0"/>
  </r>
  <r>
    <d v="2036-12-04T00:00:00"/>
    <x v="6"/>
    <n v="16.899999999999999"/>
    <n v="48.4"/>
    <n v="8.1795999999999989"/>
  </r>
  <r>
    <d v="2036-12-05T00:00:00"/>
    <x v="15"/>
    <n v="12.2"/>
    <n v="0"/>
    <n v="0"/>
  </r>
  <r>
    <d v="2036-12-06T00:00:00"/>
    <x v="6"/>
    <n v="16.600000000000001"/>
    <n v="14.1"/>
    <n v="2.3406000000000002"/>
  </r>
  <r>
    <d v="2036-12-07T00:00:00"/>
    <x v="7"/>
    <n v="27.6"/>
    <n v="0"/>
    <n v="0"/>
  </r>
  <r>
    <d v="2036-12-08T00:00:00"/>
    <x v="11"/>
    <n v="24.8"/>
    <n v="0"/>
    <n v="0"/>
  </r>
  <r>
    <d v="2036-12-09T00:00:00"/>
    <x v="6"/>
    <n v="23.1"/>
    <n v="29.8"/>
    <n v="6.8838000000000008"/>
  </r>
  <r>
    <d v="2036-12-10T00:00:00"/>
    <x v="23"/>
    <n v="12.4"/>
    <n v="6.1"/>
    <n v="0.75639999999999996"/>
  </r>
  <r>
    <d v="2036-12-11T00:00:00"/>
    <x v="15"/>
    <n v="13.9"/>
    <n v="21.5"/>
    <n v="2.9885000000000002"/>
  </r>
  <r>
    <d v="2036-12-12T00:00:00"/>
    <x v="16"/>
    <n v="16.600000000000001"/>
    <n v="4.7"/>
    <n v="0.78020000000000012"/>
  </r>
  <r>
    <d v="2036-12-13T00:00:00"/>
    <x v="9"/>
    <n v="17.7"/>
    <n v="14"/>
    <n v="2.4779999999999998"/>
  </r>
  <r>
    <d v="2036-12-14T00:00:00"/>
    <x v="7"/>
    <n v="19"/>
    <n v="1.7"/>
    <n v="0.32299999999999995"/>
  </r>
  <r>
    <d v="2036-12-15T00:00:00"/>
    <x v="3"/>
    <n v="29.9"/>
    <n v="0"/>
    <n v="0"/>
  </r>
  <r>
    <d v="2036-12-16T00:00:00"/>
    <x v="15"/>
    <n v="23.7"/>
    <n v="31.4"/>
    <n v="7.4417999999999997"/>
  </r>
  <r>
    <d v="2036-12-17T00:00:00"/>
    <x v="6"/>
    <n v="25.4"/>
    <n v="0"/>
    <n v="0"/>
  </r>
  <r>
    <d v="2036-12-18T00:00:00"/>
    <x v="14"/>
    <n v="24.3"/>
    <n v="15.8"/>
    <n v="3.8394000000000004"/>
  </r>
  <r>
    <d v="2036-12-19T00:00:00"/>
    <x v="3"/>
    <n v="10.8"/>
    <n v="0"/>
    <n v="0"/>
  </r>
  <r>
    <d v="2036-12-20T00:00:00"/>
    <x v="6"/>
    <n v="19"/>
    <n v="9.1"/>
    <n v="1.7290000000000001"/>
  </r>
  <r>
    <d v="2036-12-21T00:00:00"/>
    <x v="11"/>
    <n v="27.8"/>
    <n v="15.2"/>
    <n v="4.2256"/>
  </r>
  <r>
    <d v="2036-12-22T00:00:00"/>
    <x v="3"/>
    <n v="28.8"/>
    <n v="0"/>
    <n v="0"/>
  </r>
  <r>
    <d v="2036-12-23T00:00:00"/>
    <x v="1"/>
    <n v="12.6"/>
    <n v="0.8"/>
    <n v="0"/>
  </r>
  <r>
    <d v="2036-12-24T00:00:00"/>
    <x v="1"/>
    <n v="20.7"/>
    <n v="0"/>
    <n v="0"/>
  </r>
  <r>
    <d v="2036-12-25T00:00:00"/>
    <x v="15"/>
    <n v="19.399999999999999"/>
    <n v="19.3"/>
    <n v="3.7441999999999998"/>
  </r>
  <r>
    <d v="2036-12-26T00:00:00"/>
    <x v="6"/>
    <n v="24.3"/>
    <n v="8.8000000000000007"/>
    <n v="2.1384000000000003"/>
  </r>
  <r>
    <d v="2036-12-27T00:00:00"/>
    <x v="15"/>
    <n v="21.2"/>
    <n v="36"/>
    <n v="7.6319999999999997"/>
  </r>
  <r>
    <d v="2036-12-28T00:00:00"/>
    <x v="1"/>
    <n v="28.4"/>
    <n v="0"/>
    <n v="0"/>
  </r>
  <r>
    <d v="2036-12-29T00:00:00"/>
    <x v="23"/>
    <n v="17.100000000000001"/>
    <n v="5.4"/>
    <n v="0.92340000000000022"/>
  </r>
  <r>
    <d v="2036-12-30T00:00:00"/>
    <x v="6"/>
    <n v="24.4"/>
    <n v="23.8"/>
    <n v="5.8071999999999999"/>
  </r>
  <r>
    <d v="2036-12-31T00:00:00"/>
    <x v="14"/>
    <n v="18.5"/>
    <n v="6"/>
    <n v="1.1100000000000001"/>
  </r>
  <r>
    <d v="2037-01-01T00:00:00"/>
    <x v="15"/>
    <n v="24.1"/>
    <n v="21.5"/>
    <n v="5.1814999999999998"/>
  </r>
  <r>
    <d v="2037-01-02T00:00:00"/>
    <x v="18"/>
    <n v="17.899999999999999"/>
    <n v="5.4"/>
    <n v="0.96660000000000001"/>
  </r>
  <r>
    <d v="2037-01-03T00:00:00"/>
    <x v="18"/>
    <n v="15.8"/>
    <n v="7.4"/>
    <n v="1.1692000000000002"/>
  </r>
  <r>
    <d v="2037-01-04T00:00:00"/>
    <x v="26"/>
    <n v="19.600000000000001"/>
    <n v="0.3"/>
    <n v="0"/>
  </r>
  <r>
    <d v="2037-01-05T00:00:00"/>
    <x v="15"/>
    <n v="17.7"/>
    <n v="0"/>
    <n v="0"/>
  </r>
  <r>
    <d v="2037-01-06T00:00:00"/>
    <x v="23"/>
    <n v="19.899999999999999"/>
    <n v="4.7"/>
    <n v="0.93530000000000002"/>
  </r>
  <r>
    <d v="2037-01-07T00:00:00"/>
    <x v="1"/>
    <n v="10.6"/>
    <n v="4.8"/>
    <n v="0.50879999999999992"/>
  </r>
  <r>
    <d v="2037-01-08T00:00:00"/>
    <x v="15"/>
    <n v="25.6"/>
    <n v="17.399999999999999"/>
    <n v="4.4543999999999997"/>
  </r>
  <r>
    <d v="2037-01-09T00:00:00"/>
    <x v="5"/>
    <n v="22.4"/>
    <n v="7.7"/>
    <n v="1.7247999999999999"/>
  </r>
  <r>
    <d v="2037-01-10T00:00:00"/>
    <x v="4"/>
    <n v="14.5"/>
    <n v="3.8"/>
    <n v="0.55099999999999993"/>
  </r>
  <r>
    <d v="2037-01-11T00:00:00"/>
    <x v="5"/>
    <n v="15"/>
    <n v="4.2"/>
    <n v="0.63"/>
  </r>
  <r>
    <d v="2037-01-12T00:00:00"/>
    <x v="9"/>
    <n v="24"/>
    <n v="11.5"/>
    <n v="2.76"/>
  </r>
  <r>
    <d v="2037-01-13T00:00:00"/>
    <x v="19"/>
    <n v="20.7"/>
    <n v="2.9"/>
    <n v="0.60029999999999994"/>
  </r>
  <r>
    <d v="2037-01-14T00:00:00"/>
    <x v="24"/>
    <n v="13.5"/>
    <n v="0.7"/>
    <n v="0"/>
  </r>
  <r>
    <d v="2037-01-15T00:00:00"/>
    <x v="15"/>
    <n v="23.7"/>
    <n v="13.1"/>
    <n v="3.1046999999999998"/>
  </r>
  <r>
    <d v="2037-01-16T00:00:00"/>
    <x v="6"/>
    <n v="12.1"/>
    <n v="36"/>
    <n v="4.3559999999999999"/>
  </r>
  <r>
    <d v="2037-01-17T00:00:00"/>
    <x v="9"/>
    <n v="21.8"/>
    <n v="10.9"/>
    <n v="2.3761999999999999"/>
  </r>
  <r>
    <d v="2037-01-18T00:00:00"/>
    <x v="18"/>
    <n v="17.399999999999999"/>
    <n v="0"/>
    <n v="0"/>
  </r>
  <r>
    <d v="2037-01-19T00:00:00"/>
    <x v="2"/>
    <n v="15.6"/>
    <n v="0"/>
    <n v="0"/>
  </r>
  <r>
    <d v="2037-01-20T00:00:00"/>
    <x v="9"/>
    <n v="13.7"/>
    <n v="0"/>
    <n v="0"/>
  </r>
  <r>
    <d v="2037-01-21T00:00:00"/>
    <x v="6"/>
    <n v="24.7"/>
    <n v="16.2"/>
    <n v="4.0014000000000003"/>
  </r>
  <r>
    <d v="2037-01-22T00:00:00"/>
    <x v="11"/>
    <n v="25.3"/>
    <n v="14.2"/>
    <n v="3.5926"/>
  </r>
  <r>
    <d v="2037-01-23T00:00:00"/>
    <x v="11"/>
    <n v="18.399999999999999"/>
    <n v="0"/>
    <n v="0"/>
  </r>
  <r>
    <d v="2037-01-24T00:00:00"/>
    <x v="10"/>
    <n v="10.199999999999999"/>
    <n v="0"/>
    <n v="0"/>
  </r>
  <r>
    <d v="2037-01-25T00:00:00"/>
    <x v="29"/>
    <n v="26.9"/>
    <n v="0"/>
    <n v="0"/>
  </r>
  <r>
    <d v="2037-01-26T00:00:00"/>
    <x v="4"/>
    <n v="28.2"/>
    <n v="0"/>
    <n v="0"/>
  </r>
  <r>
    <d v="2037-01-27T00:00:00"/>
    <x v="3"/>
    <n v="15.9"/>
    <n v="0"/>
    <n v="0"/>
  </r>
  <r>
    <d v="2037-01-28T00:00:00"/>
    <x v="6"/>
    <n v="19.7"/>
    <n v="0"/>
    <n v="0"/>
  </r>
  <r>
    <d v="2037-01-29T00:00:00"/>
    <x v="3"/>
    <n v="16"/>
    <n v="0"/>
    <n v="0"/>
  </r>
  <r>
    <d v="2037-01-30T00:00:00"/>
    <x v="2"/>
    <n v="20.8"/>
    <n v="0"/>
    <n v="0"/>
  </r>
  <r>
    <d v="2037-01-31T00:00:00"/>
    <x v="19"/>
    <n v="12.5"/>
    <n v="0"/>
    <n v="0"/>
  </r>
  <r>
    <d v="2037-02-01T00:00:00"/>
    <x v="11"/>
    <n v="12.7"/>
    <n v="2.4"/>
    <n v="0.30479999999999996"/>
  </r>
  <r>
    <d v="2037-02-02T00:00:00"/>
    <x v="14"/>
    <n v="23.5"/>
    <n v="11.5"/>
    <n v="2.7025000000000001"/>
  </r>
  <r>
    <d v="2037-02-03T00:00:00"/>
    <x v="10"/>
    <n v="17.8"/>
    <n v="1.8"/>
    <n v="0.32040000000000002"/>
  </r>
  <r>
    <d v="2037-02-04T00:00:00"/>
    <x v="7"/>
    <n v="11"/>
    <n v="0"/>
    <n v="0"/>
  </r>
  <r>
    <d v="2037-02-05T00:00:00"/>
    <x v="8"/>
    <n v="21.3"/>
    <n v="5.2"/>
    <n v="1.1076000000000001"/>
  </r>
  <r>
    <d v="2037-02-06T00:00:00"/>
    <x v="3"/>
    <n v="19.600000000000001"/>
    <n v="8.1"/>
    <n v="1.5875999999999999"/>
  </r>
  <r>
    <d v="2037-02-07T00:00:00"/>
    <x v="7"/>
    <n v="25.7"/>
    <n v="4.2"/>
    <n v="1.0793999999999999"/>
  </r>
  <r>
    <d v="2037-02-08T00:00:00"/>
    <x v="6"/>
    <n v="20.9"/>
    <n v="28.6"/>
    <n v="5.9774000000000003"/>
  </r>
  <r>
    <d v="2037-02-09T00:00:00"/>
    <x v="15"/>
    <n v="26.4"/>
    <n v="3.2"/>
    <n v="0.8448"/>
  </r>
  <r>
    <d v="2037-02-10T00:00:00"/>
    <x v="15"/>
    <n v="26.5"/>
    <n v="13.1"/>
    <n v="3.4714999999999998"/>
  </r>
  <r>
    <d v="2037-02-11T00:00:00"/>
    <x v="4"/>
    <n v="11.7"/>
    <n v="0"/>
    <n v="0"/>
  </r>
  <r>
    <d v="2037-02-12T00:00:00"/>
    <x v="8"/>
    <n v="24.7"/>
    <n v="0.3"/>
    <n v="0"/>
  </r>
  <r>
    <d v="2037-02-13T00:00:00"/>
    <x v="5"/>
    <n v="24.4"/>
    <n v="9.6"/>
    <n v="2.3423999999999996"/>
  </r>
  <r>
    <d v="2037-02-14T00:00:00"/>
    <x v="15"/>
    <n v="19"/>
    <n v="28.8"/>
    <n v="5.4720000000000004"/>
  </r>
  <r>
    <d v="2037-02-15T00:00:00"/>
    <x v="6"/>
    <n v="13.7"/>
    <n v="19.3"/>
    <n v="2.6440999999999999"/>
  </r>
  <r>
    <d v="2037-02-16T00:00:00"/>
    <x v="6"/>
    <n v="28.9"/>
    <n v="20.399999999999999"/>
    <n v="5.8955999999999991"/>
  </r>
  <r>
    <d v="2037-02-17T00:00:00"/>
    <x v="16"/>
    <n v="25.2"/>
    <n v="0"/>
    <n v="0"/>
  </r>
  <r>
    <d v="2037-02-18T00:00:00"/>
    <x v="7"/>
    <n v="15.4"/>
    <n v="9"/>
    <n v="1.3859999999999999"/>
  </r>
  <r>
    <d v="2037-02-19T00:00:00"/>
    <x v="12"/>
    <n v="24.1"/>
    <n v="0.3"/>
    <n v="0"/>
  </r>
  <r>
    <d v="2037-02-20T00:00:00"/>
    <x v="18"/>
    <n v="27.7"/>
    <n v="0"/>
    <n v="0"/>
  </r>
  <r>
    <d v="2037-02-21T00:00:00"/>
    <x v="7"/>
    <n v="19.600000000000001"/>
    <n v="21.1"/>
    <n v="4.1356000000000002"/>
  </r>
  <r>
    <d v="2037-02-22T00:00:00"/>
    <x v="19"/>
    <n v="29"/>
    <n v="3.2"/>
    <n v="0.92800000000000016"/>
  </r>
  <r>
    <d v="2037-02-23T00:00:00"/>
    <x v="27"/>
    <n v="10.3"/>
    <n v="0.7"/>
    <n v="0"/>
  </r>
  <r>
    <d v="2037-02-24T00:00:00"/>
    <x v="6"/>
    <n v="11"/>
    <n v="40.200000000000003"/>
    <n v="4.4220000000000006"/>
  </r>
  <r>
    <d v="2037-02-25T00:00:00"/>
    <x v="7"/>
    <n v="28.6"/>
    <n v="0.6"/>
    <n v="0"/>
  </r>
  <r>
    <d v="2037-02-26T00:00:00"/>
    <x v="13"/>
    <n v="22.5"/>
    <n v="1"/>
    <n v="0.22500000000000001"/>
  </r>
  <r>
    <d v="2037-02-27T00:00:00"/>
    <x v="8"/>
    <n v="19.600000000000001"/>
    <n v="0"/>
    <n v="0"/>
  </r>
  <r>
    <d v="2037-02-28T00:00:00"/>
    <x v="24"/>
    <n v="19.899999999999999"/>
    <n v="0"/>
    <n v="0"/>
  </r>
  <r>
    <d v="2037-03-01T00:00:00"/>
    <x v="2"/>
    <n v="21.7"/>
    <n v="9.4"/>
    <n v="2.0398000000000001"/>
  </r>
  <r>
    <d v="2037-03-02T00:00:00"/>
    <x v="8"/>
    <n v="15.3"/>
    <n v="0"/>
    <n v="0"/>
  </r>
  <r>
    <d v="2037-03-03T00:00:00"/>
    <x v="11"/>
    <n v="20.9"/>
    <n v="12.4"/>
    <n v="2.5915999999999997"/>
  </r>
  <r>
    <d v="2037-03-04T00:00:00"/>
    <x v="1"/>
    <n v="17"/>
    <n v="0"/>
    <n v="0"/>
  </r>
  <r>
    <d v="2037-03-05T00:00:00"/>
    <x v="2"/>
    <n v="25.8"/>
    <n v="1.4"/>
    <n v="0.36119999999999997"/>
  </r>
  <r>
    <d v="2037-03-06T00:00:00"/>
    <x v="23"/>
    <n v="19.100000000000001"/>
    <n v="2.5"/>
    <n v="0.47749999999999998"/>
  </r>
  <r>
    <d v="2037-03-07T00:00:00"/>
    <x v="9"/>
    <n v="24.6"/>
    <n v="12.5"/>
    <n v="3.0750000000000002"/>
  </r>
  <r>
    <d v="2037-03-08T00:00:00"/>
    <x v="11"/>
    <n v="22.6"/>
    <n v="15.4"/>
    <n v="3.4804000000000004"/>
  </r>
  <r>
    <d v="2037-03-09T00:00:00"/>
    <x v="5"/>
    <n v="18.3"/>
    <n v="4.7"/>
    <n v="0.86010000000000009"/>
  </r>
  <r>
    <d v="2037-03-10T00:00:00"/>
    <x v="3"/>
    <n v="25.5"/>
    <n v="0"/>
    <n v="0"/>
  </r>
  <r>
    <d v="2037-03-11T00:00:00"/>
    <x v="14"/>
    <n v="26.6"/>
    <n v="0"/>
    <n v="0"/>
  </r>
  <r>
    <d v="2037-03-12T00:00:00"/>
    <x v="3"/>
    <n v="19.8"/>
    <n v="14.9"/>
    <n v="2.9502000000000006"/>
  </r>
  <r>
    <d v="2037-03-13T00:00:00"/>
    <x v="22"/>
    <n v="23.7"/>
    <n v="0.9"/>
    <n v="0"/>
  </r>
  <r>
    <d v="2037-03-14T00:00:00"/>
    <x v="20"/>
    <n v="23.5"/>
    <n v="1"/>
    <n v="0.23499999999999999"/>
  </r>
  <r>
    <d v="2037-03-15T00:00:00"/>
    <x v="1"/>
    <n v="18.8"/>
    <n v="7.8"/>
    <n v="1.4664000000000001"/>
  </r>
  <r>
    <d v="2037-03-16T00:00:00"/>
    <x v="2"/>
    <n v="18.7"/>
    <n v="10"/>
    <n v="1.87"/>
  </r>
  <r>
    <d v="2037-03-17T00:00:00"/>
    <x v="15"/>
    <n v="28.3"/>
    <n v="21.8"/>
    <n v="6.1694000000000004"/>
  </r>
  <r>
    <d v="2037-03-18T00:00:00"/>
    <x v="18"/>
    <n v="10.6"/>
    <n v="6.4"/>
    <n v="0.6784"/>
  </r>
  <r>
    <d v="2037-03-19T00:00:00"/>
    <x v="6"/>
    <n v="26.2"/>
    <n v="19.2"/>
    <n v="5.0303999999999993"/>
  </r>
  <r>
    <d v="2037-03-20T00:00:00"/>
    <x v="9"/>
    <n v="25.3"/>
    <n v="8.6999999999999993"/>
    <n v="2.2010999999999998"/>
  </r>
  <r>
    <d v="2037-03-21T00:00:00"/>
    <x v="18"/>
    <n v="21.6"/>
    <n v="1"/>
    <n v="0.21600000000000003"/>
  </r>
  <r>
    <d v="2037-03-22T00:00:00"/>
    <x v="15"/>
    <n v="24.9"/>
    <n v="23.5"/>
    <n v="5.8514999999999997"/>
  </r>
  <r>
    <d v="2037-03-23T00:00:00"/>
    <x v="11"/>
    <n v="27.7"/>
    <n v="11.5"/>
    <n v="3.1855000000000002"/>
  </r>
  <r>
    <d v="2037-03-24T00:00:00"/>
    <x v="15"/>
    <n v="12.3"/>
    <n v="0"/>
    <n v="0"/>
  </r>
  <r>
    <d v="2037-03-25T00:00:00"/>
    <x v="16"/>
    <n v="10.199999999999999"/>
    <n v="0.8"/>
    <n v="0"/>
  </r>
  <r>
    <d v="2037-03-26T00:00:00"/>
    <x v="6"/>
    <n v="23.1"/>
    <n v="0"/>
    <n v="0"/>
  </r>
  <r>
    <d v="2037-03-27T00:00:00"/>
    <x v="14"/>
    <n v="11.3"/>
    <n v="0"/>
    <n v="0"/>
  </r>
  <r>
    <d v="2037-03-28T00:00:00"/>
    <x v="15"/>
    <n v="29.5"/>
    <n v="10.4"/>
    <n v="3.0680000000000001"/>
  </r>
  <r>
    <d v="2037-03-29T00:00:00"/>
    <x v="11"/>
    <n v="19.7"/>
    <n v="0"/>
    <n v="0"/>
  </r>
  <r>
    <d v="2037-03-30T00:00:00"/>
    <x v="1"/>
    <n v="27.9"/>
    <n v="3.4"/>
    <n v="0.9486"/>
  </r>
  <r>
    <d v="2037-03-31T00:00:00"/>
    <x v="6"/>
    <n v="17.399999999999999"/>
    <n v="34.200000000000003"/>
    <n v="5.9508000000000001"/>
  </r>
  <r>
    <d v="2037-04-01T00:00:00"/>
    <x v="13"/>
    <n v="23"/>
    <n v="0"/>
    <n v="0"/>
  </r>
  <r>
    <d v="2037-04-02T00:00:00"/>
    <x v="17"/>
    <n v="27.6"/>
    <n v="0"/>
    <n v="0"/>
  </r>
  <r>
    <d v="2037-04-03T00:00:00"/>
    <x v="18"/>
    <n v="11.6"/>
    <n v="0"/>
    <n v="0"/>
  </r>
  <r>
    <d v="2037-04-04T00:00:00"/>
    <x v="16"/>
    <n v="24.2"/>
    <n v="5"/>
    <n v="1.21"/>
  </r>
  <r>
    <d v="2037-04-05T00:00:00"/>
    <x v="2"/>
    <n v="13.2"/>
    <n v="2.2999999999999998"/>
    <n v="0.30359999999999998"/>
  </r>
  <r>
    <d v="2037-04-06T00:00:00"/>
    <x v="3"/>
    <n v="27"/>
    <n v="0.7"/>
    <n v="0"/>
  </r>
  <r>
    <d v="2037-04-07T00:00:00"/>
    <x v="2"/>
    <n v="23.9"/>
    <n v="6.2"/>
    <n v="1.4818"/>
  </r>
  <r>
    <d v="2037-04-08T00:00:00"/>
    <x v="15"/>
    <n v="16.8"/>
    <n v="17.600000000000001"/>
    <n v="2.9568000000000008"/>
  </r>
  <r>
    <d v="2037-04-09T00:00:00"/>
    <x v="15"/>
    <n v="28.5"/>
    <n v="15.2"/>
    <n v="4.3319999999999999"/>
  </r>
  <r>
    <d v="2037-04-10T00:00:00"/>
    <x v="29"/>
    <n v="25.2"/>
    <n v="1.9"/>
    <n v="0.47879999999999995"/>
  </r>
  <r>
    <d v="2037-04-11T00:00:00"/>
    <x v="6"/>
    <n v="24.9"/>
    <n v="6.8"/>
    <n v="1.6932"/>
  </r>
  <r>
    <d v="2037-04-12T00:00:00"/>
    <x v="8"/>
    <n v="14.7"/>
    <n v="5.7"/>
    <n v="0.83789999999999987"/>
  </r>
  <r>
    <d v="2037-04-13T00:00:00"/>
    <x v="6"/>
    <n v="12.2"/>
    <n v="14.1"/>
    <n v="1.7201999999999997"/>
  </r>
  <r>
    <d v="2037-04-14T00:00:00"/>
    <x v="5"/>
    <n v="24.2"/>
    <n v="8"/>
    <n v="1.9359999999999999"/>
  </r>
  <r>
    <d v="2037-04-15T00:00:00"/>
    <x v="18"/>
    <n v="28.7"/>
    <n v="0"/>
    <n v="0"/>
  </r>
  <r>
    <d v="2037-04-16T00:00:00"/>
    <x v="6"/>
    <n v="28.5"/>
    <n v="0"/>
    <n v="0"/>
  </r>
  <r>
    <d v="2037-04-17T00:00:00"/>
    <x v="3"/>
    <n v="29.3"/>
    <n v="23.3"/>
    <n v="6.8269000000000002"/>
  </r>
  <r>
    <d v="2037-04-18T00:00:00"/>
    <x v="6"/>
    <n v="13.3"/>
    <n v="4.9000000000000004"/>
    <n v="0.65170000000000006"/>
  </r>
  <r>
    <d v="2037-04-19T00:00:00"/>
    <x v="6"/>
    <n v="22.6"/>
    <n v="0.7"/>
    <n v="0"/>
  </r>
  <r>
    <d v="2037-04-20T00:00:00"/>
    <x v="16"/>
    <n v="19.3"/>
    <n v="3"/>
    <n v="0.57900000000000007"/>
  </r>
  <r>
    <d v="2037-04-21T00:00:00"/>
    <x v="4"/>
    <n v="17.899999999999999"/>
    <n v="5.0999999999999996"/>
    <n v="0.91289999999999993"/>
  </r>
  <r>
    <d v="2037-04-22T00:00:00"/>
    <x v="16"/>
    <n v="16.7"/>
    <n v="0.3"/>
    <n v="0"/>
  </r>
  <r>
    <d v="2037-04-23T00:00:00"/>
    <x v="16"/>
    <n v="22"/>
    <n v="0"/>
    <n v="0"/>
  </r>
  <r>
    <d v="2037-04-24T00:00:00"/>
    <x v="5"/>
    <n v="21.2"/>
    <n v="5.9"/>
    <n v="1.2507999999999999"/>
  </r>
  <r>
    <d v="2037-04-25T00:00:00"/>
    <x v="7"/>
    <n v="20.6"/>
    <n v="4.5999999999999996"/>
    <n v="0.9476"/>
  </r>
  <r>
    <d v="2037-04-26T00:00:00"/>
    <x v="15"/>
    <n v="29.4"/>
    <n v="9.1999999999999993"/>
    <n v="2.7047999999999996"/>
  </r>
  <r>
    <d v="2037-04-27T00:00:00"/>
    <x v="3"/>
    <n v="21.3"/>
    <n v="0"/>
    <n v="0"/>
  </r>
  <r>
    <d v="2037-04-28T00:00:00"/>
    <x v="5"/>
    <n v="20.100000000000001"/>
    <n v="2.2000000000000002"/>
    <n v="0.44220000000000004"/>
  </r>
  <r>
    <d v="2037-04-29T00:00:00"/>
    <x v="6"/>
    <n v="12.7"/>
    <n v="5.6"/>
    <n v="0.71119999999999994"/>
  </r>
  <r>
    <d v="2037-04-30T00:00:00"/>
    <x v="7"/>
    <n v="28.9"/>
    <n v="0"/>
    <n v="0"/>
  </r>
  <r>
    <d v="2037-05-01T00:00:00"/>
    <x v="15"/>
    <n v="24.4"/>
    <n v="28.7"/>
    <n v="7.0027999999999997"/>
  </r>
  <r>
    <d v="2037-05-02T00:00:00"/>
    <x v="6"/>
    <n v="10.8"/>
    <n v="0"/>
    <n v="0"/>
  </r>
  <r>
    <d v="2037-05-03T00:00:00"/>
    <x v="6"/>
    <n v="18.399999999999999"/>
    <n v="0"/>
    <n v="0"/>
  </r>
  <r>
    <d v="2037-05-04T00:00:00"/>
    <x v="15"/>
    <n v="23.3"/>
    <n v="10.7"/>
    <n v="2.4931000000000001"/>
  </r>
  <r>
    <d v="2037-05-05T00:00:00"/>
    <x v="11"/>
    <n v="27.9"/>
    <n v="14.8"/>
    <n v="4.1292"/>
  </r>
  <r>
    <d v="2037-05-06T00:00:00"/>
    <x v="8"/>
    <n v="24.7"/>
    <n v="9"/>
    <n v="2.2229999999999999"/>
  </r>
  <r>
    <d v="2037-05-07T00:00:00"/>
    <x v="15"/>
    <n v="14.3"/>
    <n v="22"/>
    <n v="3.1460000000000004"/>
  </r>
  <r>
    <d v="2037-05-08T00:00:00"/>
    <x v="29"/>
    <n v="26.2"/>
    <n v="2"/>
    <n v="0.52400000000000002"/>
  </r>
  <r>
    <d v="2037-05-09T00:00:00"/>
    <x v="12"/>
    <n v="21.5"/>
    <n v="0.4"/>
    <n v="0"/>
  </r>
  <r>
    <d v="2037-05-10T00:00:00"/>
    <x v="6"/>
    <n v="12.8"/>
    <n v="0"/>
    <n v="0"/>
  </r>
  <r>
    <d v="2037-05-11T00:00:00"/>
    <x v="5"/>
    <n v="24.6"/>
    <n v="3"/>
    <n v="0.7380000000000001"/>
  </r>
  <r>
    <d v="2037-05-12T00:00:00"/>
    <x v="23"/>
    <n v="22.6"/>
    <n v="1.6"/>
    <n v="0.36160000000000003"/>
  </r>
  <r>
    <d v="2037-05-13T00:00:00"/>
    <x v="9"/>
    <n v="27.3"/>
    <n v="9.3000000000000007"/>
    <n v="2.5388999999999999"/>
  </r>
  <r>
    <d v="2037-05-14T00:00:00"/>
    <x v="15"/>
    <n v="10.8"/>
    <n v="22.2"/>
    <n v="2.3976000000000002"/>
  </r>
  <r>
    <d v="2037-05-15T00:00:00"/>
    <x v="13"/>
    <n v="12"/>
    <n v="5.3"/>
    <n v="0.6359999999999999"/>
  </r>
  <r>
    <d v="2037-05-16T00:00:00"/>
    <x v="3"/>
    <n v="28.1"/>
    <n v="0"/>
    <n v="0"/>
  </r>
  <r>
    <d v="2037-05-17T00:00:00"/>
    <x v="7"/>
    <n v="16.100000000000001"/>
    <n v="9"/>
    <n v="1.4490000000000001"/>
  </r>
  <r>
    <d v="2037-05-18T00:00:00"/>
    <x v="14"/>
    <n v="29"/>
    <n v="1.6"/>
    <n v="0.46400000000000008"/>
  </r>
  <r>
    <d v="2037-05-19T00:00:00"/>
    <x v="7"/>
    <n v="23.6"/>
    <n v="16"/>
    <n v="3.7760000000000002"/>
  </r>
  <r>
    <d v="2037-05-20T00:00:00"/>
    <x v="15"/>
    <n v="11.6"/>
    <n v="32"/>
    <n v="3.7119999999999997"/>
  </r>
  <r>
    <d v="2037-05-21T00:00:00"/>
    <x v="11"/>
    <n v="15.9"/>
    <n v="5.5"/>
    <n v="0.87450000000000006"/>
  </r>
  <r>
    <d v="2037-05-22T00:00:00"/>
    <x v="22"/>
    <n v="28.3"/>
    <n v="6"/>
    <n v="1.6980000000000002"/>
  </r>
  <r>
    <d v="2037-05-23T00:00:00"/>
    <x v="8"/>
    <n v="16.600000000000001"/>
    <n v="11.3"/>
    <n v="1.8758000000000004"/>
  </r>
  <r>
    <d v="2037-05-24T00:00:00"/>
    <x v="18"/>
    <n v="25.2"/>
    <n v="6.4"/>
    <n v="1.6128"/>
  </r>
  <r>
    <d v="2037-05-25T00:00:00"/>
    <x v="6"/>
    <n v="29.5"/>
    <n v="26.1"/>
    <n v="7.6995000000000005"/>
  </r>
  <r>
    <d v="2037-05-26T00:00:00"/>
    <x v="14"/>
    <n v="13.3"/>
    <n v="7.3"/>
    <n v="0.97089999999999999"/>
  </r>
  <r>
    <d v="2037-05-27T00:00:00"/>
    <x v="13"/>
    <n v="19.5"/>
    <n v="3.4"/>
    <n v="0.66299999999999992"/>
  </r>
  <r>
    <d v="2037-05-28T00:00:00"/>
    <x v="21"/>
    <n v="11.9"/>
    <n v="1.7"/>
    <n v="0.20230000000000001"/>
  </r>
  <r>
    <d v="2037-05-29T00:00:00"/>
    <x v="10"/>
    <n v="29.5"/>
    <n v="5.0999999999999996"/>
    <n v="1.5044999999999999"/>
  </r>
  <r>
    <d v="2037-05-30T00:00:00"/>
    <x v="15"/>
    <n v="25.1"/>
    <n v="0"/>
    <n v="0"/>
  </r>
  <r>
    <d v="2037-05-31T00:00:00"/>
    <x v="18"/>
    <n v="15.1"/>
    <n v="0"/>
    <n v="0"/>
  </r>
  <r>
    <d v="2037-06-01T00:00:00"/>
    <x v="29"/>
    <n v="19.7"/>
    <n v="1.7"/>
    <n v="0.33489999999999998"/>
  </r>
  <r>
    <d v="2037-06-02T00:00:00"/>
    <x v="15"/>
    <n v="25.6"/>
    <n v="0"/>
    <n v="0"/>
  </r>
  <r>
    <d v="2037-06-03T00:00:00"/>
    <x v="7"/>
    <n v="25"/>
    <n v="18.8"/>
    <n v="4.7"/>
  </r>
  <r>
    <d v="2037-06-04T00:00:00"/>
    <x v="19"/>
    <n v="11.5"/>
    <n v="0"/>
    <n v="0"/>
  </r>
  <r>
    <d v="2037-06-05T00:00:00"/>
    <x v="6"/>
    <n v="23.8"/>
    <n v="7.3"/>
    <n v="1.7374000000000001"/>
  </r>
  <r>
    <d v="2037-06-06T00:00:00"/>
    <x v="15"/>
    <n v="25.3"/>
    <n v="14.7"/>
    <n v="3.7190999999999996"/>
  </r>
  <r>
    <d v="2037-06-07T00:00:00"/>
    <x v="6"/>
    <n v="22.6"/>
    <n v="42.2"/>
    <n v="9.5372000000000021"/>
  </r>
  <r>
    <d v="2037-06-08T00:00:00"/>
    <x v="10"/>
    <n v="18.100000000000001"/>
    <n v="3.3"/>
    <n v="0.59730000000000005"/>
  </r>
  <r>
    <d v="2037-06-09T00:00:00"/>
    <x v="15"/>
    <n v="17.8"/>
    <n v="0"/>
    <n v="0"/>
  </r>
  <r>
    <d v="2037-06-10T00:00:00"/>
    <x v="6"/>
    <n v="25.1"/>
    <n v="25.5"/>
    <n v="6.400500000000001"/>
  </r>
  <r>
    <d v="2037-06-11T00:00:00"/>
    <x v="14"/>
    <n v="12"/>
    <n v="0"/>
    <n v="0"/>
  </r>
  <r>
    <d v="2037-06-12T00:00:00"/>
    <x v="6"/>
    <n v="23.2"/>
    <n v="0"/>
    <n v="0"/>
  </r>
  <r>
    <d v="2037-06-13T00:00:00"/>
    <x v="2"/>
    <n v="16"/>
    <n v="7.9"/>
    <n v="1.264"/>
  </r>
  <r>
    <d v="2037-06-14T00:00:00"/>
    <x v="11"/>
    <n v="26.5"/>
    <n v="20.2"/>
    <n v="5.3529999999999998"/>
  </r>
  <r>
    <d v="2037-06-15T00:00:00"/>
    <x v="25"/>
    <n v="28.9"/>
    <n v="0.3"/>
    <n v="0"/>
  </r>
  <r>
    <d v="2037-06-16T00:00:00"/>
    <x v="6"/>
    <n v="26.6"/>
    <n v="0"/>
    <n v="0"/>
  </r>
  <r>
    <d v="2037-06-17T00:00:00"/>
    <x v="3"/>
    <n v="13.1"/>
    <n v="19.899999999999999"/>
    <n v="2.6069"/>
  </r>
  <r>
    <d v="2037-06-18T00:00:00"/>
    <x v="6"/>
    <n v="21.5"/>
    <n v="33.4"/>
    <n v="7.181"/>
  </r>
  <r>
    <d v="2037-06-19T00:00:00"/>
    <x v="27"/>
    <n v="25.7"/>
    <n v="0"/>
    <n v="0"/>
  </r>
  <r>
    <d v="2037-06-20T00:00:00"/>
    <x v="15"/>
    <n v="11.8"/>
    <n v="23"/>
    <n v="2.7140000000000004"/>
  </r>
  <r>
    <d v="2037-06-21T00:00:00"/>
    <x v="21"/>
    <n v="12.6"/>
    <n v="0.7"/>
    <n v="0"/>
  </r>
  <r>
    <d v="2037-06-22T00:00:00"/>
    <x v="23"/>
    <n v="26.2"/>
    <n v="0.3"/>
    <n v="0"/>
  </r>
  <r>
    <d v="2037-06-23T00:00:00"/>
    <x v="4"/>
    <n v="29.1"/>
    <n v="5"/>
    <n v="1.4550000000000001"/>
  </r>
  <r>
    <d v="2037-06-24T00:00:00"/>
    <x v="18"/>
    <n v="18.899999999999999"/>
    <n v="7.5"/>
    <n v="1.4175"/>
  </r>
  <r>
    <d v="2037-06-25T00:00:00"/>
    <x v="7"/>
    <n v="10.5"/>
    <n v="7.3"/>
    <n v="0.76649999999999996"/>
  </r>
  <r>
    <d v="2037-06-26T00:00:00"/>
    <x v="19"/>
    <n v="15.1"/>
    <n v="6"/>
    <n v="0.90599999999999992"/>
  </r>
  <r>
    <d v="2037-06-27T00:00:00"/>
    <x v="3"/>
    <n v="27.8"/>
    <n v="8.3000000000000007"/>
    <n v="2.3074000000000003"/>
  </r>
  <r>
    <d v="2037-06-28T00:00:00"/>
    <x v="12"/>
    <n v="11.7"/>
    <n v="0.4"/>
    <n v="0"/>
  </r>
  <r>
    <d v="2037-06-29T00:00:00"/>
    <x v="6"/>
    <n v="10.5"/>
    <n v="36.9"/>
    <n v="3.8744999999999998"/>
  </r>
  <r>
    <d v="2037-06-30T00:00:00"/>
    <x v="1"/>
    <n v="21"/>
    <n v="7.1"/>
    <n v="1.4909999999999999"/>
  </r>
  <r>
    <d v="2037-07-01T00:00:00"/>
    <x v="20"/>
    <n v="17.399999999999999"/>
    <n v="3.7"/>
    <n v="0.64379999999999993"/>
  </r>
  <r>
    <d v="2037-07-02T00:00:00"/>
    <x v="14"/>
    <n v="21.9"/>
    <n v="7.6"/>
    <n v="1.6643999999999997"/>
  </r>
  <r>
    <d v="2037-07-03T00:00:00"/>
    <x v="14"/>
    <n v="26"/>
    <n v="4.5999999999999996"/>
    <n v="1.196"/>
  </r>
  <r>
    <d v="2037-07-04T00:00:00"/>
    <x v="15"/>
    <n v="12.2"/>
    <n v="19.3"/>
    <n v="2.3546"/>
  </r>
  <r>
    <d v="2037-07-05T00:00:00"/>
    <x v="4"/>
    <n v="22.4"/>
    <n v="0.3"/>
    <n v="0"/>
  </r>
  <r>
    <d v="2037-07-06T00:00:00"/>
    <x v="18"/>
    <n v="18.600000000000001"/>
    <n v="7.2"/>
    <n v="1.3392000000000002"/>
  </r>
  <r>
    <d v="2037-07-07T00:00:00"/>
    <x v="6"/>
    <n v="17.100000000000001"/>
    <n v="0"/>
    <n v="0"/>
  </r>
  <r>
    <d v="2037-07-08T00:00:00"/>
    <x v="15"/>
    <n v="25.1"/>
    <n v="24.3"/>
    <n v="6.0993000000000004"/>
  </r>
  <r>
    <d v="2037-07-09T00:00:00"/>
    <x v="7"/>
    <n v="10.4"/>
    <n v="22.2"/>
    <n v="2.3087999999999997"/>
  </r>
  <r>
    <d v="2037-07-10T00:00:00"/>
    <x v="14"/>
    <n v="28.9"/>
    <n v="0"/>
    <n v="0"/>
  </r>
  <r>
    <d v="2037-07-11T00:00:00"/>
    <x v="27"/>
    <n v="24.1"/>
    <n v="0"/>
    <n v="0"/>
  </r>
  <r>
    <d v="2037-07-12T00:00:00"/>
    <x v="15"/>
    <n v="23.2"/>
    <n v="22.1"/>
    <n v="5.1272000000000002"/>
  </r>
  <r>
    <d v="2037-07-13T00:00:00"/>
    <x v="9"/>
    <n v="24.1"/>
    <n v="9.3000000000000007"/>
    <n v="2.2413000000000003"/>
  </r>
  <r>
    <d v="2037-07-14T00:00:00"/>
    <x v="6"/>
    <n v="14.6"/>
    <n v="0"/>
    <n v="0"/>
  </r>
  <r>
    <d v="2037-07-15T00:00:00"/>
    <x v="16"/>
    <n v="17.7"/>
    <n v="0"/>
    <n v="0"/>
  </r>
  <r>
    <d v="2037-07-16T00:00:00"/>
    <x v="2"/>
    <n v="20.100000000000001"/>
    <n v="11.5"/>
    <n v="2.3115000000000001"/>
  </r>
  <r>
    <d v="2037-07-17T00:00:00"/>
    <x v="4"/>
    <n v="27.5"/>
    <n v="0"/>
    <n v="0"/>
  </r>
  <r>
    <d v="2037-07-18T00:00:00"/>
    <x v="3"/>
    <n v="10.9"/>
    <n v="9"/>
    <n v="0.98100000000000009"/>
  </r>
  <r>
    <d v="2037-07-19T00:00:00"/>
    <x v="20"/>
    <n v="27.6"/>
    <n v="3.2"/>
    <n v="0.8832000000000001"/>
  </r>
  <r>
    <d v="2037-07-20T00:00:00"/>
    <x v="15"/>
    <n v="24.5"/>
    <n v="15.3"/>
    <n v="3.7485000000000004"/>
  </r>
  <r>
    <d v="2037-07-21T00:00:00"/>
    <x v="13"/>
    <n v="10.8"/>
    <n v="0"/>
    <n v="0"/>
  </r>
  <r>
    <d v="2037-07-22T00:00:00"/>
    <x v="15"/>
    <n v="28.7"/>
    <n v="27.2"/>
    <n v="7.8064"/>
  </r>
  <r>
    <d v="2037-07-23T00:00:00"/>
    <x v="5"/>
    <n v="21.5"/>
    <n v="0.6"/>
    <n v="0"/>
  </r>
  <r>
    <d v="2037-07-24T00:00:00"/>
    <x v="20"/>
    <n v="20.100000000000001"/>
    <n v="0.8"/>
    <n v="0"/>
  </r>
  <r>
    <d v="2037-07-25T00:00:00"/>
    <x v="15"/>
    <n v="21.3"/>
    <n v="14.6"/>
    <n v="3.1098000000000003"/>
  </r>
  <r>
    <d v="2037-07-26T00:00:00"/>
    <x v="23"/>
    <n v="20.2"/>
    <n v="6.9"/>
    <n v="1.3937999999999999"/>
  </r>
  <r>
    <d v="2037-07-27T00:00:00"/>
    <x v="9"/>
    <n v="16.8"/>
    <n v="7.6"/>
    <n v="1.2767999999999999"/>
  </r>
  <r>
    <d v="2037-07-28T00:00:00"/>
    <x v="2"/>
    <n v="26.5"/>
    <n v="2.5"/>
    <n v="0.66249999999999998"/>
  </r>
  <r>
    <d v="2037-07-29T00:00:00"/>
    <x v="3"/>
    <n v="18.899999999999999"/>
    <n v="0"/>
    <n v="0"/>
  </r>
  <r>
    <d v="2037-07-30T00:00:00"/>
    <x v="16"/>
    <n v="22.9"/>
    <n v="1.2"/>
    <n v="0.27479999999999999"/>
  </r>
  <r>
    <d v="2037-07-31T00:00:00"/>
    <x v="15"/>
    <n v="11.3"/>
    <n v="32.700000000000003"/>
    <n v="3.6951000000000005"/>
  </r>
  <r>
    <d v="2037-08-01T00:00:00"/>
    <x v="9"/>
    <n v="13"/>
    <n v="1.7"/>
    <n v="0.22099999999999997"/>
  </r>
  <r>
    <d v="2037-08-02T00:00:00"/>
    <x v="4"/>
    <n v="18.3"/>
    <n v="2.5"/>
    <n v="0.45750000000000002"/>
  </r>
  <r>
    <d v="2037-08-03T00:00:00"/>
    <x v="3"/>
    <n v="10.199999999999999"/>
    <n v="14.3"/>
    <n v="1.4585999999999999"/>
  </r>
  <r>
    <d v="2037-08-04T00:00:00"/>
    <x v="7"/>
    <n v="14.5"/>
    <n v="10.5"/>
    <n v="1.5225"/>
  </r>
  <r>
    <d v="2037-08-05T00:00:00"/>
    <x v="10"/>
    <n v="12.3"/>
    <n v="7.4"/>
    <n v="0.91020000000000012"/>
  </r>
  <r>
    <d v="2037-08-06T00:00:00"/>
    <x v="9"/>
    <n v="17"/>
    <n v="16.899999999999999"/>
    <n v="2.8729999999999993"/>
  </r>
  <r>
    <d v="2037-08-07T00:00:00"/>
    <x v="1"/>
    <n v="17.5"/>
    <n v="0"/>
    <n v="0"/>
  </r>
  <r>
    <d v="2037-08-08T00:00:00"/>
    <x v="0"/>
    <n v="28.4"/>
    <n v="0"/>
    <n v="0"/>
  </r>
  <r>
    <d v="2037-08-09T00:00:00"/>
    <x v="15"/>
    <n v="13.1"/>
    <n v="36.6"/>
    <n v="4.7946"/>
  </r>
  <r>
    <d v="2037-08-10T00:00:00"/>
    <x v="3"/>
    <n v="16.600000000000001"/>
    <n v="6.6"/>
    <n v="1.0956000000000001"/>
  </r>
  <r>
    <d v="2037-08-11T00:00:00"/>
    <x v="15"/>
    <n v="20.2"/>
    <n v="0"/>
    <n v="0"/>
  </r>
  <r>
    <d v="2037-08-12T00:00:00"/>
    <x v="3"/>
    <n v="26.4"/>
    <n v="11.9"/>
    <n v="3.1415999999999995"/>
  </r>
  <r>
    <d v="2037-08-13T00:00:00"/>
    <x v="6"/>
    <n v="11.8"/>
    <n v="0"/>
    <n v="0"/>
  </r>
  <r>
    <d v="2037-08-14T00:00:00"/>
    <x v="13"/>
    <n v="19.5"/>
    <n v="6.4"/>
    <n v="1.2480000000000002"/>
  </r>
  <r>
    <d v="2037-08-15T00:00:00"/>
    <x v="15"/>
    <n v="12"/>
    <n v="13.3"/>
    <n v="1.5960000000000003"/>
  </r>
  <r>
    <d v="2037-08-16T00:00:00"/>
    <x v="18"/>
    <n v="16.3"/>
    <n v="7.5"/>
    <n v="1.2224999999999999"/>
  </r>
  <r>
    <d v="2037-08-17T00:00:00"/>
    <x v="13"/>
    <n v="22.8"/>
    <n v="2.7"/>
    <n v="0.61560000000000015"/>
  </r>
  <r>
    <d v="2037-08-18T00:00:00"/>
    <x v="6"/>
    <n v="16.2"/>
    <n v="43.3"/>
    <n v="7.0145999999999988"/>
  </r>
  <r>
    <d v="2037-08-19T00:00:00"/>
    <x v="20"/>
    <n v="11.5"/>
    <n v="3.1"/>
    <n v="0.35649999999999998"/>
  </r>
  <r>
    <d v="2037-08-20T00:00:00"/>
    <x v="9"/>
    <n v="13.5"/>
    <n v="0"/>
    <n v="0"/>
  </r>
  <r>
    <d v="2037-08-21T00:00:00"/>
    <x v="13"/>
    <n v="16.2"/>
    <n v="6.4"/>
    <n v="1.0368000000000002"/>
  </r>
  <r>
    <d v="2037-08-22T00:00:00"/>
    <x v="6"/>
    <n v="18.5"/>
    <n v="24.9"/>
    <n v="4.6064999999999996"/>
  </r>
  <r>
    <d v="2037-08-23T00:00:00"/>
    <x v="15"/>
    <n v="10.9"/>
    <n v="0"/>
    <n v="0"/>
  </r>
  <r>
    <d v="2037-08-24T00:00:00"/>
    <x v="13"/>
    <n v="23.9"/>
    <n v="4.5"/>
    <n v="1.0754999999999999"/>
  </r>
  <r>
    <d v="2037-08-25T00:00:00"/>
    <x v="7"/>
    <n v="20.2"/>
    <n v="0"/>
    <n v="0"/>
  </r>
  <r>
    <d v="2037-08-26T00:00:00"/>
    <x v="3"/>
    <n v="23.3"/>
    <n v="0"/>
    <n v="0"/>
  </r>
  <r>
    <d v="2037-08-27T00:00:00"/>
    <x v="9"/>
    <n v="26.3"/>
    <n v="2.2000000000000002"/>
    <n v="0.57860000000000011"/>
  </r>
  <r>
    <d v="2037-08-28T00:00:00"/>
    <x v="9"/>
    <n v="20.3"/>
    <n v="16.600000000000001"/>
    <n v="3.3698000000000001"/>
  </r>
  <r>
    <d v="2037-08-29T00:00:00"/>
    <x v="6"/>
    <n v="11.1"/>
    <n v="38"/>
    <n v="4.218"/>
  </r>
  <r>
    <d v="2037-08-30T00:00:00"/>
    <x v="1"/>
    <n v="10.7"/>
    <n v="1.2"/>
    <n v="0.12839999999999999"/>
  </r>
  <r>
    <d v="2037-08-31T00:00:00"/>
    <x v="17"/>
    <n v="21.8"/>
    <n v="0"/>
    <n v="0"/>
  </r>
  <r>
    <d v="2037-09-01T00:00:00"/>
    <x v="3"/>
    <n v="29.7"/>
    <n v="2.5"/>
    <n v="0.74250000000000005"/>
  </r>
  <r>
    <d v="2037-09-02T00:00:00"/>
    <x v="6"/>
    <n v="21.7"/>
    <n v="16.100000000000001"/>
    <n v="3.4937"/>
  </r>
  <r>
    <d v="2037-09-03T00:00:00"/>
    <x v="6"/>
    <n v="26"/>
    <n v="47.6"/>
    <n v="12.376000000000001"/>
  </r>
  <r>
    <d v="2037-09-04T00:00:00"/>
    <x v="3"/>
    <n v="18"/>
    <n v="5.3"/>
    <n v="0.95399999999999996"/>
  </r>
  <r>
    <d v="2037-09-05T00:00:00"/>
    <x v="20"/>
    <n v="15.8"/>
    <n v="3.6"/>
    <n v="0.56879999999999997"/>
  </r>
  <r>
    <d v="2037-09-06T00:00:00"/>
    <x v="22"/>
    <n v="14.1"/>
    <n v="6.8"/>
    <n v="0.95879999999999999"/>
  </r>
  <r>
    <d v="2037-09-07T00:00:00"/>
    <x v="20"/>
    <n v="22.3"/>
    <n v="1.8"/>
    <n v="0.40139999999999998"/>
  </r>
  <r>
    <d v="2037-09-08T00:00:00"/>
    <x v="15"/>
    <n v="22.2"/>
    <n v="0"/>
    <n v="0"/>
  </r>
  <r>
    <d v="2037-09-09T00:00:00"/>
    <x v="2"/>
    <n v="23.8"/>
    <n v="0"/>
    <n v="0"/>
  </r>
  <r>
    <d v="2037-09-10T00:00:00"/>
    <x v="10"/>
    <n v="10"/>
    <n v="8.1"/>
    <n v="0.81"/>
  </r>
  <r>
    <d v="2037-09-11T00:00:00"/>
    <x v="20"/>
    <n v="23.8"/>
    <n v="0"/>
    <n v="0"/>
  </r>
  <r>
    <d v="2037-09-12T00:00:00"/>
    <x v="19"/>
    <n v="13.4"/>
    <n v="2.6"/>
    <n v="0.34840000000000004"/>
  </r>
  <r>
    <d v="2037-09-13T00:00:00"/>
    <x v="20"/>
    <n v="17"/>
    <n v="1.5"/>
    <n v="0.255"/>
  </r>
  <r>
    <d v="2037-09-14T00:00:00"/>
    <x v="2"/>
    <n v="25.5"/>
    <n v="0"/>
    <n v="0"/>
  </r>
  <r>
    <d v="2037-09-15T00:00:00"/>
    <x v="10"/>
    <n v="19.7"/>
    <n v="0"/>
    <n v="0"/>
  </r>
  <r>
    <d v="2037-09-16T00:00:00"/>
    <x v="6"/>
    <n v="22.8"/>
    <n v="10.7"/>
    <n v="2.4396"/>
  </r>
  <r>
    <d v="2037-09-17T00:00:00"/>
    <x v="12"/>
    <n v="25.5"/>
    <n v="0"/>
    <n v="0"/>
  </r>
  <r>
    <d v="2037-09-18T00:00:00"/>
    <x v="6"/>
    <n v="16.8"/>
    <n v="2.2000000000000002"/>
    <n v="0.3696000000000001"/>
  </r>
  <r>
    <d v="2037-09-19T00:00:00"/>
    <x v="19"/>
    <n v="25.3"/>
    <n v="2.5"/>
    <n v="0.63249999999999995"/>
  </r>
  <r>
    <d v="2037-09-20T00:00:00"/>
    <x v="21"/>
    <n v="26.3"/>
    <n v="0.4"/>
    <n v="0"/>
  </r>
  <r>
    <d v="2037-09-21T00:00:00"/>
    <x v="9"/>
    <n v="21.9"/>
    <n v="7"/>
    <n v="1.5329999999999999"/>
  </r>
  <r>
    <d v="2037-09-22T00:00:00"/>
    <x v="9"/>
    <n v="11.2"/>
    <n v="0"/>
    <n v="0"/>
  </r>
  <r>
    <d v="2037-09-23T00:00:00"/>
    <x v="11"/>
    <n v="10.6"/>
    <n v="5.2"/>
    <n v="0.55120000000000002"/>
  </r>
  <r>
    <d v="2037-09-24T00:00:00"/>
    <x v="8"/>
    <n v="17.7"/>
    <n v="1"/>
    <n v="0.17699999999999999"/>
  </r>
  <r>
    <d v="2037-09-25T00:00:00"/>
    <x v="3"/>
    <n v="19.899999999999999"/>
    <n v="0"/>
    <n v="0"/>
  </r>
  <r>
    <d v="2037-09-26T00:00:00"/>
    <x v="6"/>
    <n v="25.1"/>
    <n v="42.1"/>
    <n v="10.5671"/>
  </r>
  <r>
    <d v="2037-09-27T00:00:00"/>
    <x v="5"/>
    <n v="18.5"/>
    <n v="0.3"/>
    <n v="0"/>
  </r>
  <r>
    <d v="2037-09-28T00:00:00"/>
    <x v="6"/>
    <n v="25.5"/>
    <n v="25.3"/>
    <n v="6.4514999999999993"/>
  </r>
  <r>
    <d v="2037-09-29T00:00:00"/>
    <x v="6"/>
    <n v="12.8"/>
    <n v="0"/>
    <n v="0"/>
  </r>
  <r>
    <d v="2037-09-30T00:00:00"/>
    <x v="15"/>
    <n v="23.6"/>
    <n v="34.299999999999997"/>
    <n v="8.0947999999999993"/>
  </r>
  <r>
    <d v="2037-10-01T00:00:00"/>
    <x v="11"/>
    <n v="13.1"/>
    <n v="2"/>
    <n v="0.26200000000000001"/>
  </r>
  <r>
    <d v="2037-10-02T00:00:00"/>
    <x v="19"/>
    <n v="23"/>
    <n v="0"/>
    <n v="0"/>
  </r>
  <r>
    <d v="2037-10-03T00:00:00"/>
    <x v="9"/>
    <n v="13"/>
    <n v="15.8"/>
    <n v="2.0540000000000003"/>
  </r>
  <r>
    <d v="2037-10-04T00:00:00"/>
    <x v="5"/>
    <n v="19.5"/>
    <n v="8"/>
    <n v="1.56"/>
  </r>
  <r>
    <d v="2037-10-05T00:00:00"/>
    <x v="3"/>
    <n v="19.2"/>
    <n v="0"/>
    <n v="0"/>
  </r>
  <r>
    <d v="2037-10-06T00:00:00"/>
    <x v="1"/>
    <n v="28.3"/>
    <n v="1.1000000000000001"/>
    <n v="0.31130000000000002"/>
  </r>
  <r>
    <d v="2037-10-07T00:00:00"/>
    <x v="6"/>
    <n v="18.100000000000001"/>
    <n v="0"/>
    <n v="0"/>
  </r>
  <r>
    <d v="2037-10-08T00:00:00"/>
    <x v="15"/>
    <n v="17.5"/>
    <n v="13.3"/>
    <n v="2.3275000000000001"/>
  </r>
  <r>
    <d v="2037-10-09T00:00:00"/>
    <x v="2"/>
    <n v="26.7"/>
    <n v="12.9"/>
    <n v="3.4443000000000001"/>
  </r>
  <r>
    <d v="2037-10-10T00:00:00"/>
    <x v="15"/>
    <n v="26.6"/>
    <n v="0"/>
    <n v="0"/>
  </r>
  <r>
    <d v="2037-10-11T00:00:00"/>
    <x v="18"/>
    <n v="12.2"/>
    <n v="1.8"/>
    <n v="0.21960000000000002"/>
  </r>
  <r>
    <d v="2037-10-12T00:00:00"/>
    <x v="3"/>
    <n v="27.4"/>
    <n v="4.8"/>
    <n v="1.3151999999999999"/>
  </r>
  <r>
    <d v="2037-10-13T00:00:00"/>
    <x v="9"/>
    <n v="24.9"/>
    <n v="1.6"/>
    <n v="0.39840000000000003"/>
  </r>
  <r>
    <d v="2037-10-14T00:00:00"/>
    <x v="23"/>
    <n v="21.4"/>
    <n v="5.5"/>
    <n v="1.1769999999999998"/>
  </r>
  <r>
    <d v="2037-10-15T00:00:00"/>
    <x v="25"/>
    <n v="14.1"/>
    <n v="0"/>
    <n v="0"/>
  </r>
  <r>
    <d v="2037-10-16T00:00:00"/>
    <x v="21"/>
    <n v="15.4"/>
    <n v="2.1"/>
    <n v="0.32340000000000002"/>
  </r>
  <r>
    <d v="2037-10-17T00:00:00"/>
    <x v="9"/>
    <n v="27.7"/>
    <n v="0"/>
    <n v="0"/>
  </r>
  <r>
    <d v="2037-10-18T00:00:00"/>
    <x v="6"/>
    <n v="15.5"/>
    <n v="43.4"/>
    <n v="6.7269999999999994"/>
  </r>
  <r>
    <d v="2037-10-19T00:00:00"/>
    <x v="3"/>
    <n v="26.8"/>
    <n v="0"/>
    <n v="0"/>
  </r>
  <r>
    <d v="2037-10-20T00:00:00"/>
    <x v="9"/>
    <n v="23.1"/>
    <n v="9.1"/>
    <n v="2.1021000000000001"/>
  </r>
  <r>
    <d v="2037-10-21T00:00:00"/>
    <x v="2"/>
    <n v="22.8"/>
    <n v="12.9"/>
    <n v="2.9412000000000003"/>
  </r>
  <r>
    <d v="2037-10-22T00:00:00"/>
    <x v="6"/>
    <n v="17.2"/>
    <n v="0"/>
    <n v="0"/>
  </r>
  <r>
    <d v="2037-10-23T00:00:00"/>
    <x v="6"/>
    <n v="29.3"/>
    <n v="6.1"/>
    <n v="1.7872999999999999"/>
  </r>
  <r>
    <d v="2037-10-24T00:00:00"/>
    <x v="9"/>
    <n v="19.5"/>
    <n v="14.2"/>
    <n v="2.7689999999999997"/>
  </r>
  <r>
    <d v="2037-10-25T00:00:00"/>
    <x v="15"/>
    <n v="28.1"/>
    <n v="9.4"/>
    <n v="2.6414000000000004"/>
  </r>
  <r>
    <d v="2037-10-26T00:00:00"/>
    <x v="7"/>
    <n v="21.1"/>
    <n v="12"/>
    <n v="2.532"/>
  </r>
  <r>
    <d v="2037-10-27T00:00:00"/>
    <x v="3"/>
    <n v="23.8"/>
    <n v="13.3"/>
    <n v="3.1654"/>
  </r>
  <r>
    <d v="2037-10-28T00:00:00"/>
    <x v="20"/>
    <n v="19.399999999999999"/>
    <n v="2.2000000000000002"/>
    <n v="0.42680000000000001"/>
  </r>
  <r>
    <d v="2037-10-29T00:00:00"/>
    <x v="3"/>
    <n v="25.8"/>
    <n v="17.100000000000001"/>
    <n v="4.4118000000000004"/>
  </r>
  <r>
    <d v="2037-10-30T00:00:00"/>
    <x v="3"/>
    <n v="30"/>
    <n v="6.3"/>
    <n v="1.89"/>
  </r>
  <r>
    <d v="2037-10-31T00:00:00"/>
    <x v="6"/>
    <n v="11"/>
    <n v="0"/>
    <n v="0"/>
  </r>
  <r>
    <d v="2037-11-01T00:00:00"/>
    <x v="15"/>
    <n v="27.2"/>
    <n v="0"/>
    <n v="0"/>
  </r>
  <r>
    <d v="2037-11-02T00:00:00"/>
    <x v="3"/>
    <n v="18.3"/>
    <n v="8.4"/>
    <n v="1.5371999999999999"/>
  </r>
  <r>
    <d v="2037-11-03T00:00:00"/>
    <x v="21"/>
    <n v="14"/>
    <n v="2.5"/>
    <n v="0.35"/>
  </r>
  <r>
    <d v="2037-11-04T00:00:00"/>
    <x v="3"/>
    <n v="26.2"/>
    <n v="6.9"/>
    <n v="1.8078000000000001"/>
  </r>
  <r>
    <d v="2037-11-05T00:00:00"/>
    <x v="11"/>
    <n v="25.5"/>
    <n v="8.4"/>
    <n v="2.1420000000000003"/>
  </r>
  <r>
    <d v="2037-11-06T00:00:00"/>
    <x v="14"/>
    <n v="23.1"/>
    <n v="11.4"/>
    <n v="2.6334000000000004"/>
  </r>
  <r>
    <d v="2037-11-07T00:00:00"/>
    <x v="8"/>
    <n v="21.3"/>
    <n v="2.8"/>
    <n v="0.59640000000000004"/>
  </r>
  <r>
    <d v="2037-11-08T00:00:00"/>
    <x v="8"/>
    <n v="16.3"/>
    <n v="7.6"/>
    <n v="1.2387999999999999"/>
  </r>
  <r>
    <d v="2037-11-09T00:00:00"/>
    <x v="10"/>
    <n v="23.7"/>
    <n v="7.6"/>
    <n v="1.8011999999999997"/>
  </r>
  <r>
    <d v="2037-11-10T00:00:00"/>
    <x v="14"/>
    <n v="24.8"/>
    <n v="0"/>
    <n v="0"/>
  </r>
  <r>
    <d v="2037-11-11T00:00:00"/>
    <x v="29"/>
    <n v="21.7"/>
    <n v="1"/>
    <n v="0.217"/>
  </r>
  <r>
    <d v="2037-11-12T00:00:00"/>
    <x v="6"/>
    <n v="16.7"/>
    <n v="21"/>
    <n v="3.5069999999999997"/>
  </r>
  <r>
    <d v="2037-11-13T00:00:00"/>
    <x v="19"/>
    <n v="22.3"/>
    <n v="0.1"/>
    <n v="0"/>
  </r>
  <r>
    <d v="2037-11-14T00:00:00"/>
    <x v="22"/>
    <n v="13.6"/>
    <n v="0"/>
    <n v="0"/>
  </r>
  <r>
    <d v="2037-11-15T00:00:00"/>
    <x v="21"/>
    <n v="11.8"/>
    <n v="2.1"/>
    <n v="0.24780000000000002"/>
  </r>
  <r>
    <d v="2037-11-16T00:00:00"/>
    <x v="7"/>
    <n v="11.1"/>
    <n v="0"/>
    <n v="0"/>
  </r>
  <r>
    <d v="2037-11-17T00:00:00"/>
    <x v="9"/>
    <n v="11.2"/>
    <n v="15"/>
    <n v="1.68"/>
  </r>
  <r>
    <d v="2037-11-18T00:00:00"/>
    <x v="19"/>
    <n v="19.100000000000001"/>
    <n v="0"/>
    <n v="0"/>
  </r>
  <r>
    <d v="2037-11-19T00:00:00"/>
    <x v="6"/>
    <n v="11.1"/>
    <n v="46.3"/>
    <n v="5.1392999999999995"/>
  </r>
  <r>
    <d v="2037-11-20T00:00:00"/>
    <x v="14"/>
    <n v="15.1"/>
    <n v="6.2"/>
    <n v="0.93620000000000003"/>
  </r>
  <r>
    <d v="2037-11-21T00:00:00"/>
    <x v="11"/>
    <n v="21.7"/>
    <n v="0"/>
    <n v="0"/>
  </r>
  <r>
    <d v="2037-11-22T00:00:00"/>
    <x v="19"/>
    <n v="19.7"/>
    <n v="0.2"/>
    <n v="0"/>
  </r>
  <r>
    <d v="2037-11-23T00:00:00"/>
    <x v="3"/>
    <n v="17.5"/>
    <n v="2.2000000000000002"/>
    <n v="0.38500000000000001"/>
  </r>
  <r>
    <d v="2037-11-24T00:00:00"/>
    <x v="2"/>
    <n v="18.8"/>
    <n v="11.3"/>
    <n v="2.1244000000000001"/>
  </r>
  <r>
    <d v="2037-11-25T00:00:00"/>
    <x v="26"/>
    <n v="19.600000000000001"/>
    <n v="0.3"/>
    <n v="0"/>
  </r>
  <r>
    <d v="2037-11-26T00:00:00"/>
    <x v="7"/>
    <n v="24.4"/>
    <n v="22"/>
    <n v="5.3679999999999994"/>
  </r>
  <r>
    <d v="2037-11-27T00:00:00"/>
    <x v="19"/>
    <n v="10.5"/>
    <n v="0.1"/>
    <n v="0"/>
  </r>
  <r>
    <d v="2037-11-28T00:00:00"/>
    <x v="5"/>
    <n v="23.5"/>
    <n v="0"/>
    <n v="0"/>
  </r>
  <r>
    <d v="2037-11-29T00:00:00"/>
    <x v="23"/>
    <n v="19.2"/>
    <n v="0"/>
    <n v="0"/>
  </r>
  <r>
    <d v="2037-11-30T00:00:00"/>
    <x v="2"/>
    <n v="11"/>
    <n v="0"/>
    <n v="0"/>
  </r>
  <r>
    <d v="2037-12-01T00:00:00"/>
    <x v="7"/>
    <n v="10.4"/>
    <n v="0"/>
    <n v="0"/>
  </r>
  <r>
    <d v="2037-12-02T00:00:00"/>
    <x v="3"/>
    <n v="11.9"/>
    <n v="9"/>
    <n v="1.0710000000000002"/>
  </r>
  <r>
    <d v="2037-12-03T00:00:00"/>
    <x v="10"/>
    <n v="23.1"/>
    <n v="2"/>
    <n v="0.46200000000000002"/>
  </r>
  <r>
    <d v="2037-12-04T00:00:00"/>
    <x v="15"/>
    <n v="18.600000000000001"/>
    <n v="17.2"/>
    <n v="3.1992000000000003"/>
  </r>
  <r>
    <d v="2037-12-05T00:00:00"/>
    <x v="2"/>
    <n v="21.8"/>
    <n v="12.3"/>
    <n v="2.6814000000000004"/>
  </r>
  <r>
    <d v="2037-12-06T00:00:00"/>
    <x v="10"/>
    <n v="27.7"/>
    <n v="7.4"/>
    <n v="2.0498000000000003"/>
  </r>
  <r>
    <d v="2037-12-07T00:00:00"/>
    <x v="15"/>
    <n v="23.2"/>
    <n v="24"/>
    <n v="5.5679999999999996"/>
  </r>
  <r>
    <d v="2037-12-08T00:00:00"/>
    <x v="15"/>
    <n v="25.8"/>
    <n v="16.100000000000001"/>
    <n v="4.1538000000000004"/>
  </r>
  <r>
    <d v="2037-12-09T00:00:00"/>
    <x v="1"/>
    <n v="19.8"/>
    <n v="6.6"/>
    <n v="1.3068"/>
  </r>
  <r>
    <d v="2037-12-10T00:00:00"/>
    <x v="14"/>
    <n v="11.2"/>
    <n v="7.5"/>
    <n v="0.84"/>
  </r>
  <r>
    <d v="2037-12-11T00:00:00"/>
    <x v="6"/>
    <n v="15.7"/>
    <n v="0"/>
    <n v="0"/>
  </r>
  <r>
    <d v="2037-12-12T00:00:00"/>
    <x v="26"/>
    <n v="23.6"/>
    <n v="0.6"/>
    <n v="0"/>
  </r>
  <r>
    <d v="2037-12-13T00:00:00"/>
    <x v="4"/>
    <n v="27.5"/>
    <n v="5.3"/>
    <n v="1.4575"/>
  </r>
  <r>
    <d v="2037-12-14T00:00:00"/>
    <x v="1"/>
    <n v="17.3"/>
    <n v="0"/>
    <n v="0"/>
  </r>
  <r>
    <d v="2037-12-15T00:00:00"/>
    <x v="15"/>
    <n v="11.2"/>
    <n v="32.700000000000003"/>
    <n v="3.6623999999999999"/>
  </r>
  <r>
    <d v="2037-12-16T00:00:00"/>
    <x v="7"/>
    <n v="17.8"/>
    <n v="0"/>
    <n v="0"/>
  </r>
  <r>
    <d v="2037-12-17T00:00:00"/>
    <x v="6"/>
    <n v="16.899999999999999"/>
    <n v="41.8"/>
    <n v="7.0641999999999987"/>
  </r>
  <r>
    <d v="2037-12-18T00:00:00"/>
    <x v="7"/>
    <n v="18.3"/>
    <n v="0"/>
    <n v="0"/>
  </r>
  <r>
    <d v="2037-12-19T00:00:00"/>
    <x v="13"/>
    <n v="12.2"/>
    <n v="0"/>
    <n v="0"/>
  </r>
  <r>
    <d v="2037-12-20T00:00:00"/>
    <x v="9"/>
    <n v="21.2"/>
    <n v="0"/>
    <n v="0"/>
  </r>
  <r>
    <d v="2037-12-21T00:00:00"/>
    <x v="6"/>
    <n v="19.600000000000001"/>
    <n v="48.2"/>
    <n v="9.4472000000000023"/>
  </r>
  <r>
    <d v="2037-12-22T00:00:00"/>
    <x v="5"/>
    <n v="15.6"/>
    <n v="0.6"/>
    <n v="0"/>
  </r>
  <r>
    <d v="2037-12-23T00:00:00"/>
    <x v="22"/>
    <n v="12.5"/>
    <n v="5.9"/>
    <n v="0.73750000000000004"/>
  </r>
  <r>
    <d v="2037-12-24T00:00:00"/>
    <x v="8"/>
    <n v="29.3"/>
    <n v="0"/>
    <n v="0"/>
  </r>
  <r>
    <d v="2037-12-25T00:00:00"/>
    <x v="14"/>
    <n v="24.6"/>
    <n v="0"/>
    <n v="0"/>
  </r>
  <r>
    <d v="2037-12-26T00:00:00"/>
    <x v="5"/>
    <n v="21.2"/>
    <n v="3.1"/>
    <n v="0.65720000000000001"/>
  </r>
  <r>
    <d v="2037-12-27T00:00:00"/>
    <x v="6"/>
    <n v="12.7"/>
    <n v="38.1"/>
    <n v="4.8387000000000002"/>
  </r>
  <r>
    <d v="2037-12-28T00:00:00"/>
    <x v="19"/>
    <n v="20.6"/>
    <n v="5.2"/>
    <n v="1.0712000000000002"/>
  </r>
  <r>
    <d v="2037-12-29T00:00:00"/>
    <x v="8"/>
    <n v="28.3"/>
    <n v="0"/>
    <n v="0"/>
  </r>
  <r>
    <d v="2037-12-30T00:00:00"/>
    <x v="15"/>
    <n v="15.1"/>
    <n v="22.6"/>
    <n v="3.4125999999999999"/>
  </r>
  <r>
    <d v="2037-12-31T00:00:00"/>
    <x v="11"/>
    <n v="24.8"/>
    <n v="10.5"/>
    <n v="2.6040000000000005"/>
  </r>
  <r>
    <d v="2038-01-01T00:00:00"/>
    <x v="17"/>
    <n v="16.899999999999999"/>
    <n v="1.2"/>
    <n v="0.20279999999999998"/>
  </r>
  <r>
    <d v="2038-01-02T00:00:00"/>
    <x v="17"/>
    <n v="23.4"/>
    <n v="0"/>
    <n v="0"/>
  </r>
  <r>
    <d v="2038-01-03T00:00:00"/>
    <x v="3"/>
    <n v="10.5"/>
    <n v="22.2"/>
    <n v="2.331"/>
  </r>
  <r>
    <d v="2038-01-04T00:00:00"/>
    <x v="6"/>
    <n v="16.2"/>
    <n v="0"/>
    <n v="0"/>
  </r>
  <r>
    <d v="2038-01-05T00:00:00"/>
    <x v="12"/>
    <n v="29.7"/>
    <n v="0.3"/>
    <n v="0"/>
  </r>
  <r>
    <d v="2038-01-06T00:00:00"/>
    <x v="6"/>
    <n v="12.8"/>
    <n v="0"/>
    <n v="0"/>
  </r>
  <r>
    <d v="2038-01-07T00:00:00"/>
    <x v="4"/>
    <n v="19.100000000000001"/>
    <n v="1.7"/>
    <n v="0.32469999999999999"/>
  </r>
  <r>
    <d v="2038-01-08T00:00:00"/>
    <x v="7"/>
    <n v="27.7"/>
    <n v="0"/>
    <n v="0"/>
  </r>
  <r>
    <d v="2038-01-09T00:00:00"/>
    <x v="10"/>
    <n v="22"/>
    <n v="5.9"/>
    <n v="1.298"/>
  </r>
  <r>
    <d v="2038-01-10T00:00:00"/>
    <x v="2"/>
    <n v="19.600000000000001"/>
    <n v="2.7"/>
    <n v="0.52920000000000011"/>
  </r>
  <r>
    <d v="2038-01-11T00:00:00"/>
    <x v="4"/>
    <n v="16"/>
    <n v="0.3"/>
    <n v="0"/>
  </r>
  <r>
    <d v="2038-01-12T00:00:00"/>
    <x v="1"/>
    <n v="14"/>
    <n v="1.3"/>
    <n v="0.182"/>
  </r>
  <r>
    <d v="2038-01-13T00:00:00"/>
    <x v="11"/>
    <n v="29.5"/>
    <n v="3.3"/>
    <n v="0.97349999999999992"/>
  </r>
  <r>
    <d v="2038-01-14T00:00:00"/>
    <x v="3"/>
    <n v="12.2"/>
    <n v="0"/>
    <n v="0"/>
  </r>
  <r>
    <d v="2038-01-15T00:00:00"/>
    <x v="7"/>
    <n v="15"/>
    <n v="7.4"/>
    <n v="1.1100000000000001"/>
  </r>
  <r>
    <d v="2038-01-16T00:00:00"/>
    <x v="16"/>
    <n v="10.4"/>
    <n v="2"/>
    <n v="0.20800000000000002"/>
  </r>
  <r>
    <d v="2038-01-17T00:00:00"/>
    <x v="15"/>
    <n v="18.600000000000001"/>
    <n v="4.5999999999999996"/>
    <n v="0.85560000000000003"/>
  </r>
  <r>
    <d v="2038-01-18T00:00:00"/>
    <x v="14"/>
    <n v="23.7"/>
    <n v="7.2"/>
    <n v="1.7063999999999999"/>
  </r>
  <r>
    <d v="2038-01-19T00:00:00"/>
    <x v="1"/>
    <n v="27.2"/>
    <n v="0"/>
    <n v="0"/>
  </r>
  <r>
    <d v="2038-01-20T00:00:00"/>
    <x v="11"/>
    <n v="11.3"/>
    <n v="18.8"/>
    <n v="2.1244000000000001"/>
  </r>
  <r>
    <d v="2038-01-21T00:00:00"/>
    <x v="3"/>
    <n v="22.1"/>
    <n v="0"/>
    <n v="0"/>
  </r>
  <r>
    <d v="2038-01-22T00:00:00"/>
    <x v="8"/>
    <n v="11"/>
    <n v="0"/>
    <n v="0"/>
  </r>
  <r>
    <d v="2038-01-23T00:00:00"/>
    <x v="15"/>
    <n v="14.7"/>
    <n v="0"/>
    <n v="0"/>
  </r>
  <r>
    <d v="2038-01-24T00:00:00"/>
    <x v="15"/>
    <n v="10.4"/>
    <n v="14.4"/>
    <n v="1.4976000000000003"/>
  </r>
  <r>
    <d v="2038-01-25T00:00:00"/>
    <x v="20"/>
    <n v="29.6"/>
    <n v="2.8"/>
    <n v="0.82879999999999998"/>
  </r>
  <r>
    <d v="2038-01-26T00:00:00"/>
    <x v="14"/>
    <n v="11.3"/>
    <n v="7.2"/>
    <n v="0.8136000000000001"/>
  </r>
  <r>
    <d v="2038-01-27T00:00:00"/>
    <x v="16"/>
    <n v="22.4"/>
    <n v="0"/>
    <n v="0"/>
  </r>
  <r>
    <d v="2038-01-28T00:00:00"/>
    <x v="15"/>
    <n v="19.600000000000001"/>
    <n v="28.7"/>
    <n v="5.6251999999999995"/>
  </r>
  <r>
    <d v="2038-01-29T00:00:00"/>
    <x v="2"/>
    <n v="28.5"/>
    <n v="12.9"/>
    <n v="3.6765000000000003"/>
  </r>
  <r>
    <d v="2038-01-30T00:00:00"/>
    <x v="20"/>
    <n v="10.9"/>
    <n v="0"/>
    <n v="0"/>
  </r>
  <r>
    <d v="2038-01-31T00:00:00"/>
    <x v="9"/>
    <n v="13.4"/>
    <n v="15.7"/>
    <n v="2.1038000000000001"/>
  </r>
  <r>
    <d v="2038-02-01T00:00:00"/>
    <x v="15"/>
    <n v="27.3"/>
    <n v="0"/>
    <n v="0"/>
  </r>
  <r>
    <d v="2038-02-02T00:00:00"/>
    <x v="5"/>
    <n v="23.6"/>
    <n v="0"/>
    <n v="0"/>
  </r>
  <r>
    <d v="2038-02-03T00:00:00"/>
    <x v="3"/>
    <n v="26.5"/>
    <n v="20.3"/>
    <n v="5.3795000000000002"/>
  </r>
  <r>
    <d v="2038-02-04T00:00:00"/>
    <x v="5"/>
    <n v="23.6"/>
    <n v="6.5"/>
    <n v="1.534"/>
  </r>
  <r>
    <d v="2038-02-05T00:00:00"/>
    <x v="7"/>
    <n v="22.4"/>
    <n v="13.3"/>
    <n v="2.9792000000000001"/>
  </r>
  <r>
    <d v="2038-02-06T00:00:00"/>
    <x v="14"/>
    <n v="22"/>
    <n v="15.5"/>
    <n v="3.41"/>
  </r>
  <r>
    <d v="2038-02-07T00:00:00"/>
    <x v="23"/>
    <n v="10.8"/>
    <n v="0.4"/>
    <n v="0"/>
  </r>
  <r>
    <d v="2038-02-08T00:00:00"/>
    <x v="11"/>
    <n v="21.6"/>
    <n v="0"/>
    <n v="0"/>
  </r>
  <r>
    <d v="2038-02-09T00:00:00"/>
    <x v="4"/>
    <n v="10.1"/>
    <n v="0"/>
    <n v="0"/>
  </r>
  <r>
    <d v="2038-02-10T00:00:00"/>
    <x v="7"/>
    <n v="29"/>
    <n v="12.6"/>
    <n v="3.6539999999999999"/>
  </r>
  <r>
    <d v="2038-02-11T00:00:00"/>
    <x v="4"/>
    <n v="16.399999999999999"/>
    <n v="3.7"/>
    <n v="0.60680000000000001"/>
  </r>
  <r>
    <d v="2038-02-12T00:00:00"/>
    <x v="15"/>
    <n v="13.5"/>
    <n v="38.5"/>
    <n v="5.1974999999999998"/>
  </r>
  <r>
    <d v="2038-02-13T00:00:00"/>
    <x v="10"/>
    <n v="18.100000000000001"/>
    <n v="3"/>
    <n v="0.54300000000000004"/>
  </r>
  <r>
    <d v="2038-02-14T00:00:00"/>
    <x v="3"/>
    <n v="20.399999999999999"/>
    <n v="11.7"/>
    <n v="2.3867999999999996"/>
  </r>
  <r>
    <d v="2038-02-15T00:00:00"/>
    <x v="11"/>
    <n v="29.6"/>
    <n v="0.9"/>
    <n v="0"/>
  </r>
  <r>
    <d v="2038-02-16T00:00:00"/>
    <x v="28"/>
    <n v="11.4"/>
    <n v="0.6"/>
    <n v="0"/>
  </r>
  <r>
    <d v="2038-02-17T00:00:00"/>
    <x v="7"/>
    <n v="28.8"/>
    <n v="14.1"/>
    <n v="4.0607999999999995"/>
  </r>
  <r>
    <d v="2038-02-18T00:00:00"/>
    <x v="6"/>
    <n v="11.8"/>
    <n v="42.4"/>
    <n v="5.0031999999999996"/>
  </r>
  <r>
    <d v="2038-02-19T00:00:00"/>
    <x v="3"/>
    <n v="11.5"/>
    <n v="10.1"/>
    <n v="1.1615"/>
  </r>
  <r>
    <d v="2038-02-20T00:00:00"/>
    <x v="9"/>
    <n v="13.6"/>
    <n v="8.4"/>
    <n v="1.1423999999999999"/>
  </r>
  <r>
    <d v="2038-02-21T00:00:00"/>
    <x v="27"/>
    <n v="14.1"/>
    <n v="0.7"/>
    <n v="0"/>
  </r>
  <r>
    <d v="2038-02-22T00:00:00"/>
    <x v="15"/>
    <n v="19.399999999999999"/>
    <n v="32.700000000000003"/>
    <n v="6.3437999999999999"/>
  </r>
  <r>
    <d v="2038-02-23T00:00:00"/>
    <x v="29"/>
    <n v="28.5"/>
    <n v="0"/>
    <n v="0"/>
  </r>
  <r>
    <d v="2038-02-24T00:00:00"/>
    <x v="15"/>
    <n v="23.7"/>
    <n v="12.2"/>
    <n v="2.8914"/>
  </r>
  <r>
    <d v="2038-02-25T00:00:00"/>
    <x v="16"/>
    <n v="21.7"/>
    <n v="0"/>
    <n v="0"/>
  </r>
  <r>
    <d v="2038-02-26T00:00:00"/>
    <x v="2"/>
    <n v="13.3"/>
    <n v="0"/>
    <n v="0"/>
  </r>
  <r>
    <d v="2038-02-27T00:00:00"/>
    <x v="5"/>
    <n v="14.4"/>
    <n v="0"/>
    <n v="0"/>
  </r>
  <r>
    <d v="2038-02-28T00:00:00"/>
    <x v="7"/>
    <n v="28.5"/>
    <n v="21.5"/>
    <n v="6.1275000000000004"/>
  </r>
  <r>
    <d v="2038-03-01T00:00:00"/>
    <x v="15"/>
    <n v="20.5"/>
    <n v="0"/>
    <n v="0"/>
  </r>
  <r>
    <d v="2038-03-02T00:00:00"/>
    <x v="6"/>
    <n v="11.4"/>
    <n v="39"/>
    <n v="4.4460000000000006"/>
  </r>
  <r>
    <d v="2038-03-03T00:00:00"/>
    <x v="5"/>
    <n v="12.5"/>
    <n v="0"/>
    <n v="0"/>
  </r>
  <r>
    <d v="2038-03-04T00:00:00"/>
    <x v="11"/>
    <n v="16.600000000000001"/>
    <n v="4.5999999999999996"/>
    <n v="0.76359999999999995"/>
  </r>
  <r>
    <d v="2038-03-05T00:00:00"/>
    <x v="11"/>
    <n v="10.6"/>
    <n v="11.3"/>
    <n v="1.1978"/>
  </r>
  <r>
    <d v="2038-03-06T00:00:00"/>
    <x v="3"/>
    <n v="27.9"/>
    <n v="16.100000000000001"/>
    <n v="4.4919000000000002"/>
  </r>
  <r>
    <d v="2038-03-07T00:00:00"/>
    <x v="6"/>
    <n v="11.1"/>
    <n v="28.2"/>
    <n v="3.1301999999999999"/>
  </r>
  <r>
    <d v="2038-03-08T00:00:00"/>
    <x v="3"/>
    <n v="21.5"/>
    <n v="12.8"/>
    <n v="2.7519999999999998"/>
  </r>
  <r>
    <d v="2038-03-09T00:00:00"/>
    <x v="2"/>
    <n v="28.4"/>
    <n v="4.5999999999999996"/>
    <n v="1.3063999999999998"/>
  </r>
  <r>
    <d v="2038-03-10T00:00:00"/>
    <x v="18"/>
    <n v="18.100000000000001"/>
    <n v="5.9"/>
    <n v="1.0679000000000003"/>
  </r>
  <r>
    <d v="2038-03-11T00:00:00"/>
    <x v="16"/>
    <n v="25.3"/>
    <n v="0"/>
    <n v="0"/>
  </r>
  <r>
    <d v="2038-03-12T00:00:00"/>
    <x v="5"/>
    <n v="15.6"/>
    <n v="10.6"/>
    <n v="1.6536"/>
  </r>
  <r>
    <d v="2038-03-13T00:00:00"/>
    <x v="15"/>
    <n v="19.899999999999999"/>
    <n v="0"/>
    <n v="0"/>
  </r>
  <r>
    <d v="2038-03-14T00:00:00"/>
    <x v="3"/>
    <n v="24.7"/>
    <n v="14.7"/>
    <n v="3.6308999999999996"/>
  </r>
  <r>
    <d v="2038-03-15T00:00:00"/>
    <x v="19"/>
    <n v="21.9"/>
    <n v="5.6"/>
    <n v="1.2263999999999999"/>
  </r>
  <r>
    <d v="2038-03-16T00:00:00"/>
    <x v="10"/>
    <n v="18"/>
    <n v="6.2"/>
    <n v="1.1160000000000001"/>
  </r>
  <r>
    <d v="2038-03-17T00:00:00"/>
    <x v="25"/>
    <n v="24.5"/>
    <n v="0.6"/>
    <n v="0"/>
  </r>
  <r>
    <d v="2038-03-18T00:00:00"/>
    <x v="4"/>
    <n v="10.9"/>
    <n v="0"/>
    <n v="0"/>
  </r>
  <r>
    <d v="2038-03-19T00:00:00"/>
    <x v="22"/>
    <n v="11.3"/>
    <n v="2.7"/>
    <n v="0.30510000000000004"/>
  </r>
  <r>
    <d v="2038-03-20T00:00:00"/>
    <x v="6"/>
    <n v="13.2"/>
    <n v="30"/>
    <n v="3.96"/>
  </r>
  <r>
    <d v="2038-03-21T00:00:00"/>
    <x v="4"/>
    <n v="18.7"/>
    <n v="4.7"/>
    <n v="0.87890000000000001"/>
  </r>
  <r>
    <d v="2038-03-22T00:00:00"/>
    <x v="4"/>
    <n v="12.1"/>
    <n v="1.5"/>
    <n v="0.18149999999999999"/>
  </r>
  <r>
    <d v="2038-03-23T00:00:00"/>
    <x v="11"/>
    <n v="11.9"/>
    <n v="1.3"/>
    <n v="0.1547"/>
  </r>
  <r>
    <d v="2038-03-24T00:00:00"/>
    <x v="22"/>
    <n v="17.7"/>
    <n v="2.6"/>
    <n v="0.46020000000000005"/>
  </r>
  <r>
    <d v="2038-03-25T00:00:00"/>
    <x v="17"/>
    <n v="25.9"/>
    <n v="0.8"/>
    <n v="0"/>
  </r>
  <r>
    <d v="2038-03-26T00:00:00"/>
    <x v="2"/>
    <n v="27.7"/>
    <n v="0"/>
    <n v="0"/>
  </r>
  <r>
    <d v="2038-03-27T00:00:00"/>
    <x v="9"/>
    <n v="13.3"/>
    <n v="13.3"/>
    <n v="1.7689000000000001"/>
  </r>
  <r>
    <d v="2038-03-28T00:00:00"/>
    <x v="15"/>
    <n v="11.7"/>
    <n v="4.9000000000000004"/>
    <n v="0.57330000000000003"/>
  </r>
  <r>
    <d v="2038-03-29T00:00:00"/>
    <x v="22"/>
    <n v="26.5"/>
    <n v="4.5"/>
    <n v="1.1924999999999999"/>
  </r>
  <r>
    <d v="2038-03-30T00:00:00"/>
    <x v="23"/>
    <n v="18.7"/>
    <n v="2.2999999999999998"/>
    <n v="0.43009999999999998"/>
  </r>
  <r>
    <d v="2038-03-31T00:00:00"/>
    <x v="18"/>
    <n v="11.7"/>
    <n v="6"/>
    <n v="0.70199999999999985"/>
  </r>
  <r>
    <d v="2038-04-01T00:00:00"/>
    <x v="15"/>
    <n v="27.5"/>
    <n v="22.6"/>
    <n v="6.2149999999999999"/>
  </r>
  <r>
    <d v="2038-04-02T00:00:00"/>
    <x v="23"/>
    <n v="27.4"/>
    <n v="0"/>
    <n v="0"/>
  </r>
  <r>
    <d v="2038-04-03T00:00:00"/>
    <x v="7"/>
    <n v="14.8"/>
    <n v="0"/>
    <n v="0"/>
  </r>
  <r>
    <d v="2038-04-04T00:00:00"/>
    <x v="13"/>
    <n v="26.2"/>
    <n v="0"/>
    <n v="0"/>
  </r>
  <r>
    <d v="2038-04-05T00:00:00"/>
    <x v="11"/>
    <n v="12.9"/>
    <n v="17.899999999999999"/>
    <n v="2.3090999999999999"/>
  </r>
  <r>
    <d v="2038-04-06T00:00:00"/>
    <x v="21"/>
    <n v="12.5"/>
    <n v="0"/>
    <n v="0"/>
  </r>
  <r>
    <d v="2038-04-07T00:00:00"/>
    <x v="20"/>
    <n v="12.3"/>
    <n v="0"/>
    <n v="0"/>
  </r>
  <r>
    <d v="2038-04-08T00:00:00"/>
    <x v="1"/>
    <n v="19.399999999999999"/>
    <n v="0"/>
    <n v="0"/>
  </r>
  <r>
    <d v="2038-04-09T00:00:00"/>
    <x v="11"/>
    <n v="20.9"/>
    <n v="0"/>
    <n v="0"/>
  </r>
  <r>
    <d v="2038-04-10T00:00:00"/>
    <x v="5"/>
    <n v="10.4"/>
    <n v="0"/>
    <n v="0"/>
  </r>
  <r>
    <d v="2038-04-11T00:00:00"/>
    <x v="7"/>
    <n v="22.2"/>
    <n v="2.5"/>
    <n v="0.55500000000000005"/>
  </r>
  <r>
    <d v="2038-04-12T00:00:00"/>
    <x v="6"/>
    <n v="16.8"/>
    <n v="0"/>
    <n v="0"/>
  </r>
  <r>
    <d v="2038-04-13T00:00:00"/>
    <x v="15"/>
    <n v="21.7"/>
    <n v="33.299999999999997"/>
    <n v="7.2260999999999989"/>
  </r>
  <r>
    <d v="2038-04-14T00:00:00"/>
    <x v="7"/>
    <n v="10.199999999999999"/>
    <n v="16.600000000000001"/>
    <n v="1.6932"/>
  </r>
  <r>
    <d v="2038-04-15T00:00:00"/>
    <x v="6"/>
    <n v="16.5"/>
    <n v="0"/>
    <n v="0"/>
  </r>
  <r>
    <d v="2038-04-16T00:00:00"/>
    <x v="12"/>
    <n v="29.1"/>
    <n v="0.5"/>
    <n v="0"/>
  </r>
  <r>
    <d v="2038-04-17T00:00:00"/>
    <x v="7"/>
    <n v="17.8"/>
    <n v="0"/>
    <n v="0"/>
  </r>
  <r>
    <d v="2038-04-18T00:00:00"/>
    <x v="6"/>
    <n v="10"/>
    <n v="0"/>
    <n v="0"/>
  </r>
  <r>
    <d v="2038-04-19T00:00:00"/>
    <x v="5"/>
    <n v="15.5"/>
    <n v="8.6"/>
    <n v="1.3329999999999997"/>
  </r>
  <r>
    <d v="2038-04-20T00:00:00"/>
    <x v="6"/>
    <n v="15.3"/>
    <n v="21.4"/>
    <n v="3.2742"/>
  </r>
  <r>
    <d v="2038-04-21T00:00:00"/>
    <x v="8"/>
    <n v="23.7"/>
    <n v="0"/>
    <n v="0"/>
  </r>
  <r>
    <d v="2038-04-22T00:00:00"/>
    <x v="7"/>
    <n v="26.1"/>
    <n v="12.5"/>
    <n v="3.2625000000000002"/>
  </r>
  <r>
    <d v="2038-04-23T00:00:00"/>
    <x v="7"/>
    <n v="13.4"/>
    <n v="0"/>
    <n v="0"/>
  </r>
  <r>
    <d v="2038-04-24T00:00:00"/>
    <x v="1"/>
    <n v="17.8"/>
    <n v="3.7"/>
    <n v="0.65859999999999996"/>
  </r>
  <r>
    <d v="2038-04-25T00:00:00"/>
    <x v="20"/>
    <n v="13"/>
    <n v="2.7"/>
    <n v="0.35100000000000003"/>
  </r>
  <r>
    <d v="2038-04-26T00:00:00"/>
    <x v="3"/>
    <n v="28.2"/>
    <n v="0"/>
    <n v="0"/>
  </r>
  <r>
    <d v="2038-04-27T00:00:00"/>
    <x v="6"/>
    <n v="23"/>
    <n v="0"/>
    <n v="0"/>
  </r>
  <r>
    <d v="2038-04-28T00:00:00"/>
    <x v="3"/>
    <n v="21.5"/>
    <n v="0"/>
    <n v="0"/>
  </r>
  <r>
    <d v="2038-04-29T00:00:00"/>
    <x v="14"/>
    <n v="22.3"/>
    <n v="0"/>
    <n v="0"/>
  </r>
  <r>
    <d v="2038-04-30T00:00:00"/>
    <x v="6"/>
    <n v="28.2"/>
    <n v="0"/>
    <n v="0"/>
  </r>
  <r>
    <d v="2038-05-01T00:00:00"/>
    <x v="20"/>
    <n v="11.9"/>
    <n v="3.4"/>
    <n v="0.40460000000000002"/>
  </r>
  <r>
    <d v="2038-05-02T00:00:00"/>
    <x v="14"/>
    <n v="20.9"/>
    <n v="7.5"/>
    <n v="1.5674999999999999"/>
  </r>
  <r>
    <d v="2038-05-03T00:00:00"/>
    <x v="28"/>
    <n v="18.399999999999999"/>
    <n v="0.2"/>
    <n v="0"/>
  </r>
  <r>
    <d v="2038-05-04T00:00:00"/>
    <x v="6"/>
    <n v="27.8"/>
    <n v="35.9"/>
    <n v="9.9802"/>
  </r>
  <r>
    <d v="2038-05-05T00:00:00"/>
    <x v="15"/>
    <n v="20.7"/>
    <n v="14.7"/>
    <n v="3.0428999999999995"/>
  </r>
  <r>
    <d v="2038-05-06T00:00:00"/>
    <x v="1"/>
    <n v="13"/>
    <n v="0"/>
    <n v="0"/>
  </r>
  <r>
    <d v="2038-05-07T00:00:00"/>
    <x v="15"/>
    <n v="29.4"/>
    <n v="0"/>
    <n v="0"/>
  </r>
  <r>
    <d v="2038-05-08T00:00:00"/>
    <x v="2"/>
    <n v="19.8"/>
    <n v="13.9"/>
    <n v="2.7522000000000002"/>
  </r>
  <r>
    <d v="2038-05-09T00:00:00"/>
    <x v="7"/>
    <n v="10.9"/>
    <n v="17"/>
    <n v="1.8530000000000002"/>
  </r>
  <r>
    <d v="2038-05-10T00:00:00"/>
    <x v="6"/>
    <n v="27.3"/>
    <n v="15.8"/>
    <n v="4.3134000000000006"/>
  </r>
  <r>
    <d v="2038-05-11T00:00:00"/>
    <x v="15"/>
    <n v="16.399999999999999"/>
    <n v="0"/>
    <n v="0"/>
  </r>
  <r>
    <d v="2038-05-12T00:00:00"/>
    <x v="11"/>
    <n v="28"/>
    <n v="9.6999999999999993"/>
    <n v="2.7159999999999997"/>
  </r>
  <r>
    <d v="2038-05-13T00:00:00"/>
    <x v="3"/>
    <n v="17.399999999999999"/>
    <n v="6.6"/>
    <n v="1.1483999999999999"/>
  </r>
  <r>
    <d v="2038-05-14T00:00:00"/>
    <x v="4"/>
    <n v="25.7"/>
    <n v="0.7"/>
    <n v="0"/>
  </r>
  <r>
    <d v="2038-05-15T00:00:00"/>
    <x v="15"/>
    <n v="20.100000000000001"/>
    <n v="11"/>
    <n v="2.2110000000000003"/>
  </r>
  <r>
    <d v="2038-05-16T00:00:00"/>
    <x v="15"/>
    <n v="17.899999999999999"/>
    <n v="0"/>
    <n v="0"/>
  </r>
  <r>
    <d v="2038-05-17T00:00:00"/>
    <x v="7"/>
    <n v="10.7"/>
    <n v="6.4"/>
    <n v="0.68480000000000008"/>
  </r>
  <r>
    <d v="2038-05-18T00:00:00"/>
    <x v="5"/>
    <n v="20.399999999999999"/>
    <n v="0"/>
    <n v="0"/>
  </r>
  <r>
    <d v="2038-05-19T00:00:00"/>
    <x v="8"/>
    <n v="25.4"/>
    <n v="1"/>
    <n v="0.254"/>
  </r>
  <r>
    <d v="2038-05-20T00:00:00"/>
    <x v="4"/>
    <n v="10.9"/>
    <n v="0.2"/>
    <n v="0"/>
  </r>
  <r>
    <d v="2038-05-21T00:00:00"/>
    <x v="23"/>
    <n v="18.5"/>
    <n v="0.5"/>
    <n v="0"/>
  </r>
  <r>
    <d v="2038-05-22T00:00:00"/>
    <x v="6"/>
    <n v="14.8"/>
    <n v="50.3"/>
    <n v="7.444399999999999"/>
  </r>
  <r>
    <d v="2038-05-23T00:00:00"/>
    <x v="14"/>
    <n v="28.5"/>
    <n v="0.7"/>
    <n v="0"/>
  </r>
  <r>
    <d v="2038-05-24T00:00:00"/>
    <x v="27"/>
    <n v="19.399999999999999"/>
    <n v="0"/>
    <n v="0"/>
  </r>
  <r>
    <d v="2038-05-25T00:00:00"/>
    <x v="19"/>
    <n v="20.7"/>
    <n v="4.7"/>
    <n v="0.9729000000000001"/>
  </r>
  <r>
    <d v="2038-05-26T00:00:00"/>
    <x v="22"/>
    <n v="25.7"/>
    <n v="0"/>
    <n v="0"/>
  </r>
  <r>
    <d v="2038-05-27T00:00:00"/>
    <x v="15"/>
    <n v="21.4"/>
    <n v="0"/>
    <n v="0"/>
  </r>
  <r>
    <d v="2038-05-28T00:00:00"/>
    <x v="6"/>
    <n v="19.2"/>
    <n v="0"/>
    <n v="0"/>
  </r>
  <r>
    <d v="2038-05-29T00:00:00"/>
    <x v="14"/>
    <n v="19.399999999999999"/>
    <n v="14.2"/>
    <n v="2.7547999999999995"/>
  </r>
  <r>
    <d v="2038-05-30T00:00:00"/>
    <x v="15"/>
    <n v="24.2"/>
    <n v="1.9"/>
    <n v="0.45979999999999999"/>
  </r>
  <r>
    <d v="2038-05-31T00:00:00"/>
    <x v="3"/>
    <n v="27.7"/>
    <n v="19.5"/>
    <n v="5.4014999999999995"/>
  </r>
  <r>
    <d v="2038-06-01T00:00:00"/>
    <x v="1"/>
    <n v="16.899999999999999"/>
    <n v="4.0999999999999996"/>
    <n v="0.69289999999999996"/>
  </r>
  <r>
    <d v="2038-06-02T00:00:00"/>
    <x v="15"/>
    <n v="11.8"/>
    <n v="0"/>
    <n v="0"/>
  </r>
  <r>
    <d v="2038-06-03T00:00:00"/>
    <x v="8"/>
    <n v="15.7"/>
    <n v="9.4"/>
    <n v="1.4758000000000002"/>
  </r>
  <r>
    <d v="2038-06-04T00:00:00"/>
    <x v="2"/>
    <n v="14.2"/>
    <n v="0"/>
    <n v="0"/>
  </r>
  <r>
    <d v="2038-06-05T00:00:00"/>
    <x v="11"/>
    <n v="18.100000000000001"/>
    <n v="13.1"/>
    <n v="2.3711000000000002"/>
  </r>
  <r>
    <d v="2038-06-06T00:00:00"/>
    <x v="15"/>
    <n v="21.9"/>
    <n v="27.5"/>
    <n v="6.0225"/>
  </r>
  <r>
    <d v="2038-06-07T00:00:00"/>
    <x v="6"/>
    <n v="28"/>
    <n v="2.1"/>
    <n v="0.58800000000000008"/>
  </r>
  <r>
    <d v="2038-06-08T00:00:00"/>
    <x v="9"/>
    <n v="14.2"/>
    <n v="7"/>
    <n v="0.99399999999999988"/>
  </r>
  <r>
    <d v="2038-06-09T00:00:00"/>
    <x v="9"/>
    <n v="11.1"/>
    <n v="0"/>
    <n v="0"/>
  </r>
  <r>
    <d v="2038-06-10T00:00:00"/>
    <x v="10"/>
    <n v="11.8"/>
    <n v="6"/>
    <n v="0.70800000000000007"/>
  </r>
  <r>
    <d v="2038-06-11T00:00:00"/>
    <x v="29"/>
    <n v="26.8"/>
    <n v="0.9"/>
    <n v="0"/>
  </r>
  <r>
    <d v="2038-06-12T00:00:00"/>
    <x v="6"/>
    <n v="27.3"/>
    <n v="44.5"/>
    <n v="12.148500000000002"/>
  </r>
  <r>
    <d v="2038-06-13T00:00:00"/>
    <x v="4"/>
    <n v="14.3"/>
    <n v="3.7"/>
    <n v="0.52910000000000001"/>
  </r>
  <r>
    <d v="2038-06-14T00:00:00"/>
    <x v="1"/>
    <n v="19.399999999999999"/>
    <n v="0"/>
    <n v="0"/>
  </r>
  <r>
    <d v="2038-06-15T00:00:00"/>
    <x v="15"/>
    <n v="26.5"/>
    <n v="0"/>
    <n v="0"/>
  </r>
  <r>
    <d v="2038-06-16T00:00:00"/>
    <x v="15"/>
    <n v="28.3"/>
    <n v="14.4"/>
    <n v="4.0752000000000006"/>
  </r>
  <r>
    <d v="2038-06-17T00:00:00"/>
    <x v="23"/>
    <n v="19.8"/>
    <n v="0"/>
    <n v="0"/>
  </r>
  <r>
    <d v="2038-06-18T00:00:00"/>
    <x v="6"/>
    <n v="16"/>
    <n v="28.7"/>
    <n v="4.5919999999999996"/>
  </r>
  <r>
    <d v="2038-06-19T00:00:00"/>
    <x v="15"/>
    <n v="14.5"/>
    <n v="12"/>
    <n v="1.74"/>
  </r>
  <r>
    <d v="2038-06-20T00:00:00"/>
    <x v="11"/>
    <n v="14.3"/>
    <n v="13"/>
    <n v="1.859"/>
  </r>
  <r>
    <d v="2038-06-21T00:00:00"/>
    <x v="14"/>
    <n v="12.7"/>
    <n v="10.7"/>
    <n v="1.3588999999999998"/>
  </r>
  <r>
    <d v="2038-06-22T00:00:00"/>
    <x v="18"/>
    <n v="12.6"/>
    <n v="0"/>
    <n v="0"/>
  </r>
  <r>
    <d v="2038-06-23T00:00:00"/>
    <x v="22"/>
    <n v="19.899999999999999"/>
    <n v="6.6"/>
    <n v="1.3133999999999997"/>
  </r>
  <r>
    <d v="2038-06-24T00:00:00"/>
    <x v="3"/>
    <n v="27.4"/>
    <n v="6.6"/>
    <n v="1.8083999999999998"/>
  </r>
  <r>
    <d v="2038-06-25T00:00:00"/>
    <x v="15"/>
    <n v="27.4"/>
    <n v="0"/>
    <n v="0"/>
  </r>
  <r>
    <d v="2038-06-26T00:00:00"/>
    <x v="24"/>
    <n v="11.2"/>
    <n v="0.3"/>
    <n v="0"/>
  </r>
  <r>
    <d v="2038-06-27T00:00:00"/>
    <x v="7"/>
    <n v="19.899999999999999"/>
    <n v="19.399999999999999"/>
    <n v="3.8605999999999994"/>
  </r>
  <r>
    <d v="2038-06-28T00:00:00"/>
    <x v="0"/>
    <n v="13"/>
    <n v="0.4"/>
    <n v="0"/>
  </r>
  <r>
    <d v="2038-06-29T00:00:00"/>
    <x v="14"/>
    <n v="25.4"/>
    <n v="12.4"/>
    <n v="3.1496"/>
  </r>
  <r>
    <d v="2038-06-30T00:00:00"/>
    <x v="5"/>
    <n v="23.5"/>
    <n v="0.7"/>
    <n v="0"/>
  </r>
  <r>
    <d v="2038-07-01T00:00:00"/>
    <x v="18"/>
    <n v="16"/>
    <n v="0.1"/>
    <n v="0"/>
  </r>
  <r>
    <d v="2038-07-02T00:00:00"/>
    <x v="2"/>
    <n v="25"/>
    <n v="11.7"/>
    <n v="2.9249999999999998"/>
  </r>
  <r>
    <d v="2038-07-03T00:00:00"/>
    <x v="27"/>
    <n v="22.2"/>
    <n v="0.9"/>
    <n v="0"/>
  </r>
  <r>
    <d v="2038-07-04T00:00:00"/>
    <x v="20"/>
    <n v="29.6"/>
    <n v="0"/>
    <n v="0"/>
  </r>
  <r>
    <d v="2038-07-05T00:00:00"/>
    <x v="6"/>
    <n v="10.1"/>
    <n v="0"/>
    <n v="0"/>
  </r>
  <r>
    <d v="2038-07-06T00:00:00"/>
    <x v="5"/>
    <n v="26.3"/>
    <n v="6.7"/>
    <n v="1.7621"/>
  </r>
  <r>
    <d v="2038-07-07T00:00:00"/>
    <x v="6"/>
    <n v="27.3"/>
    <n v="15.3"/>
    <n v="4.1769000000000007"/>
  </r>
  <r>
    <d v="2038-07-08T00:00:00"/>
    <x v="7"/>
    <n v="27.8"/>
    <n v="0"/>
    <n v="0"/>
  </r>
  <r>
    <d v="2038-07-09T00:00:00"/>
    <x v="2"/>
    <n v="16.7"/>
    <n v="4.9000000000000004"/>
    <n v="0.81830000000000003"/>
  </r>
  <r>
    <d v="2038-07-10T00:00:00"/>
    <x v="11"/>
    <n v="15"/>
    <n v="9.4"/>
    <n v="1.41"/>
  </r>
  <r>
    <d v="2038-07-11T00:00:00"/>
    <x v="6"/>
    <n v="10.4"/>
    <n v="28.5"/>
    <n v="2.9640000000000004"/>
  </r>
  <r>
    <d v="2038-07-12T00:00:00"/>
    <x v="11"/>
    <n v="18.100000000000001"/>
    <n v="9.6"/>
    <n v="1.7376000000000003"/>
  </r>
  <r>
    <d v="2038-07-13T00:00:00"/>
    <x v="29"/>
    <n v="26.7"/>
    <n v="1.5"/>
    <n v="0.40049999999999997"/>
  </r>
  <r>
    <d v="2038-07-14T00:00:00"/>
    <x v="9"/>
    <n v="22.9"/>
    <n v="8.9"/>
    <n v="2.0381"/>
  </r>
  <r>
    <d v="2038-07-15T00:00:00"/>
    <x v="11"/>
    <n v="29.3"/>
    <n v="0"/>
    <n v="0"/>
  </r>
  <r>
    <d v="2038-07-16T00:00:00"/>
    <x v="3"/>
    <n v="26.4"/>
    <n v="3.2"/>
    <n v="0.8448"/>
  </r>
  <r>
    <d v="2038-07-17T00:00:00"/>
    <x v="14"/>
    <n v="20"/>
    <n v="7.3"/>
    <n v="1.46"/>
  </r>
  <r>
    <d v="2038-07-18T00:00:00"/>
    <x v="7"/>
    <n v="17.100000000000001"/>
    <n v="0"/>
    <n v="0"/>
  </r>
  <r>
    <d v="2038-07-19T00:00:00"/>
    <x v="1"/>
    <n v="18.8"/>
    <n v="0"/>
    <n v="0"/>
  </r>
  <r>
    <d v="2038-07-20T00:00:00"/>
    <x v="9"/>
    <n v="12.6"/>
    <n v="4.4000000000000004"/>
    <n v="0.5544"/>
  </r>
  <r>
    <d v="2038-07-21T00:00:00"/>
    <x v="18"/>
    <n v="24"/>
    <n v="0"/>
    <n v="0"/>
  </r>
  <r>
    <d v="2038-07-22T00:00:00"/>
    <x v="15"/>
    <n v="13.4"/>
    <n v="35.6"/>
    <n v="4.7704000000000004"/>
  </r>
  <r>
    <d v="2038-07-23T00:00:00"/>
    <x v="6"/>
    <n v="25.7"/>
    <n v="21.1"/>
    <n v="5.4226999999999999"/>
  </r>
  <r>
    <d v="2038-07-24T00:00:00"/>
    <x v="17"/>
    <n v="24.9"/>
    <n v="2"/>
    <n v="0.498"/>
  </r>
  <r>
    <d v="2038-07-25T00:00:00"/>
    <x v="7"/>
    <n v="12.5"/>
    <n v="0"/>
    <n v="0"/>
  </r>
  <r>
    <d v="2038-07-26T00:00:00"/>
    <x v="6"/>
    <n v="21.8"/>
    <n v="0"/>
    <n v="0"/>
  </r>
  <r>
    <d v="2038-07-27T00:00:00"/>
    <x v="1"/>
    <n v="15.8"/>
    <n v="6.7"/>
    <n v="1.0586000000000002"/>
  </r>
  <r>
    <d v="2038-07-28T00:00:00"/>
    <x v="8"/>
    <n v="13.9"/>
    <n v="0"/>
    <n v="0"/>
  </r>
  <r>
    <d v="2038-07-29T00:00:00"/>
    <x v="16"/>
    <n v="12.2"/>
    <n v="4.4000000000000004"/>
    <n v="0.53679999999999994"/>
  </r>
  <r>
    <d v="2038-07-30T00:00:00"/>
    <x v="7"/>
    <n v="12.2"/>
    <n v="0"/>
    <n v="0"/>
  </r>
  <r>
    <d v="2038-07-31T00:00:00"/>
    <x v="15"/>
    <n v="13.7"/>
    <n v="28"/>
    <n v="3.8359999999999999"/>
  </r>
  <r>
    <d v="2038-08-01T00:00:00"/>
    <x v="13"/>
    <n v="27.9"/>
    <n v="0"/>
    <n v="0"/>
  </r>
  <r>
    <d v="2038-08-02T00:00:00"/>
    <x v="9"/>
    <n v="25.6"/>
    <n v="1.7"/>
    <n v="0.43520000000000003"/>
  </r>
  <r>
    <d v="2038-08-03T00:00:00"/>
    <x v="10"/>
    <n v="11.7"/>
    <n v="4.5999999999999996"/>
    <n v="0.5381999999999999"/>
  </r>
  <r>
    <d v="2038-08-04T00:00:00"/>
    <x v="4"/>
    <n v="27.3"/>
    <n v="0"/>
    <n v="0"/>
  </r>
  <r>
    <d v="2038-08-05T00:00:00"/>
    <x v="7"/>
    <n v="25.6"/>
    <n v="18.2"/>
    <n v="4.6592000000000002"/>
  </r>
  <r>
    <d v="2038-08-06T00:00:00"/>
    <x v="24"/>
    <n v="23.6"/>
    <n v="0.1"/>
    <n v="0"/>
  </r>
  <r>
    <d v="2038-08-07T00:00:00"/>
    <x v="6"/>
    <n v="14.6"/>
    <n v="0"/>
    <n v="0"/>
  </r>
  <r>
    <d v="2038-08-08T00:00:00"/>
    <x v="5"/>
    <n v="17.399999999999999"/>
    <n v="7.8"/>
    <n v="1.3572"/>
  </r>
  <r>
    <d v="2038-08-09T00:00:00"/>
    <x v="6"/>
    <n v="27.4"/>
    <n v="0"/>
    <n v="0"/>
  </r>
  <r>
    <d v="2038-08-10T00:00:00"/>
    <x v="15"/>
    <n v="15.2"/>
    <n v="5.9"/>
    <n v="0.89680000000000004"/>
  </r>
  <r>
    <d v="2038-08-11T00:00:00"/>
    <x v="25"/>
    <n v="11.6"/>
    <n v="0"/>
    <n v="0"/>
  </r>
  <r>
    <d v="2038-08-12T00:00:00"/>
    <x v="22"/>
    <n v="10.8"/>
    <n v="1.6"/>
    <n v="0.17280000000000001"/>
  </r>
  <r>
    <d v="2038-08-13T00:00:00"/>
    <x v="18"/>
    <n v="12"/>
    <n v="3.9"/>
    <n v="0.46799999999999997"/>
  </r>
  <r>
    <d v="2038-08-14T00:00:00"/>
    <x v="22"/>
    <n v="14"/>
    <n v="5"/>
    <n v="0.7"/>
  </r>
  <r>
    <d v="2038-08-15T00:00:00"/>
    <x v="15"/>
    <n v="26.4"/>
    <n v="0"/>
    <n v="0"/>
  </r>
  <r>
    <d v="2038-08-16T00:00:00"/>
    <x v="11"/>
    <n v="23"/>
    <n v="20.100000000000001"/>
    <n v="4.6230000000000002"/>
  </r>
  <r>
    <d v="2038-08-17T00:00:00"/>
    <x v="4"/>
    <n v="20.5"/>
    <n v="1.1000000000000001"/>
    <n v="0.22550000000000001"/>
  </r>
  <r>
    <d v="2038-08-18T00:00:00"/>
    <x v="10"/>
    <n v="15.9"/>
    <n v="3.1"/>
    <n v="0.4929"/>
  </r>
  <r>
    <d v="2038-08-19T00:00:00"/>
    <x v="6"/>
    <n v="20.8"/>
    <n v="6.9"/>
    <n v="1.4352"/>
  </r>
  <r>
    <d v="2038-08-20T00:00:00"/>
    <x v="17"/>
    <n v="12.9"/>
    <n v="1.5"/>
    <n v="0.19350000000000001"/>
  </r>
  <r>
    <d v="2038-08-21T00:00:00"/>
    <x v="15"/>
    <n v="11.6"/>
    <n v="15.8"/>
    <n v="1.8328"/>
  </r>
  <r>
    <d v="2038-08-22T00:00:00"/>
    <x v="9"/>
    <n v="25.6"/>
    <n v="0"/>
    <n v="0"/>
  </r>
  <r>
    <d v="2038-08-23T00:00:00"/>
    <x v="3"/>
    <n v="15.7"/>
    <n v="6.7"/>
    <n v="1.0519000000000001"/>
  </r>
  <r>
    <d v="2038-08-24T00:00:00"/>
    <x v="10"/>
    <n v="25.5"/>
    <n v="0"/>
    <n v="0"/>
  </r>
  <r>
    <d v="2038-08-25T00:00:00"/>
    <x v="18"/>
    <n v="19.5"/>
    <n v="3.4"/>
    <n v="0.66299999999999992"/>
  </r>
  <r>
    <d v="2038-08-26T00:00:00"/>
    <x v="21"/>
    <n v="14.1"/>
    <n v="0"/>
    <n v="0"/>
  </r>
  <r>
    <d v="2038-08-27T00:00:00"/>
    <x v="2"/>
    <n v="26.4"/>
    <n v="0"/>
    <n v="0"/>
  </r>
  <r>
    <d v="2038-08-28T00:00:00"/>
    <x v="11"/>
    <n v="11.7"/>
    <n v="8.4"/>
    <n v="0.98280000000000001"/>
  </r>
  <r>
    <d v="2038-08-29T00:00:00"/>
    <x v="21"/>
    <n v="28"/>
    <n v="0"/>
    <n v="0"/>
  </r>
  <r>
    <d v="2038-08-30T00:00:00"/>
    <x v="13"/>
    <n v="13"/>
    <n v="0.1"/>
    <n v="0"/>
  </r>
  <r>
    <d v="2038-08-31T00:00:00"/>
    <x v="7"/>
    <n v="10.8"/>
    <n v="11.3"/>
    <n v="1.2204000000000002"/>
  </r>
  <r>
    <d v="2038-09-01T00:00:00"/>
    <x v="7"/>
    <n v="26.4"/>
    <n v="18.7"/>
    <n v="4.9367999999999999"/>
  </r>
  <r>
    <d v="2038-09-02T00:00:00"/>
    <x v="15"/>
    <n v="26.7"/>
    <n v="3.9"/>
    <n v="1.0412999999999999"/>
  </r>
  <r>
    <d v="2038-09-03T00:00:00"/>
    <x v="7"/>
    <n v="11.7"/>
    <n v="13"/>
    <n v="1.5209999999999999"/>
  </r>
  <r>
    <d v="2038-09-04T00:00:00"/>
    <x v="26"/>
    <n v="12"/>
    <n v="0.4"/>
    <n v="0"/>
  </r>
  <r>
    <d v="2038-09-05T00:00:00"/>
    <x v="17"/>
    <n v="24.2"/>
    <n v="0.7"/>
    <n v="0"/>
  </r>
  <r>
    <d v="2038-09-06T00:00:00"/>
    <x v="22"/>
    <n v="27.3"/>
    <n v="3.7"/>
    <n v="1.0101"/>
  </r>
  <r>
    <d v="2038-09-07T00:00:00"/>
    <x v="9"/>
    <n v="10.7"/>
    <n v="0"/>
    <n v="0"/>
  </r>
  <r>
    <d v="2038-09-08T00:00:00"/>
    <x v="4"/>
    <n v="11.1"/>
    <n v="0"/>
    <n v="0"/>
  </r>
  <r>
    <d v="2038-09-09T00:00:00"/>
    <x v="3"/>
    <n v="28.5"/>
    <n v="19.8"/>
    <n v="5.6430000000000007"/>
  </r>
  <r>
    <d v="2038-09-10T00:00:00"/>
    <x v="15"/>
    <n v="10.1"/>
    <n v="0"/>
    <n v="0"/>
  </r>
  <r>
    <d v="2038-09-11T00:00:00"/>
    <x v="5"/>
    <n v="20.8"/>
    <n v="11.2"/>
    <n v="2.3295999999999997"/>
  </r>
  <r>
    <d v="2038-09-12T00:00:00"/>
    <x v="3"/>
    <n v="16.600000000000001"/>
    <n v="0"/>
    <n v="0"/>
  </r>
  <r>
    <d v="2038-09-13T00:00:00"/>
    <x v="9"/>
    <n v="26.4"/>
    <n v="10"/>
    <n v="2.64"/>
  </r>
  <r>
    <d v="2038-09-14T00:00:00"/>
    <x v="18"/>
    <n v="15.1"/>
    <n v="0"/>
    <n v="0"/>
  </r>
  <r>
    <d v="2038-09-15T00:00:00"/>
    <x v="2"/>
    <n v="20.9"/>
    <n v="10.1"/>
    <n v="2.1108999999999996"/>
  </r>
  <r>
    <d v="2038-09-16T00:00:00"/>
    <x v="9"/>
    <n v="27.3"/>
    <n v="5.3"/>
    <n v="1.4469000000000001"/>
  </r>
  <r>
    <d v="2038-09-17T00:00:00"/>
    <x v="2"/>
    <n v="17.600000000000001"/>
    <n v="5.5"/>
    <n v="0.96800000000000008"/>
  </r>
  <r>
    <d v="2038-09-18T00:00:00"/>
    <x v="15"/>
    <n v="27.8"/>
    <n v="0"/>
    <n v="0"/>
  </r>
  <r>
    <d v="2038-09-19T00:00:00"/>
    <x v="6"/>
    <n v="25.8"/>
    <n v="12.1"/>
    <n v="3.1217999999999999"/>
  </r>
  <r>
    <d v="2038-09-20T00:00:00"/>
    <x v="22"/>
    <n v="18.100000000000001"/>
    <n v="1.1000000000000001"/>
    <n v="0.19910000000000003"/>
  </r>
  <r>
    <d v="2038-09-21T00:00:00"/>
    <x v="8"/>
    <n v="21.9"/>
    <n v="7.7"/>
    <n v="1.6862999999999999"/>
  </r>
  <r>
    <d v="2038-09-22T00:00:00"/>
    <x v="23"/>
    <n v="23.2"/>
    <n v="5.0999999999999996"/>
    <n v="1.1832"/>
  </r>
  <r>
    <d v="2038-09-23T00:00:00"/>
    <x v="27"/>
    <n v="26.6"/>
    <n v="0.3"/>
    <n v="0"/>
  </r>
  <r>
    <d v="2038-09-24T00:00:00"/>
    <x v="7"/>
    <n v="23.2"/>
    <n v="0"/>
    <n v="0"/>
  </r>
  <r>
    <d v="2038-09-25T00:00:00"/>
    <x v="6"/>
    <n v="11"/>
    <n v="40.9"/>
    <n v="4.4989999999999997"/>
  </r>
  <r>
    <d v="2038-09-26T00:00:00"/>
    <x v="19"/>
    <n v="26.8"/>
    <n v="2.2999999999999998"/>
    <n v="0.61639999999999995"/>
  </r>
  <r>
    <d v="2038-09-27T00:00:00"/>
    <x v="9"/>
    <n v="22.2"/>
    <n v="0"/>
    <n v="0"/>
  </r>
  <r>
    <d v="2038-09-28T00:00:00"/>
    <x v="14"/>
    <n v="10.199999999999999"/>
    <n v="6.1"/>
    <n v="0.62219999999999986"/>
  </r>
  <r>
    <d v="2038-09-29T00:00:00"/>
    <x v="29"/>
    <n v="18.399999999999999"/>
    <n v="1.5"/>
    <n v="0.27599999999999997"/>
  </r>
  <r>
    <d v="2038-09-30T00:00:00"/>
    <x v="3"/>
    <n v="29.4"/>
    <n v="22.3"/>
    <n v="6.5562000000000005"/>
  </r>
  <r>
    <d v="2038-10-01T00:00:00"/>
    <x v="19"/>
    <n v="23.4"/>
    <n v="0"/>
    <n v="0"/>
  </r>
  <r>
    <d v="2038-10-02T00:00:00"/>
    <x v="1"/>
    <n v="13.6"/>
    <n v="6.1"/>
    <n v="0.82959999999999989"/>
  </r>
  <r>
    <d v="2038-10-03T00:00:00"/>
    <x v="3"/>
    <n v="17.7"/>
    <n v="1.4"/>
    <n v="0.24779999999999996"/>
  </r>
  <r>
    <d v="2038-10-04T00:00:00"/>
    <x v="19"/>
    <n v="17"/>
    <n v="5.9"/>
    <n v="1.0030000000000001"/>
  </r>
  <r>
    <d v="2038-10-05T00:00:00"/>
    <x v="2"/>
    <n v="29.6"/>
    <n v="6.6"/>
    <n v="1.9535999999999998"/>
  </r>
  <r>
    <d v="2038-10-06T00:00:00"/>
    <x v="6"/>
    <n v="23.4"/>
    <n v="0"/>
    <n v="0"/>
  </r>
  <r>
    <d v="2038-10-07T00:00:00"/>
    <x v="3"/>
    <n v="21.3"/>
    <n v="22.4"/>
    <n v="4.7712000000000003"/>
  </r>
  <r>
    <d v="2038-10-08T00:00:00"/>
    <x v="15"/>
    <n v="18.600000000000001"/>
    <n v="0"/>
    <n v="0"/>
  </r>
  <r>
    <d v="2038-10-09T00:00:00"/>
    <x v="9"/>
    <n v="16.8"/>
    <n v="2.8"/>
    <n v="0.47039999999999998"/>
  </r>
  <r>
    <d v="2038-10-10T00:00:00"/>
    <x v="16"/>
    <n v="13.2"/>
    <n v="4"/>
    <n v="0.52800000000000002"/>
  </r>
  <r>
    <d v="2038-10-11T00:00:00"/>
    <x v="15"/>
    <n v="29.8"/>
    <n v="24.9"/>
    <n v="7.4201999999999995"/>
  </r>
  <r>
    <d v="2038-10-12T00:00:00"/>
    <x v="6"/>
    <n v="10.6"/>
    <n v="31.8"/>
    <n v="3.3708"/>
  </r>
  <r>
    <d v="2038-10-13T00:00:00"/>
    <x v="11"/>
    <n v="11.9"/>
    <n v="12.3"/>
    <n v="1.4637"/>
  </r>
  <r>
    <d v="2038-10-14T00:00:00"/>
    <x v="26"/>
    <n v="26.8"/>
    <n v="0.5"/>
    <n v="0"/>
  </r>
  <r>
    <d v="2038-10-15T00:00:00"/>
    <x v="18"/>
    <n v="29"/>
    <n v="3.5"/>
    <n v="1.0149999999999999"/>
  </r>
  <r>
    <d v="2038-10-16T00:00:00"/>
    <x v="16"/>
    <n v="22.9"/>
    <n v="2"/>
    <n v="0.45799999999999996"/>
  </r>
  <r>
    <d v="2038-10-17T00:00:00"/>
    <x v="17"/>
    <n v="27.1"/>
    <n v="0"/>
    <n v="0"/>
  </r>
  <r>
    <d v="2038-10-18T00:00:00"/>
    <x v="6"/>
    <n v="11.8"/>
    <n v="49"/>
    <n v="5.782"/>
  </r>
  <r>
    <d v="2038-10-19T00:00:00"/>
    <x v="2"/>
    <n v="26.6"/>
    <n v="0"/>
    <n v="0"/>
  </r>
  <r>
    <d v="2038-10-20T00:00:00"/>
    <x v="14"/>
    <n v="21.3"/>
    <n v="0"/>
    <n v="0"/>
  </r>
  <r>
    <d v="2038-10-21T00:00:00"/>
    <x v="7"/>
    <n v="23.2"/>
    <n v="0"/>
    <n v="0"/>
  </r>
  <r>
    <d v="2038-10-22T00:00:00"/>
    <x v="6"/>
    <n v="27.3"/>
    <n v="0"/>
    <n v="0"/>
  </r>
  <r>
    <d v="2038-10-23T00:00:00"/>
    <x v="9"/>
    <n v="21.3"/>
    <n v="2.6"/>
    <n v="0.55380000000000007"/>
  </r>
  <r>
    <d v="2038-10-24T00:00:00"/>
    <x v="15"/>
    <n v="22.9"/>
    <n v="5.3"/>
    <n v="1.2137"/>
  </r>
  <r>
    <d v="2038-10-25T00:00:00"/>
    <x v="24"/>
    <n v="25"/>
    <n v="0"/>
    <n v="0"/>
  </r>
  <r>
    <d v="2038-10-26T00:00:00"/>
    <x v="20"/>
    <n v="15.9"/>
    <n v="2.5"/>
    <n v="0.39750000000000002"/>
  </r>
  <r>
    <d v="2038-10-27T00:00:00"/>
    <x v="18"/>
    <n v="19.2"/>
    <n v="1.3"/>
    <n v="0.24960000000000002"/>
  </r>
  <r>
    <d v="2038-10-28T00:00:00"/>
    <x v="3"/>
    <n v="22.5"/>
    <n v="10.9"/>
    <n v="2.4525000000000001"/>
  </r>
  <r>
    <d v="2038-10-29T00:00:00"/>
    <x v="9"/>
    <n v="28.7"/>
    <n v="13.3"/>
    <n v="3.8171000000000004"/>
  </r>
  <r>
    <d v="2038-10-30T00:00:00"/>
    <x v="15"/>
    <n v="14.6"/>
    <n v="29.3"/>
    <n v="4.2778"/>
  </r>
  <r>
    <d v="2038-10-31T00:00:00"/>
    <x v="14"/>
    <n v="12.1"/>
    <n v="6.5"/>
    <n v="0.78649999999999987"/>
  </r>
  <r>
    <d v="2038-11-01T00:00:00"/>
    <x v="15"/>
    <n v="20"/>
    <n v="26.1"/>
    <n v="5.22"/>
  </r>
  <r>
    <d v="2038-11-02T00:00:00"/>
    <x v="23"/>
    <n v="20.8"/>
    <n v="2.5"/>
    <n v="0.52"/>
  </r>
  <r>
    <d v="2038-11-03T00:00:00"/>
    <x v="3"/>
    <n v="26.6"/>
    <n v="5.9"/>
    <n v="1.56940000000000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2">
  <r>
    <d v="2033-03-03T00:00:00"/>
    <x v="0"/>
    <n v="27.8"/>
    <n v="0.2"/>
    <n v="0"/>
    <n v="27.8"/>
    <x v="0"/>
    <n v="1"/>
  </r>
  <r>
    <d v="2033-03-04T00:00:00"/>
    <x v="1"/>
    <n v="11.8"/>
    <n v="1.7"/>
    <n v="0.20060000000000003"/>
    <n v="39.6"/>
    <x v="0"/>
    <n v="1"/>
  </r>
  <r>
    <d v="2033-03-05T00:00:00"/>
    <x v="2"/>
    <n v="21"/>
    <n v="6"/>
    <n v="1.26"/>
    <n v="60.6"/>
    <x v="0"/>
    <n v="1"/>
  </r>
  <r>
    <d v="2033-03-06T00:00:00"/>
    <x v="3"/>
    <n v="26.3"/>
    <n v="11.4"/>
    <n v="2.9981999999999998"/>
    <n v="86.9"/>
    <x v="0"/>
    <n v="1"/>
  </r>
  <r>
    <d v="2033-03-07T00:00:00"/>
    <x v="4"/>
    <n v="28.8"/>
    <n v="0"/>
    <n v="0"/>
    <n v="115.7"/>
    <x v="0"/>
    <n v="1"/>
  </r>
  <r>
    <d v="2033-03-08T00:00:00"/>
    <x v="5"/>
    <n v="29.2"/>
    <n v="0"/>
    <n v="0"/>
    <n v="144.9"/>
    <x v="0"/>
    <n v="1"/>
  </r>
  <r>
    <d v="2033-03-09T00:00:00"/>
    <x v="6"/>
    <n v="25.6"/>
    <n v="28.7"/>
    <n v="7.3472"/>
    <n v="170.5"/>
    <x v="0"/>
    <n v="1"/>
  </r>
  <r>
    <d v="2033-03-10T00:00:00"/>
    <x v="7"/>
    <n v="10.1"/>
    <n v="7.7"/>
    <n v="0.77769999999999995"/>
    <n v="10.1"/>
    <x v="0"/>
    <n v="1"/>
  </r>
  <r>
    <d v="2033-03-11T00:00:00"/>
    <x v="8"/>
    <n v="14.6"/>
    <n v="0"/>
    <n v="0"/>
    <n v="24.7"/>
    <x v="0"/>
    <n v="1"/>
  </r>
  <r>
    <d v="2033-03-12T00:00:00"/>
    <x v="9"/>
    <n v="11.5"/>
    <n v="1.9"/>
    <n v="0.21849999999999997"/>
    <n v="36.200000000000003"/>
    <x v="0"/>
    <n v="1"/>
  </r>
  <r>
    <d v="2033-03-13T00:00:00"/>
    <x v="5"/>
    <n v="15.2"/>
    <n v="0"/>
    <n v="0"/>
    <n v="51.400000000000006"/>
    <x v="0"/>
    <n v="1"/>
  </r>
  <r>
    <d v="2033-03-14T00:00:00"/>
    <x v="6"/>
    <n v="10.199999999999999"/>
    <n v="13.3"/>
    <n v="1.3566"/>
    <n v="61.600000000000009"/>
    <x v="0"/>
    <n v="1"/>
  </r>
  <r>
    <d v="2033-03-15T00:00:00"/>
    <x v="10"/>
    <n v="20.399999999999999"/>
    <n v="4.5999999999999996"/>
    <n v="0.9383999999999999"/>
    <n v="82"/>
    <x v="0"/>
    <n v="1"/>
  </r>
  <r>
    <d v="2033-03-16T00:00:00"/>
    <x v="10"/>
    <n v="13.6"/>
    <n v="8"/>
    <n v="1.0880000000000001"/>
    <n v="95.6"/>
    <x v="0"/>
    <n v="1"/>
  </r>
  <r>
    <d v="2033-03-17T00:00:00"/>
    <x v="11"/>
    <n v="11"/>
    <n v="11.6"/>
    <n v="1.276"/>
    <n v="11"/>
    <x v="0"/>
    <n v="1"/>
  </r>
  <r>
    <d v="2033-03-18T00:00:00"/>
    <x v="12"/>
    <n v="14.1"/>
    <n v="0"/>
    <n v="0"/>
    <n v="25.1"/>
    <x v="0"/>
    <n v="1"/>
  </r>
  <r>
    <d v="2033-03-19T00:00:00"/>
    <x v="6"/>
    <n v="19.2"/>
    <n v="0"/>
    <n v="0"/>
    <n v="44.3"/>
    <x v="0"/>
    <n v="1"/>
  </r>
  <r>
    <d v="2033-03-20T00:00:00"/>
    <x v="6"/>
    <n v="20.7"/>
    <n v="0"/>
    <n v="0"/>
    <n v="65"/>
    <x v="0"/>
    <n v="1"/>
  </r>
  <r>
    <d v="2033-03-21T00:00:00"/>
    <x v="13"/>
    <n v="29.5"/>
    <n v="2.1"/>
    <n v="0.61950000000000005"/>
    <n v="94.5"/>
    <x v="0"/>
    <n v="1"/>
  </r>
  <r>
    <d v="2033-03-22T00:00:00"/>
    <x v="7"/>
    <n v="24.4"/>
    <n v="10.1"/>
    <n v="2.4643999999999995"/>
    <n v="118.9"/>
    <x v="0"/>
    <n v="1"/>
  </r>
  <r>
    <d v="2033-03-23T00:00:00"/>
    <x v="14"/>
    <n v="15.6"/>
    <n v="6.6"/>
    <n v="1.0295999999999998"/>
    <n v="134.5"/>
    <x v="0"/>
    <n v="1"/>
  </r>
  <r>
    <d v="2033-03-24T00:00:00"/>
    <x v="5"/>
    <n v="22.7"/>
    <n v="2.9"/>
    <n v="0.6583"/>
    <n v="22.7"/>
    <x v="0"/>
    <n v="1"/>
  </r>
  <r>
    <d v="2033-03-25T00:00:00"/>
    <x v="11"/>
    <n v="15.1"/>
    <n v="0"/>
    <n v="0"/>
    <n v="37.799999999999997"/>
    <x v="0"/>
    <n v="1"/>
  </r>
  <r>
    <d v="2033-03-26T00:00:00"/>
    <x v="15"/>
    <n v="14.1"/>
    <n v="0.8"/>
    <n v="0"/>
    <n v="51.9"/>
    <x v="0"/>
    <n v="1"/>
  </r>
  <r>
    <d v="2033-03-27T00:00:00"/>
    <x v="3"/>
    <n v="24.9"/>
    <n v="2.2000000000000002"/>
    <n v="0.54780000000000006"/>
    <n v="76.8"/>
    <x v="0"/>
    <n v="1"/>
  </r>
  <r>
    <d v="2033-03-28T00:00:00"/>
    <x v="16"/>
    <n v="14.8"/>
    <n v="0"/>
    <n v="0"/>
    <n v="91.6"/>
    <x v="0"/>
    <n v="1"/>
  </r>
  <r>
    <d v="2033-03-29T00:00:00"/>
    <x v="10"/>
    <n v="18.8"/>
    <n v="0"/>
    <n v="0"/>
    <n v="110.39999999999999"/>
    <x v="0"/>
    <n v="1"/>
  </r>
  <r>
    <d v="2033-03-30T00:00:00"/>
    <x v="11"/>
    <n v="29.3"/>
    <n v="8"/>
    <n v="2.3439999999999999"/>
    <n v="139.69999999999999"/>
    <x v="0"/>
    <n v="1"/>
  </r>
  <r>
    <d v="2033-03-31T00:00:00"/>
    <x v="17"/>
    <n v="29.4"/>
    <n v="2.4"/>
    <n v="0.70559999999999989"/>
    <n v="29.4"/>
    <x v="0"/>
    <n v="1"/>
  </r>
  <r>
    <d v="2033-04-01T00:00:00"/>
    <x v="18"/>
    <n v="16.8"/>
    <n v="2.9"/>
    <n v="0.48719999999999997"/>
    <n v="46.2"/>
    <x v="0"/>
    <n v="1"/>
  </r>
  <r>
    <d v="2033-04-02T00:00:00"/>
    <x v="8"/>
    <n v="21.4"/>
    <n v="6.3"/>
    <n v="1.3481999999999998"/>
    <n v="67.599999999999994"/>
    <x v="0"/>
    <n v="1"/>
  </r>
  <r>
    <d v="2033-04-03T00:00:00"/>
    <x v="3"/>
    <n v="23.9"/>
    <n v="0"/>
    <n v="0"/>
    <n v="91.5"/>
    <x v="0"/>
    <n v="1"/>
  </r>
  <r>
    <d v="2033-04-04T00:00:00"/>
    <x v="8"/>
    <n v="26.7"/>
    <n v="0"/>
    <n v="0"/>
    <n v="118.2"/>
    <x v="0"/>
    <n v="1"/>
  </r>
  <r>
    <d v="2033-04-05T00:00:00"/>
    <x v="3"/>
    <n v="12.4"/>
    <n v="0"/>
    <n v="0"/>
    <n v="130.6"/>
    <x v="0"/>
    <n v="1"/>
  </r>
  <r>
    <d v="2033-04-06T00:00:00"/>
    <x v="8"/>
    <n v="10.4"/>
    <n v="10.7"/>
    <n v="1.1128"/>
    <n v="141"/>
    <x v="0"/>
    <n v="1"/>
  </r>
  <r>
    <d v="2033-04-07T00:00:00"/>
    <x v="5"/>
    <n v="17.899999999999999"/>
    <n v="0"/>
    <n v="0"/>
    <n v="17.899999999999999"/>
    <x v="0"/>
    <n v="1"/>
  </r>
  <r>
    <d v="2033-04-08T00:00:00"/>
    <x v="16"/>
    <n v="17.399999999999999"/>
    <n v="1.6"/>
    <n v="0.27839999999999998"/>
    <n v="35.299999999999997"/>
    <x v="0"/>
    <n v="1"/>
  </r>
  <r>
    <d v="2033-04-09T00:00:00"/>
    <x v="7"/>
    <n v="29.4"/>
    <n v="21.7"/>
    <n v="6.3797999999999995"/>
    <n v="64.699999999999989"/>
    <x v="0"/>
    <n v="1"/>
  </r>
  <r>
    <d v="2033-04-10T00:00:00"/>
    <x v="15"/>
    <n v="22.9"/>
    <n v="26.9"/>
    <n v="6.160099999999999"/>
    <n v="87.6"/>
    <x v="0"/>
    <n v="1"/>
  </r>
  <r>
    <d v="2033-04-11T00:00:00"/>
    <x v="15"/>
    <n v="18.899999999999999"/>
    <n v="11.3"/>
    <n v="2.1356999999999999"/>
    <n v="106.5"/>
    <x v="0"/>
    <n v="1"/>
  </r>
  <r>
    <d v="2033-04-12T00:00:00"/>
    <x v="1"/>
    <n v="23.5"/>
    <n v="0"/>
    <n v="0"/>
    <n v="130"/>
    <x v="0"/>
    <n v="1"/>
  </r>
  <r>
    <d v="2033-04-13T00:00:00"/>
    <x v="14"/>
    <n v="13.4"/>
    <n v="14.2"/>
    <n v="1.9028"/>
    <n v="143.4"/>
    <x v="0"/>
    <n v="1"/>
  </r>
  <r>
    <d v="2033-04-14T00:00:00"/>
    <x v="16"/>
    <n v="18.899999999999999"/>
    <n v="1.5"/>
    <n v="0.28349999999999997"/>
    <n v="18.899999999999999"/>
    <x v="0"/>
    <n v="1"/>
  </r>
  <r>
    <d v="2033-04-15T00:00:00"/>
    <x v="13"/>
    <n v="13.5"/>
    <n v="1.4"/>
    <n v="0.18899999999999997"/>
    <n v="32.4"/>
    <x v="0"/>
    <n v="1"/>
  </r>
  <r>
    <d v="2033-04-16T00:00:00"/>
    <x v="1"/>
    <n v="17.7"/>
    <n v="5.9"/>
    <n v="1.0443"/>
    <n v="50.099999999999994"/>
    <x v="0"/>
    <n v="1"/>
  </r>
  <r>
    <d v="2033-04-17T00:00:00"/>
    <x v="7"/>
    <n v="24.7"/>
    <n v="0"/>
    <n v="0"/>
    <n v="74.8"/>
    <x v="0"/>
    <n v="1"/>
  </r>
  <r>
    <d v="2033-04-18T00:00:00"/>
    <x v="14"/>
    <n v="25.6"/>
    <n v="1.9"/>
    <n v="0.4864"/>
    <n v="100.4"/>
    <x v="0"/>
    <n v="1"/>
  </r>
  <r>
    <d v="2033-04-19T00:00:00"/>
    <x v="18"/>
    <n v="18.399999999999999"/>
    <n v="0"/>
    <n v="0"/>
    <n v="118.80000000000001"/>
    <x v="0"/>
    <n v="1"/>
  </r>
  <r>
    <d v="2033-04-20T00:00:00"/>
    <x v="19"/>
    <n v="27"/>
    <n v="0"/>
    <n v="0"/>
    <n v="145.80000000000001"/>
    <x v="0"/>
    <n v="1"/>
  </r>
  <r>
    <d v="2033-04-21T00:00:00"/>
    <x v="6"/>
    <n v="16"/>
    <n v="0"/>
    <n v="0"/>
    <n v="16"/>
    <x v="0"/>
    <n v="1"/>
  </r>
  <r>
    <d v="2033-04-22T00:00:00"/>
    <x v="3"/>
    <n v="18.600000000000001"/>
    <n v="7.4"/>
    <n v="1.3764000000000001"/>
    <n v="34.6"/>
    <x v="0"/>
    <n v="1"/>
  </r>
  <r>
    <d v="2033-04-23T00:00:00"/>
    <x v="6"/>
    <n v="12.7"/>
    <n v="30.8"/>
    <n v="3.9115999999999995"/>
    <n v="47.3"/>
    <x v="0"/>
    <n v="1"/>
  </r>
  <r>
    <d v="2033-04-24T00:00:00"/>
    <x v="15"/>
    <n v="14.5"/>
    <n v="0"/>
    <n v="0"/>
    <n v="61.8"/>
    <x v="0"/>
    <n v="1"/>
  </r>
  <r>
    <d v="2033-04-25T00:00:00"/>
    <x v="20"/>
    <n v="12.2"/>
    <n v="3.5"/>
    <n v="0.42699999999999994"/>
    <n v="74"/>
    <x v="0"/>
    <n v="1"/>
  </r>
  <r>
    <d v="2033-04-26T00:00:00"/>
    <x v="21"/>
    <n v="19.899999999999999"/>
    <n v="0"/>
    <n v="0"/>
    <n v="93.9"/>
    <x v="0"/>
    <n v="1"/>
  </r>
  <r>
    <d v="2033-04-27T00:00:00"/>
    <x v="22"/>
    <n v="28.1"/>
    <n v="5.3"/>
    <n v="1.4893000000000001"/>
    <n v="122"/>
    <x v="0"/>
    <n v="1"/>
  </r>
  <r>
    <d v="2033-04-28T00:00:00"/>
    <x v="6"/>
    <n v="27.7"/>
    <n v="45.3"/>
    <n v="12.5481"/>
    <n v="27.7"/>
    <x v="0"/>
    <n v="1"/>
  </r>
  <r>
    <d v="2033-04-29T00:00:00"/>
    <x v="1"/>
    <n v="14.6"/>
    <n v="5.2"/>
    <n v="0.75919999999999999"/>
    <n v="42.3"/>
    <x v="0"/>
    <n v="1"/>
  </r>
  <r>
    <d v="2033-04-30T00:00:00"/>
    <x v="14"/>
    <n v="10.8"/>
    <n v="0"/>
    <n v="0"/>
    <n v="53.099999999999994"/>
    <x v="0"/>
    <n v="1"/>
  </r>
  <r>
    <d v="2033-05-01T00:00:00"/>
    <x v="23"/>
    <n v="12.4"/>
    <n v="3.2"/>
    <n v="0.39680000000000004"/>
    <n v="65.5"/>
    <x v="0"/>
    <n v="1"/>
  </r>
  <r>
    <d v="2033-05-02T00:00:00"/>
    <x v="6"/>
    <n v="25.2"/>
    <n v="0"/>
    <n v="0"/>
    <n v="90.7"/>
    <x v="0"/>
    <n v="1"/>
  </r>
  <r>
    <d v="2033-05-03T00:00:00"/>
    <x v="6"/>
    <n v="28.9"/>
    <n v="0"/>
    <n v="0"/>
    <n v="119.6"/>
    <x v="0"/>
    <n v="1"/>
  </r>
  <r>
    <d v="2033-05-04T00:00:00"/>
    <x v="15"/>
    <n v="13.2"/>
    <n v="23.3"/>
    <n v="3.0756000000000001"/>
    <n v="132.79999999999998"/>
    <x v="0"/>
    <n v="1"/>
  </r>
  <r>
    <d v="2033-05-05T00:00:00"/>
    <x v="6"/>
    <n v="27.9"/>
    <n v="0"/>
    <n v="0"/>
    <n v="27.9"/>
    <x v="0"/>
    <n v="1"/>
  </r>
  <r>
    <d v="2033-05-06T00:00:00"/>
    <x v="3"/>
    <n v="10.9"/>
    <n v="3.5"/>
    <n v="0.38150000000000001"/>
    <n v="38.799999999999997"/>
    <x v="0"/>
    <n v="1"/>
  </r>
  <r>
    <d v="2033-05-07T00:00:00"/>
    <x v="11"/>
    <n v="25.5"/>
    <n v="20"/>
    <n v="5.0999999999999996"/>
    <n v="64.3"/>
    <x v="0"/>
    <n v="1"/>
  </r>
  <r>
    <d v="2033-05-08T00:00:00"/>
    <x v="5"/>
    <n v="26"/>
    <n v="0"/>
    <n v="0"/>
    <n v="90.3"/>
    <x v="0"/>
    <n v="1"/>
  </r>
  <r>
    <d v="2033-05-09T00:00:00"/>
    <x v="21"/>
    <n v="25.8"/>
    <n v="0.1"/>
    <n v="0"/>
    <n v="116.1"/>
    <x v="0"/>
    <n v="1"/>
  </r>
  <r>
    <d v="2033-05-10T00:00:00"/>
    <x v="10"/>
    <n v="17.5"/>
    <n v="0.5"/>
    <n v="0"/>
    <n v="133.6"/>
    <x v="0"/>
    <n v="1"/>
  </r>
  <r>
    <d v="2033-05-11T00:00:00"/>
    <x v="6"/>
    <n v="17.8"/>
    <n v="3.3"/>
    <n v="0.58740000000000003"/>
    <n v="151.4"/>
    <x v="0"/>
    <n v="1"/>
  </r>
  <r>
    <d v="2033-05-12T00:00:00"/>
    <x v="6"/>
    <n v="17.5"/>
    <n v="0"/>
    <n v="0"/>
    <n v="17.5"/>
    <x v="0"/>
    <n v="1"/>
  </r>
  <r>
    <d v="2033-05-13T00:00:00"/>
    <x v="9"/>
    <n v="16.100000000000001"/>
    <n v="0"/>
    <n v="0"/>
    <n v="33.6"/>
    <x v="0"/>
    <n v="1"/>
  </r>
  <r>
    <d v="2033-05-14T00:00:00"/>
    <x v="1"/>
    <n v="11.8"/>
    <n v="7"/>
    <n v="0.82600000000000007"/>
    <n v="45.400000000000006"/>
    <x v="0"/>
    <n v="1"/>
  </r>
  <r>
    <d v="2033-05-15T00:00:00"/>
    <x v="11"/>
    <n v="26.2"/>
    <n v="0"/>
    <n v="0"/>
    <n v="71.600000000000009"/>
    <x v="0"/>
    <n v="1"/>
  </r>
  <r>
    <d v="2033-05-16T00:00:00"/>
    <x v="2"/>
    <n v="28.8"/>
    <n v="2.9"/>
    <n v="0.83519999999999994"/>
    <n v="100.4"/>
    <x v="0"/>
    <n v="1"/>
  </r>
  <r>
    <d v="2033-05-17T00:00:00"/>
    <x v="6"/>
    <n v="18.7"/>
    <n v="0"/>
    <n v="0"/>
    <n v="119.10000000000001"/>
    <x v="0"/>
    <n v="1"/>
  </r>
  <r>
    <d v="2033-05-18T00:00:00"/>
    <x v="14"/>
    <n v="10.3"/>
    <n v="9.1999999999999993"/>
    <n v="0.9476"/>
    <n v="129.4"/>
    <x v="0"/>
    <n v="1"/>
  </r>
  <r>
    <d v="2033-05-19T00:00:00"/>
    <x v="2"/>
    <n v="29.8"/>
    <n v="3.4"/>
    <n v="1.0131999999999999"/>
    <n v="29.8"/>
    <x v="0"/>
    <n v="1"/>
  </r>
  <r>
    <d v="2033-05-20T00:00:00"/>
    <x v="6"/>
    <n v="26.2"/>
    <n v="32.299999999999997"/>
    <n v="8.4625999999999983"/>
    <n v="56"/>
    <x v="0"/>
    <n v="1"/>
  </r>
  <r>
    <d v="2033-05-21T00:00:00"/>
    <x v="15"/>
    <n v="13.8"/>
    <n v="15.9"/>
    <n v="2.1942000000000004"/>
    <n v="69.8"/>
    <x v="0"/>
    <n v="1"/>
  </r>
  <r>
    <d v="2033-05-22T00:00:00"/>
    <x v="15"/>
    <n v="22.4"/>
    <n v="24.5"/>
    <n v="5.4879999999999995"/>
    <n v="92.199999999999989"/>
    <x v="0"/>
    <n v="1"/>
  </r>
  <r>
    <d v="2033-05-23T00:00:00"/>
    <x v="15"/>
    <n v="24.5"/>
    <n v="0.9"/>
    <n v="0"/>
    <n v="116.69999999999999"/>
    <x v="0"/>
    <n v="1"/>
  </r>
  <r>
    <d v="2033-05-24T00:00:00"/>
    <x v="24"/>
    <n v="23.1"/>
    <n v="0.3"/>
    <n v="0"/>
    <n v="139.79999999999998"/>
    <x v="0"/>
    <n v="1"/>
  </r>
  <r>
    <d v="2033-05-25T00:00:00"/>
    <x v="21"/>
    <n v="29.8"/>
    <n v="0"/>
    <n v="0"/>
    <n v="169.6"/>
    <x v="0"/>
    <n v="1"/>
  </r>
  <r>
    <d v="2033-05-26T00:00:00"/>
    <x v="0"/>
    <n v="11.2"/>
    <n v="0"/>
    <n v="0"/>
    <n v="11.2"/>
    <x v="0"/>
    <n v="1"/>
  </r>
  <r>
    <d v="2033-05-27T00:00:00"/>
    <x v="15"/>
    <n v="18.7"/>
    <n v="0"/>
    <n v="0"/>
    <n v="29.9"/>
    <x v="0"/>
    <n v="1"/>
  </r>
  <r>
    <d v="2033-05-28T00:00:00"/>
    <x v="14"/>
    <n v="11.4"/>
    <n v="8.1"/>
    <n v="0.9234"/>
    <n v="41.3"/>
    <x v="0"/>
    <n v="1"/>
  </r>
  <r>
    <d v="2033-05-29T00:00:00"/>
    <x v="9"/>
    <n v="21.3"/>
    <n v="13.4"/>
    <n v="2.8542000000000001"/>
    <n v="62.599999999999994"/>
    <x v="0"/>
    <n v="1"/>
  </r>
  <r>
    <d v="2033-05-30T00:00:00"/>
    <x v="1"/>
    <n v="24.5"/>
    <n v="2.6"/>
    <n v="0.63700000000000001"/>
    <n v="87.1"/>
    <x v="0"/>
    <n v="1"/>
  </r>
  <r>
    <d v="2033-05-31T00:00:00"/>
    <x v="15"/>
    <n v="20"/>
    <n v="13.2"/>
    <n v="2.64"/>
    <n v="107.1"/>
    <x v="0"/>
    <n v="1"/>
  </r>
  <r>
    <d v="2033-06-01T00:00:00"/>
    <x v="6"/>
    <n v="28.4"/>
    <n v="12"/>
    <n v="3.4079999999999995"/>
    <n v="135.5"/>
    <x v="0"/>
    <n v="1"/>
  </r>
  <r>
    <d v="2033-06-02T00:00:00"/>
    <x v="7"/>
    <n v="14.8"/>
    <n v="10.1"/>
    <n v="1.4947999999999999"/>
    <n v="14.8"/>
    <x v="0"/>
    <n v="1"/>
  </r>
  <r>
    <d v="2033-06-03T00:00:00"/>
    <x v="25"/>
    <n v="27.9"/>
    <n v="0.6"/>
    <n v="0"/>
    <n v="42.7"/>
    <x v="0"/>
    <n v="1"/>
  </r>
  <r>
    <d v="2033-06-04T00:00:00"/>
    <x v="8"/>
    <n v="19.899999999999999"/>
    <n v="9.8000000000000007"/>
    <n v="1.9502000000000002"/>
    <n v="62.6"/>
    <x v="0"/>
    <n v="1"/>
  </r>
  <r>
    <d v="2033-06-05T00:00:00"/>
    <x v="15"/>
    <n v="22.5"/>
    <n v="0"/>
    <n v="0"/>
    <n v="85.1"/>
    <x v="0"/>
    <n v="1"/>
  </r>
  <r>
    <d v="2033-06-06T00:00:00"/>
    <x v="4"/>
    <n v="21.6"/>
    <n v="4.9000000000000004"/>
    <n v="1.0584000000000002"/>
    <n v="106.69999999999999"/>
    <x v="0"/>
    <n v="1"/>
  </r>
  <r>
    <d v="2033-06-07T00:00:00"/>
    <x v="6"/>
    <n v="28.1"/>
    <n v="0"/>
    <n v="0"/>
    <n v="134.79999999999998"/>
    <x v="0"/>
    <n v="1"/>
  </r>
  <r>
    <d v="2033-06-08T00:00:00"/>
    <x v="8"/>
    <n v="21.5"/>
    <n v="8.6"/>
    <n v="1.849"/>
    <n v="156.29999999999998"/>
    <x v="0"/>
    <n v="1"/>
  </r>
  <r>
    <d v="2033-06-09T00:00:00"/>
    <x v="10"/>
    <n v="22.7"/>
    <n v="0.1"/>
    <n v="0"/>
    <n v="22.7"/>
    <x v="0"/>
    <n v="1"/>
  </r>
  <r>
    <d v="2033-06-10T00:00:00"/>
    <x v="6"/>
    <n v="27.4"/>
    <n v="21.8"/>
    <n v="5.9731999999999994"/>
    <n v="50.099999999999994"/>
    <x v="0"/>
    <n v="1"/>
  </r>
  <r>
    <d v="2033-06-11T00:00:00"/>
    <x v="15"/>
    <n v="18.3"/>
    <n v="17.3"/>
    <n v="3.1659000000000002"/>
    <n v="68.399999999999991"/>
    <x v="0"/>
    <n v="1"/>
  </r>
  <r>
    <d v="2033-06-12T00:00:00"/>
    <x v="15"/>
    <n v="29"/>
    <n v="27.3"/>
    <n v="7.9170000000000007"/>
    <n v="97.399999999999991"/>
    <x v="0"/>
    <n v="1"/>
  </r>
  <r>
    <d v="2033-06-13T00:00:00"/>
    <x v="14"/>
    <n v="18.100000000000001"/>
    <n v="0"/>
    <n v="0"/>
    <n v="115.5"/>
    <x v="0"/>
    <n v="1"/>
  </r>
  <r>
    <d v="2033-06-14T00:00:00"/>
    <x v="16"/>
    <n v="16.399999999999999"/>
    <n v="1.1000000000000001"/>
    <n v="0.1804"/>
    <n v="131.9"/>
    <x v="0"/>
    <n v="1"/>
  </r>
  <r>
    <d v="2033-06-15T00:00:00"/>
    <x v="2"/>
    <n v="21.8"/>
    <n v="0"/>
    <n v="0"/>
    <n v="153.70000000000002"/>
    <x v="0"/>
    <n v="1"/>
  </r>
  <r>
    <d v="2033-06-16T00:00:00"/>
    <x v="25"/>
    <n v="27.2"/>
    <n v="0"/>
    <n v="0"/>
    <n v="27.2"/>
    <x v="0"/>
    <n v="1"/>
  </r>
  <r>
    <d v="2033-06-17T00:00:00"/>
    <x v="18"/>
    <n v="21.2"/>
    <n v="0"/>
    <n v="0"/>
    <n v="48.4"/>
    <x v="0"/>
    <n v="1"/>
  </r>
  <r>
    <d v="2033-06-18T00:00:00"/>
    <x v="15"/>
    <n v="17.7"/>
    <n v="13.9"/>
    <n v="2.4603000000000002"/>
    <n v="66.099999999999994"/>
    <x v="0"/>
    <n v="1"/>
  </r>
  <r>
    <d v="2033-06-19T00:00:00"/>
    <x v="18"/>
    <n v="10.6"/>
    <n v="6.9"/>
    <n v="0.73140000000000005"/>
    <n v="76.699999999999989"/>
    <x v="0"/>
    <n v="1"/>
  </r>
  <r>
    <d v="2033-06-20T00:00:00"/>
    <x v="23"/>
    <n v="10.4"/>
    <n v="1.1000000000000001"/>
    <n v="0.11440000000000002"/>
    <n v="87.1"/>
    <x v="0"/>
    <n v="1"/>
  </r>
  <r>
    <d v="2033-06-21T00:00:00"/>
    <x v="6"/>
    <n v="15.8"/>
    <n v="7.1"/>
    <n v="1.1217999999999999"/>
    <n v="102.89999999999999"/>
    <x v="0"/>
    <n v="1"/>
  </r>
  <r>
    <d v="2033-06-22T00:00:00"/>
    <x v="5"/>
    <n v="19.899999999999999"/>
    <n v="10.8"/>
    <n v="2.1492"/>
    <n v="122.79999999999998"/>
    <x v="0"/>
    <n v="1"/>
  </r>
  <r>
    <d v="2033-06-23T00:00:00"/>
    <x v="7"/>
    <n v="13"/>
    <n v="0"/>
    <n v="0"/>
    <n v="13"/>
    <x v="0"/>
    <n v="1"/>
  </r>
  <r>
    <d v="2033-06-24T00:00:00"/>
    <x v="3"/>
    <n v="28.1"/>
    <n v="15"/>
    <n v="4.2149999999999999"/>
    <n v="41.1"/>
    <x v="0"/>
    <n v="1"/>
  </r>
  <r>
    <d v="2033-06-25T00:00:00"/>
    <x v="8"/>
    <n v="22.5"/>
    <n v="8.6"/>
    <n v="1.9350000000000001"/>
    <n v="63.6"/>
    <x v="0"/>
    <n v="1"/>
  </r>
  <r>
    <d v="2033-06-26T00:00:00"/>
    <x v="15"/>
    <n v="14"/>
    <n v="36.1"/>
    <n v="5.0540000000000003"/>
    <n v="77.599999999999994"/>
    <x v="0"/>
    <n v="1"/>
  </r>
  <r>
    <d v="2033-06-27T00:00:00"/>
    <x v="6"/>
    <n v="10.6"/>
    <n v="18.399999999999999"/>
    <n v="1.9503999999999999"/>
    <n v="88.199999999999989"/>
    <x v="0"/>
    <n v="1"/>
  </r>
  <r>
    <d v="2033-06-28T00:00:00"/>
    <x v="19"/>
    <n v="22.3"/>
    <n v="0"/>
    <n v="0"/>
    <n v="110.49999999999999"/>
    <x v="0"/>
    <n v="1"/>
  </r>
  <r>
    <d v="2033-06-29T00:00:00"/>
    <x v="15"/>
    <n v="14.5"/>
    <n v="26"/>
    <n v="3.77"/>
    <n v="124.99999999999999"/>
    <x v="0"/>
    <n v="1"/>
  </r>
  <r>
    <d v="2033-06-30T00:00:00"/>
    <x v="1"/>
    <n v="21"/>
    <n v="1.7"/>
    <n v="0.35699999999999998"/>
    <n v="21"/>
    <x v="0"/>
    <n v="1"/>
  </r>
  <r>
    <d v="2033-07-01T00:00:00"/>
    <x v="0"/>
    <n v="17.7"/>
    <n v="0.4"/>
    <n v="0"/>
    <n v="38.700000000000003"/>
    <x v="0"/>
    <n v="1"/>
  </r>
  <r>
    <d v="2033-07-02T00:00:00"/>
    <x v="3"/>
    <n v="24.3"/>
    <n v="9.6999999999999993"/>
    <n v="2.3571"/>
    <n v="63"/>
    <x v="0"/>
    <n v="1"/>
  </r>
  <r>
    <d v="2033-07-03T00:00:00"/>
    <x v="11"/>
    <n v="18.8"/>
    <n v="6.4"/>
    <n v="1.2032"/>
    <n v="81.8"/>
    <x v="0"/>
    <n v="1"/>
  </r>
  <r>
    <d v="2033-07-04T00:00:00"/>
    <x v="9"/>
    <n v="15.9"/>
    <n v="5.2"/>
    <n v="0.82680000000000009"/>
    <n v="97.7"/>
    <x v="0"/>
    <n v="1"/>
  </r>
  <r>
    <d v="2033-07-05T00:00:00"/>
    <x v="3"/>
    <n v="26.1"/>
    <n v="0"/>
    <n v="0"/>
    <n v="123.80000000000001"/>
    <x v="0"/>
    <n v="1"/>
  </r>
  <r>
    <d v="2033-07-06T00:00:00"/>
    <x v="15"/>
    <n v="29.4"/>
    <n v="8.8000000000000007"/>
    <n v="2.5872000000000002"/>
    <n v="153.20000000000002"/>
    <x v="0"/>
    <n v="1"/>
  </r>
  <r>
    <d v="2033-07-07T00:00:00"/>
    <x v="9"/>
    <n v="10.5"/>
    <n v="14.5"/>
    <n v="1.5225"/>
    <n v="10.5"/>
    <x v="0"/>
    <n v="1"/>
  </r>
  <r>
    <d v="2033-07-08T00:00:00"/>
    <x v="26"/>
    <n v="18.100000000000001"/>
    <n v="0"/>
    <n v="0"/>
    <n v="28.6"/>
    <x v="0"/>
    <n v="1"/>
  </r>
  <r>
    <d v="2033-07-09T00:00:00"/>
    <x v="11"/>
    <n v="20.6"/>
    <n v="0"/>
    <n v="0"/>
    <n v="49.2"/>
    <x v="0"/>
    <n v="1"/>
  </r>
  <r>
    <d v="2033-07-10T00:00:00"/>
    <x v="11"/>
    <n v="17.100000000000001"/>
    <n v="0"/>
    <n v="0"/>
    <n v="66.300000000000011"/>
    <x v="0"/>
    <n v="1"/>
  </r>
  <r>
    <d v="2033-07-11T00:00:00"/>
    <x v="18"/>
    <n v="17"/>
    <n v="0.3"/>
    <n v="0"/>
    <n v="83.300000000000011"/>
    <x v="0"/>
    <n v="1"/>
  </r>
  <r>
    <d v="2033-07-12T00:00:00"/>
    <x v="19"/>
    <n v="14.7"/>
    <n v="2.2999999999999998"/>
    <n v="0.33809999999999996"/>
    <n v="98.000000000000014"/>
    <x v="0"/>
    <n v="1"/>
  </r>
  <r>
    <d v="2033-07-13T00:00:00"/>
    <x v="11"/>
    <n v="21.7"/>
    <n v="0"/>
    <n v="0"/>
    <n v="119.70000000000002"/>
    <x v="0"/>
    <n v="1"/>
  </r>
  <r>
    <d v="2033-07-14T00:00:00"/>
    <x v="12"/>
    <n v="12.5"/>
    <n v="0"/>
    <n v="0"/>
    <n v="12.5"/>
    <x v="0"/>
    <n v="1"/>
  </r>
  <r>
    <d v="2033-07-15T00:00:00"/>
    <x v="4"/>
    <n v="17.8"/>
    <n v="4.0999999999999996"/>
    <n v="0.72979999999999989"/>
    <n v="30.3"/>
    <x v="0"/>
    <n v="1"/>
  </r>
  <r>
    <d v="2033-07-16T00:00:00"/>
    <x v="6"/>
    <n v="28.9"/>
    <n v="38.700000000000003"/>
    <n v="11.1843"/>
    <n v="59.2"/>
    <x v="0"/>
    <n v="1"/>
  </r>
  <r>
    <d v="2033-07-17T00:00:00"/>
    <x v="7"/>
    <n v="21"/>
    <n v="3.5"/>
    <n v="0.73499999999999999"/>
    <n v="80.2"/>
    <x v="0"/>
    <n v="1"/>
  </r>
  <r>
    <d v="2033-07-18T00:00:00"/>
    <x v="17"/>
    <n v="13"/>
    <n v="0.1"/>
    <n v="0"/>
    <n v="93.2"/>
    <x v="0"/>
    <n v="1"/>
  </r>
  <r>
    <d v="2033-07-19T00:00:00"/>
    <x v="6"/>
    <n v="23.1"/>
    <n v="0"/>
    <n v="0"/>
    <n v="116.30000000000001"/>
    <x v="0"/>
    <n v="1"/>
  </r>
  <r>
    <d v="2033-07-20T00:00:00"/>
    <x v="11"/>
    <n v="28.5"/>
    <n v="0"/>
    <n v="0"/>
    <n v="144.80000000000001"/>
    <x v="0"/>
    <n v="1"/>
  </r>
  <r>
    <d v="2033-07-21T00:00:00"/>
    <x v="11"/>
    <n v="12.8"/>
    <n v="0"/>
    <n v="0"/>
    <n v="12.8"/>
    <x v="0"/>
    <n v="1"/>
  </r>
  <r>
    <d v="2033-07-22T00:00:00"/>
    <x v="27"/>
    <n v="26.8"/>
    <n v="0"/>
    <n v="0"/>
    <n v="39.6"/>
    <x v="0"/>
    <n v="1"/>
  </r>
  <r>
    <d v="2033-07-23T00:00:00"/>
    <x v="6"/>
    <n v="15.1"/>
    <n v="24.8"/>
    <n v="3.7448000000000001"/>
    <n v="54.7"/>
    <x v="0"/>
    <n v="1"/>
  </r>
  <r>
    <d v="2033-07-24T00:00:00"/>
    <x v="14"/>
    <n v="14.4"/>
    <n v="13.5"/>
    <n v="1.944"/>
    <n v="69.100000000000009"/>
    <x v="0"/>
    <n v="1"/>
  </r>
  <r>
    <d v="2033-07-25T00:00:00"/>
    <x v="7"/>
    <n v="29.2"/>
    <n v="15.7"/>
    <n v="4.5843999999999996"/>
    <n v="98.300000000000011"/>
    <x v="0"/>
    <n v="1"/>
  </r>
  <r>
    <d v="2033-07-26T00:00:00"/>
    <x v="6"/>
    <n v="28.9"/>
    <n v="47.2"/>
    <n v="13.640799999999999"/>
    <n v="127.20000000000002"/>
    <x v="0"/>
    <n v="1"/>
  </r>
  <r>
    <d v="2033-07-27T00:00:00"/>
    <x v="16"/>
    <n v="18.399999999999999"/>
    <n v="3.9"/>
    <n v="0.7175999999999999"/>
    <n v="145.60000000000002"/>
    <x v="0"/>
    <n v="1"/>
  </r>
  <r>
    <d v="2033-07-28T00:00:00"/>
    <x v="13"/>
    <n v="26.2"/>
    <n v="4"/>
    <n v="1.048"/>
    <n v="26.2"/>
    <x v="0"/>
    <n v="1"/>
  </r>
  <r>
    <d v="2033-07-29T00:00:00"/>
    <x v="6"/>
    <n v="14.3"/>
    <n v="45.1"/>
    <n v="6.4493000000000009"/>
    <n v="40.5"/>
    <x v="0"/>
    <n v="1"/>
  </r>
  <r>
    <d v="2033-07-30T00:00:00"/>
    <x v="3"/>
    <n v="14.5"/>
    <n v="0"/>
    <n v="0"/>
    <n v="55"/>
    <x v="0"/>
    <n v="1"/>
  </r>
  <r>
    <d v="2033-07-31T00:00:00"/>
    <x v="6"/>
    <n v="18.600000000000001"/>
    <n v="5.5"/>
    <n v="1.0230000000000001"/>
    <n v="73.599999999999994"/>
    <x v="0"/>
    <n v="1"/>
  </r>
  <r>
    <d v="2033-08-01T00:00:00"/>
    <x v="3"/>
    <n v="26.3"/>
    <n v="14.5"/>
    <n v="3.8135000000000003"/>
    <n v="99.899999999999991"/>
    <x v="0"/>
    <n v="1"/>
  </r>
  <r>
    <d v="2033-08-02T00:00:00"/>
    <x v="28"/>
    <n v="25.9"/>
    <n v="0.7"/>
    <n v="0"/>
    <n v="125.79999999999998"/>
    <x v="0"/>
    <n v="1"/>
  </r>
  <r>
    <d v="2033-08-03T00:00:00"/>
    <x v="8"/>
    <n v="29.8"/>
    <n v="0"/>
    <n v="0"/>
    <n v="155.6"/>
    <x v="0"/>
    <n v="1"/>
  </r>
  <r>
    <d v="2033-08-04T00:00:00"/>
    <x v="6"/>
    <n v="18.3"/>
    <n v="18.7"/>
    <n v="3.4220999999999999"/>
    <n v="18.3"/>
    <x v="0"/>
    <n v="1"/>
  </r>
  <r>
    <d v="2033-08-05T00:00:00"/>
    <x v="8"/>
    <n v="24.5"/>
    <n v="6.7"/>
    <n v="1.6415"/>
    <n v="42.8"/>
    <x v="0"/>
    <n v="1"/>
  </r>
  <r>
    <d v="2033-08-06T00:00:00"/>
    <x v="15"/>
    <n v="18.7"/>
    <n v="0"/>
    <n v="0"/>
    <n v="61.5"/>
    <x v="0"/>
    <n v="1"/>
  </r>
  <r>
    <d v="2033-08-07T00:00:00"/>
    <x v="15"/>
    <n v="29.2"/>
    <n v="34.9"/>
    <n v="10.190799999999999"/>
    <n v="90.7"/>
    <x v="0"/>
    <n v="1"/>
  </r>
  <r>
    <d v="2033-08-08T00:00:00"/>
    <x v="5"/>
    <n v="21.4"/>
    <n v="10.7"/>
    <n v="2.2897999999999996"/>
    <n v="112.1"/>
    <x v="0"/>
    <n v="1"/>
  </r>
  <r>
    <d v="2033-08-09T00:00:00"/>
    <x v="11"/>
    <n v="25.6"/>
    <n v="3.1"/>
    <n v="0.79360000000000008"/>
    <n v="137.69999999999999"/>
    <x v="0"/>
    <n v="1"/>
  </r>
  <r>
    <d v="2033-08-10T00:00:00"/>
    <x v="11"/>
    <n v="15.7"/>
    <n v="5.0999999999999996"/>
    <n v="0.80069999999999997"/>
    <n v="153.39999999999998"/>
    <x v="0"/>
    <n v="1"/>
  </r>
  <r>
    <d v="2033-08-11T00:00:00"/>
    <x v="2"/>
    <n v="27.3"/>
    <n v="11"/>
    <n v="3.0030000000000001"/>
    <n v="27.3"/>
    <x v="0"/>
    <n v="1"/>
  </r>
  <r>
    <d v="2033-08-12T00:00:00"/>
    <x v="21"/>
    <n v="28.4"/>
    <n v="2.7"/>
    <n v="0.76680000000000004"/>
    <n v="55.7"/>
    <x v="0"/>
    <n v="1"/>
  </r>
  <r>
    <d v="2033-08-13T00:00:00"/>
    <x v="7"/>
    <n v="22"/>
    <n v="3.3"/>
    <n v="0.72599999999999998"/>
    <n v="77.7"/>
    <x v="0"/>
    <n v="1"/>
  </r>
  <r>
    <d v="2033-08-14T00:00:00"/>
    <x v="4"/>
    <n v="19.399999999999999"/>
    <n v="0"/>
    <n v="0"/>
    <n v="97.1"/>
    <x v="0"/>
    <n v="1"/>
  </r>
  <r>
    <d v="2033-08-15T00:00:00"/>
    <x v="11"/>
    <n v="22.7"/>
    <n v="14.8"/>
    <n v="3.3595999999999999"/>
    <n v="119.8"/>
    <x v="0"/>
    <n v="1"/>
  </r>
  <r>
    <d v="2033-08-16T00:00:00"/>
    <x v="3"/>
    <n v="22.6"/>
    <n v="16.5"/>
    <n v="3.7290000000000005"/>
    <n v="142.4"/>
    <x v="0"/>
    <n v="1"/>
  </r>
  <r>
    <d v="2033-08-17T00:00:00"/>
    <x v="13"/>
    <n v="26.1"/>
    <n v="0"/>
    <n v="0"/>
    <n v="168.5"/>
    <x v="0"/>
    <n v="1"/>
  </r>
  <r>
    <d v="2033-08-18T00:00:00"/>
    <x v="11"/>
    <n v="27.6"/>
    <n v="6.7"/>
    <n v="1.8492000000000002"/>
    <n v="27.6"/>
    <x v="0"/>
    <n v="1"/>
  </r>
  <r>
    <d v="2033-08-19T00:00:00"/>
    <x v="8"/>
    <n v="13.2"/>
    <n v="0"/>
    <n v="0"/>
    <n v="40.799999999999997"/>
    <x v="0"/>
    <n v="1"/>
  </r>
  <r>
    <d v="2033-08-20T00:00:00"/>
    <x v="17"/>
    <n v="22"/>
    <n v="0"/>
    <n v="0"/>
    <n v="62.8"/>
    <x v="0"/>
    <n v="1"/>
  </r>
  <r>
    <d v="2033-08-21T00:00:00"/>
    <x v="5"/>
    <n v="10.8"/>
    <n v="7.6"/>
    <n v="0.82079999999999997"/>
    <n v="73.599999999999994"/>
    <x v="0"/>
    <n v="1"/>
  </r>
  <r>
    <d v="2033-08-22T00:00:00"/>
    <x v="6"/>
    <n v="15.6"/>
    <n v="38.4"/>
    <n v="5.9903999999999993"/>
    <n v="89.199999999999989"/>
    <x v="0"/>
    <n v="1"/>
  </r>
  <r>
    <d v="2033-08-23T00:00:00"/>
    <x v="22"/>
    <n v="11.7"/>
    <n v="0.5"/>
    <n v="0"/>
    <n v="100.89999999999999"/>
    <x v="0"/>
    <n v="1"/>
  </r>
  <r>
    <d v="2033-08-24T00:00:00"/>
    <x v="6"/>
    <n v="27.2"/>
    <n v="8.3000000000000007"/>
    <n v="2.2576000000000001"/>
    <n v="128.1"/>
    <x v="0"/>
    <n v="1"/>
  </r>
  <r>
    <d v="2033-08-25T00:00:00"/>
    <x v="6"/>
    <n v="24.7"/>
    <n v="28.9"/>
    <n v="7.1382999999999992"/>
    <n v="24.7"/>
    <x v="0"/>
    <n v="1"/>
  </r>
  <r>
    <d v="2033-08-26T00:00:00"/>
    <x v="7"/>
    <n v="18.2"/>
    <n v="12.5"/>
    <n v="2.2749999999999999"/>
    <n v="42.9"/>
    <x v="0"/>
    <n v="1"/>
  </r>
  <r>
    <d v="2033-08-27T00:00:00"/>
    <x v="7"/>
    <n v="14.6"/>
    <n v="17.899999999999999"/>
    <n v="2.6133999999999999"/>
    <n v="57.5"/>
    <x v="0"/>
    <n v="1"/>
  </r>
  <r>
    <d v="2033-08-28T00:00:00"/>
    <x v="7"/>
    <n v="16.5"/>
    <n v="13.9"/>
    <n v="2.2934999999999999"/>
    <n v="74"/>
    <x v="0"/>
    <n v="1"/>
  </r>
  <r>
    <d v="2033-08-29T00:00:00"/>
    <x v="14"/>
    <n v="29.4"/>
    <n v="0"/>
    <n v="0"/>
    <n v="103.4"/>
    <x v="0"/>
    <n v="1"/>
  </r>
  <r>
    <d v="2033-08-30T00:00:00"/>
    <x v="6"/>
    <n v="17.899999999999999"/>
    <n v="0"/>
    <n v="0"/>
    <n v="121.30000000000001"/>
    <x v="0"/>
    <n v="1"/>
  </r>
  <r>
    <d v="2033-08-31T00:00:00"/>
    <x v="13"/>
    <n v="29.8"/>
    <n v="0"/>
    <n v="0"/>
    <n v="151.10000000000002"/>
    <x v="0"/>
    <n v="1"/>
  </r>
  <r>
    <d v="2033-09-01T00:00:00"/>
    <x v="0"/>
    <n v="18.7"/>
    <n v="0"/>
    <n v="0"/>
    <n v="18.7"/>
    <x v="0"/>
    <n v="1"/>
  </r>
  <r>
    <d v="2033-09-02T00:00:00"/>
    <x v="8"/>
    <n v="24.3"/>
    <n v="7.8"/>
    <n v="1.8954"/>
    <n v="43"/>
    <x v="0"/>
    <n v="1"/>
  </r>
  <r>
    <d v="2033-09-03T00:00:00"/>
    <x v="9"/>
    <n v="29.3"/>
    <n v="4.5999999999999996"/>
    <n v="1.3478000000000001"/>
    <n v="72.3"/>
    <x v="0"/>
    <n v="1"/>
  </r>
  <r>
    <d v="2033-09-04T00:00:00"/>
    <x v="3"/>
    <n v="18.399999999999999"/>
    <n v="0"/>
    <n v="0"/>
    <n v="90.699999999999989"/>
    <x v="0"/>
    <n v="1"/>
  </r>
  <r>
    <d v="2033-09-05T00:00:00"/>
    <x v="3"/>
    <n v="10.3"/>
    <n v="16"/>
    <n v="1.6480000000000001"/>
    <n v="100.99999999999999"/>
    <x v="0"/>
    <n v="1"/>
  </r>
  <r>
    <d v="2033-09-06T00:00:00"/>
    <x v="6"/>
    <n v="27.5"/>
    <n v="0"/>
    <n v="0"/>
    <n v="128.5"/>
    <x v="0"/>
    <n v="1"/>
  </r>
  <r>
    <d v="2033-09-07T00:00:00"/>
    <x v="3"/>
    <n v="20.6"/>
    <n v="15.7"/>
    <n v="3.2342"/>
    <n v="149.1"/>
    <x v="0"/>
    <n v="1"/>
  </r>
  <r>
    <d v="2033-09-08T00:00:00"/>
    <x v="7"/>
    <n v="21.3"/>
    <n v="0"/>
    <n v="0"/>
    <n v="21.3"/>
    <x v="0"/>
    <n v="1"/>
  </r>
  <r>
    <d v="2033-09-09T00:00:00"/>
    <x v="15"/>
    <n v="26.2"/>
    <n v="0"/>
    <n v="0"/>
    <n v="47.5"/>
    <x v="0"/>
    <n v="1"/>
  </r>
  <r>
    <d v="2033-09-10T00:00:00"/>
    <x v="6"/>
    <n v="23.9"/>
    <n v="0"/>
    <n v="0"/>
    <n v="71.400000000000006"/>
    <x v="0"/>
    <n v="1"/>
  </r>
  <r>
    <d v="2033-09-11T00:00:00"/>
    <x v="23"/>
    <n v="26.6"/>
    <n v="1.6"/>
    <n v="0.42560000000000003"/>
    <n v="98"/>
    <x v="0"/>
    <n v="1"/>
  </r>
  <r>
    <d v="2033-09-12T00:00:00"/>
    <x v="6"/>
    <n v="18.600000000000001"/>
    <n v="20.399999999999999"/>
    <n v="3.7944"/>
    <n v="116.6"/>
    <x v="0"/>
    <n v="1"/>
  </r>
  <r>
    <d v="2033-09-13T00:00:00"/>
    <x v="14"/>
    <n v="22.3"/>
    <n v="1.7"/>
    <n v="0.37910000000000005"/>
    <n v="138.9"/>
    <x v="0"/>
    <n v="1"/>
  </r>
  <r>
    <d v="2033-09-14T00:00:00"/>
    <x v="13"/>
    <n v="18.399999999999999"/>
    <n v="3.9"/>
    <n v="0.7175999999999999"/>
    <n v="157.30000000000001"/>
    <x v="0"/>
    <n v="1"/>
  </r>
  <r>
    <d v="2033-09-15T00:00:00"/>
    <x v="23"/>
    <n v="28"/>
    <n v="4.4000000000000004"/>
    <n v="1.2320000000000002"/>
    <n v="28"/>
    <x v="0"/>
    <n v="1"/>
  </r>
  <r>
    <d v="2033-09-16T00:00:00"/>
    <x v="6"/>
    <n v="10.9"/>
    <n v="32.9"/>
    <n v="3.5861000000000001"/>
    <n v="38.9"/>
    <x v="0"/>
    <n v="1"/>
  </r>
  <r>
    <d v="2033-09-17T00:00:00"/>
    <x v="15"/>
    <n v="25.1"/>
    <n v="33.299999999999997"/>
    <n v="8.3582999999999998"/>
    <n v="64"/>
    <x v="0"/>
    <n v="1"/>
  </r>
  <r>
    <d v="2033-09-18T00:00:00"/>
    <x v="24"/>
    <n v="10.7"/>
    <n v="0.3"/>
    <n v="0"/>
    <n v="74.7"/>
    <x v="0"/>
    <n v="1"/>
  </r>
  <r>
    <d v="2033-09-19T00:00:00"/>
    <x v="6"/>
    <n v="26.1"/>
    <n v="31"/>
    <n v="8.0910000000000011"/>
    <n v="100.80000000000001"/>
    <x v="0"/>
    <n v="1"/>
  </r>
  <r>
    <d v="2033-09-20T00:00:00"/>
    <x v="7"/>
    <n v="15.2"/>
    <n v="12.7"/>
    <n v="1.9303999999999999"/>
    <n v="116.00000000000001"/>
    <x v="0"/>
    <n v="1"/>
  </r>
  <r>
    <d v="2033-09-21T00:00:00"/>
    <x v="10"/>
    <n v="28.8"/>
    <n v="4.3"/>
    <n v="1.2383999999999999"/>
    <n v="144.80000000000001"/>
    <x v="0"/>
    <n v="1"/>
  </r>
  <r>
    <d v="2033-09-22T00:00:00"/>
    <x v="22"/>
    <n v="10.3"/>
    <n v="0"/>
    <n v="0"/>
    <n v="10.3"/>
    <x v="0"/>
    <n v="1"/>
  </r>
  <r>
    <d v="2033-09-23T00:00:00"/>
    <x v="2"/>
    <n v="14.9"/>
    <n v="0.1"/>
    <n v="0"/>
    <n v="25.200000000000003"/>
    <x v="0"/>
    <n v="1"/>
  </r>
  <r>
    <d v="2033-09-24T00:00:00"/>
    <x v="6"/>
    <n v="11.3"/>
    <n v="0"/>
    <n v="0"/>
    <n v="36.5"/>
    <x v="0"/>
    <n v="1"/>
  </r>
  <r>
    <d v="2033-09-25T00:00:00"/>
    <x v="6"/>
    <n v="20.8"/>
    <n v="34.9"/>
    <n v="7.2591999999999999"/>
    <n v="57.3"/>
    <x v="0"/>
    <n v="1"/>
  </r>
  <r>
    <d v="2033-09-26T00:00:00"/>
    <x v="15"/>
    <n v="18.2"/>
    <n v="0"/>
    <n v="0"/>
    <n v="75.5"/>
    <x v="0"/>
    <n v="1"/>
  </r>
  <r>
    <d v="2033-09-27T00:00:00"/>
    <x v="13"/>
    <n v="12.7"/>
    <n v="5.3"/>
    <n v="0.67309999999999992"/>
    <n v="88.2"/>
    <x v="0"/>
    <n v="1"/>
  </r>
  <r>
    <d v="2033-09-28T00:00:00"/>
    <x v="10"/>
    <n v="21.4"/>
    <n v="8.3000000000000007"/>
    <n v="1.7762"/>
    <n v="109.6"/>
    <x v="0"/>
    <n v="1"/>
  </r>
  <r>
    <d v="2033-09-29T00:00:00"/>
    <x v="2"/>
    <n v="21.3"/>
    <n v="11.8"/>
    <n v="2.5134000000000003"/>
    <n v="21.3"/>
    <x v="0"/>
    <n v="1"/>
  </r>
  <r>
    <d v="2033-09-30T00:00:00"/>
    <x v="13"/>
    <n v="20.7"/>
    <n v="3.9"/>
    <n v="0.80729999999999991"/>
    <n v="42"/>
    <x v="0"/>
    <n v="1"/>
  </r>
  <r>
    <d v="2033-10-01T00:00:00"/>
    <x v="16"/>
    <n v="19.7"/>
    <n v="0"/>
    <n v="0"/>
    <n v="61.7"/>
    <x v="0"/>
    <n v="1"/>
  </r>
  <r>
    <d v="2033-10-02T00:00:00"/>
    <x v="7"/>
    <n v="27.2"/>
    <n v="17.600000000000001"/>
    <n v="4.7872000000000003"/>
    <n v="88.9"/>
    <x v="0"/>
    <n v="1"/>
  </r>
  <r>
    <d v="2033-10-03T00:00:00"/>
    <x v="21"/>
    <n v="16.600000000000001"/>
    <n v="1.7"/>
    <n v="0.28220000000000001"/>
    <n v="105.5"/>
    <x v="0"/>
    <n v="1"/>
  </r>
  <r>
    <d v="2033-10-04T00:00:00"/>
    <x v="7"/>
    <n v="22.3"/>
    <n v="0"/>
    <n v="0"/>
    <n v="127.8"/>
    <x v="0"/>
    <n v="1"/>
  </r>
  <r>
    <d v="2033-10-05T00:00:00"/>
    <x v="6"/>
    <n v="18"/>
    <n v="40.799999999999997"/>
    <n v="7.3439999999999994"/>
    <n v="145.80000000000001"/>
    <x v="0"/>
    <n v="1"/>
  </r>
  <r>
    <d v="2033-10-06T00:00:00"/>
    <x v="20"/>
    <n v="21.8"/>
    <n v="0"/>
    <n v="0"/>
    <n v="21.8"/>
    <x v="0"/>
    <n v="1"/>
  </r>
  <r>
    <d v="2033-10-07T00:00:00"/>
    <x v="2"/>
    <n v="22.2"/>
    <n v="11.2"/>
    <n v="2.4863999999999997"/>
    <n v="44"/>
    <x v="0"/>
    <n v="1"/>
  </r>
  <r>
    <d v="2033-10-08T00:00:00"/>
    <x v="2"/>
    <n v="20"/>
    <n v="0"/>
    <n v="0"/>
    <n v="64"/>
    <x v="0"/>
    <n v="1"/>
  </r>
  <r>
    <d v="2033-10-09T00:00:00"/>
    <x v="28"/>
    <n v="29.4"/>
    <n v="0.7"/>
    <n v="0"/>
    <n v="93.4"/>
    <x v="0"/>
    <n v="1"/>
  </r>
  <r>
    <d v="2033-10-10T00:00:00"/>
    <x v="6"/>
    <n v="23.6"/>
    <n v="0"/>
    <n v="0"/>
    <n v="117"/>
    <x v="0"/>
    <n v="1"/>
  </r>
  <r>
    <d v="2033-10-11T00:00:00"/>
    <x v="3"/>
    <n v="16.3"/>
    <n v="22"/>
    <n v="3.5860000000000003"/>
    <n v="133.30000000000001"/>
    <x v="0"/>
    <n v="1"/>
  </r>
  <r>
    <d v="2033-10-12T00:00:00"/>
    <x v="11"/>
    <n v="15"/>
    <n v="0"/>
    <n v="0"/>
    <n v="148.30000000000001"/>
    <x v="0"/>
    <n v="1"/>
  </r>
  <r>
    <d v="2033-10-13T00:00:00"/>
    <x v="10"/>
    <n v="10.8"/>
    <n v="0"/>
    <n v="0"/>
    <n v="10.8"/>
    <x v="0"/>
    <n v="1"/>
  </r>
  <r>
    <d v="2033-10-14T00:00:00"/>
    <x v="15"/>
    <n v="10.5"/>
    <n v="0"/>
    <n v="0"/>
    <n v="21.3"/>
    <x v="0"/>
    <n v="1"/>
  </r>
  <r>
    <d v="2033-10-15T00:00:00"/>
    <x v="1"/>
    <n v="20.3"/>
    <n v="0"/>
    <n v="0"/>
    <n v="41.6"/>
    <x v="0"/>
    <n v="1"/>
  </r>
  <r>
    <d v="2033-10-16T00:00:00"/>
    <x v="6"/>
    <n v="13.1"/>
    <n v="50.4"/>
    <n v="6.6024000000000003"/>
    <n v="54.7"/>
    <x v="0"/>
    <n v="1"/>
  </r>
  <r>
    <d v="2033-10-17T00:00:00"/>
    <x v="8"/>
    <n v="24.8"/>
    <n v="7.9"/>
    <n v="1.9592000000000001"/>
    <n v="79.5"/>
    <x v="0"/>
    <n v="1"/>
  </r>
  <r>
    <d v="2033-10-18T00:00:00"/>
    <x v="7"/>
    <n v="23.6"/>
    <n v="0.8"/>
    <n v="0"/>
    <n v="103.1"/>
    <x v="0"/>
    <n v="1"/>
  </r>
  <r>
    <d v="2033-10-19T00:00:00"/>
    <x v="13"/>
    <n v="17.899999999999999"/>
    <n v="0"/>
    <n v="0"/>
    <n v="121"/>
    <x v="0"/>
    <n v="1"/>
  </r>
  <r>
    <d v="2033-10-20T00:00:00"/>
    <x v="8"/>
    <n v="23.2"/>
    <n v="3"/>
    <n v="0.69599999999999995"/>
    <n v="23.2"/>
    <x v="0"/>
    <n v="1"/>
  </r>
  <r>
    <d v="2033-10-21T00:00:00"/>
    <x v="4"/>
    <n v="21.8"/>
    <n v="2"/>
    <n v="0.436"/>
    <n v="45"/>
    <x v="0"/>
    <n v="1"/>
  </r>
  <r>
    <d v="2033-10-22T00:00:00"/>
    <x v="22"/>
    <n v="22.2"/>
    <n v="3.1"/>
    <n v="0.68819999999999992"/>
    <n v="67.2"/>
    <x v="0"/>
    <n v="1"/>
  </r>
  <r>
    <d v="2033-10-23T00:00:00"/>
    <x v="11"/>
    <n v="29"/>
    <n v="16.399999999999999"/>
    <n v="4.7559999999999993"/>
    <n v="96.2"/>
    <x v="0"/>
    <n v="1"/>
  </r>
  <r>
    <d v="2033-10-24T00:00:00"/>
    <x v="20"/>
    <n v="24.6"/>
    <n v="1.7"/>
    <n v="0.41820000000000002"/>
    <n v="120.80000000000001"/>
    <x v="0"/>
    <n v="1"/>
  </r>
  <r>
    <d v="2033-10-25T00:00:00"/>
    <x v="8"/>
    <n v="23.4"/>
    <n v="0.6"/>
    <n v="0"/>
    <n v="144.20000000000002"/>
    <x v="0"/>
    <n v="1"/>
  </r>
  <r>
    <d v="2033-10-26T00:00:00"/>
    <x v="11"/>
    <n v="21"/>
    <n v="0"/>
    <n v="0"/>
    <n v="165.20000000000002"/>
    <x v="0"/>
    <n v="1"/>
  </r>
  <r>
    <d v="2033-10-27T00:00:00"/>
    <x v="1"/>
    <n v="22"/>
    <n v="0"/>
    <n v="0"/>
    <n v="22"/>
    <x v="0"/>
    <n v="1"/>
  </r>
  <r>
    <d v="2033-10-28T00:00:00"/>
    <x v="5"/>
    <n v="29.9"/>
    <n v="8"/>
    <n v="2.3919999999999999"/>
    <n v="51.9"/>
    <x v="0"/>
    <n v="1"/>
  </r>
  <r>
    <d v="2033-10-29T00:00:00"/>
    <x v="3"/>
    <n v="27.2"/>
    <n v="19.2"/>
    <n v="5.2224000000000004"/>
    <n v="79.099999999999994"/>
    <x v="0"/>
    <n v="1"/>
  </r>
  <r>
    <d v="2033-10-30T00:00:00"/>
    <x v="15"/>
    <n v="10.9"/>
    <n v="9"/>
    <n v="0.98100000000000009"/>
    <n v="90"/>
    <x v="0"/>
    <n v="1"/>
  </r>
  <r>
    <d v="2033-10-31T00:00:00"/>
    <x v="5"/>
    <n v="22.6"/>
    <n v="5.9"/>
    <n v="1.3334000000000001"/>
    <n v="112.6"/>
    <x v="0"/>
    <n v="1"/>
  </r>
  <r>
    <d v="2033-11-01T00:00:00"/>
    <x v="19"/>
    <n v="12"/>
    <n v="3.9"/>
    <n v="0.46799999999999997"/>
    <n v="124.6"/>
    <x v="0"/>
    <n v="1"/>
  </r>
  <r>
    <d v="2033-11-02T00:00:00"/>
    <x v="11"/>
    <n v="19.5"/>
    <n v="14.2"/>
    <n v="2.7689999999999997"/>
    <n v="144.1"/>
    <x v="0"/>
    <n v="1"/>
  </r>
  <r>
    <d v="2033-11-03T00:00:00"/>
    <x v="6"/>
    <n v="27"/>
    <n v="10.9"/>
    <n v="2.9430000000000001"/>
    <n v="27"/>
    <x v="0"/>
    <n v="1"/>
  </r>
  <r>
    <d v="2033-11-04T00:00:00"/>
    <x v="18"/>
    <n v="10.7"/>
    <n v="5.6"/>
    <n v="0.59919999999999995"/>
    <n v="37.700000000000003"/>
    <x v="0"/>
    <n v="1"/>
  </r>
  <r>
    <d v="2033-11-05T00:00:00"/>
    <x v="15"/>
    <n v="29.1"/>
    <n v="0"/>
    <n v="0"/>
    <n v="66.800000000000011"/>
    <x v="0"/>
    <n v="1"/>
  </r>
  <r>
    <d v="2033-11-06T00:00:00"/>
    <x v="23"/>
    <n v="25.3"/>
    <n v="0"/>
    <n v="0"/>
    <n v="92.100000000000009"/>
    <x v="0"/>
    <n v="1"/>
  </r>
  <r>
    <d v="2033-11-07T00:00:00"/>
    <x v="2"/>
    <n v="13.3"/>
    <n v="4.4000000000000004"/>
    <n v="0.58520000000000005"/>
    <n v="105.4"/>
    <x v="0"/>
    <n v="1"/>
  </r>
  <r>
    <d v="2033-11-08T00:00:00"/>
    <x v="3"/>
    <n v="16.899999999999999"/>
    <n v="0"/>
    <n v="0"/>
    <n v="122.30000000000001"/>
    <x v="0"/>
    <n v="1"/>
  </r>
  <r>
    <d v="2033-11-09T00:00:00"/>
    <x v="11"/>
    <n v="26.4"/>
    <n v="6.8"/>
    <n v="1.7951999999999999"/>
    <n v="148.70000000000002"/>
    <x v="0"/>
    <n v="1"/>
  </r>
  <r>
    <d v="2033-11-10T00:00:00"/>
    <x v="10"/>
    <n v="29.7"/>
    <n v="0"/>
    <n v="0"/>
    <n v="29.7"/>
    <x v="0"/>
    <n v="1"/>
  </r>
  <r>
    <d v="2033-11-11T00:00:00"/>
    <x v="3"/>
    <n v="17.600000000000001"/>
    <n v="8.6999999999999993"/>
    <n v="1.5312000000000001"/>
    <n v="47.3"/>
    <x v="0"/>
    <n v="1"/>
  </r>
  <r>
    <d v="2033-11-12T00:00:00"/>
    <x v="13"/>
    <n v="13.2"/>
    <n v="3.3"/>
    <n v="0.43559999999999993"/>
    <n v="60.5"/>
    <x v="0"/>
    <n v="1"/>
  </r>
  <r>
    <d v="2033-11-13T00:00:00"/>
    <x v="11"/>
    <n v="21.2"/>
    <n v="0"/>
    <n v="0"/>
    <n v="81.7"/>
    <x v="0"/>
    <n v="1"/>
  </r>
  <r>
    <d v="2033-11-14T00:00:00"/>
    <x v="11"/>
    <n v="23"/>
    <n v="7.7"/>
    <n v="1.7709999999999999"/>
    <n v="104.7"/>
    <x v="0"/>
    <n v="1"/>
  </r>
  <r>
    <d v="2033-11-15T00:00:00"/>
    <x v="7"/>
    <n v="23"/>
    <n v="0"/>
    <n v="0"/>
    <n v="127.7"/>
    <x v="0"/>
    <n v="1"/>
  </r>
  <r>
    <d v="2033-11-16T00:00:00"/>
    <x v="7"/>
    <n v="23.4"/>
    <n v="0"/>
    <n v="0"/>
    <n v="151.1"/>
    <x v="0"/>
    <n v="1"/>
  </r>
  <r>
    <d v="2033-11-17T00:00:00"/>
    <x v="3"/>
    <n v="28.7"/>
    <n v="3.3"/>
    <n v="0.94709999999999994"/>
    <n v="28.7"/>
    <x v="0"/>
    <n v="1"/>
  </r>
  <r>
    <d v="2033-11-18T00:00:00"/>
    <x v="22"/>
    <n v="23.6"/>
    <n v="4.3"/>
    <n v="1.0148000000000001"/>
    <n v="52.3"/>
    <x v="0"/>
    <n v="1"/>
  </r>
  <r>
    <d v="2033-11-19T00:00:00"/>
    <x v="2"/>
    <n v="10.199999999999999"/>
    <n v="8.6999999999999993"/>
    <n v="0.88739999999999986"/>
    <n v="62.5"/>
    <x v="0"/>
    <n v="1"/>
  </r>
  <r>
    <d v="2033-11-20T00:00:00"/>
    <x v="5"/>
    <n v="13.8"/>
    <n v="0"/>
    <n v="0"/>
    <n v="76.3"/>
    <x v="0"/>
    <n v="1"/>
  </r>
  <r>
    <d v="2033-11-21T00:00:00"/>
    <x v="4"/>
    <n v="27.7"/>
    <n v="0"/>
    <n v="0"/>
    <n v="104"/>
    <x v="0"/>
    <n v="1"/>
  </r>
  <r>
    <d v="2033-11-22T00:00:00"/>
    <x v="3"/>
    <n v="13.3"/>
    <n v="7.2"/>
    <n v="0.95760000000000001"/>
    <n v="117.3"/>
    <x v="0"/>
    <n v="1"/>
  </r>
  <r>
    <d v="2033-11-23T00:00:00"/>
    <x v="7"/>
    <n v="26"/>
    <n v="0.7"/>
    <n v="0"/>
    <n v="143.30000000000001"/>
    <x v="0"/>
    <n v="1"/>
  </r>
  <r>
    <d v="2033-11-24T00:00:00"/>
    <x v="2"/>
    <n v="16.3"/>
    <n v="11"/>
    <n v="1.7930000000000001"/>
    <n v="16.3"/>
    <x v="0"/>
    <n v="1"/>
  </r>
  <r>
    <d v="2033-11-25T00:00:00"/>
    <x v="11"/>
    <n v="23.5"/>
    <n v="15.5"/>
    <n v="3.6425000000000001"/>
    <n v="39.799999999999997"/>
    <x v="0"/>
    <n v="1"/>
  </r>
  <r>
    <d v="2033-11-26T00:00:00"/>
    <x v="23"/>
    <n v="15.7"/>
    <n v="0"/>
    <n v="0"/>
    <n v="55.5"/>
    <x v="0"/>
    <n v="1"/>
  </r>
  <r>
    <d v="2033-11-27T00:00:00"/>
    <x v="22"/>
    <n v="26"/>
    <n v="6.4"/>
    <n v="1.6640000000000001"/>
    <n v="81.5"/>
    <x v="0"/>
    <n v="1"/>
  </r>
  <r>
    <d v="2033-11-28T00:00:00"/>
    <x v="15"/>
    <n v="22.7"/>
    <n v="0"/>
    <n v="0"/>
    <n v="104.2"/>
    <x v="0"/>
    <n v="1"/>
  </r>
  <r>
    <d v="2033-11-29T00:00:00"/>
    <x v="5"/>
    <n v="26.2"/>
    <n v="5.7"/>
    <n v="1.4934000000000001"/>
    <n v="130.4"/>
    <x v="0"/>
    <n v="1"/>
  </r>
  <r>
    <d v="2033-11-30T00:00:00"/>
    <x v="18"/>
    <n v="14.1"/>
    <n v="0"/>
    <n v="0"/>
    <n v="144.5"/>
    <x v="0"/>
    <n v="1"/>
  </r>
  <r>
    <d v="2033-12-01T00:00:00"/>
    <x v="7"/>
    <n v="23.6"/>
    <n v="19.7"/>
    <n v="4.6492000000000004"/>
    <n v="23.6"/>
    <x v="0"/>
    <n v="1"/>
  </r>
  <r>
    <d v="2033-12-02T00:00:00"/>
    <x v="15"/>
    <n v="25.2"/>
    <n v="37.200000000000003"/>
    <n v="9.3744000000000014"/>
    <n v="48.8"/>
    <x v="0"/>
    <n v="1"/>
  </r>
  <r>
    <d v="2033-12-03T00:00:00"/>
    <x v="9"/>
    <n v="23"/>
    <n v="0"/>
    <n v="0"/>
    <n v="71.8"/>
    <x v="0"/>
    <n v="1"/>
  </r>
  <r>
    <d v="2033-12-04T00:00:00"/>
    <x v="2"/>
    <n v="29.7"/>
    <n v="6.8"/>
    <n v="2.0195999999999996"/>
    <n v="101.5"/>
    <x v="0"/>
    <n v="1"/>
  </r>
  <r>
    <d v="2033-12-05T00:00:00"/>
    <x v="5"/>
    <n v="17.2"/>
    <n v="3.5"/>
    <n v="0.60199999999999998"/>
    <n v="118.7"/>
    <x v="0"/>
    <n v="1"/>
  </r>
  <r>
    <d v="2033-12-06T00:00:00"/>
    <x v="5"/>
    <n v="21.7"/>
    <n v="2.5"/>
    <n v="0.54249999999999998"/>
    <n v="140.4"/>
    <x v="0"/>
    <n v="1"/>
  </r>
  <r>
    <d v="2033-12-07T00:00:00"/>
    <x v="7"/>
    <n v="25.8"/>
    <n v="3.8"/>
    <n v="0.98039999999999994"/>
    <n v="166.20000000000002"/>
    <x v="0"/>
    <n v="1"/>
  </r>
  <r>
    <d v="2033-12-08T00:00:00"/>
    <x v="22"/>
    <n v="12.9"/>
    <n v="1.6"/>
    <n v="0.2064"/>
    <n v="12.9"/>
    <x v="0"/>
    <n v="1"/>
  </r>
  <r>
    <d v="2033-12-09T00:00:00"/>
    <x v="12"/>
    <n v="18.2"/>
    <n v="0"/>
    <n v="0"/>
    <n v="31.1"/>
    <x v="0"/>
    <n v="1"/>
  </r>
  <r>
    <d v="2033-12-10T00:00:00"/>
    <x v="6"/>
    <n v="20"/>
    <n v="25.7"/>
    <n v="5.14"/>
    <n v="51.1"/>
    <x v="0"/>
    <n v="1"/>
  </r>
  <r>
    <d v="2033-12-11T00:00:00"/>
    <x v="15"/>
    <n v="17.100000000000001"/>
    <n v="33"/>
    <n v="5.6430000000000007"/>
    <n v="68.2"/>
    <x v="0"/>
    <n v="1"/>
  </r>
  <r>
    <d v="2033-12-12T00:00:00"/>
    <x v="1"/>
    <n v="23.2"/>
    <n v="2.2999999999999998"/>
    <n v="0.53359999999999996"/>
    <n v="91.4"/>
    <x v="0"/>
    <n v="1"/>
  </r>
  <r>
    <d v="2033-12-13T00:00:00"/>
    <x v="11"/>
    <n v="23.1"/>
    <n v="2.2000000000000002"/>
    <n v="0.5082000000000001"/>
    <n v="114.5"/>
    <x v="0"/>
    <n v="1"/>
  </r>
  <r>
    <d v="2033-12-14T00:00:00"/>
    <x v="6"/>
    <n v="22.4"/>
    <n v="33.5"/>
    <n v="7.5039999999999996"/>
    <n v="136.9"/>
    <x v="0"/>
    <n v="1"/>
  </r>
  <r>
    <d v="2033-12-15T00:00:00"/>
    <x v="29"/>
    <n v="25.4"/>
    <n v="0.9"/>
    <n v="0"/>
    <n v="25.4"/>
    <x v="0"/>
    <n v="1"/>
  </r>
  <r>
    <d v="2033-12-16T00:00:00"/>
    <x v="6"/>
    <n v="15.4"/>
    <n v="1.6"/>
    <n v="0.24640000000000001"/>
    <n v="40.799999999999997"/>
    <x v="0"/>
    <n v="1"/>
  </r>
  <r>
    <d v="2033-12-17T00:00:00"/>
    <x v="21"/>
    <n v="23.5"/>
    <n v="0.6"/>
    <n v="0"/>
    <n v="64.3"/>
    <x v="0"/>
    <n v="1"/>
  </r>
  <r>
    <d v="2033-12-18T00:00:00"/>
    <x v="11"/>
    <n v="10.3"/>
    <n v="15.4"/>
    <n v="1.5862000000000001"/>
    <n v="74.599999999999994"/>
    <x v="0"/>
    <n v="1"/>
  </r>
  <r>
    <d v="2033-12-19T00:00:00"/>
    <x v="6"/>
    <n v="15.5"/>
    <n v="20.2"/>
    <n v="3.1309999999999998"/>
    <n v="90.1"/>
    <x v="0"/>
    <n v="1"/>
  </r>
  <r>
    <d v="2033-12-20T00:00:00"/>
    <x v="20"/>
    <n v="20.7"/>
    <n v="3"/>
    <n v="0.621"/>
    <n v="110.8"/>
    <x v="0"/>
    <n v="1"/>
  </r>
  <r>
    <d v="2033-12-21T00:00:00"/>
    <x v="9"/>
    <n v="12.7"/>
    <n v="14.4"/>
    <n v="1.8288"/>
    <n v="123.5"/>
    <x v="0"/>
    <n v="1"/>
  </r>
  <r>
    <d v="2033-12-22T00:00:00"/>
    <x v="19"/>
    <n v="22.8"/>
    <n v="3.3"/>
    <n v="0.75239999999999996"/>
    <n v="22.8"/>
    <x v="0"/>
    <n v="1"/>
  </r>
  <r>
    <d v="2033-12-23T00:00:00"/>
    <x v="26"/>
    <n v="20.5"/>
    <n v="0"/>
    <n v="0"/>
    <n v="43.3"/>
    <x v="0"/>
    <n v="1"/>
  </r>
  <r>
    <d v="2033-12-24T00:00:00"/>
    <x v="18"/>
    <n v="13.1"/>
    <n v="5.9"/>
    <n v="0.77290000000000003"/>
    <n v="56.4"/>
    <x v="0"/>
    <n v="1"/>
  </r>
  <r>
    <d v="2033-12-25T00:00:00"/>
    <x v="17"/>
    <n v="29"/>
    <n v="1"/>
    <n v="0.28999999999999998"/>
    <n v="85.4"/>
    <x v="0"/>
    <n v="1"/>
  </r>
  <r>
    <d v="2033-12-26T00:00:00"/>
    <x v="15"/>
    <n v="15.4"/>
    <n v="0"/>
    <n v="0"/>
    <n v="100.80000000000001"/>
    <x v="0"/>
    <n v="1"/>
  </r>
  <r>
    <d v="2033-12-27T00:00:00"/>
    <x v="6"/>
    <n v="20.3"/>
    <n v="10.7"/>
    <n v="2.1720999999999999"/>
    <n v="121.10000000000001"/>
    <x v="0"/>
    <n v="1"/>
  </r>
  <r>
    <d v="2033-12-28T00:00:00"/>
    <x v="6"/>
    <n v="15"/>
    <n v="0"/>
    <n v="0"/>
    <n v="136.10000000000002"/>
    <x v="0"/>
    <n v="1"/>
  </r>
  <r>
    <d v="2033-12-29T00:00:00"/>
    <x v="14"/>
    <n v="16.600000000000001"/>
    <n v="0"/>
    <n v="0"/>
    <n v="16.600000000000001"/>
    <x v="0"/>
    <n v="1"/>
  </r>
  <r>
    <d v="2033-12-30T00:00:00"/>
    <x v="7"/>
    <n v="28.6"/>
    <n v="0"/>
    <n v="0"/>
    <n v="45.2"/>
    <x v="0"/>
    <n v="1"/>
  </r>
  <r>
    <d v="2033-12-31T00:00:00"/>
    <x v="13"/>
    <n v="11.4"/>
    <n v="3.6"/>
    <n v="0.41039999999999999"/>
    <n v="56.6"/>
    <x v="0"/>
    <n v="1"/>
  </r>
  <r>
    <d v="2034-01-01T00:00:00"/>
    <x v="5"/>
    <n v="15.5"/>
    <n v="1"/>
    <n v="0.155"/>
    <n v="72.099999999999994"/>
    <x v="1"/>
    <n v="1"/>
  </r>
  <r>
    <d v="2034-01-02T00:00:00"/>
    <x v="2"/>
    <n v="18.3"/>
    <n v="0.7"/>
    <n v="0"/>
    <n v="90.399999999999991"/>
    <x v="1"/>
    <n v="1"/>
  </r>
  <r>
    <d v="2034-01-03T00:00:00"/>
    <x v="15"/>
    <n v="14.9"/>
    <n v="6.1"/>
    <n v="0.90890000000000004"/>
    <n v="105.3"/>
    <x v="1"/>
    <n v="1"/>
  </r>
  <r>
    <d v="2034-01-04T00:00:00"/>
    <x v="7"/>
    <n v="29.7"/>
    <n v="13.3"/>
    <n v="3.9500999999999999"/>
    <n v="135"/>
    <x v="1"/>
    <n v="1"/>
  </r>
  <r>
    <d v="2034-01-05T00:00:00"/>
    <x v="3"/>
    <n v="28.9"/>
    <n v="13.8"/>
    <n v="3.9882"/>
    <n v="28.9"/>
    <x v="1"/>
    <n v="1"/>
  </r>
  <r>
    <d v="2034-01-06T00:00:00"/>
    <x v="13"/>
    <n v="24.3"/>
    <n v="0"/>
    <n v="0"/>
    <n v="53.2"/>
    <x v="1"/>
    <n v="1"/>
  </r>
  <r>
    <d v="2034-01-07T00:00:00"/>
    <x v="6"/>
    <n v="24"/>
    <n v="19.7"/>
    <n v="4.7279999999999998"/>
    <n v="77.2"/>
    <x v="1"/>
    <n v="1"/>
  </r>
  <r>
    <d v="2034-01-08T00:00:00"/>
    <x v="11"/>
    <n v="11.8"/>
    <n v="13.3"/>
    <n v="1.5694000000000004"/>
    <n v="89"/>
    <x v="1"/>
    <n v="1"/>
  </r>
  <r>
    <d v="2034-01-09T00:00:00"/>
    <x v="6"/>
    <n v="26.5"/>
    <n v="19.7"/>
    <n v="5.2204999999999995"/>
    <n v="115.5"/>
    <x v="1"/>
    <n v="1"/>
  </r>
  <r>
    <d v="2034-01-10T00:00:00"/>
    <x v="22"/>
    <n v="12.4"/>
    <n v="5.0999999999999996"/>
    <n v="0.63239999999999996"/>
    <n v="127.9"/>
    <x v="1"/>
    <n v="1"/>
  </r>
  <r>
    <d v="2034-01-11T00:00:00"/>
    <x v="6"/>
    <n v="21.9"/>
    <n v="6.6"/>
    <n v="1.4454"/>
    <n v="149.80000000000001"/>
    <x v="1"/>
    <n v="1"/>
  </r>
  <r>
    <d v="2034-01-12T00:00:00"/>
    <x v="6"/>
    <n v="20.3"/>
    <n v="0"/>
    <n v="0"/>
    <n v="20.3"/>
    <x v="1"/>
    <n v="1"/>
  </r>
  <r>
    <d v="2034-01-13T00:00:00"/>
    <x v="28"/>
    <n v="27.7"/>
    <n v="0.3"/>
    <n v="0"/>
    <n v="48"/>
    <x v="1"/>
    <n v="1"/>
  </r>
  <r>
    <d v="2034-01-14T00:00:00"/>
    <x v="15"/>
    <n v="28.5"/>
    <n v="30"/>
    <n v="8.5500000000000007"/>
    <n v="76.5"/>
    <x v="1"/>
    <n v="1"/>
  </r>
  <r>
    <d v="2034-01-15T00:00:00"/>
    <x v="17"/>
    <n v="28.7"/>
    <n v="1.9"/>
    <n v="0.5452999999999999"/>
    <n v="105.2"/>
    <x v="1"/>
    <n v="1"/>
  </r>
  <r>
    <d v="2034-01-16T00:00:00"/>
    <x v="0"/>
    <n v="10.9"/>
    <n v="0"/>
    <n v="0"/>
    <n v="116.10000000000001"/>
    <x v="1"/>
    <n v="1"/>
  </r>
  <r>
    <d v="2034-01-17T00:00:00"/>
    <x v="5"/>
    <n v="13.7"/>
    <n v="0"/>
    <n v="0"/>
    <n v="129.80000000000001"/>
    <x v="1"/>
    <n v="1"/>
  </r>
  <r>
    <d v="2034-01-18T00:00:00"/>
    <x v="7"/>
    <n v="28.2"/>
    <n v="0"/>
    <n v="0"/>
    <n v="158"/>
    <x v="1"/>
    <n v="1"/>
  </r>
  <r>
    <d v="2034-01-19T00:00:00"/>
    <x v="15"/>
    <n v="20.100000000000001"/>
    <n v="0"/>
    <n v="0"/>
    <n v="20.100000000000001"/>
    <x v="1"/>
    <n v="1"/>
  </r>
  <r>
    <d v="2034-01-20T00:00:00"/>
    <x v="7"/>
    <n v="20.6"/>
    <n v="0"/>
    <n v="0"/>
    <n v="40.700000000000003"/>
    <x v="1"/>
    <n v="1"/>
  </r>
  <r>
    <d v="2034-01-21T00:00:00"/>
    <x v="9"/>
    <n v="15.5"/>
    <n v="16.8"/>
    <n v="2.6040000000000005"/>
    <n v="56.2"/>
    <x v="1"/>
    <n v="1"/>
  </r>
  <r>
    <d v="2034-01-22T00:00:00"/>
    <x v="8"/>
    <n v="22.2"/>
    <n v="2.4"/>
    <n v="0.53279999999999994"/>
    <n v="78.400000000000006"/>
    <x v="1"/>
    <n v="1"/>
  </r>
  <r>
    <d v="2034-01-23T00:00:00"/>
    <x v="9"/>
    <n v="15"/>
    <n v="4.0999999999999996"/>
    <n v="0.61499999999999988"/>
    <n v="93.4"/>
    <x v="1"/>
    <n v="1"/>
  </r>
  <r>
    <d v="2034-01-24T00:00:00"/>
    <x v="15"/>
    <n v="18.399999999999999"/>
    <n v="30.4"/>
    <n v="5.5935999999999986"/>
    <n v="111.80000000000001"/>
    <x v="1"/>
    <n v="1"/>
  </r>
  <r>
    <d v="2034-01-25T00:00:00"/>
    <x v="28"/>
    <n v="29.3"/>
    <n v="0.4"/>
    <n v="0"/>
    <n v="141.10000000000002"/>
    <x v="1"/>
    <n v="1"/>
  </r>
  <r>
    <d v="2034-01-26T00:00:00"/>
    <x v="19"/>
    <n v="23.9"/>
    <n v="3.3"/>
    <n v="0.78869999999999996"/>
    <n v="23.9"/>
    <x v="1"/>
    <n v="1"/>
  </r>
  <r>
    <d v="2034-01-27T00:00:00"/>
    <x v="16"/>
    <n v="29.8"/>
    <n v="3.3"/>
    <n v="0.98340000000000005"/>
    <n v="53.7"/>
    <x v="1"/>
    <n v="1"/>
  </r>
  <r>
    <d v="2034-01-28T00:00:00"/>
    <x v="6"/>
    <n v="29.1"/>
    <n v="23"/>
    <n v="6.6930000000000005"/>
    <n v="82.800000000000011"/>
    <x v="1"/>
    <n v="1"/>
  </r>
  <r>
    <d v="2034-01-29T00:00:00"/>
    <x v="7"/>
    <n v="22.5"/>
    <n v="17.2"/>
    <n v="3.87"/>
    <n v="105.30000000000001"/>
    <x v="1"/>
    <n v="1"/>
  </r>
  <r>
    <d v="2034-01-30T00:00:00"/>
    <x v="15"/>
    <n v="15.3"/>
    <n v="21.5"/>
    <n v="3.2894999999999999"/>
    <n v="120.60000000000001"/>
    <x v="1"/>
    <n v="1"/>
  </r>
  <r>
    <d v="2034-01-31T00:00:00"/>
    <x v="6"/>
    <n v="13.8"/>
    <n v="40.4"/>
    <n v="5.5751999999999997"/>
    <n v="134.4"/>
    <x v="1"/>
    <n v="1"/>
  </r>
  <r>
    <d v="2034-02-01T00:00:00"/>
    <x v="3"/>
    <n v="12.3"/>
    <n v="0"/>
    <n v="0"/>
    <n v="146.70000000000002"/>
    <x v="1"/>
    <n v="1"/>
  </r>
  <r>
    <d v="2034-02-02T00:00:00"/>
    <x v="1"/>
    <n v="18.5"/>
    <n v="4.2"/>
    <n v="0.77700000000000002"/>
    <n v="18.5"/>
    <x v="1"/>
    <n v="1"/>
  </r>
  <r>
    <d v="2034-02-03T00:00:00"/>
    <x v="16"/>
    <n v="10.3"/>
    <n v="3.2"/>
    <n v="0.3296"/>
    <n v="28.8"/>
    <x v="1"/>
    <n v="1"/>
  </r>
  <r>
    <d v="2034-02-04T00:00:00"/>
    <x v="15"/>
    <n v="24.9"/>
    <n v="12.1"/>
    <n v="3.0128999999999997"/>
    <n v="53.7"/>
    <x v="1"/>
    <n v="1"/>
  </r>
  <r>
    <d v="2034-02-05T00:00:00"/>
    <x v="6"/>
    <n v="26.4"/>
    <n v="0"/>
    <n v="0"/>
    <n v="80.099999999999994"/>
    <x v="1"/>
    <n v="1"/>
  </r>
  <r>
    <d v="2034-02-06T00:00:00"/>
    <x v="3"/>
    <n v="11.8"/>
    <n v="0"/>
    <n v="0"/>
    <n v="91.899999999999991"/>
    <x v="1"/>
    <n v="1"/>
  </r>
  <r>
    <d v="2034-02-07T00:00:00"/>
    <x v="2"/>
    <n v="11"/>
    <n v="7.5"/>
    <n v="0.82499999999999996"/>
    <n v="102.89999999999999"/>
    <x v="1"/>
    <n v="1"/>
  </r>
  <r>
    <d v="2034-02-08T00:00:00"/>
    <x v="6"/>
    <n v="15.4"/>
    <n v="5.2"/>
    <n v="0.80079999999999996"/>
    <n v="118.3"/>
    <x v="1"/>
    <n v="1"/>
  </r>
  <r>
    <d v="2034-02-09T00:00:00"/>
    <x v="23"/>
    <n v="25.7"/>
    <n v="5.8"/>
    <n v="1.4905999999999999"/>
    <n v="25.7"/>
    <x v="1"/>
    <n v="1"/>
  </r>
  <r>
    <d v="2034-02-10T00:00:00"/>
    <x v="9"/>
    <n v="14.8"/>
    <n v="0"/>
    <n v="0"/>
    <n v="40.5"/>
    <x v="1"/>
    <n v="1"/>
  </r>
  <r>
    <d v="2034-02-11T00:00:00"/>
    <x v="27"/>
    <n v="21.5"/>
    <n v="0.8"/>
    <n v="0"/>
    <n v="62"/>
    <x v="1"/>
    <n v="1"/>
  </r>
  <r>
    <d v="2034-02-12T00:00:00"/>
    <x v="15"/>
    <n v="26.2"/>
    <n v="8.9"/>
    <n v="2.3317999999999999"/>
    <n v="88.2"/>
    <x v="1"/>
    <n v="1"/>
  </r>
  <r>
    <d v="2034-02-13T00:00:00"/>
    <x v="0"/>
    <n v="20.6"/>
    <n v="0.1"/>
    <n v="0"/>
    <n v="108.80000000000001"/>
    <x v="1"/>
    <n v="1"/>
  </r>
  <r>
    <d v="2034-02-14T00:00:00"/>
    <x v="6"/>
    <n v="14.1"/>
    <n v="20.9"/>
    <n v="2.9468999999999999"/>
    <n v="122.9"/>
    <x v="1"/>
    <n v="1"/>
  </r>
  <r>
    <d v="2034-02-15T00:00:00"/>
    <x v="20"/>
    <n v="20.8"/>
    <n v="0.7"/>
    <n v="0"/>
    <n v="143.70000000000002"/>
    <x v="1"/>
    <n v="1"/>
  </r>
  <r>
    <d v="2034-02-16T00:00:00"/>
    <x v="14"/>
    <n v="17.600000000000001"/>
    <n v="10.5"/>
    <n v="1.8480000000000001"/>
    <n v="17.600000000000001"/>
    <x v="1"/>
    <n v="1"/>
  </r>
  <r>
    <d v="2034-02-17T00:00:00"/>
    <x v="6"/>
    <n v="16.8"/>
    <n v="38.9"/>
    <n v="6.5351999999999997"/>
    <n v="34.400000000000006"/>
    <x v="1"/>
    <n v="1"/>
  </r>
  <r>
    <d v="2034-02-18T00:00:00"/>
    <x v="0"/>
    <n v="23.1"/>
    <n v="0"/>
    <n v="0"/>
    <n v="57.500000000000007"/>
    <x v="1"/>
    <n v="1"/>
  </r>
  <r>
    <d v="2034-02-19T00:00:00"/>
    <x v="23"/>
    <n v="16.3"/>
    <n v="3.4"/>
    <n v="0.55420000000000003"/>
    <n v="73.800000000000011"/>
    <x v="1"/>
    <n v="1"/>
  </r>
  <r>
    <d v="2034-02-20T00:00:00"/>
    <x v="3"/>
    <n v="15.7"/>
    <n v="10.9"/>
    <n v="1.7113"/>
    <n v="89.500000000000014"/>
    <x v="1"/>
    <n v="1"/>
  </r>
  <r>
    <d v="2034-02-21T00:00:00"/>
    <x v="14"/>
    <n v="29.3"/>
    <n v="2.1"/>
    <n v="0.61529999999999996"/>
    <n v="118.80000000000001"/>
    <x v="1"/>
    <n v="1"/>
  </r>
  <r>
    <d v="2034-02-22T00:00:00"/>
    <x v="18"/>
    <n v="24"/>
    <n v="7.3"/>
    <n v="1.7519999999999998"/>
    <n v="142.80000000000001"/>
    <x v="1"/>
    <n v="1"/>
  </r>
  <r>
    <d v="2034-02-23T00:00:00"/>
    <x v="2"/>
    <n v="27"/>
    <n v="0.6"/>
    <n v="0"/>
    <n v="27"/>
    <x v="1"/>
    <n v="1"/>
  </r>
  <r>
    <d v="2034-02-24T00:00:00"/>
    <x v="6"/>
    <n v="26.3"/>
    <n v="1.2"/>
    <n v="0.31559999999999999"/>
    <n v="53.3"/>
    <x v="1"/>
    <n v="1"/>
  </r>
  <r>
    <d v="2034-02-25T00:00:00"/>
    <x v="11"/>
    <n v="26.3"/>
    <n v="8.1999999999999993"/>
    <n v="2.1566000000000001"/>
    <n v="79.599999999999994"/>
    <x v="1"/>
    <n v="1"/>
  </r>
  <r>
    <d v="2034-02-26T00:00:00"/>
    <x v="2"/>
    <n v="25.2"/>
    <n v="4.7"/>
    <n v="1.1843999999999999"/>
    <n v="104.8"/>
    <x v="1"/>
    <n v="1"/>
  </r>
  <r>
    <d v="2034-02-27T00:00:00"/>
    <x v="6"/>
    <n v="22.1"/>
    <n v="0"/>
    <n v="0"/>
    <n v="126.9"/>
    <x v="1"/>
    <n v="1"/>
  </r>
  <r>
    <d v="2034-02-28T00:00:00"/>
    <x v="6"/>
    <n v="11.9"/>
    <n v="41.6"/>
    <n v="4.9504000000000001"/>
    <n v="138.80000000000001"/>
    <x v="1"/>
    <n v="1"/>
  </r>
  <r>
    <d v="2034-03-01T00:00:00"/>
    <x v="9"/>
    <n v="19.600000000000001"/>
    <n v="0"/>
    <n v="0"/>
    <n v="158.4"/>
    <x v="1"/>
    <n v="1"/>
  </r>
  <r>
    <d v="2034-03-02T00:00:00"/>
    <x v="23"/>
    <n v="15.9"/>
    <n v="0"/>
    <n v="0"/>
    <n v="15.9"/>
    <x v="1"/>
    <n v="1"/>
  </r>
  <r>
    <d v="2034-03-03T00:00:00"/>
    <x v="8"/>
    <n v="24.3"/>
    <n v="1.7"/>
    <n v="0.41310000000000002"/>
    <n v="40.200000000000003"/>
    <x v="1"/>
    <n v="1"/>
  </r>
  <r>
    <d v="2034-03-04T00:00:00"/>
    <x v="10"/>
    <n v="20"/>
    <n v="0"/>
    <n v="0"/>
    <n v="60.2"/>
    <x v="1"/>
    <n v="1"/>
  </r>
  <r>
    <d v="2034-03-05T00:00:00"/>
    <x v="6"/>
    <n v="14.2"/>
    <n v="32.200000000000003"/>
    <n v="4.5724"/>
    <n v="74.400000000000006"/>
    <x v="1"/>
    <n v="1"/>
  </r>
  <r>
    <d v="2034-03-06T00:00:00"/>
    <x v="3"/>
    <n v="20.5"/>
    <n v="18.3"/>
    <n v="3.7515000000000005"/>
    <n v="94.9"/>
    <x v="1"/>
    <n v="1"/>
  </r>
  <r>
    <d v="2034-03-07T00:00:00"/>
    <x v="6"/>
    <n v="22.4"/>
    <n v="0"/>
    <n v="0"/>
    <n v="117.30000000000001"/>
    <x v="1"/>
    <n v="1"/>
  </r>
  <r>
    <d v="2034-03-08T00:00:00"/>
    <x v="18"/>
    <n v="19.100000000000001"/>
    <n v="0"/>
    <n v="0"/>
    <n v="136.4"/>
    <x v="1"/>
    <n v="1"/>
  </r>
  <r>
    <d v="2034-03-09T00:00:00"/>
    <x v="11"/>
    <n v="20.399999999999999"/>
    <n v="4.3"/>
    <n v="0.87719999999999987"/>
    <n v="20.399999999999999"/>
    <x v="1"/>
    <n v="1"/>
  </r>
  <r>
    <d v="2034-03-10T00:00:00"/>
    <x v="15"/>
    <n v="29.8"/>
    <n v="0"/>
    <n v="0"/>
    <n v="50.2"/>
    <x v="1"/>
    <n v="1"/>
  </r>
  <r>
    <d v="2034-03-11T00:00:00"/>
    <x v="29"/>
    <n v="13.7"/>
    <n v="0.7"/>
    <n v="0"/>
    <n v="63.900000000000006"/>
    <x v="1"/>
    <n v="1"/>
  </r>
  <r>
    <d v="2034-03-12T00:00:00"/>
    <x v="4"/>
    <n v="20.2"/>
    <n v="3.7"/>
    <n v="0.74739999999999995"/>
    <n v="84.100000000000009"/>
    <x v="1"/>
    <n v="1"/>
  </r>
  <r>
    <d v="2034-03-13T00:00:00"/>
    <x v="7"/>
    <n v="18.2"/>
    <n v="1.6"/>
    <n v="0.29120000000000001"/>
    <n v="102.30000000000001"/>
    <x v="1"/>
    <n v="1"/>
  </r>
  <r>
    <d v="2034-03-14T00:00:00"/>
    <x v="9"/>
    <n v="14.2"/>
    <n v="2"/>
    <n v="0.28399999999999997"/>
    <n v="116.50000000000001"/>
    <x v="1"/>
    <n v="1"/>
  </r>
  <r>
    <d v="2034-03-15T00:00:00"/>
    <x v="11"/>
    <n v="11.2"/>
    <n v="14.3"/>
    <n v="1.6015999999999999"/>
    <n v="127.70000000000002"/>
    <x v="1"/>
    <n v="1"/>
  </r>
  <r>
    <d v="2034-03-16T00:00:00"/>
    <x v="28"/>
    <n v="13.9"/>
    <n v="0.2"/>
    <n v="0"/>
    <n v="13.9"/>
    <x v="1"/>
    <n v="1"/>
  </r>
  <r>
    <d v="2034-03-17T00:00:00"/>
    <x v="7"/>
    <n v="22.6"/>
    <n v="15.1"/>
    <n v="3.4125999999999999"/>
    <n v="36.5"/>
    <x v="1"/>
    <n v="1"/>
  </r>
  <r>
    <d v="2034-03-18T00:00:00"/>
    <x v="11"/>
    <n v="29.8"/>
    <n v="0"/>
    <n v="0"/>
    <n v="66.3"/>
    <x v="1"/>
    <n v="1"/>
  </r>
  <r>
    <d v="2034-03-19T00:00:00"/>
    <x v="16"/>
    <n v="12.7"/>
    <n v="2.6"/>
    <n v="0.33019999999999994"/>
    <n v="79"/>
    <x v="1"/>
    <n v="1"/>
  </r>
  <r>
    <d v="2034-03-20T00:00:00"/>
    <x v="23"/>
    <n v="14.4"/>
    <n v="0"/>
    <n v="0"/>
    <n v="93.4"/>
    <x v="1"/>
    <n v="1"/>
  </r>
  <r>
    <d v="2034-03-21T00:00:00"/>
    <x v="29"/>
    <n v="18.399999999999999"/>
    <n v="0.2"/>
    <n v="0"/>
    <n v="111.80000000000001"/>
    <x v="1"/>
    <n v="1"/>
  </r>
  <r>
    <d v="2034-03-22T00:00:00"/>
    <x v="5"/>
    <n v="27.2"/>
    <n v="9.6"/>
    <n v="2.6112000000000002"/>
    <n v="139"/>
    <x v="1"/>
    <n v="1"/>
  </r>
  <r>
    <d v="2034-03-23T00:00:00"/>
    <x v="18"/>
    <n v="12.5"/>
    <n v="8.8000000000000007"/>
    <n v="1.1000000000000001"/>
    <n v="12.5"/>
    <x v="1"/>
    <n v="1"/>
  </r>
  <r>
    <d v="2034-03-24T00:00:00"/>
    <x v="22"/>
    <n v="22.6"/>
    <n v="3.5"/>
    <n v="0.79100000000000004"/>
    <n v="35.1"/>
    <x v="1"/>
    <n v="1"/>
  </r>
  <r>
    <d v="2034-03-25T00:00:00"/>
    <x v="3"/>
    <n v="21.8"/>
    <n v="6.5"/>
    <n v="1.4170000000000003"/>
    <n v="56.900000000000006"/>
    <x v="1"/>
    <n v="1"/>
  </r>
  <r>
    <d v="2034-03-26T00:00:00"/>
    <x v="19"/>
    <n v="17.2"/>
    <n v="0"/>
    <n v="0"/>
    <n v="74.100000000000009"/>
    <x v="1"/>
    <n v="1"/>
  </r>
  <r>
    <d v="2034-03-27T00:00:00"/>
    <x v="9"/>
    <n v="13.4"/>
    <n v="14.1"/>
    <n v="1.8894"/>
    <n v="87.500000000000014"/>
    <x v="1"/>
    <n v="1"/>
  </r>
  <r>
    <d v="2034-03-28T00:00:00"/>
    <x v="5"/>
    <n v="13.8"/>
    <n v="9.9"/>
    <n v="1.3662000000000001"/>
    <n v="101.30000000000001"/>
    <x v="1"/>
    <n v="1"/>
  </r>
  <r>
    <d v="2034-03-29T00:00:00"/>
    <x v="20"/>
    <n v="10.6"/>
    <n v="1.2"/>
    <n v="0.12719999999999998"/>
    <n v="111.9"/>
    <x v="1"/>
    <n v="1"/>
  </r>
  <r>
    <d v="2034-03-30T00:00:00"/>
    <x v="12"/>
    <n v="28.8"/>
    <n v="0.1"/>
    <n v="0"/>
    <n v="28.8"/>
    <x v="1"/>
    <n v="1"/>
  </r>
  <r>
    <d v="2034-03-31T00:00:00"/>
    <x v="24"/>
    <n v="16.899999999999999"/>
    <n v="0.7"/>
    <n v="0"/>
    <n v="45.7"/>
    <x v="1"/>
    <n v="1"/>
  </r>
  <r>
    <d v="2034-04-01T00:00:00"/>
    <x v="14"/>
    <n v="11.2"/>
    <n v="4.8"/>
    <n v="0.53759999999999997"/>
    <n v="56.900000000000006"/>
    <x v="1"/>
    <n v="1"/>
  </r>
  <r>
    <d v="2034-04-02T00:00:00"/>
    <x v="6"/>
    <n v="13.9"/>
    <n v="23"/>
    <n v="3.1970000000000001"/>
    <n v="70.800000000000011"/>
    <x v="1"/>
    <n v="1"/>
  </r>
  <r>
    <d v="2034-04-03T00:00:00"/>
    <x v="7"/>
    <n v="25.3"/>
    <n v="21.9"/>
    <n v="5.5406999999999993"/>
    <n v="96.100000000000009"/>
    <x v="1"/>
    <n v="1"/>
  </r>
  <r>
    <d v="2034-04-04T00:00:00"/>
    <x v="6"/>
    <n v="14.7"/>
    <n v="0"/>
    <n v="0"/>
    <n v="110.80000000000001"/>
    <x v="1"/>
    <n v="1"/>
  </r>
  <r>
    <d v="2034-04-05T00:00:00"/>
    <x v="8"/>
    <n v="20.3"/>
    <n v="5.3"/>
    <n v="1.0759000000000001"/>
    <n v="131.10000000000002"/>
    <x v="1"/>
    <n v="1"/>
  </r>
  <r>
    <d v="2034-04-06T00:00:00"/>
    <x v="11"/>
    <n v="25"/>
    <n v="3.8"/>
    <n v="0.95"/>
    <n v="25"/>
    <x v="1"/>
    <n v="1"/>
  </r>
  <r>
    <d v="2034-04-07T00:00:00"/>
    <x v="14"/>
    <n v="19.600000000000001"/>
    <n v="0.6"/>
    <n v="0"/>
    <n v="44.6"/>
    <x v="1"/>
    <n v="1"/>
  </r>
  <r>
    <d v="2034-04-08T00:00:00"/>
    <x v="8"/>
    <n v="10.8"/>
    <n v="0"/>
    <n v="0"/>
    <n v="55.400000000000006"/>
    <x v="1"/>
    <n v="1"/>
  </r>
  <r>
    <d v="2034-04-09T00:00:00"/>
    <x v="17"/>
    <n v="17.100000000000001"/>
    <n v="0.7"/>
    <n v="0"/>
    <n v="72.5"/>
    <x v="1"/>
    <n v="1"/>
  </r>
  <r>
    <d v="2034-04-10T00:00:00"/>
    <x v="10"/>
    <n v="15.1"/>
    <n v="0"/>
    <n v="0"/>
    <n v="87.6"/>
    <x v="1"/>
    <n v="1"/>
  </r>
  <r>
    <d v="2034-04-11T00:00:00"/>
    <x v="14"/>
    <n v="26.4"/>
    <n v="1.9"/>
    <n v="0.50159999999999993"/>
    <n v="114"/>
    <x v="1"/>
    <n v="1"/>
  </r>
  <r>
    <d v="2034-04-12T00:00:00"/>
    <x v="6"/>
    <n v="11.6"/>
    <n v="14.4"/>
    <n v="1.6703999999999999"/>
    <n v="125.6"/>
    <x v="1"/>
    <n v="1"/>
  </r>
  <r>
    <d v="2034-04-13T00:00:00"/>
    <x v="6"/>
    <n v="16.600000000000001"/>
    <n v="40.6"/>
    <n v="6.7396000000000003"/>
    <n v="16.600000000000001"/>
    <x v="1"/>
    <n v="1"/>
  </r>
  <r>
    <d v="2034-04-14T00:00:00"/>
    <x v="15"/>
    <n v="19.5"/>
    <n v="24.9"/>
    <n v="4.8554999999999993"/>
    <n v="36.1"/>
    <x v="1"/>
    <n v="1"/>
  </r>
  <r>
    <d v="2034-04-15T00:00:00"/>
    <x v="13"/>
    <n v="24.9"/>
    <n v="6.5"/>
    <n v="1.6185"/>
    <n v="61"/>
    <x v="1"/>
    <n v="1"/>
  </r>
  <r>
    <d v="2034-04-16T00:00:00"/>
    <x v="19"/>
    <n v="19.3"/>
    <n v="0.8"/>
    <n v="0"/>
    <n v="80.3"/>
    <x v="1"/>
    <n v="1"/>
  </r>
  <r>
    <d v="2034-04-17T00:00:00"/>
    <x v="13"/>
    <n v="26.2"/>
    <n v="2.8"/>
    <n v="0.73360000000000003"/>
    <n v="106.5"/>
    <x v="1"/>
    <n v="1"/>
  </r>
  <r>
    <d v="2034-04-18T00:00:00"/>
    <x v="3"/>
    <n v="28.1"/>
    <n v="0.6"/>
    <n v="0"/>
    <n v="134.6"/>
    <x v="1"/>
    <n v="1"/>
  </r>
  <r>
    <d v="2034-04-19T00:00:00"/>
    <x v="10"/>
    <n v="17"/>
    <n v="4.8"/>
    <n v="0.81599999999999995"/>
    <n v="151.6"/>
    <x v="1"/>
    <n v="1"/>
  </r>
  <r>
    <d v="2034-04-20T00:00:00"/>
    <x v="13"/>
    <n v="28.5"/>
    <n v="7.1"/>
    <n v="2.0234999999999999"/>
    <n v="28.5"/>
    <x v="1"/>
    <n v="1"/>
  </r>
  <r>
    <d v="2034-04-21T00:00:00"/>
    <x v="1"/>
    <n v="14.2"/>
    <n v="2.1"/>
    <n v="0.29820000000000002"/>
    <n v="42.7"/>
    <x v="1"/>
    <n v="1"/>
  </r>
  <r>
    <d v="2034-04-22T00:00:00"/>
    <x v="3"/>
    <n v="24.9"/>
    <n v="8.3000000000000007"/>
    <n v="2.0667"/>
    <n v="67.599999999999994"/>
    <x v="1"/>
    <n v="1"/>
  </r>
  <r>
    <d v="2034-04-23T00:00:00"/>
    <x v="13"/>
    <n v="19.100000000000001"/>
    <n v="3.4"/>
    <n v="0.64939999999999998"/>
    <n v="86.699999999999989"/>
    <x v="1"/>
    <n v="1"/>
  </r>
  <r>
    <d v="2034-04-24T00:00:00"/>
    <x v="6"/>
    <n v="14.9"/>
    <n v="23.1"/>
    <n v="3.4419000000000004"/>
    <n v="101.6"/>
    <x v="1"/>
    <n v="1"/>
  </r>
  <r>
    <d v="2034-04-25T00:00:00"/>
    <x v="23"/>
    <n v="16.899999999999999"/>
    <n v="6.8"/>
    <n v="1.1491999999999998"/>
    <n v="118.5"/>
    <x v="1"/>
    <n v="1"/>
  </r>
  <r>
    <d v="2034-04-26T00:00:00"/>
    <x v="8"/>
    <n v="15.9"/>
    <n v="6.8"/>
    <n v="1.0811999999999999"/>
    <n v="134.4"/>
    <x v="1"/>
    <n v="1"/>
  </r>
  <r>
    <d v="2034-04-27T00:00:00"/>
    <x v="25"/>
    <n v="26.3"/>
    <n v="0.7"/>
    <n v="0"/>
    <n v="26.3"/>
    <x v="1"/>
    <n v="1"/>
  </r>
  <r>
    <d v="2034-04-28T00:00:00"/>
    <x v="6"/>
    <n v="12.2"/>
    <n v="0"/>
    <n v="0"/>
    <n v="38.5"/>
    <x v="1"/>
    <n v="1"/>
  </r>
  <r>
    <d v="2034-04-29T00:00:00"/>
    <x v="3"/>
    <n v="27.5"/>
    <n v="0"/>
    <n v="0"/>
    <n v="66"/>
    <x v="1"/>
    <n v="1"/>
  </r>
  <r>
    <d v="2034-04-30T00:00:00"/>
    <x v="17"/>
    <n v="23"/>
    <n v="0"/>
    <n v="0"/>
    <n v="89"/>
    <x v="1"/>
    <n v="1"/>
  </r>
  <r>
    <d v="2034-05-01T00:00:00"/>
    <x v="15"/>
    <n v="17.899999999999999"/>
    <n v="36.799999999999997"/>
    <n v="6.5871999999999993"/>
    <n v="106.9"/>
    <x v="1"/>
    <n v="1"/>
  </r>
  <r>
    <d v="2034-05-02T00:00:00"/>
    <x v="15"/>
    <n v="27.3"/>
    <n v="0"/>
    <n v="0"/>
    <n v="134.20000000000002"/>
    <x v="1"/>
    <n v="1"/>
  </r>
  <r>
    <d v="2034-05-03T00:00:00"/>
    <x v="0"/>
    <n v="19.3"/>
    <n v="0.4"/>
    <n v="0"/>
    <n v="153.50000000000003"/>
    <x v="1"/>
    <n v="1"/>
  </r>
  <r>
    <d v="2034-05-04T00:00:00"/>
    <x v="10"/>
    <n v="25.5"/>
    <n v="0"/>
    <n v="0"/>
    <n v="25.5"/>
    <x v="1"/>
    <n v="1"/>
  </r>
  <r>
    <d v="2034-05-05T00:00:00"/>
    <x v="2"/>
    <n v="13.7"/>
    <n v="11.7"/>
    <n v="1.6029"/>
    <n v="39.200000000000003"/>
    <x v="1"/>
    <n v="1"/>
  </r>
  <r>
    <d v="2034-05-06T00:00:00"/>
    <x v="15"/>
    <n v="18.399999999999999"/>
    <n v="0"/>
    <n v="0"/>
    <n v="57.6"/>
    <x v="1"/>
    <n v="1"/>
  </r>
  <r>
    <d v="2034-05-07T00:00:00"/>
    <x v="14"/>
    <n v="11.1"/>
    <n v="0"/>
    <n v="0"/>
    <n v="68.7"/>
    <x v="1"/>
    <n v="1"/>
  </r>
  <r>
    <d v="2034-05-08T00:00:00"/>
    <x v="8"/>
    <n v="28"/>
    <n v="0"/>
    <n v="0"/>
    <n v="96.7"/>
    <x v="1"/>
    <n v="1"/>
  </r>
  <r>
    <d v="2034-05-09T00:00:00"/>
    <x v="2"/>
    <n v="16.2"/>
    <n v="13.7"/>
    <n v="2.2193999999999998"/>
    <n v="112.9"/>
    <x v="1"/>
    <n v="1"/>
  </r>
  <r>
    <d v="2034-05-10T00:00:00"/>
    <x v="15"/>
    <n v="12.1"/>
    <n v="37.200000000000003"/>
    <n v="4.5011999999999999"/>
    <n v="125"/>
    <x v="1"/>
    <n v="1"/>
  </r>
  <r>
    <d v="2034-05-11T00:00:00"/>
    <x v="16"/>
    <n v="21.4"/>
    <n v="3.1"/>
    <n v="0.66339999999999999"/>
    <n v="21.4"/>
    <x v="1"/>
    <n v="1"/>
  </r>
  <r>
    <d v="2034-05-12T00:00:00"/>
    <x v="6"/>
    <n v="11.2"/>
    <n v="0"/>
    <n v="0"/>
    <n v="32.599999999999994"/>
    <x v="1"/>
    <n v="1"/>
  </r>
  <r>
    <d v="2034-05-13T00:00:00"/>
    <x v="24"/>
    <n v="18.399999999999999"/>
    <n v="0.2"/>
    <n v="0"/>
    <n v="50.999999999999993"/>
    <x v="1"/>
    <n v="1"/>
  </r>
  <r>
    <d v="2034-05-14T00:00:00"/>
    <x v="8"/>
    <n v="13.7"/>
    <n v="0"/>
    <n v="0"/>
    <n v="64.699999999999989"/>
    <x v="1"/>
    <n v="1"/>
  </r>
  <r>
    <d v="2034-05-15T00:00:00"/>
    <x v="15"/>
    <n v="10.4"/>
    <n v="15.6"/>
    <n v="1.6224000000000001"/>
    <n v="75.099999999999994"/>
    <x v="1"/>
    <n v="1"/>
  </r>
  <r>
    <d v="2034-05-16T00:00:00"/>
    <x v="27"/>
    <n v="21.8"/>
    <n v="0"/>
    <n v="0"/>
    <n v="96.899999999999991"/>
    <x v="1"/>
    <n v="1"/>
  </r>
  <r>
    <d v="2034-05-17T00:00:00"/>
    <x v="3"/>
    <n v="11"/>
    <n v="0.4"/>
    <n v="0"/>
    <n v="107.89999999999999"/>
    <x v="1"/>
    <n v="1"/>
  </r>
  <r>
    <d v="2034-05-18T00:00:00"/>
    <x v="6"/>
    <n v="19"/>
    <n v="21.9"/>
    <n v="4.1609999999999996"/>
    <n v="19"/>
    <x v="1"/>
    <n v="1"/>
  </r>
  <r>
    <d v="2034-05-19T00:00:00"/>
    <x v="6"/>
    <n v="12.5"/>
    <n v="0"/>
    <n v="0"/>
    <n v="31.5"/>
    <x v="1"/>
    <n v="1"/>
  </r>
  <r>
    <d v="2034-05-20T00:00:00"/>
    <x v="11"/>
    <n v="13.6"/>
    <n v="12.6"/>
    <n v="1.7135999999999998"/>
    <n v="45.1"/>
    <x v="1"/>
    <n v="1"/>
  </r>
  <r>
    <d v="2034-05-21T00:00:00"/>
    <x v="6"/>
    <n v="20.2"/>
    <n v="17.899999999999999"/>
    <n v="3.6157999999999997"/>
    <n v="65.3"/>
    <x v="1"/>
    <n v="1"/>
  </r>
  <r>
    <d v="2034-05-22T00:00:00"/>
    <x v="6"/>
    <n v="28.7"/>
    <n v="0"/>
    <n v="0"/>
    <n v="94"/>
    <x v="1"/>
    <n v="1"/>
  </r>
  <r>
    <d v="2034-05-23T00:00:00"/>
    <x v="16"/>
    <n v="13.4"/>
    <n v="4.8"/>
    <n v="0.64319999999999988"/>
    <n v="107.4"/>
    <x v="1"/>
    <n v="1"/>
  </r>
  <r>
    <d v="2034-05-24T00:00:00"/>
    <x v="11"/>
    <n v="12"/>
    <n v="8.9"/>
    <n v="1.0680000000000001"/>
    <n v="119.4"/>
    <x v="1"/>
    <n v="1"/>
  </r>
  <r>
    <d v="2034-05-25T00:00:00"/>
    <x v="7"/>
    <n v="28.9"/>
    <n v="13.9"/>
    <n v="4.0171000000000001"/>
    <n v="28.9"/>
    <x v="1"/>
    <n v="1"/>
  </r>
  <r>
    <d v="2034-05-26T00:00:00"/>
    <x v="18"/>
    <n v="25.2"/>
    <n v="0"/>
    <n v="0"/>
    <n v="54.099999999999994"/>
    <x v="1"/>
    <n v="1"/>
  </r>
  <r>
    <d v="2034-05-27T00:00:00"/>
    <x v="7"/>
    <n v="18.600000000000001"/>
    <n v="1.8"/>
    <n v="0.33480000000000004"/>
    <n v="72.699999999999989"/>
    <x v="1"/>
    <n v="1"/>
  </r>
  <r>
    <d v="2034-05-28T00:00:00"/>
    <x v="22"/>
    <n v="20"/>
    <n v="2.4"/>
    <n v="0.48"/>
    <n v="92.699999999999989"/>
    <x v="1"/>
    <n v="1"/>
  </r>
  <r>
    <d v="2034-05-29T00:00:00"/>
    <x v="5"/>
    <n v="14.3"/>
    <n v="3.9"/>
    <n v="0.55770000000000008"/>
    <n v="106.99999999999999"/>
    <x v="1"/>
    <n v="1"/>
  </r>
  <r>
    <d v="2034-05-30T00:00:00"/>
    <x v="6"/>
    <n v="28.8"/>
    <n v="25.1"/>
    <n v="7.2288000000000014"/>
    <n v="135.79999999999998"/>
    <x v="1"/>
    <n v="1"/>
  </r>
  <r>
    <d v="2034-05-31T00:00:00"/>
    <x v="15"/>
    <n v="26.8"/>
    <n v="10.8"/>
    <n v="2.8944000000000005"/>
    <n v="162.6"/>
    <x v="1"/>
    <n v="1"/>
  </r>
  <r>
    <d v="2034-06-01T00:00:00"/>
    <x v="15"/>
    <n v="20.399999999999999"/>
    <n v="0"/>
    <n v="0"/>
    <n v="20.399999999999999"/>
    <x v="1"/>
    <n v="1"/>
  </r>
  <r>
    <d v="2034-06-02T00:00:00"/>
    <x v="18"/>
    <n v="14.1"/>
    <n v="4.5"/>
    <n v="0.63449999999999995"/>
    <n v="34.5"/>
    <x v="1"/>
    <n v="1"/>
  </r>
  <r>
    <d v="2034-06-03T00:00:00"/>
    <x v="10"/>
    <n v="28.1"/>
    <n v="6.3"/>
    <n v="1.7703"/>
    <n v="62.6"/>
    <x v="1"/>
    <n v="1"/>
  </r>
  <r>
    <d v="2034-06-04T00:00:00"/>
    <x v="9"/>
    <n v="15.7"/>
    <n v="11.5"/>
    <n v="1.8054999999999999"/>
    <n v="78.3"/>
    <x v="1"/>
    <n v="1"/>
  </r>
  <r>
    <d v="2034-06-05T00:00:00"/>
    <x v="25"/>
    <n v="27.7"/>
    <n v="0.6"/>
    <n v="0"/>
    <n v="106"/>
    <x v="1"/>
    <n v="1"/>
  </r>
  <r>
    <d v="2034-06-06T00:00:00"/>
    <x v="3"/>
    <n v="22.9"/>
    <n v="22.6"/>
    <n v="5.1753999999999998"/>
    <n v="128.9"/>
    <x v="1"/>
    <n v="1"/>
  </r>
  <r>
    <d v="2034-06-07T00:00:00"/>
    <x v="9"/>
    <n v="10.3"/>
    <n v="0"/>
    <n v="0"/>
    <n v="139.20000000000002"/>
    <x v="1"/>
    <n v="1"/>
  </r>
  <r>
    <d v="2034-06-08T00:00:00"/>
    <x v="19"/>
    <n v="28.4"/>
    <n v="4"/>
    <n v="1.1359999999999999"/>
    <n v="28.4"/>
    <x v="1"/>
    <n v="1"/>
  </r>
  <r>
    <d v="2034-06-09T00:00:00"/>
    <x v="14"/>
    <n v="18.7"/>
    <n v="15"/>
    <n v="2.8050000000000002"/>
    <n v="47.099999999999994"/>
    <x v="1"/>
    <n v="1"/>
  </r>
  <r>
    <d v="2034-06-10T00:00:00"/>
    <x v="15"/>
    <n v="13.7"/>
    <n v="9.4"/>
    <n v="1.2878000000000001"/>
    <n v="60.8"/>
    <x v="1"/>
    <n v="1"/>
  </r>
  <r>
    <d v="2034-06-11T00:00:00"/>
    <x v="10"/>
    <n v="16.3"/>
    <n v="3.6"/>
    <n v="0.5868000000000001"/>
    <n v="77.099999999999994"/>
    <x v="1"/>
    <n v="1"/>
  </r>
  <r>
    <d v="2034-06-12T00:00:00"/>
    <x v="23"/>
    <n v="14"/>
    <n v="0"/>
    <n v="0"/>
    <n v="91.1"/>
    <x v="1"/>
    <n v="1"/>
  </r>
  <r>
    <d v="2034-06-13T00:00:00"/>
    <x v="11"/>
    <n v="26"/>
    <n v="5.5"/>
    <n v="1.43"/>
    <n v="117.1"/>
    <x v="1"/>
    <n v="1"/>
  </r>
  <r>
    <d v="2034-06-14T00:00:00"/>
    <x v="15"/>
    <n v="27"/>
    <n v="38.6"/>
    <n v="10.422000000000001"/>
    <n v="144.1"/>
    <x v="1"/>
    <n v="1"/>
  </r>
  <r>
    <d v="2034-06-15T00:00:00"/>
    <x v="6"/>
    <n v="26.6"/>
    <n v="49.7"/>
    <n v="13.220200000000002"/>
    <n v="26.6"/>
    <x v="1"/>
    <n v="1"/>
  </r>
  <r>
    <d v="2034-06-16T00:00:00"/>
    <x v="15"/>
    <n v="20.9"/>
    <n v="30"/>
    <n v="6.27"/>
    <n v="47.5"/>
    <x v="1"/>
    <n v="1"/>
  </r>
  <r>
    <d v="2034-06-17T00:00:00"/>
    <x v="18"/>
    <n v="28.5"/>
    <n v="5.3"/>
    <n v="1.5104999999999997"/>
    <n v="76"/>
    <x v="1"/>
    <n v="1"/>
  </r>
  <r>
    <d v="2034-06-18T00:00:00"/>
    <x v="1"/>
    <n v="10.4"/>
    <n v="0"/>
    <n v="0"/>
    <n v="86.4"/>
    <x v="1"/>
    <n v="1"/>
  </r>
  <r>
    <d v="2034-06-19T00:00:00"/>
    <x v="14"/>
    <n v="25.9"/>
    <n v="9.1999999999999993"/>
    <n v="2.3827999999999996"/>
    <n v="112.30000000000001"/>
    <x v="1"/>
    <n v="1"/>
  </r>
  <r>
    <d v="2034-06-20T00:00:00"/>
    <x v="7"/>
    <n v="24.6"/>
    <n v="11"/>
    <n v="2.7060000000000004"/>
    <n v="136.9"/>
    <x v="1"/>
    <n v="1"/>
  </r>
  <r>
    <d v="2034-06-21T00:00:00"/>
    <x v="12"/>
    <n v="22"/>
    <n v="0"/>
    <n v="0"/>
    <n v="158.9"/>
    <x v="1"/>
    <n v="1"/>
  </r>
  <r>
    <d v="2034-06-22T00:00:00"/>
    <x v="4"/>
    <n v="16.8"/>
    <n v="2.4"/>
    <n v="0.4032"/>
    <n v="16.8"/>
    <x v="1"/>
    <n v="1"/>
  </r>
  <r>
    <d v="2034-06-23T00:00:00"/>
    <x v="6"/>
    <n v="21.7"/>
    <n v="44.1"/>
    <n v="9.569700000000001"/>
    <n v="38.5"/>
    <x v="1"/>
    <n v="1"/>
  </r>
  <r>
    <d v="2034-06-24T00:00:00"/>
    <x v="8"/>
    <n v="28.9"/>
    <n v="0"/>
    <n v="0"/>
    <n v="67.400000000000006"/>
    <x v="1"/>
    <n v="1"/>
  </r>
  <r>
    <d v="2034-06-25T00:00:00"/>
    <x v="9"/>
    <n v="26.6"/>
    <n v="0.4"/>
    <n v="0"/>
    <n v="94"/>
    <x v="1"/>
    <n v="1"/>
  </r>
  <r>
    <d v="2034-06-26T00:00:00"/>
    <x v="11"/>
    <n v="28"/>
    <n v="16.7"/>
    <n v="4.6759999999999993"/>
    <n v="122"/>
    <x v="1"/>
    <n v="1"/>
  </r>
  <r>
    <d v="2034-06-27T00:00:00"/>
    <x v="13"/>
    <n v="27.5"/>
    <n v="0"/>
    <n v="0"/>
    <n v="149.5"/>
    <x v="1"/>
    <n v="1"/>
  </r>
  <r>
    <d v="2034-06-28T00:00:00"/>
    <x v="18"/>
    <n v="18.2"/>
    <n v="0"/>
    <n v="0"/>
    <n v="167.7"/>
    <x v="1"/>
    <n v="1"/>
  </r>
  <r>
    <d v="2034-06-29T00:00:00"/>
    <x v="14"/>
    <n v="25.1"/>
    <n v="0"/>
    <n v="0"/>
    <n v="25.1"/>
    <x v="1"/>
    <n v="1"/>
  </r>
  <r>
    <d v="2034-06-30T00:00:00"/>
    <x v="0"/>
    <n v="10.1"/>
    <n v="0.2"/>
    <n v="0"/>
    <n v="35.200000000000003"/>
    <x v="1"/>
    <n v="1"/>
  </r>
  <r>
    <d v="2034-07-01T00:00:00"/>
    <x v="11"/>
    <n v="13.1"/>
    <n v="7.9"/>
    <n v="1.0348999999999999"/>
    <n v="48.300000000000004"/>
    <x v="1"/>
    <n v="1"/>
  </r>
  <r>
    <d v="2034-07-02T00:00:00"/>
    <x v="5"/>
    <n v="22.9"/>
    <n v="0"/>
    <n v="0"/>
    <n v="71.2"/>
    <x v="1"/>
    <n v="1"/>
  </r>
  <r>
    <d v="2034-07-03T00:00:00"/>
    <x v="5"/>
    <n v="26.3"/>
    <n v="4"/>
    <n v="1.052"/>
    <n v="97.5"/>
    <x v="1"/>
    <n v="1"/>
  </r>
  <r>
    <d v="2034-07-04T00:00:00"/>
    <x v="15"/>
    <n v="11.3"/>
    <n v="19.8"/>
    <n v="2.2374000000000001"/>
    <n v="108.8"/>
    <x v="1"/>
    <n v="1"/>
  </r>
  <r>
    <d v="2034-07-05T00:00:00"/>
    <x v="6"/>
    <n v="30"/>
    <n v="0"/>
    <n v="0"/>
    <n v="138.80000000000001"/>
    <x v="1"/>
    <n v="1"/>
  </r>
  <r>
    <d v="2034-07-06T00:00:00"/>
    <x v="18"/>
    <n v="20.399999999999999"/>
    <n v="0"/>
    <n v="0"/>
    <n v="20.399999999999999"/>
    <x v="1"/>
    <n v="1"/>
  </r>
  <r>
    <d v="2034-07-07T00:00:00"/>
    <x v="3"/>
    <n v="24.5"/>
    <n v="8.6999999999999993"/>
    <n v="2.1315"/>
    <n v="44.9"/>
    <x v="1"/>
    <n v="1"/>
  </r>
  <r>
    <d v="2034-07-08T00:00:00"/>
    <x v="7"/>
    <n v="17"/>
    <n v="2.7"/>
    <n v="0.45900000000000007"/>
    <n v="61.9"/>
    <x v="1"/>
    <n v="1"/>
  </r>
  <r>
    <d v="2034-07-09T00:00:00"/>
    <x v="15"/>
    <n v="21"/>
    <n v="5.6"/>
    <n v="1.1759999999999999"/>
    <n v="82.9"/>
    <x v="1"/>
    <n v="1"/>
  </r>
  <r>
    <d v="2034-07-10T00:00:00"/>
    <x v="15"/>
    <n v="20.7"/>
    <n v="0"/>
    <n v="0"/>
    <n v="103.60000000000001"/>
    <x v="1"/>
    <n v="1"/>
  </r>
  <r>
    <d v="2034-07-11T00:00:00"/>
    <x v="8"/>
    <n v="26.7"/>
    <n v="9.8000000000000007"/>
    <n v="2.6166"/>
    <n v="130.30000000000001"/>
    <x v="1"/>
    <n v="1"/>
  </r>
  <r>
    <d v="2034-07-12T00:00:00"/>
    <x v="26"/>
    <n v="10.199999999999999"/>
    <n v="0.1"/>
    <n v="0"/>
    <n v="140.5"/>
    <x v="1"/>
    <n v="1"/>
  </r>
  <r>
    <d v="2034-07-13T00:00:00"/>
    <x v="6"/>
    <n v="15.7"/>
    <n v="5.8"/>
    <n v="0.91059999999999985"/>
    <n v="15.7"/>
    <x v="1"/>
    <n v="1"/>
  </r>
  <r>
    <d v="2034-07-14T00:00:00"/>
    <x v="29"/>
    <n v="15.9"/>
    <n v="2.2000000000000002"/>
    <n v="0.34980000000000006"/>
    <n v="31.6"/>
    <x v="1"/>
    <n v="1"/>
  </r>
  <r>
    <d v="2034-07-15T00:00:00"/>
    <x v="15"/>
    <n v="21"/>
    <n v="13.1"/>
    <n v="2.7509999999999994"/>
    <n v="52.6"/>
    <x v="1"/>
    <n v="1"/>
  </r>
  <r>
    <d v="2034-07-16T00:00:00"/>
    <x v="5"/>
    <n v="10.9"/>
    <n v="8.1"/>
    <n v="0.88289999999999991"/>
    <n v="63.5"/>
    <x v="1"/>
    <n v="1"/>
  </r>
  <r>
    <d v="2034-07-17T00:00:00"/>
    <x v="18"/>
    <n v="20.9"/>
    <n v="5.9"/>
    <n v="1.2331000000000001"/>
    <n v="84.4"/>
    <x v="1"/>
    <n v="1"/>
  </r>
  <r>
    <d v="2034-07-18T00:00:00"/>
    <x v="15"/>
    <n v="21.8"/>
    <n v="15.9"/>
    <n v="3.4662000000000002"/>
    <n v="106.2"/>
    <x v="1"/>
    <n v="1"/>
  </r>
  <r>
    <d v="2034-07-19T00:00:00"/>
    <x v="11"/>
    <n v="11.9"/>
    <n v="18.100000000000001"/>
    <n v="2.1539000000000001"/>
    <n v="118.10000000000001"/>
    <x v="1"/>
    <n v="1"/>
  </r>
  <r>
    <d v="2034-07-20T00:00:00"/>
    <x v="9"/>
    <n v="12.9"/>
    <n v="0"/>
    <n v="0"/>
    <n v="12.9"/>
    <x v="1"/>
    <n v="1"/>
  </r>
  <r>
    <d v="2034-07-21T00:00:00"/>
    <x v="15"/>
    <n v="14.9"/>
    <n v="4.8"/>
    <n v="0.71519999999999995"/>
    <n v="27.8"/>
    <x v="1"/>
    <n v="1"/>
  </r>
  <r>
    <d v="2034-07-22T00:00:00"/>
    <x v="6"/>
    <n v="29.5"/>
    <n v="0"/>
    <n v="0"/>
    <n v="57.3"/>
    <x v="1"/>
    <n v="1"/>
  </r>
  <r>
    <d v="2034-07-23T00:00:00"/>
    <x v="15"/>
    <n v="18.100000000000001"/>
    <n v="0"/>
    <n v="0"/>
    <n v="75.400000000000006"/>
    <x v="1"/>
    <n v="1"/>
  </r>
  <r>
    <d v="2034-07-24T00:00:00"/>
    <x v="2"/>
    <n v="10.8"/>
    <n v="11.8"/>
    <n v="1.2744000000000002"/>
    <n v="86.2"/>
    <x v="1"/>
    <n v="1"/>
  </r>
  <r>
    <d v="2034-07-25T00:00:00"/>
    <x v="5"/>
    <n v="13.5"/>
    <n v="5.4"/>
    <n v="0.72900000000000009"/>
    <n v="99.7"/>
    <x v="1"/>
    <n v="1"/>
  </r>
  <r>
    <d v="2034-07-26T00:00:00"/>
    <x v="18"/>
    <n v="15.9"/>
    <n v="0"/>
    <n v="0"/>
    <n v="115.60000000000001"/>
    <x v="1"/>
    <n v="1"/>
  </r>
  <r>
    <d v="2034-07-27T00:00:00"/>
    <x v="22"/>
    <n v="23.1"/>
    <n v="0"/>
    <n v="0"/>
    <n v="23.1"/>
    <x v="1"/>
    <n v="1"/>
  </r>
  <r>
    <d v="2034-07-28T00:00:00"/>
    <x v="12"/>
    <n v="26.7"/>
    <n v="0"/>
    <n v="0"/>
    <n v="49.8"/>
    <x v="1"/>
    <n v="1"/>
  </r>
  <r>
    <d v="2034-07-29T00:00:00"/>
    <x v="6"/>
    <n v="26"/>
    <n v="29.1"/>
    <n v="7.5659999999999998"/>
    <n v="75.8"/>
    <x v="1"/>
    <n v="1"/>
  </r>
  <r>
    <d v="2034-07-30T00:00:00"/>
    <x v="14"/>
    <n v="23.6"/>
    <n v="9.1"/>
    <n v="2.1475999999999997"/>
    <n v="99.4"/>
    <x v="1"/>
    <n v="1"/>
  </r>
  <r>
    <d v="2034-07-31T00:00:00"/>
    <x v="22"/>
    <n v="29.8"/>
    <n v="5.7"/>
    <n v="1.6986000000000001"/>
    <n v="129.20000000000002"/>
    <x v="1"/>
    <n v="1"/>
  </r>
  <r>
    <d v="2034-08-01T00:00:00"/>
    <x v="15"/>
    <n v="18.600000000000001"/>
    <n v="0"/>
    <n v="0"/>
    <n v="147.80000000000001"/>
    <x v="1"/>
    <n v="1"/>
  </r>
  <r>
    <d v="2034-08-02T00:00:00"/>
    <x v="11"/>
    <n v="17.600000000000001"/>
    <n v="2.4"/>
    <n v="0.4224"/>
    <n v="165.4"/>
    <x v="1"/>
    <n v="1"/>
  </r>
  <r>
    <d v="2034-08-03T00:00:00"/>
    <x v="11"/>
    <n v="12.6"/>
    <n v="9.1999999999999993"/>
    <n v="1.1591999999999998"/>
    <n v="12.6"/>
    <x v="1"/>
    <n v="1"/>
  </r>
  <r>
    <d v="2034-08-04T00:00:00"/>
    <x v="13"/>
    <n v="25.4"/>
    <n v="5.4"/>
    <n v="1.3715999999999999"/>
    <n v="38"/>
    <x v="1"/>
    <n v="1"/>
  </r>
  <r>
    <d v="2034-08-05T00:00:00"/>
    <x v="16"/>
    <n v="12.8"/>
    <n v="3.6"/>
    <n v="0.46080000000000004"/>
    <n v="50.8"/>
    <x v="1"/>
    <n v="1"/>
  </r>
  <r>
    <d v="2034-08-06T00:00:00"/>
    <x v="7"/>
    <n v="18.7"/>
    <n v="0"/>
    <n v="0"/>
    <n v="69.5"/>
    <x v="1"/>
    <n v="1"/>
  </r>
  <r>
    <d v="2034-08-07T00:00:00"/>
    <x v="29"/>
    <n v="22.3"/>
    <n v="0"/>
    <n v="0"/>
    <n v="91.8"/>
    <x v="1"/>
    <n v="1"/>
  </r>
  <r>
    <d v="2034-08-08T00:00:00"/>
    <x v="14"/>
    <n v="26.4"/>
    <n v="0.5"/>
    <n v="0"/>
    <n v="118.19999999999999"/>
    <x v="1"/>
    <n v="1"/>
  </r>
  <r>
    <d v="2034-08-09T00:00:00"/>
    <x v="3"/>
    <n v="28.5"/>
    <n v="3.2"/>
    <n v="0.91200000000000003"/>
    <n v="146.69999999999999"/>
    <x v="1"/>
    <n v="1"/>
  </r>
  <r>
    <d v="2034-08-10T00:00:00"/>
    <x v="13"/>
    <n v="16.8"/>
    <n v="5.5"/>
    <n v="0.92400000000000004"/>
    <n v="16.8"/>
    <x v="1"/>
    <n v="1"/>
  </r>
  <r>
    <d v="2034-08-11T00:00:00"/>
    <x v="23"/>
    <n v="24.7"/>
    <n v="0.8"/>
    <n v="0"/>
    <n v="41.5"/>
    <x v="1"/>
    <n v="1"/>
  </r>
  <r>
    <d v="2034-08-12T00:00:00"/>
    <x v="5"/>
    <n v="29.6"/>
    <n v="0"/>
    <n v="0"/>
    <n v="71.099999999999994"/>
    <x v="1"/>
    <n v="1"/>
  </r>
  <r>
    <d v="2034-08-13T00:00:00"/>
    <x v="6"/>
    <n v="23.3"/>
    <n v="29.4"/>
    <n v="6.8502000000000001"/>
    <n v="94.399999999999991"/>
    <x v="1"/>
    <n v="1"/>
  </r>
  <r>
    <d v="2034-08-14T00:00:00"/>
    <x v="5"/>
    <n v="28.8"/>
    <n v="11.5"/>
    <n v="3.3119999999999998"/>
    <n v="123.19999999999999"/>
    <x v="1"/>
    <n v="1"/>
  </r>
  <r>
    <d v="2034-08-15T00:00:00"/>
    <x v="5"/>
    <n v="26.5"/>
    <n v="0"/>
    <n v="0"/>
    <n v="149.69999999999999"/>
    <x v="1"/>
    <n v="1"/>
  </r>
  <r>
    <d v="2034-08-16T00:00:00"/>
    <x v="19"/>
    <n v="17.100000000000001"/>
    <n v="3.6"/>
    <n v="0.61560000000000015"/>
    <n v="166.79999999999998"/>
    <x v="1"/>
    <n v="1"/>
  </r>
  <r>
    <d v="2034-08-17T00:00:00"/>
    <x v="5"/>
    <n v="17.8"/>
    <n v="7"/>
    <n v="1.246"/>
    <n v="17.8"/>
    <x v="1"/>
    <n v="1"/>
  </r>
  <r>
    <d v="2034-08-18T00:00:00"/>
    <x v="23"/>
    <n v="24.7"/>
    <n v="1.5"/>
    <n v="0.3705"/>
    <n v="42.5"/>
    <x v="1"/>
    <n v="1"/>
  </r>
  <r>
    <d v="2034-08-19T00:00:00"/>
    <x v="15"/>
    <n v="25.1"/>
    <n v="0"/>
    <n v="0"/>
    <n v="67.599999999999994"/>
    <x v="1"/>
    <n v="1"/>
  </r>
  <r>
    <d v="2034-08-20T00:00:00"/>
    <x v="28"/>
    <n v="27"/>
    <n v="0"/>
    <n v="0"/>
    <n v="94.6"/>
    <x v="1"/>
    <n v="1"/>
  </r>
  <r>
    <d v="2034-08-21T00:00:00"/>
    <x v="14"/>
    <n v="18.2"/>
    <n v="13.9"/>
    <n v="2.5297999999999998"/>
    <n v="112.8"/>
    <x v="1"/>
    <n v="1"/>
  </r>
  <r>
    <d v="2034-08-22T00:00:00"/>
    <x v="11"/>
    <n v="10.8"/>
    <n v="7.9"/>
    <n v="0.85320000000000007"/>
    <n v="123.6"/>
    <x v="1"/>
    <n v="1"/>
  </r>
  <r>
    <d v="2034-08-23T00:00:00"/>
    <x v="3"/>
    <n v="27.9"/>
    <n v="9.9"/>
    <n v="2.7620999999999998"/>
    <n v="151.5"/>
    <x v="1"/>
    <n v="1"/>
  </r>
  <r>
    <d v="2034-08-24T00:00:00"/>
    <x v="20"/>
    <n v="14.1"/>
    <n v="0.7"/>
    <n v="0"/>
    <n v="14.1"/>
    <x v="1"/>
    <n v="1"/>
  </r>
  <r>
    <d v="2034-08-25T00:00:00"/>
    <x v="14"/>
    <n v="17.5"/>
    <n v="3.2"/>
    <n v="0.56000000000000005"/>
    <n v="31.6"/>
    <x v="1"/>
    <n v="1"/>
  </r>
  <r>
    <d v="2034-08-26T00:00:00"/>
    <x v="6"/>
    <n v="14.3"/>
    <n v="0"/>
    <n v="0"/>
    <n v="45.900000000000006"/>
    <x v="1"/>
    <n v="1"/>
  </r>
  <r>
    <d v="2034-08-27T00:00:00"/>
    <x v="16"/>
    <n v="15.4"/>
    <n v="0"/>
    <n v="0"/>
    <n v="61.300000000000004"/>
    <x v="1"/>
    <n v="1"/>
  </r>
  <r>
    <d v="2034-08-28T00:00:00"/>
    <x v="15"/>
    <n v="17.5"/>
    <n v="0"/>
    <n v="0"/>
    <n v="78.800000000000011"/>
    <x v="1"/>
    <n v="1"/>
  </r>
  <r>
    <d v="2034-08-29T00:00:00"/>
    <x v="9"/>
    <n v="11.6"/>
    <n v="4.0999999999999996"/>
    <n v="0.47559999999999997"/>
    <n v="90.4"/>
    <x v="1"/>
    <n v="1"/>
  </r>
  <r>
    <d v="2034-08-30T00:00:00"/>
    <x v="5"/>
    <n v="27.9"/>
    <n v="10.3"/>
    <n v="2.8736999999999999"/>
    <n v="118.30000000000001"/>
    <x v="1"/>
    <n v="1"/>
  </r>
  <r>
    <d v="2034-08-31T00:00:00"/>
    <x v="15"/>
    <n v="11.8"/>
    <n v="20.2"/>
    <n v="2.3835999999999999"/>
    <n v="11.8"/>
    <x v="1"/>
    <n v="1"/>
  </r>
  <r>
    <d v="2034-09-01T00:00:00"/>
    <x v="3"/>
    <n v="12"/>
    <n v="8.5"/>
    <n v="1.02"/>
    <n v="23.8"/>
    <x v="1"/>
    <n v="1"/>
  </r>
  <r>
    <d v="2034-09-02T00:00:00"/>
    <x v="6"/>
    <n v="11.8"/>
    <n v="7.8"/>
    <n v="0.92040000000000011"/>
    <n v="35.6"/>
    <x v="1"/>
    <n v="1"/>
  </r>
  <r>
    <d v="2034-09-03T00:00:00"/>
    <x v="13"/>
    <n v="22.2"/>
    <n v="0"/>
    <n v="0"/>
    <n v="57.8"/>
    <x v="1"/>
    <n v="1"/>
  </r>
  <r>
    <d v="2034-09-04T00:00:00"/>
    <x v="3"/>
    <n v="13.3"/>
    <n v="3.8"/>
    <n v="0.50539999999999996"/>
    <n v="71.099999999999994"/>
    <x v="1"/>
    <n v="1"/>
  </r>
  <r>
    <d v="2034-09-05T00:00:00"/>
    <x v="9"/>
    <n v="24.6"/>
    <n v="2.1"/>
    <n v="0.51660000000000006"/>
    <n v="95.699999999999989"/>
    <x v="1"/>
    <n v="1"/>
  </r>
  <r>
    <d v="2034-09-06T00:00:00"/>
    <x v="15"/>
    <n v="15.7"/>
    <n v="0"/>
    <n v="0"/>
    <n v="111.39999999999999"/>
    <x v="1"/>
    <n v="1"/>
  </r>
  <r>
    <d v="2034-09-07T00:00:00"/>
    <x v="14"/>
    <n v="26.7"/>
    <n v="16.2"/>
    <n v="4.3253999999999992"/>
    <n v="26.7"/>
    <x v="1"/>
    <n v="1"/>
  </r>
  <r>
    <d v="2034-09-08T00:00:00"/>
    <x v="11"/>
    <n v="28.1"/>
    <n v="1.1000000000000001"/>
    <n v="0.30910000000000004"/>
    <n v="54.8"/>
    <x v="1"/>
    <n v="1"/>
  </r>
  <r>
    <d v="2034-09-09T00:00:00"/>
    <x v="6"/>
    <n v="29.1"/>
    <n v="3"/>
    <n v="0.87300000000000011"/>
    <n v="83.9"/>
    <x v="1"/>
    <n v="1"/>
  </r>
  <r>
    <d v="2034-09-10T00:00:00"/>
    <x v="3"/>
    <n v="26.2"/>
    <n v="0"/>
    <n v="0"/>
    <n v="110.10000000000001"/>
    <x v="1"/>
    <n v="1"/>
  </r>
  <r>
    <d v="2034-09-11T00:00:00"/>
    <x v="27"/>
    <n v="23.3"/>
    <n v="0"/>
    <n v="0"/>
    <n v="133.4"/>
    <x v="1"/>
    <n v="1"/>
  </r>
  <r>
    <d v="2034-09-12T00:00:00"/>
    <x v="15"/>
    <n v="21.7"/>
    <n v="10.4"/>
    <n v="2.2568000000000001"/>
    <n v="155.1"/>
    <x v="1"/>
    <n v="1"/>
  </r>
  <r>
    <d v="2034-09-13T00:00:00"/>
    <x v="14"/>
    <n v="18.8"/>
    <n v="15.6"/>
    <n v="2.9328000000000003"/>
    <n v="173.9"/>
    <x v="1"/>
    <n v="1"/>
  </r>
  <r>
    <d v="2034-09-14T00:00:00"/>
    <x v="11"/>
    <n v="25.4"/>
    <n v="7.4"/>
    <n v="1.8796000000000002"/>
    <n v="25.4"/>
    <x v="1"/>
    <n v="1"/>
  </r>
  <r>
    <d v="2034-09-15T00:00:00"/>
    <x v="7"/>
    <n v="21.1"/>
    <n v="1"/>
    <n v="0.21100000000000002"/>
    <n v="46.5"/>
    <x v="1"/>
    <n v="1"/>
  </r>
  <r>
    <d v="2034-09-16T00:00:00"/>
    <x v="7"/>
    <n v="25.1"/>
    <n v="20"/>
    <n v="5.0199999999999996"/>
    <n v="71.599999999999994"/>
    <x v="1"/>
    <n v="1"/>
  </r>
  <r>
    <d v="2034-09-17T00:00:00"/>
    <x v="3"/>
    <n v="17.600000000000001"/>
    <n v="0"/>
    <n v="0"/>
    <n v="89.199999999999989"/>
    <x v="1"/>
    <n v="1"/>
  </r>
  <r>
    <d v="2034-09-18T00:00:00"/>
    <x v="11"/>
    <n v="21.2"/>
    <n v="3.4"/>
    <n v="0.7208"/>
    <n v="110.39999999999999"/>
    <x v="1"/>
    <n v="1"/>
  </r>
  <r>
    <d v="2034-09-19T00:00:00"/>
    <x v="3"/>
    <n v="26.4"/>
    <n v="14.7"/>
    <n v="3.8807999999999998"/>
    <n v="136.79999999999998"/>
    <x v="1"/>
    <n v="1"/>
  </r>
  <r>
    <d v="2034-09-20T00:00:00"/>
    <x v="1"/>
    <n v="13.5"/>
    <n v="0"/>
    <n v="0"/>
    <n v="150.29999999999998"/>
    <x v="1"/>
    <n v="1"/>
  </r>
  <r>
    <d v="2034-09-21T00:00:00"/>
    <x v="18"/>
    <n v="25.1"/>
    <n v="0"/>
    <n v="0"/>
    <n v="25.1"/>
    <x v="1"/>
    <n v="1"/>
  </r>
  <r>
    <d v="2034-09-22T00:00:00"/>
    <x v="7"/>
    <n v="10.4"/>
    <n v="11"/>
    <n v="1.1440000000000001"/>
    <n v="35.5"/>
    <x v="1"/>
    <n v="1"/>
  </r>
  <r>
    <d v="2034-09-23T00:00:00"/>
    <x v="11"/>
    <n v="24.3"/>
    <n v="4.9000000000000004"/>
    <n v="1.1907000000000001"/>
    <n v="59.8"/>
    <x v="1"/>
    <n v="1"/>
  </r>
  <r>
    <d v="2034-09-24T00:00:00"/>
    <x v="8"/>
    <n v="18.7"/>
    <n v="6.2"/>
    <n v="1.1594"/>
    <n v="78.5"/>
    <x v="1"/>
    <n v="1"/>
  </r>
  <r>
    <d v="2034-09-25T00:00:00"/>
    <x v="29"/>
    <n v="14.1"/>
    <n v="0"/>
    <n v="0"/>
    <n v="92.6"/>
    <x v="1"/>
    <n v="1"/>
  </r>
  <r>
    <d v="2034-09-26T00:00:00"/>
    <x v="19"/>
    <n v="24.2"/>
    <n v="0"/>
    <n v="0"/>
    <n v="116.8"/>
    <x v="1"/>
    <n v="1"/>
  </r>
  <r>
    <d v="2034-09-27T00:00:00"/>
    <x v="18"/>
    <n v="26.4"/>
    <n v="0"/>
    <n v="0"/>
    <n v="143.19999999999999"/>
    <x v="1"/>
    <n v="1"/>
  </r>
  <r>
    <d v="2034-09-28T00:00:00"/>
    <x v="6"/>
    <n v="24.5"/>
    <n v="4"/>
    <n v="0.98"/>
    <n v="24.5"/>
    <x v="1"/>
    <n v="1"/>
  </r>
  <r>
    <d v="2034-09-29T00:00:00"/>
    <x v="10"/>
    <n v="25.5"/>
    <n v="2.9"/>
    <n v="0.73950000000000005"/>
    <n v="50"/>
    <x v="1"/>
    <n v="1"/>
  </r>
  <r>
    <d v="2034-09-30T00:00:00"/>
    <x v="7"/>
    <n v="11.8"/>
    <n v="13.5"/>
    <n v="1.5930000000000002"/>
    <n v="61.8"/>
    <x v="1"/>
    <n v="1"/>
  </r>
  <r>
    <d v="2034-10-01T00:00:00"/>
    <x v="18"/>
    <n v="14.3"/>
    <n v="5.4"/>
    <n v="0.77220000000000011"/>
    <n v="76.099999999999994"/>
    <x v="1"/>
    <n v="1"/>
  </r>
  <r>
    <d v="2034-10-02T00:00:00"/>
    <x v="5"/>
    <n v="12.4"/>
    <n v="1.2"/>
    <n v="0.14879999999999999"/>
    <n v="88.5"/>
    <x v="1"/>
    <n v="1"/>
  </r>
  <r>
    <d v="2034-10-03T00:00:00"/>
    <x v="15"/>
    <n v="29.3"/>
    <n v="19.8"/>
    <n v="5.8014000000000001"/>
    <n v="117.8"/>
    <x v="1"/>
    <n v="1"/>
  </r>
  <r>
    <d v="2034-10-04T00:00:00"/>
    <x v="3"/>
    <n v="29.4"/>
    <n v="0"/>
    <n v="0"/>
    <n v="147.19999999999999"/>
    <x v="1"/>
    <n v="1"/>
  </r>
  <r>
    <d v="2034-10-05T00:00:00"/>
    <x v="9"/>
    <n v="29.8"/>
    <n v="16"/>
    <n v="4.7679999999999998"/>
    <n v="29.8"/>
    <x v="1"/>
    <n v="1"/>
  </r>
  <r>
    <d v="2034-10-06T00:00:00"/>
    <x v="15"/>
    <n v="29.9"/>
    <n v="13.3"/>
    <n v="3.9767000000000001"/>
    <n v="59.7"/>
    <x v="1"/>
    <n v="1"/>
  </r>
  <r>
    <d v="2034-10-07T00:00:00"/>
    <x v="5"/>
    <n v="11.6"/>
    <n v="9.6999999999999993"/>
    <n v="1.1251999999999998"/>
    <n v="71.3"/>
    <x v="1"/>
    <n v="1"/>
  </r>
  <r>
    <d v="2034-10-08T00:00:00"/>
    <x v="7"/>
    <n v="10.199999999999999"/>
    <n v="0"/>
    <n v="0"/>
    <n v="81.5"/>
    <x v="1"/>
    <n v="1"/>
  </r>
  <r>
    <d v="2034-10-09T00:00:00"/>
    <x v="5"/>
    <n v="10.7"/>
    <n v="11.9"/>
    <n v="1.2732999999999999"/>
    <n v="92.2"/>
    <x v="1"/>
    <n v="1"/>
  </r>
  <r>
    <d v="2034-10-10T00:00:00"/>
    <x v="26"/>
    <n v="11.7"/>
    <n v="0.1"/>
    <n v="0"/>
    <n v="103.9"/>
    <x v="1"/>
    <n v="1"/>
  </r>
  <r>
    <d v="2034-10-11T00:00:00"/>
    <x v="14"/>
    <n v="29.4"/>
    <n v="9.6"/>
    <n v="2.8223999999999996"/>
    <n v="133.30000000000001"/>
    <x v="1"/>
    <n v="1"/>
  </r>
  <r>
    <d v="2034-10-12T00:00:00"/>
    <x v="16"/>
    <n v="29.1"/>
    <n v="2.6"/>
    <n v="0.75660000000000016"/>
    <n v="29.1"/>
    <x v="1"/>
    <n v="1"/>
  </r>
  <r>
    <d v="2034-10-13T00:00:00"/>
    <x v="6"/>
    <n v="20.5"/>
    <n v="30.1"/>
    <n v="6.1705000000000005"/>
    <n v="49.6"/>
    <x v="1"/>
    <n v="1"/>
  </r>
  <r>
    <d v="2034-10-14T00:00:00"/>
    <x v="3"/>
    <n v="26.2"/>
    <n v="19"/>
    <n v="4.9779999999999998"/>
    <n v="75.8"/>
    <x v="1"/>
    <n v="1"/>
  </r>
  <r>
    <d v="2034-10-15T00:00:00"/>
    <x v="11"/>
    <n v="22.6"/>
    <n v="0"/>
    <n v="0"/>
    <n v="98.4"/>
    <x v="1"/>
    <n v="1"/>
  </r>
  <r>
    <d v="2034-10-16T00:00:00"/>
    <x v="10"/>
    <n v="17.7"/>
    <n v="0"/>
    <n v="0"/>
    <n v="116.10000000000001"/>
    <x v="1"/>
    <n v="1"/>
  </r>
  <r>
    <d v="2034-10-17T00:00:00"/>
    <x v="15"/>
    <n v="21.2"/>
    <n v="0"/>
    <n v="0"/>
    <n v="137.30000000000001"/>
    <x v="1"/>
    <n v="1"/>
  </r>
  <r>
    <d v="2034-10-18T00:00:00"/>
    <x v="29"/>
    <n v="10.3"/>
    <n v="0.2"/>
    <n v="0"/>
    <n v="147.60000000000002"/>
    <x v="1"/>
    <n v="1"/>
  </r>
  <r>
    <d v="2034-10-19T00:00:00"/>
    <x v="21"/>
    <n v="10.1"/>
    <n v="2.1"/>
    <n v="0.21210000000000001"/>
    <n v="10.1"/>
    <x v="1"/>
    <n v="1"/>
  </r>
  <r>
    <d v="2034-10-20T00:00:00"/>
    <x v="4"/>
    <n v="23.4"/>
    <n v="3.9"/>
    <n v="0.91259999999999986"/>
    <n v="33.5"/>
    <x v="1"/>
    <n v="1"/>
  </r>
  <r>
    <d v="2034-10-21T00:00:00"/>
    <x v="27"/>
    <n v="11.7"/>
    <n v="0"/>
    <n v="0"/>
    <n v="45.2"/>
    <x v="1"/>
    <n v="1"/>
  </r>
  <r>
    <d v="2034-10-22T00:00:00"/>
    <x v="1"/>
    <n v="26"/>
    <n v="2.1"/>
    <n v="0.54600000000000004"/>
    <n v="71.2"/>
    <x v="1"/>
    <n v="1"/>
  </r>
  <r>
    <d v="2034-10-23T00:00:00"/>
    <x v="26"/>
    <n v="29.5"/>
    <n v="0.4"/>
    <n v="0"/>
    <n v="100.7"/>
    <x v="1"/>
    <n v="1"/>
  </r>
  <r>
    <d v="2034-10-24T00:00:00"/>
    <x v="10"/>
    <n v="13"/>
    <n v="4.4000000000000004"/>
    <n v="0.57200000000000006"/>
    <n v="113.7"/>
    <x v="1"/>
    <n v="1"/>
  </r>
  <r>
    <d v="2034-10-25T00:00:00"/>
    <x v="5"/>
    <n v="17.100000000000001"/>
    <n v="3.8"/>
    <n v="0.64980000000000004"/>
    <n v="130.80000000000001"/>
    <x v="1"/>
    <n v="1"/>
  </r>
  <r>
    <d v="2034-10-26T00:00:00"/>
    <x v="23"/>
    <n v="12.6"/>
    <n v="0.2"/>
    <n v="0"/>
    <n v="12.6"/>
    <x v="1"/>
    <n v="1"/>
  </r>
  <r>
    <d v="2034-10-27T00:00:00"/>
    <x v="6"/>
    <n v="23.6"/>
    <n v="24.1"/>
    <n v="5.6876000000000007"/>
    <n v="36.200000000000003"/>
    <x v="1"/>
    <n v="1"/>
  </r>
  <r>
    <d v="2034-10-28T00:00:00"/>
    <x v="7"/>
    <n v="14.9"/>
    <n v="14.2"/>
    <n v="2.1157999999999997"/>
    <n v="51.1"/>
    <x v="1"/>
    <n v="1"/>
  </r>
  <r>
    <d v="2034-10-29T00:00:00"/>
    <x v="8"/>
    <n v="17"/>
    <n v="0"/>
    <n v="0"/>
    <n v="68.099999999999994"/>
    <x v="1"/>
    <n v="1"/>
  </r>
  <r>
    <d v="2034-10-30T00:00:00"/>
    <x v="7"/>
    <n v="12.8"/>
    <n v="0"/>
    <n v="0"/>
    <n v="80.899999999999991"/>
    <x v="1"/>
    <n v="1"/>
  </r>
  <r>
    <d v="2034-10-31T00:00:00"/>
    <x v="9"/>
    <n v="17.5"/>
    <n v="0"/>
    <n v="0"/>
    <n v="98.399999999999991"/>
    <x v="1"/>
    <n v="1"/>
  </r>
  <r>
    <d v="2034-11-01T00:00:00"/>
    <x v="6"/>
    <n v="13.9"/>
    <n v="15.3"/>
    <n v="2.1267"/>
    <n v="112.3"/>
    <x v="1"/>
    <n v="1"/>
  </r>
  <r>
    <d v="2034-11-02T00:00:00"/>
    <x v="15"/>
    <n v="25.9"/>
    <n v="14.5"/>
    <n v="3.7554999999999996"/>
    <n v="25.9"/>
    <x v="1"/>
    <n v="1"/>
  </r>
  <r>
    <d v="2034-11-03T00:00:00"/>
    <x v="13"/>
    <n v="12.1"/>
    <n v="0"/>
    <n v="0"/>
    <n v="38"/>
    <x v="1"/>
    <n v="1"/>
  </r>
  <r>
    <d v="2034-11-04T00:00:00"/>
    <x v="3"/>
    <n v="25.8"/>
    <n v="12.3"/>
    <n v="3.1734000000000004"/>
    <n v="63.8"/>
    <x v="1"/>
    <n v="1"/>
  </r>
  <r>
    <d v="2034-11-05T00:00:00"/>
    <x v="5"/>
    <n v="29.1"/>
    <n v="0"/>
    <n v="0"/>
    <n v="92.9"/>
    <x v="1"/>
    <n v="1"/>
  </r>
  <r>
    <d v="2034-11-06T00:00:00"/>
    <x v="6"/>
    <n v="13.2"/>
    <n v="0"/>
    <n v="0"/>
    <n v="106.10000000000001"/>
    <x v="1"/>
    <n v="1"/>
  </r>
  <r>
    <d v="2034-11-07T00:00:00"/>
    <x v="3"/>
    <n v="29.4"/>
    <n v="12.8"/>
    <n v="3.7631999999999999"/>
    <n v="135.5"/>
    <x v="1"/>
    <n v="1"/>
  </r>
  <r>
    <d v="2034-11-08T00:00:00"/>
    <x v="11"/>
    <n v="21"/>
    <n v="0"/>
    <n v="0"/>
    <n v="156.5"/>
    <x v="1"/>
    <n v="1"/>
  </r>
  <r>
    <d v="2034-11-09T00:00:00"/>
    <x v="2"/>
    <n v="22.7"/>
    <n v="12.4"/>
    <n v="2.8148"/>
    <n v="22.7"/>
    <x v="1"/>
    <n v="1"/>
  </r>
  <r>
    <d v="2034-11-10T00:00:00"/>
    <x v="6"/>
    <n v="25.1"/>
    <n v="43.4"/>
    <n v="10.8934"/>
    <n v="47.8"/>
    <x v="1"/>
    <n v="1"/>
  </r>
  <r>
    <d v="2034-11-11T00:00:00"/>
    <x v="6"/>
    <n v="26.8"/>
    <n v="26.9"/>
    <n v="7.2091999999999992"/>
    <n v="74.599999999999994"/>
    <x v="1"/>
    <n v="1"/>
  </r>
  <r>
    <d v="2034-11-12T00:00:00"/>
    <x v="25"/>
    <n v="15.9"/>
    <n v="0.5"/>
    <n v="0"/>
    <n v="90.5"/>
    <x v="1"/>
    <n v="1"/>
  </r>
  <r>
    <d v="2034-11-13T00:00:00"/>
    <x v="14"/>
    <n v="27.6"/>
    <n v="0"/>
    <n v="0"/>
    <n v="118.1"/>
    <x v="1"/>
    <n v="1"/>
  </r>
  <r>
    <d v="2034-11-14T00:00:00"/>
    <x v="21"/>
    <n v="20.8"/>
    <n v="0"/>
    <n v="0"/>
    <n v="138.9"/>
    <x v="1"/>
    <n v="1"/>
  </r>
  <r>
    <d v="2034-11-15T00:00:00"/>
    <x v="2"/>
    <n v="23.9"/>
    <n v="9.9"/>
    <n v="2.3660999999999999"/>
    <n v="162.80000000000001"/>
    <x v="1"/>
    <n v="1"/>
  </r>
  <r>
    <d v="2034-11-16T00:00:00"/>
    <x v="23"/>
    <n v="24.8"/>
    <n v="4.7"/>
    <n v="1.1656"/>
    <n v="24.8"/>
    <x v="1"/>
    <n v="1"/>
  </r>
  <r>
    <d v="2034-11-17T00:00:00"/>
    <x v="15"/>
    <n v="16.3"/>
    <n v="0"/>
    <n v="0"/>
    <n v="41.1"/>
    <x v="1"/>
    <n v="1"/>
  </r>
  <r>
    <d v="2034-11-18T00:00:00"/>
    <x v="14"/>
    <n v="20.100000000000001"/>
    <n v="0"/>
    <n v="0"/>
    <n v="61.2"/>
    <x v="1"/>
    <n v="1"/>
  </r>
  <r>
    <d v="2034-11-19T00:00:00"/>
    <x v="18"/>
    <n v="25.9"/>
    <n v="8.9"/>
    <n v="2.3050999999999999"/>
    <n v="87.1"/>
    <x v="1"/>
    <n v="1"/>
  </r>
  <r>
    <d v="2034-11-20T00:00:00"/>
    <x v="15"/>
    <n v="27.3"/>
    <n v="15.8"/>
    <n v="4.3134000000000006"/>
    <n v="114.39999999999999"/>
    <x v="1"/>
    <n v="1"/>
  </r>
  <r>
    <d v="2034-11-21T00:00:00"/>
    <x v="2"/>
    <n v="19.100000000000001"/>
    <n v="6.3"/>
    <n v="1.2033"/>
    <n v="133.5"/>
    <x v="1"/>
    <n v="1"/>
  </r>
  <r>
    <d v="2034-11-22T00:00:00"/>
    <x v="6"/>
    <n v="16.899999999999999"/>
    <n v="0"/>
    <n v="0"/>
    <n v="150.4"/>
    <x v="1"/>
    <n v="1"/>
  </r>
  <r>
    <d v="2034-11-23T00:00:00"/>
    <x v="3"/>
    <n v="13.4"/>
    <n v="20.100000000000001"/>
    <n v="2.6934000000000005"/>
    <n v="13.4"/>
    <x v="1"/>
    <n v="1"/>
  </r>
  <r>
    <d v="2034-11-24T00:00:00"/>
    <x v="20"/>
    <n v="24.8"/>
    <n v="0.4"/>
    <n v="0"/>
    <n v="38.200000000000003"/>
    <x v="1"/>
    <n v="1"/>
  </r>
  <r>
    <d v="2034-11-25T00:00:00"/>
    <x v="13"/>
    <n v="28.4"/>
    <n v="1.6"/>
    <n v="0.45439999999999997"/>
    <n v="66.599999999999994"/>
    <x v="1"/>
    <n v="1"/>
  </r>
  <r>
    <d v="2034-11-26T00:00:00"/>
    <x v="19"/>
    <n v="25.3"/>
    <n v="1.8"/>
    <n v="0.45539999999999997"/>
    <n v="91.899999999999991"/>
    <x v="1"/>
    <n v="1"/>
  </r>
  <r>
    <d v="2034-11-27T00:00:00"/>
    <x v="14"/>
    <n v="25.9"/>
    <n v="1.6"/>
    <n v="0.41439999999999999"/>
    <n v="117.79999999999998"/>
    <x v="1"/>
    <n v="1"/>
  </r>
  <r>
    <d v="2034-11-28T00:00:00"/>
    <x v="2"/>
    <n v="12.2"/>
    <n v="0.8"/>
    <n v="0"/>
    <n v="129.99999999999997"/>
    <x v="1"/>
    <n v="1"/>
  </r>
  <r>
    <d v="2034-11-29T00:00:00"/>
    <x v="29"/>
    <n v="22.8"/>
    <n v="2.2999999999999998"/>
    <n v="0.52439999999999998"/>
    <n v="152.79999999999998"/>
    <x v="1"/>
    <n v="1"/>
  </r>
  <r>
    <d v="2034-11-30T00:00:00"/>
    <x v="15"/>
    <n v="12.7"/>
    <n v="0"/>
    <n v="0"/>
    <n v="12.7"/>
    <x v="1"/>
    <n v="1"/>
  </r>
  <r>
    <d v="2034-12-01T00:00:00"/>
    <x v="22"/>
    <n v="13"/>
    <n v="5.0999999999999996"/>
    <n v="0.66299999999999992"/>
    <n v="25.7"/>
    <x v="1"/>
    <n v="1"/>
  </r>
  <r>
    <d v="2034-12-02T00:00:00"/>
    <x v="6"/>
    <n v="13.5"/>
    <n v="4.9000000000000004"/>
    <n v="0.66150000000000009"/>
    <n v="39.200000000000003"/>
    <x v="1"/>
    <n v="1"/>
  </r>
  <r>
    <d v="2034-12-03T00:00:00"/>
    <x v="9"/>
    <n v="17.8"/>
    <n v="5"/>
    <n v="0.89"/>
    <n v="57"/>
    <x v="1"/>
    <n v="1"/>
  </r>
  <r>
    <d v="2034-12-04T00:00:00"/>
    <x v="6"/>
    <n v="21.5"/>
    <n v="47.1"/>
    <n v="10.1265"/>
    <n v="78.5"/>
    <x v="1"/>
    <n v="1"/>
  </r>
  <r>
    <d v="2034-12-05T00:00:00"/>
    <x v="4"/>
    <n v="20.5"/>
    <n v="0.1"/>
    <n v="0"/>
    <n v="99"/>
    <x v="1"/>
    <n v="1"/>
  </r>
  <r>
    <d v="2034-12-06T00:00:00"/>
    <x v="9"/>
    <n v="14.4"/>
    <n v="0"/>
    <n v="0"/>
    <n v="113.4"/>
    <x v="1"/>
    <n v="1"/>
  </r>
  <r>
    <d v="2034-12-07T00:00:00"/>
    <x v="11"/>
    <n v="12.3"/>
    <n v="0"/>
    <n v="0"/>
    <n v="12.3"/>
    <x v="1"/>
    <n v="1"/>
  </r>
  <r>
    <d v="2034-12-08T00:00:00"/>
    <x v="9"/>
    <n v="26.5"/>
    <n v="14"/>
    <n v="3.71"/>
    <n v="38.799999999999997"/>
    <x v="1"/>
    <n v="1"/>
  </r>
  <r>
    <d v="2034-12-09T00:00:00"/>
    <x v="9"/>
    <n v="17.7"/>
    <n v="0"/>
    <n v="0"/>
    <n v="56.5"/>
    <x v="1"/>
    <n v="1"/>
  </r>
  <r>
    <d v="2034-12-10T00:00:00"/>
    <x v="22"/>
    <n v="15.7"/>
    <n v="1"/>
    <n v="0.157"/>
    <n v="72.2"/>
    <x v="1"/>
    <n v="1"/>
  </r>
  <r>
    <d v="2034-12-11T00:00:00"/>
    <x v="16"/>
    <n v="16.2"/>
    <n v="0"/>
    <n v="0"/>
    <n v="88.4"/>
    <x v="1"/>
    <n v="1"/>
  </r>
  <r>
    <d v="2034-12-12T00:00:00"/>
    <x v="17"/>
    <n v="18.600000000000001"/>
    <n v="1.4"/>
    <n v="0.26039999999999996"/>
    <n v="107"/>
    <x v="1"/>
    <n v="1"/>
  </r>
  <r>
    <d v="2034-12-13T00:00:00"/>
    <x v="14"/>
    <n v="23.9"/>
    <n v="4"/>
    <n v="0.95599999999999996"/>
    <n v="130.9"/>
    <x v="1"/>
    <n v="1"/>
  </r>
  <r>
    <d v="2034-12-14T00:00:00"/>
    <x v="6"/>
    <n v="15.8"/>
    <n v="50.3"/>
    <n v="7.9474"/>
    <n v="15.8"/>
    <x v="1"/>
    <n v="1"/>
  </r>
  <r>
    <d v="2034-12-15T00:00:00"/>
    <x v="8"/>
    <n v="26.2"/>
    <n v="8.5"/>
    <n v="2.2269999999999999"/>
    <n v="42"/>
    <x v="1"/>
    <n v="1"/>
  </r>
  <r>
    <d v="2034-12-16T00:00:00"/>
    <x v="6"/>
    <n v="23.1"/>
    <n v="0"/>
    <n v="0"/>
    <n v="65.099999999999994"/>
    <x v="1"/>
    <n v="1"/>
  </r>
  <r>
    <d v="2034-12-17T00:00:00"/>
    <x v="17"/>
    <n v="10.8"/>
    <n v="0"/>
    <n v="0"/>
    <n v="75.899999999999991"/>
    <x v="1"/>
    <n v="1"/>
  </r>
  <r>
    <d v="2034-12-18T00:00:00"/>
    <x v="14"/>
    <n v="21.2"/>
    <n v="16.100000000000001"/>
    <n v="3.4131999999999998"/>
    <n v="97.1"/>
    <x v="1"/>
    <n v="1"/>
  </r>
  <r>
    <d v="2034-12-19T00:00:00"/>
    <x v="3"/>
    <n v="26.3"/>
    <n v="21.1"/>
    <n v="5.5493000000000006"/>
    <n v="123.39999999999999"/>
    <x v="1"/>
    <n v="1"/>
  </r>
  <r>
    <d v="2034-12-20T00:00:00"/>
    <x v="3"/>
    <n v="22.8"/>
    <n v="22.7"/>
    <n v="5.1755999999999993"/>
    <n v="146.19999999999999"/>
    <x v="1"/>
    <n v="1"/>
  </r>
  <r>
    <d v="2034-12-21T00:00:00"/>
    <x v="14"/>
    <n v="24"/>
    <n v="11.5"/>
    <n v="2.76"/>
    <n v="24"/>
    <x v="1"/>
    <n v="1"/>
  </r>
  <r>
    <d v="2034-12-22T00:00:00"/>
    <x v="10"/>
    <n v="16.8"/>
    <n v="2"/>
    <n v="0.33600000000000002"/>
    <n v="40.799999999999997"/>
    <x v="1"/>
    <n v="1"/>
  </r>
  <r>
    <d v="2034-12-23T00:00:00"/>
    <x v="9"/>
    <n v="12.5"/>
    <n v="4.7"/>
    <n v="0.58750000000000002"/>
    <n v="53.3"/>
    <x v="1"/>
    <n v="1"/>
  </r>
  <r>
    <d v="2034-12-24T00:00:00"/>
    <x v="6"/>
    <n v="15"/>
    <n v="1.7"/>
    <n v="0.255"/>
    <n v="68.3"/>
    <x v="1"/>
    <n v="1"/>
  </r>
  <r>
    <d v="2034-12-25T00:00:00"/>
    <x v="14"/>
    <n v="16.2"/>
    <n v="0"/>
    <n v="0"/>
    <n v="84.5"/>
    <x v="1"/>
    <n v="1"/>
  </r>
  <r>
    <d v="2034-12-26T00:00:00"/>
    <x v="3"/>
    <n v="29.3"/>
    <n v="0"/>
    <n v="0"/>
    <n v="113.8"/>
    <x v="1"/>
    <n v="1"/>
  </r>
  <r>
    <d v="2034-12-27T00:00:00"/>
    <x v="28"/>
    <n v="26.4"/>
    <n v="0.2"/>
    <n v="0"/>
    <n v="140.19999999999999"/>
    <x v="1"/>
    <n v="1"/>
  </r>
  <r>
    <d v="2034-12-28T00:00:00"/>
    <x v="14"/>
    <n v="23"/>
    <n v="0"/>
    <n v="0"/>
    <n v="23"/>
    <x v="1"/>
    <n v="1"/>
  </r>
  <r>
    <d v="2034-12-29T00:00:00"/>
    <x v="7"/>
    <n v="25.4"/>
    <n v="1.2"/>
    <n v="0.30479999999999996"/>
    <n v="48.4"/>
    <x v="1"/>
    <n v="1"/>
  </r>
  <r>
    <d v="2034-12-30T00:00:00"/>
    <x v="6"/>
    <n v="24.5"/>
    <n v="22.5"/>
    <n v="5.5125000000000002"/>
    <n v="72.900000000000006"/>
    <x v="1"/>
    <n v="1"/>
  </r>
  <r>
    <d v="2034-12-31T00:00:00"/>
    <x v="15"/>
    <n v="19"/>
    <n v="18.899999999999999"/>
    <n v="3.5909999999999997"/>
    <n v="91.9"/>
    <x v="1"/>
    <n v="1"/>
  </r>
  <r>
    <d v="2035-01-01T00:00:00"/>
    <x v="15"/>
    <n v="10"/>
    <n v="7.6"/>
    <n v="0.76"/>
    <n v="101.9"/>
    <x v="2"/>
    <n v="1"/>
  </r>
  <r>
    <d v="2035-01-02T00:00:00"/>
    <x v="6"/>
    <n v="10.4"/>
    <n v="20.6"/>
    <n v="2.1424000000000003"/>
    <n v="112.30000000000001"/>
    <x v="2"/>
    <n v="1"/>
  </r>
  <r>
    <d v="2035-01-03T00:00:00"/>
    <x v="17"/>
    <n v="10.5"/>
    <n v="0"/>
    <n v="0"/>
    <n v="122.80000000000001"/>
    <x v="2"/>
    <n v="1"/>
  </r>
  <r>
    <d v="2035-01-04T00:00:00"/>
    <x v="2"/>
    <n v="12.1"/>
    <n v="8.8000000000000007"/>
    <n v="1.0648"/>
    <n v="12.1"/>
    <x v="2"/>
    <n v="1"/>
  </r>
  <r>
    <d v="2035-01-05T00:00:00"/>
    <x v="6"/>
    <n v="20.5"/>
    <n v="0"/>
    <n v="0"/>
    <n v="32.6"/>
    <x v="2"/>
    <n v="1"/>
  </r>
  <r>
    <d v="2035-01-06T00:00:00"/>
    <x v="9"/>
    <n v="13.1"/>
    <n v="0"/>
    <n v="0"/>
    <n v="45.7"/>
    <x v="2"/>
    <n v="1"/>
  </r>
  <r>
    <d v="2035-01-07T00:00:00"/>
    <x v="22"/>
    <n v="29.8"/>
    <n v="1.1000000000000001"/>
    <n v="0.32780000000000004"/>
    <n v="75.5"/>
    <x v="2"/>
    <n v="1"/>
  </r>
  <r>
    <d v="2035-01-08T00:00:00"/>
    <x v="11"/>
    <n v="17.100000000000001"/>
    <n v="5.5"/>
    <n v="0.94050000000000011"/>
    <n v="92.6"/>
    <x v="2"/>
    <n v="1"/>
  </r>
  <r>
    <d v="2035-01-09T00:00:00"/>
    <x v="10"/>
    <n v="29.1"/>
    <n v="0.4"/>
    <n v="0"/>
    <n v="121.69999999999999"/>
    <x v="2"/>
    <n v="1"/>
  </r>
  <r>
    <d v="2035-01-10T00:00:00"/>
    <x v="14"/>
    <n v="10.9"/>
    <n v="0"/>
    <n v="0"/>
    <n v="132.6"/>
    <x v="2"/>
    <n v="1"/>
  </r>
  <r>
    <d v="2035-01-11T00:00:00"/>
    <x v="28"/>
    <n v="27.4"/>
    <n v="0.3"/>
    <n v="0"/>
    <n v="27.4"/>
    <x v="2"/>
    <n v="1"/>
  </r>
  <r>
    <d v="2035-01-12T00:00:00"/>
    <x v="15"/>
    <n v="16.3"/>
    <n v="9.8000000000000007"/>
    <n v="1.5974000000000002"/>
    <n v="43.7"/>
    <x v="2"/>
    <n v="1"/>
  </r>
  <r>
    <d v="2035-01-13T00:00:00"/>
    <x v="3"/>
    <n v="14.7"/>
    <n v="0"/>
    <n v="0"/>
    <n v="58.400000000000006"/>
    <x v="2"/>
    <n v="1"/>
  </r>
  <r>
    <d v="2035-01-14T00:00:00"/>
    <x v="8"/>
    <n v="17.2"/>
    <n v="2"/>
    <n v="0.34399999999999997"/>
    <n v="75.600000000000009"/>
    <x v="2"/>
    <n v="1"/>
  </r>
  <r>
    <d v="2035-01-15T00:00:00"/>
    <x v="11"/>
    <n v="24.2"/>
    <n v="9.9"/>
    <n v="2.3957999999999999"/>
    <n v="99.800000000000011"/>
    <x v="2"/>
    <n v="1"/>
  </r>
  <r>
    <d v="2035-01-16T00:00:00"/>
    <x v="9"/>
    <n v="22.3"/>
    <n v="0"/>
    <n v="0"/>
    <n v="122.10000000000001"/>
    <x v="2"/>
    <n v="1"/>
  </r>
  <r>
    <d v="2035-01-17T00:00:00"/>
    <x v="25"/>
    <n v="26.7"/>
    <n v="0.6"/>
    <n v="0"/>
    <n v="148.80000000000001"/>
    <x v="2"/>
    <n v="1"/>
  </r>
  <r>
    <d v="2035-01-18T00:00:00"/>
    <x v="8"/>
    <n v="10.9"/>
    <n v="3.8"/>
    <n v="0.41420000000000001"/>
    <n v="10.9"/>
    <x v="2"/>
    <n v="1"/>
  </r>
  <r>
    <d v="2035-01-19T00:00:00"/>
    <x v="17"/>
    <n v="23.7"/>
    <n v="0"/>
    <n v="0"/>
    <n v="34.6"/>
    <x v="2"/>
    <n v="1"/>
  </r>
  <r>
    <d v="2035-01-20T00:00:00"/>
    <x v="6"/>
    <n v="16"/>
    <n v="22.3"/>
    <n v="3.5680000000000001"/>
    <n v="50.6"/>
    <x v="2"/>
    <n v="1"/>
  </r>
  <r>
    <d v="2035-01-21T00:00:00"/>
    <x v="6"/>
    <n v="19.399999999999999"/>
    <n v="41.6"/>
    <n v="8.0703999999999994"/>
    <n v="70"/>
    <x v="2"/>
    <n v="1"/>
  </r>
  <r>
    <d v="2035-01-22T00:00:00"/>
    <x v="7"/>
    <n v="26.7"/>
    <n v="10"/>
    <n v="2.67"/>
    <n v="96.7"/>
    <x v="2"/>
    <n v="1"/>
  </r>
  <r>
    <d v="2035-01-23T00:00:00"/>
    <x v="15"/>
    <n v="20.8"/>
    <n v="0"/>
    <n v="0"/>
    <n v="117.5"/>
    <x v="2"/>
    <n v="1"/>
  </r>
  <r>
    <d v="2035-01-24T00:00:00"/>
    <x v="6"/>
    <n v="25.6"/>
    <n v="0"/>
    <n v="0"/>
    <n v="143.1"/>
    <x v="2"/>
    <n v="1"/>
  </r>
  <r>
    <d v="2035-01-25T00:00:00"/>
    <x v="14"/>
    <n v="18.3"/>
    <n v="0.5"/>
    <n v="0"/>
    <n v="18.3"/>
    <x v="2"/>
    <n v="1"/>
  </r>
  <r>
    <d v="2035-01-26T00:00:00"/>
    <x v="5"/>
    <n v="27.4"/>
    <n v="4.2"/>
    <n v="1.1508"/>
    <n v="45.7"/>
    <x v="2"/>
    <n v="1"/>
  </r>
  <r>
    <d v="2035-01-27T00:00:00"/>
    <x v="19"/>
    <n v="16.100000000000001"/>
    <n v="3.4"/>
    <n v="0.5474"/>
    <n v="61.800000000000004"/>
    <x v="2"/>
    <n v="1"/>
  </r>
  <r>
    <d v="2035-01-28T00:00:00"/>
    <x v="10"/>
    <n v="27.5"/>
    <n v="8"/>
    <n v="2.2000000000000002"/>
    <n v="89.300000000000011"/>
    <x v="2"/>
    <n v="1"/>
  </r>
  <r>
    <d v="2035-01-29T00:00:00"/>
    <x v="5"/>
    <n v="28.4"/>
    <n v="10.199999999999999"/>
    <n v="2.8967999999999994"/>
    <n v="117.70000000000002"/>
    <x v="2"/>
    <n v="1"/>
  </r>
  <r>
    <d v="2035-01-30T00:00:00"/>
    <x v="9"/>
    <n v="16.100000000000001"/>
    <n v="4"/>
    <n v="0.64400000000000002"/>
    <n v="133.80000000000001"/>
    <x v="2"/>
    <n v="1"/>
  </r>
  <r>
    <d v="2035-01-31T00:00:00"/>
    <x v="19"/>
    <n v="28.4"/>
    <n v="2.6"/>
    <n v="0.73840000000000006"/>
    <n v="162.20000000000002"/>
    <x v="2"/>
    <n v="1"/>
  </r>
  <r>
    <d v="2035-02-01T00:00:00"/>
    <x v="10"/>
    <n v="29.3"/>
    <n v="0"/>
    <n v="0"/>
    <n v="29.3"/>
    <x v="2"/>
    <n v="1"/>
  </r>
  <r>
    <d v="2035-02-02T00:00:00"/>
    <x v="9"/>
    <n v="19.7"/>
    <n v="16.2"/>
    <n v="3.1913999999999998"/>
    <n v="49"/>
    <x v="2"/>
    <n v="1"/>
  </r>
  <r>
    <d v="2035-02-03T00:00:00"/>
    <x v="27"/>
    <n v="11.5"/>
    <n v="0.3"/>
    <n v="0"/>
    <n v="60.5"/>
    <x v="2"/>
    <n v="1"/>
  </r>
  <r>
    <d v="2035-02-04T00:00:00"/>
    <x v="15"/>
    <n v="19.5"/>
    <n v="0"/>
    <n v="0"/>
    <n v="80"/>
    <x v="2"/>
    <n v="1"/>
  </r>
  <r>
    <d v="2035-02-05T00:00:00"/>
    <x v="16"/>
    <n v="22.7"/>
    <n v="0.7"/>
    <n v="0"/>
    <n v="102.7"/>
    <x v="2"/>
    <n v="1"/>
  </r>
  <r>
    <d v="2035-02-06T00:00:00"/>
    <x v="3"/>
    <n v="19.7"/>
    <n v="7.3"/>
    <n v="1.4380999999999999"/>
    <n v="122.4"/>
    <x v="2"/>
    <n v="1"/>
  </r>
  <r>
    <d v="2035-02-07T00:00:00"/>
    <x v="22"/>
    <n v="19.399999999999999"/>
    <n v="0.4"/>
    <n v="0"/>
    <n v="141.80000000000001"/>
    <x v="2"/>
    <n v="1"/>
  </r>
  <r>
    <d v="2035-02-08T00:00:00"/>
    <x v="19"/>
    <n v="13.8"/>
    <n v="1.1000000000000001"/>
    <n v="0.15180000000000002"/>
    <n v="13.8"/>
    <x v="2"/>
    <n v="1"/>
  </r>
  <r>
    <d v="2035-02-09T00:00:00"/>
    <x v="9"/>
    <n v="19.600000000000001"/>
    <n v="2.2999999999999998"/>
    <n v="0.45079999999999998"/>
    <n v="33.400000000000006"/>
    <x v="2"/>
    <n v="1"/>
  </r>
  <r>
    <d v="2035-02-10T00:00:00"/>
    <x v="15"/>
    <n v="22.6"/>
    <n v="13.3"/>
    <n v="3.0058000000000002"/>
    <n v="56.000000000000007"/>
    <x v="2"/>
    <n v="1"/>
  </r>
  <r>
    <d v="2035-02-11T00:00:00"/>
    <x v="2"/>
    <n v="18.2"/>
    <n v="7.6"/>
    <n v="1.3832"/>
    <n v="74.2"/>
    <x v="2"/>
    <n v="1"/>
  </r>
  <r>
    <d v="2035-02-12T00:00:00"/>
    <x v="15"/>
    <n v="27.3"/>
    <n v="38.4"/>
    <n v="10.4832"/>
    <n v="101.5"/>
    <x v="2"/>
    <n v="1"/>
  </r>
  <r>
    <d v="2035-02-13T00:00:00"/>
    <x v="15"/>
    <n v="14.7"/>
    <n v="31.8"/>
    <n v="4.6745999999999999"/>
    <n v="116.2"/>
    <x v="2"/>
    <n v="1"/>
  </r>
  <r>
    <d v="2035-02-14T00:00:00"/>
    <x v="18"/>
    <n v="20.6"/>
    <n v="5.9"/>
    <n v="1.2154000000000003"/>
    <n v="136.80000000000001"/>
    <x v="2"/>
    <n v="1"/>
  </r>
  <r>
    <d v="2035-02-15T00:00:00"/>
    <x v="6"/>
    <n v="12.6"/>
    <n v="14.4"/>
    <n v="1.8144"/>
    <n v="12.6"/>
    <x v="2"/>
    <n v="1"/>
  </r>
  <r>
    <d v="2035-02-16T00:00:00"/>
    <x v="7"/>
    <n v="14.5"/>
    <n v="0"/>
    <n v="0"/>
    <n v="27.1"/>
    <x v="2"/>
    <n v="1"/>
  </r>
  <r>
    <d v="2035-02-17T00:00:00"/>
    <x v="6"/>
    <n v="24.7"/>
    <n v="36"/>
    <n v="8.8919999999999995"/>
    <n v="51.8"/>
    <x v="2"/>
    <n v="1"/>
  </r>
  <r>
    <d v="2035-02-18T00:00:00"/>
    <x v="15"/>
    <n v="17.899999999999999"/>
    <n v="24.9"/>
    <n v="4.4570999999999996"/>
    <n v="69.699999999999989"/>
    <x v="2"/>
    <n v="1"/>
  </r>
  <r>
    <d v="2035-02-19T00:00:00"/>
    <x v="10"/>
    <n v="20.2"/>
    <n v="2.9"/>
    <n v="0.58579999999999999"/>
    <n v="89.899999999999991"/>
    <x v="2"/>
    <n v="1"/>
  </r>
  <r>
    <d v="2035-02-20T00:00:00"/>
    <x v="4"/>
    <n v="13.4"/>
    <n v="1.7"/>
    <n v="0.2278"/>
    <n v="103.3"/>
    <x v="2"/>
    <n v="1"/>
  </r>
  <r>
    <d v="2035-02-21T00:00:00"/>
    <x v="13"/>
    <n v="12.2"/>
    <n v="6"/>
    <n v="0.73199999999999987"/>
    <n v="115.5"/>
    <x v="2"/>
    <n v="1"/>
  </r>
  <r>
    <d v="2035-02-22T00:00:00"/>
    <x v="26"/>
    <n v="29.8"/>
    <n v="0.4"/>
    <n v="0"/>
    <n v="29.8"/>
    <x v="2"/>
    <n v="1"/>
  </r>
  <r>
    <d v="2035-02-23T00:00:00"/>
    <x v="15"/>
    <n v="16.100000000000001"/>
    <n v="28.7"/>
    <n v="4.6207000000000003"/>
    <n v="45.900000000000006"/>
    <x v="2"/>
    <n v="1"/>
  </r>
  <r>
    <d v="2035-02-24T00:00:00"/>
    <x v="6"/>
    <n v="18.8"/>
    <n v="0"/>
    <n v="0"/>
    <n v="64.7"/>
    <x v="2"/>
    <n v="1"/>
  </r>
  <r>
    <d v="2035-02-25T00:00:00"/>
    <x v="11"/>
    <n v="17.100000000000001"/>
    <n v="0"/>
    <n v="0"/>
    <n v="81.800000000000011"/>
    <x v="2"/>
    <n v="1"/>
  </r>
  <r>
    <d v="2035-02-26T00:00:00"/>
    <x v="5"/>
    <n v="11.7"/>
    <n v="7.7"/>
    <n v="0.90090000000000003"/>
    <n v="93.500000000000014"/>
    <x v="2"/>
    <n v="1"/>
  </r>
  <r>
    <d v="2035-02-27T00:00:00"/>
    <x v="14"/>
    <n v="25.4"/>
    <n v="14.2"/>
    <n v="3.6067999999999993"/>
    <n v="118.9"/>
    <x v="2"/>
    <n v="1"/>
  </r>
  <r>
    <d v="2035-02-28T00:00:00"/>
    <x v="18"/>
    <n v="12.6"/>
    <n v="9"/>
    <n v="1.1339999999999999"/>
    <n v="131.5"/>
    <x v="2"/>
    <n v="1"/>
  </r>
  <r>
    <d v="2035-03-01T00:00:00"/>
    <x v="6"/>
    <n v="15.8"/>
    <n v="0"/>
    <n v="0"/>
    <n v="15.8"/>
    <x v="2"/>
    <n v="1"/>
  </r>
  <r>
    <d v="2035-03-02T00:00:00"/>
    <x v="14"/>
    <n v="24.7"/>
    <n v="13.9"/>
    <n v="3.4333"/>
    <n v="40.5"/>
    <x v="2"/>
    <n v="1"/>
  </r>
  <r>
    <d v="2035-03-03T00:00:00"/>
    <x v="23"/>
    <n v="26.7"/>
    <n v="0"/>
    <n v="0"/>
    <n v="67.2"/>
    <x v="2"/>
    <n v="1"/>
  </r>
  <r>
    <d v="2035-03-04T00:00:00"/>
    <x v="15"/>
    <n v="21.2"/>
    <n v="5.3"/>
    <n v="1.1235999999999999"/>
    <n v="88.4"/>
    <x v="2"/>
    <n v="1"/>
  </r>
  <r>
    <d v="2035-03-05T00:00:00"/>
    <x v="2"/>
    <n v="10.4"/>
    <n v="8.6"/>
    <n v="0.89439999999999997"/>
    <n v="98.800000000000011"/>
    <x v="2"/>
    <n v="1"/>
  </r>
  <r>
    <d v="2035-03-06T00:00:00"/>
    <x v="22"/>
    <n v="25.1"/>
    <n v="3.3"/>
    <n v="0.82830000000000004"/>
    <n v="123.9"/>
    <x v="2"/>
    <n v="1"/>
  </r>
  <r>
    <d v="2035-03-07T00:00:00"/>
    <x v="15"/>
    <n v="27.8"/>
    <n v="20.9"/>
    <n v="5.8102"/>
    <n v="151.70000000000002"/>
    <x v="2"/>
    <n v="1"/>
  </r>
  <r>
    <d v="2035-03-08T00:00:00"/>
    <x v="7"/>
    <n v="26.1"/>
    <n v="0"/>
    <n v="0"/>
    <n v="26.1"/>
    <x v="2"/>
    <n v="1"/>
  </r>
  <r>
    <d v="2035-03-09T00:00:00"/>
    <x v="9"/>
    <n v="18.3"/>
    <n v="7.8"/>
    <n v="1.4274"/>
    <n v="44.400000000000006"/>
    <x v="2"/>
    <n v="1"/>
  </r>
  <r>
    <d v="2035-03-10T00:00:00"/>
    <x v="7"/>
    <n v="16.3"/>
    <n v="0"/>
    <n v="0"/>
    <n v="60.7"/>
    <x v="2"/>
    <n v="1"/>
  </r>
  <r>
    <d v="2035-03-11T00:00:00"/>
    <x v="7"/>
    <n v="17.2"/>
    <n v="12.5"/>
    <n v="2.15"/>
    <n v="77.900000000000006"/>
    <x v="2"/>
    <n v="1"/>
  </r>
  <r>
    <d v="2035-03-12T00:00:00"/>
    <x v="20"/>
    <n v="22.1"/>
    <n v="3.7"/>
    <n v="0.81770000000000009"/>
    <n v="100"/>
    <x v="2"/>
    <n v="1"/>
  </r>
  <r>
    <d v="2035-03-13T00:00:00"/>
    <x v="19"/>
    <n v="18.8"/>
    <n v="0"/>
    <n v="0"/>
    <n v="118.8"/>
    <x v="2"/>
    <n v="1"/>
  </r>
  <r>
    <d v="2035-03-14T00:00:00"/>
    <x v="14"/>
    <n v="12.3"/>
    <n v="7.1"/>
    <n v="0.87329999999999997"/>
    <n v="131.1"/>
    <x v="2"/>
    <n v="1"/>
  </r>
  <r>
    <d v="2035-03-15T00:00:00"/>
    <x v="6"/>
    <n v="27.5"/>
    <n v="34.299999999999997"/>
    <n v="9.4324999999999992"/>
    <n v="27.5"/>
    <x v="2"/>
    <n v="1"/>
  </r>
  <r>
    <d v="2035-03-16T00:00:00"/>
    <x v="14"/>
    <n v="23.1"/>
    <n v="0"/>
    <n v="0"/>
    <n v="50.6"/>
    <x v="2"/>
    <n v="1"/>
  </r>
  <r>
    <d v="2035-03-17T00:00:00"/>
    <x v="7"/>
    <n v="21.3"/>
    <n v="0"/>
    <n v="0"/>
    <n v="71.900000000000006"/>
    <x v="2"/>
    <n v="1"/>
  </r>
  <r>
    <d v="2035-03-18T00:00:00"/>
    <x v="22"/>
    <n v="13.8"/>
    <n v="5.9"/>
    <n v="0.81420000000000015"/>
    <n v="85.7"/>
    <x v="2"/>
    <n v="1"/>
  </r>
  <r>
    <d v="2035-03-19T00:00:00"/>
    <x v="9"/>
    <n v="20"/>
    <n v="16"/>
    <n v="3.2"/>
    <n v="105.7"/>
    <x v="2"/>
    <n v="1"/>
  </r>
  <r>
    <d v="2035-03-20T00:00:00"/>
    <x v="8"/>
    <n v="23.9"/>
    <n v="0"/>
    <n v="0"/>
    <n v="129.6"/>
    <x v="2"/>
    <n v="1"/>
  </r>
  <r>
    <d v="2035-03-21T00:00:00"/>
    <x v="25"/>
    <n v="15.3"/>
    <n v="0.1"/>
    <n v="0"/>
    <n v="144.9"/>
    <x v="2"/>
    <n v="1"/>
  </r>
  <r>
    <d v="2035-03-22T00:00:00"/>
    <x v="10"/>
    <n v="16.600000000000001"/>
    <n v="0"/>
    <n v="0"/>
    <n v="16.600000000000001"/>
    <x v="2"/>
    <n v="1"/>
  </r>
  <r>
    <d v="2035-03-23T00:00:00"/>
    <x v="23"/>
    <n v="20.8"/>
    <n v="2"/>
    <n v="0.41600000000000004"/>
    <n v="37.400000000000006"/>
    <x v="2"/>
    <n v="1"/>
  </r>
  <r>
    <d v="2035-03-24T00:00:00"/>
    <x v="7"/>
    <n v="10.8"/>
    <n v="12.3"/>
    <n v="1.3284"/>
    <n v="48.2"/>
    <x v="2"/>
    <n v="1"/>
  </r>
  <r>
    <d v="2035-03-25T00:00:00"/>
    <x v="7"/>
    <n v="12.5"/>
    <n v="18.399999999999999"/>
    <n v="2.2999999999999998"/>
    <n v="60.7"/>
    <x v="2"/>
    <n v="1"/>
  </r>
  <r>
    <d v="2035-03-26T00:00:00"/>
    <x v="5"/>
    <n v="24"/>
    <n v="4.9000000000000004"/>
    <n v="1.1760000000000002"/>
    <n v="84.7"/>
    <x v="2"/>
    <n v="1"/>
  </r>
  <r>
    <d v="2035-03-27T00:00:00"/>
    <x v="6"/>
    <n v="21.4"/>
    <n v="11.1"/>
    <n v="2.3753999999999995"/>
    <n v="106.1"/>
    <x v="2"/>
    <n v="1"/>
  </r>
  <r>
    <d v="2035-03-28T00:00:00"/>
    <x v="18"/>
    <n v="18.3"/>
    <n v="0"/>
    <n v="0"/>
    <n v="124.39999999999999"/>
    <x v="2"/>
    <n v="1"/>
  </r>
  <r>
    <d v="2035-03-29T00:00:00"/>
    <x v="11"/>
    <n v="10.5"/>
    <n v="3.9"/>
    <n v="0.40949999999999998"/>
    <n v="10.5"/>
    <x v="2"/>
    <n v="1"/>
  </r>
  <r>
    <d v="2035-03-30T00:00:00"/>
    <x v="6"/>
    <n v="11.7"/>
    <n v="0"/>
    <n v="0"/>
    <n v="22.2"/>
    <x v="2"/>
    <n v="1"/>
  </r>
  <r>
    <d v="2035-03-31T00:00:00"/>
    <x v="3"/>
    <n v="26.8"/>
    <n v="0"/>
    <n v="0"/>
    <n v="49"/>
    <x v="2"/>
    <n v="1"/>
  </r>
  <r>
    <d v="2035-04-01T00:00:00"/>
    <x v="6"/>
    <n v="22.1"/>
    <n v="33.799999999999997"/>
    <n v="7.4698000000000002"/>
    <n v="71.099999999999994"/>
    <x v="2"/>
    <n v="1"/>
  </r>
  <r>
    <d v="2035-04-02T00:00:00"/>
    <x v="28"/>
    <n v="17.100000000000001"/>
    <n v="0"/>
    <n v="0"/>
    <n v="88.199999999999989"/>
    <x v="2"/>
    <n v="1"/>
  </r>
  <r>
    <d v="2035-04-03T00:00:00"/>
    <x v="9"/>
    <n v="12.1"/>
    <n v="14.4"/>
    <n v="1.7424000000000002"/>
    <n v="100.29999999999998"/>
    <x v="2"/>
    <n v="1"/>
  </r>
  <r>
    <d v="2035-04-04T00:00:00"/>
    <x v="15"/>
    <n v="28.6"/>
    <n v="23.2"/>
    <n v="6.6352000000000002"/>
    <n v="128.89999999999998"/>
    <x v="2"/>
    <n v="1"/>
  </r>
  <r>
    <d v="2035-04-05T00:00:00"/>
    <x v="2"/>
    <n v="21.2"/>
    <n v="1.5"/>
    <n v="0.31799999999999995"/>
    <n v="21.2"/>
    <x v="2"/>
    <n v="1"/>
  </r>
  <r>
    <d v="2035-04-06T00:00:00"/>
    <x v="5"/>
    <n v="17.2"/>
    <n v="2.4"/>
    <n v="0.41279999999999994"/>
    <n v="38.4"/>
    <x v="2"/>
    <n v="1"/>
  </r>
  <r>
    <d v="2035-04-07T00:00:00"/>
    <x v="6"/>
    <n v="22.3"/>
    <n v="0"/>
    <n v="0"/>
    <n v="60.7"/>
    <x v="2"/>
    <n v="1"/>
  </r>
  <r>
    <d v="2035-04-08T00:00:00"/>
    <x v="11"/>
    <n v="13.2"/>
    <n v="3.6"/>
    <n v="0.47519999999999996"/>
    <n v="73.900000000000006"/>
    <x v="2"/>
    <n v="1"/>
  </r>
  <r>
    <d v="2035-04-09T00:00:00"/>
    <x v="14"/>
    <n v="13.6"/>
    <n v="13.4"/>
    <n v="1.8224"/>
    <n v="87.5"/>
    <x v="2"/>
    <n v="1"/>
  </r>
  <r>
    <d v="2035-04-10T00:00:00"/>
    <x v="8"/>
    <n v="15.7"/>
    <n v="0"/>
    <n v="0"/>
    <n v="103.2"/>
    <x v="2"/>
    <n v="1"/>
  </r>
  <r>
    <d v="2035-04-11T00:00:00"/>
    <x v="5"/>
    <n v="24.8"/>
    <n v="0"/>
    <n v="0"/>
    <n v="128"/>
    <x v="2"/>
    <n v="1"/>
  </r>
  <r>
    <d v="2035-04-12T00:00:00"/>
    <x v="6"/>
    <n v="25.1"/>
    <n v="5.0999999999999996"/>
    <n v="1.2801"/>
    <n v="25.1"/>
    <x v="2"/>
    <n v="1"/>
  </r>
  <r>
    <d v="2035-04-13T00:00:00"/>
    <x v="15"/>
    <n v="14.2"/>
    <n v="23.5"/>
    <n v="3.3369999999999997"/>
    <n v="39.299999999999997"/>
    <x v="2"/>
    <n v="1"/>
  </r>
  <r>
    <d v="2035-04-14T00:00:00"/>
    <x v="10"/>
    <n v="21.1"/>
    <n v="1.4"/>
    <n v="0.2954"/>
    <n v="60.4"/>
    <x v="2"/>
    <n v="1"/>
  </r>
  <r>
    <d v="2035-04-15T00:00:00"/>
    <x v="6"/>
    <n v="25.4"/>
    <n v="28"/>
    <n v="7.1119999999999992"/>
    <n v="85.8"/>
    <x v="2"/>
    <n v="1"/>
  </r>
  <r>
    <d v="2035-04-16T00:00:00"/>
    <x v="6"/>
    <n v="24.7"/>
    <n v="5.7"/>
    <n v="1.4078999999999999"/>
    <n v="110.5"/>
    <x v="2"/>
    <n v="1"/>
  </r>
  <r>
    <d v="2035-04-17T00:00:00"/>
    <x v="9"/>
    <n v="19.8"/>
    <n v="0"/>
    <n v="0"/>
    <n v="130.30000000000001"/>
    <x v="2"/>
    <n v="1"/>
  </r>
  <r>
    <d v="2035-04-18T00:00:00"/>
    <x v="23"/>
    <n v="28.4"/>
    <n v="2.9"/>
    <n v="0.8236"/>
    <n v="158.70000000000002"/>
    <x v="2"/>
    <n v="1"/>
  </r>
  <r>
    <d v="2035-04-19T00:00:00"/>
    <x v="7"/>
    <n v="26.5"/>
    <n v="0"/>
    <n v="0"/>
    <n v="26.5"/>
    <x v="2"/>
    <n v="1"/>
  </r>
  <r>
    <d v="2035-04-20T00:00:00"/>
    <x v="6"/>
    <n v="14.1"/>
    <n v="13.1"/>
    <n v="1.8470999999999997"/>
    <n v="40.6"/>
    <x v="2"/>
    <n v="1"/>
  </r>
  <r>
    <d v="2035-04-21T00:00:00"/>
    <x v="24"/>
    <n v="15.9"/>
    <n v="0.5"/>
    <n v="0"/>
    <n v="56.5"/>
    <x v="2"/>
    <n v="1"/>
  </r>
  <r>
    <d v="2035-04-22T00:00:00"/>
    <x v="15"/>
    <n v="28.2"/>
    <n v="26.9"/>
    <n v="7.585799999999999"/>
    <n v="84.7"/>
    <x v="2"/>
    <n v="1"/>
  </r>
  <r>
    <d v="2035-04-23T00:00:00"/>
    <x v="24"/>
    <n v="17.100000000000001"/>
    <n v="0.5"/>
    <n v="0"/>
    <n v="101.80000000000001"/>
    <x v="2"/>
    <n v="1"/>
  </r>
  <r>
    <d v="2035-04-24T00:00:00"/>
    <x v="15"/>
    <n v="27"/>
    <n v="0"/>
    <n v="0"/>
    <n v="128.80000000000001"/>
    <x v="2"/>
    <n v="1"/>
  </r>
  <r>
    <d v="2035-04-25T00:00:00"/>
    <x v="14"/>
    <n v="24.1"/>
    <n v="0"/>
    <n v="0"/>
    <n v="152.9"/>
    <x v="2"/>
    <n v="1"/>
  </r>
  <r>
    <d v="2035-04-26T00:00:00"/>
    <x v="8"/>
    <n v="10.4"/>
    <n v="7.2"/>
    <n v="0.74880000000000013"/>
    <n v="10.4"/>
    <x v="2"/>
    <n v="1"/>
  </r>
  <r>
    <d v="2035-04-27T00:00:00"/>
    <x v="9"/>
    <n v="27.2"/>
    <n v="15.1"/>
    <n v="4.1071999999999997"/>
    <n v="37.6"/>
    <x v="2"/>
    <n v="1"/>
  </r>
  <r>
    <d v="2035-04-28T00:00:00"/>
    <x v="18"/>
    <n v="22.1"/>
    <n v="0"/>
    <n v="0"/>
    <n v="59.7"/>
    <x v="2"/>
    <n v="1"/>
  </r>
  <r>
    <d v="2035-04-29T00:00:00"/>
    <x v="10"/>
    <n v="13.3"/>
    <n v="8.5"/>
    <n v="1.1305000000000001"/>
    <n v="73"/>
    <x v="2"/>
    <n v="1"/>
  </r>
  <r>
    <d v="2035-04-30T00:00:00"/>
    <x v="8"/>
    <n v="26.4"/>
    <n v="0"/>
    <n v="0"/>
    <n v="99.4"/>
    <x v="2"/>
    <n v="1"/>
  </r>
  <r>
    <d v="2035-05-01T00:00:00"/>
    <x v="21"/>
    <n v="25.8"/>
    <n v="2.9"/>
    <n v="0.74819999999999998"/>
    <n v="125.2"/>
    <x v="2"/>
    <n v="1"/>
  </r>
  <r>
    <d v="2035-05-02T00:00:00"/>
    <x v="11"/>
    <n v="23"/>
    <n v="3.8"/>
    <n v="0.87399999999999989"/>
    <n v="148.19999999999999"/>
    <x v="2"/>
    <n v="1"/>
  </r>
  <r>
    <d v="2035-05-03T00:00:00"/>
    <x v="9"/>
    <n v="22.7"/>
    <n v="0"/>
    <n v="0"/>
    <n v="22.7"/>
    <x v="2"/>
    <n v="1"/>
  </r>
  <r>
    <d v="2035-05-04T00:00:00"/>
    <x v="22"/>
    <n v="26.2"/>
    <n v="5.0999999999999996"/>
    <n v="1.3361999999999998"/>
    <n v="48.9"/>
    <x v="2"/>
    <n v="1"/>
  </r>
  <r>
    <d v="2035-05-05T00:00:00"/>
    <x v="10"/>
    <n v="16.600000000000001"/>
    <n v="0"/>
    <n v="0"/>
    <n v="65.5"/>
    <x v="2"/>
    <n v="1"/>
  </r>
  <r>
    <d v="2035-05-06T00:00:00"/>
    <x v="19"/>
    <n v="23.9"/>
    <n v="0"/>
    <n v="0"/>
    <n v="89.4"/>
    <x v="2"/>
    <n v="1"/>
  </r>
  <r>
    <d v="2035-05-07T00:00:00"/>
    <x v="3"/>
    <n v="10.6"/>
    <n v="21.3"/>
    <n v="2.2578"/>
    <n v="100"/>
    <x v="2"/>
    <n v="1"/>
  </r>
  <r>
    <d v="2035-05-08T00:00:00"/>
    <x v="6"/>
    <n v="22.8"/>
    <n v="24.6"/>
    <n v="5.6087999999999996"/>
    <n v="122.8"/>
    <x v="2"/>
    <n v="1"/>
  </r>
  <r>
    <d v="2035-05-09T00:00:00"/>
    <x v="1"/>
    <n v="26.8"/>
    <n v="7.5"/>
    <n v="2.0099999999999998"/>
    <n v="149.6"/>
    <x v="2"/>
    <n v="1"/>
  </r>
  <r>
    <d v="2035-05-10T00:00:00"/>
    <x v="15"/>
    <n v="21.3"/>
    <n v="37.700000000000003"/>
    <n v="8.0301000000000009"/>
    <n v="21.3"/>
    <x v="2"/>
    <n v="1"/>
  </r>
  <r>
    <d v="2035-05-11T00:00:00"/>
    <x v="8"/>
    <n v="20.3"/>
    <n v="11"/>
    <n v="2.2330000000000001"/>
    <n v="41.6"/>
    <x v="2"/>
    <n v="1"/>
  </r>
  <r>
    <d v="2035-05-12T00:00:00"/>
    <x v="15"/>
    <n v="25.6"/>
    <n v="20.100000000000001"/>
    <n v="5.1456000000000008"/>
    <n v="67.2"/>
    <x v="2"/>
    <n v="1"/>
  </r>
  <r>
    <d v="2035-05-13T00:00:00"/>
    <x v="9"/>
    <n v="25.1"/>
    <n v="14.7"/>
    <n v="3.6897000000000002"/>
    <n v="92.300000000000011"/>
    <x v="2"/>
    <n v="1"/>
  </r>
  <r>
    <d v="2035-05-14T00:00:00"/>
    <x v="3"/>
    <n v="24.3"/>
    <n v="24.3"/>
    <n v="5.9049000000000005"/>
    <n v="116.60000000000001"/>
    <x v="2"/>
    <n v="1"/>
  </r>
  <r>
    <d v="2035-05-15T00:00:00"/>
    <x v="10"/>
    <n v="12.9"/>
    <n v="2.7"/>
    <n v="0.34830000000000005"/>
    <n v="129.5"/>
    <x v="2"/>
    <n v="1"/>
  </r>
  <r>
    <d v="2035-05-16T00:00:00"/>
    <x v="15"/>
    <n v="16.7"/>
    <n v="27.7"/>
    <n v="4.6258999999999997"/>
    <n v="146.19999999999999"/>
    <x v="2"/>
    <n v="1"/>
  </r>
  <r>
    <d v="2035-05-17T00:00:00"/>
    <x v="6"/>
    <n v="16.2"/>
    <n v="20.5"/>
    <n v="3.3209999999999997"/>
    <n v="16.2"/>
    <x v="2"/>
    <n v="1"/>
  </r>
  <r>
    <d v="2035-05-18T00:00:00"/>
    <x v="8"/>
    <n v="19.5"/>
    <n v="5.0999999999999996"/>
    <n v="0.99449999999999994"/>
    <n v="35.700000000000003"/>
    <x v="2"/>
    <n v="1"/>
  </r>
  <r>
    <d v="2035-05-19T00:00:00"/>
    <x v="6"/>
    <n v="22.9"/>
    <n v="6.6"/>
    <n v="1.5113999999999999"/>
    <n v="58.6"/>
    <x v="2"/>
    <n v="1"/>
  </r>
  <r>
    <d v="2035-05-20T00:00:00"/>
    <x v="15"/>
    <n v="25.9"/>
    <n v="4.4000000000000004"/>
    <n v="1.1396000000000002"/>
    <n v="84.5"/>
    <x v="2"/>
    <n v="1"/>
  </r>
  <r>
    <d v="2035-05-21T00:00:00"/>
    <x v="14"/>
    <n v="20.3"/>
    <n v="4.5999999999999996"/>
    <n v="0.93379999999999996"/>
    <n v="104.8"/>
    <x v="2"/>
    <n v="1"/>
  </r>
  <r>
    <d v="2035-05-22T00:00:00"/>
    <x v="24"/>
    <n v="11.3"/>
    <n v="0.3"/>
    <n v="0"/>
    <n v="116.1"/>
    <x v="2"/>
    <n v="1"/>
  </r>
  <r>
    <d v="2035-05-23T00:00:00"/>
    <x v="6"/>
    <n v="27.4"/>
    <n v="29.9"/>
    <n v="8.1925999999999988"/>
    <n v="143.5"/>
    <x v="2"/>
    <n v="1"/>
  </r>
  <r>
    <d v="2035-05-24T00:00:00"/>
    <x v="15"/>
    <n v="29.2"/>
    <n v="0"/>
    <n v="0"/>
    <n v="29.2"/>
    <x v="2"/>
    <n v="1"/>
  </r>
  <r>
    <d v="2035-05-25T00:00:00"/>
    <x v="0"/>
    <n v="27.4"/>
    <n v="0"/>
    <n v="0"/>
    <n v="56.599999999999994"/>
    <x v="2"/>
    <n v="1"/>
  </r>
  <r>
    <d v="2035-05-26T00:00:00"/>
    <x v="15"/>
    <n v="10.1"/>
    <n v="8.1"/>
    <n v="0.81809999999999983"/>
    <n v="66.699999999999989"/>
    <x v="2"/>
    <n v="1"/>
  </r>
  <r>
    <d v="2035-05-27T00:00:00"/>
    <x v="1"/>
    <n v="12.9"/>
    <n v="5.9"/>
    <n v="0.76110000000000011"/>
    <n v="79.599999999999994"/>
    <x v="2"/>
    <n v="1"/>
  </r>
  <r>
    <d v="2035-05-28T00:00:00"/>
    <x v="10"/>
    <n v="18.7"/>
    <n v="0"/>
    <n v="0"/>
    <n v="98.3"/>
    <x v="2"/>
    <n v="1"/>
  </r>
  <r>
    <d v="2035-05-29T00:00:00"/>
    <x v="28"/>
    <n v="17.8"/>
    <n v="0.3"/>
    <n v="0"/>
    <n v="116.1"/>
    <x v="2"/>
    <n v="1"/>
  </r>
  <r>
    <d v="2035-05-30T00:00:00"/>
    <x v="6"/>
    <n v="24.7"/>
    <n v="42.9"/>
    <n v="10.596299999999999"/>
    <n v="140.79999999999998"/>
    <x v="2"/>
    <n v="1"/>
  </r>
  <r>
    <d v="2035-05-31T00:00:00"/>
    <x v="6"/>
    <n v="28.7"/>
    <n v="33.799999999999997"/>
    <n v="9.7005999999999997"/>
    <n v="28.7"/>
    <x v="2"/>
    <n v="1"/>
  </r>
  <r>
    <d v="2035-06-01T00:00:00"/>
    <x v="14"/>
    <n v="12.3"/>
    <n v="1.7"/>
    <n v="0.20910000000000001"/>
    <n v="41"/>
    <x v="2"/>
    <n v="1"/>
  </r>
  <r>
    <d v="2035-06-02T00:00:00"/>
    <x v="15"/>
    <n v="22.9"/>
    <n v="0"/>
    <n v="0"/>
    <n v="63.9"/>
    <x v="2"/>
    <n v="1"/>
  </r>
  <r>
    <d v="2035-06-03T00:00:00"/>
    <x v="13"/>
    <n v="20"/>
    <n v="3"/>
    <n v="0.6"/>
    <n v="83.9"/>
    <x v="2"/>
    <n v="1"/>
  </r>
  <r>
    <d v="2035-06-04T00:00:00"/>
    <x v="6"/>
    <n v="27.3"/>
    <n v="0"/>
    <n v="0"/>
    <n v="111.2"/>
    <x v="2"/>
    <n v="1"/>
  </r>
  <r>
    <d v="2035-06-05T00:00:00"/>
    <x v="9"/>
    <n v="29.9"/>
    <n v="7.7"/>
    <n v="2.3022999999999998"/>
    <n v="141.1"/>
    <x v="2"/>
    <n v="1"/>
  </r>
  <r>
    <d v="2035-06-06T00:00:00"/>
    <x v="8"/>
    <n v="27.5"/>
    <n v="2.7"/>
    <n v="0.74250000000000005"/>
    <n v="168.6"/>
    <x v="2"/>
    <n v="1"/>
  </r>
  <r>
    <d v="2035-06-07T00:00:00"/>
    <x v="14"/>
    <n v="16.5"/>
    <n v="13.3"/>
    <n v="2.1945000000000001"/>
    <n v="16.5"/>
    <x v="2"/>
    <n v="1"/>
  </r>
  <r>
    <d v="2035-06-08T00:00:00"/>
    <x v="1"/>
    <n v="23.5"/>
    <n v="5.9"/>
    <n v="1.3865000000000001"/>
    <n v="40"/>
    <x v="2"/>
    <n v="1"/>
  </r>
  <r>
    <d v="2035-06-09T00:00:00"/>
    <x v="1"/>
    <n v="21.5"/>
    <n v="4.0999999999999996"/>
    <n v="0.88149999999999995"/>
    <n v="61.5"/>
    <x v="2"/>
    <n v="1"/>
  </r>
  <r>
    <d v="2035-06-10T00:00:00"/>
    <x v="11"/>
    <n v="10.3"/>
    <n v="15.6"/>
    <n v="1.6068"/>
    <n v="71.8"/>
    <x v="2"/>
    <n v="1"/>
  </r>
  <r>
    <d v="2035-06-11T00:00:00"/>
    <x v="6"/>
    <n v="15"/>
    <n v="0"/>
    <n v="0"/>
    <n v="86.8"/>
    <x v="2"/>
    <n v="1"/>
  </r>
  <r>
    <d v="2035-06-12T00:00:00"/>
    <x v="2"/>
    <n v="23.3"/>
    <n v="5.3"/>
    <n v="1.2348999999999999"/>
    <n v="110.1"/>
    <x v="2"/>
    <n v="1"/>
  </r>
  <r>
    <d v="2035-06-13T00:00:00"/>
    <x v="11"/>
    <n v="10.5"/>
    <n v="14.4"/>
    <n v="1.5120000000000002"/>
    <n v="120.6"/>
    <x v="2"/>
    <n v="1"/>
  </r>
  <r>
    <d v="2035-06-14T00:00:00"/>
    <x v="6"/>
    <n v="18.5"/>
    <n v="0"/>
    <n v="0"/>
    <n v="18.5"/>
    <x v="2"/>
    <n v="1"/>
  </r>
  <r>
    <d v="2035-06-15T00:00:00"/>
    <x v="10"/>
    <n v="20.2"/>
    <n v="5.4"/>
    <n v="1.0908"/>
    <n v="38.700000000000003"/>
    <x v="2"/>
    <n v="1"/>
  </r>
  <r>
    <d v="2035-06-16T00:00:00"/>
    <x v="19"/>
    <n v="29"/>
    <n v="4.2"/>
    <n v="1.2180000000000002"/>
    <n v="67.7"/>
    <x v="2"/>
    <n v="1"/>
  </r>
  <r>
    <d v="2035-06-17T00:00:00"/>
    <x v="11"/>
    <n v="12.1"/>
    <n v="18.100000000000001"/>
    <n v="2.1901000000000002"/>
    <n v="79.8"/>
    <x v="2"/>
    <n v="1"/>
  </r>
  <r>
    <d v="2035-06-18T00:00:00"/>
    <x v="9"/>
    <n v="14.1"/>
    <n v="5.6"/>
    <n v="0.78959999999999997"/>
    <n v="93.899999999999991"/>
    <x v="2"/>
    <n v="1"/>
  </r>
  <r>
    <d v="2035-06-19T00:00:00"/>
    <x v="6"/>
    <n v="19.5"/>
    <n v="2.7"/>
    <n v="0.52650000000000008"/>
    <n v="113.39999999999999"/>
    <x v="2"/>
    <n v="1"/>
  </r>
  <r>
    <d v="2035-06-20T00:00:00"/>
    <x v="23"/>
    <n v="28.7"/>
    <n v="0.3"/>
    <n v="0"/>
    <n v="142.1"/>
    <x v="2"/>
    <n v="1"/>
  </r>
  <r>
    <d v="2035-06-21T00:00:00"/>
    <x v="15"/>
    <n v="20.3"/>
    <n v="15"/>
    <n v="3.0449999999999999"/>
    <n v="20.3"/>
    <x v="2"/>
    <n v="1"/>
  </r>
  <r>
    <d v="2035-06-22T00:00:00"/>
    <x v="3"/>
    <n v="25.9"/>
    <n v="4.7"/>
    <n v="1.2173"/>
    <n v="46.2"/>
    <x v="2"/>
    <n v="1"/>
  </r>
  <r>
    <d v="2035-06-23T00:00:00"/>
    <x v="3"/>
    <n v="25.3"/>
    <n v="0"/>
    <n v="0"/>
    <n v="71.5"/>
    <x v="2"/>
    <n v="1"/>
  </r>
  <r>
    <d v="2035-06-24T00:00:00"/>
    <x v="16"/>
    <n v="22.8"/>
    <n v="0.6"/>
    <n v="0"/>
    <n v="94.3"/>
    <x v="2"/>
    <n v="1"/>
  </r>
  <r>
    <d v="2035-06-25T00:00:00"/>
    <x v="18"/>
    <n v="28.4"/>
    <n v="2.2999999999999998"/>
    <n v="0.65319999999999989"/>
    <n v="122.69999999999999"/>
    <x v="2"/>
    <n v="1"/>
  </r>
  <r>
    <d v="2035-06-26T00:00:00"/>
    <x v="18"/>
    <n v="29.7"/>
    <n v="0"/>
    <n v="0"/>
    <n v="152.39999999999998"/>
    <x v="2"/>
    <n v="1"/>
  </r>
  <r>
    <d v="2035-06-27T00:00:00"/>
    <x v="11"/>
    <n v="11.7"/>
    <n v="6.4"/>
    <n v="0.74879999999999991"/>
    <n v="164.09999999999997"/>
    <x v="2"/>
    <n v="1"/>
  </r>
  <r>
    <d v="2035-06-28T00:00:00"/>
    <x v="18"/>
    <n v="12.8"/>
    <n v="6.9"/>
    <n v="0.8832000000000001"/>
    <n v="12.8"/>
    <x v="2"/>
    <n v="1"/>
  </r>
  <r>
    <d v="2035-06-29T00:00:00"/>
    <x v="6"/>
    <n v="11"/>
    <n v="0"/>
    <n v="0"/>
    <n v="23.8"/>
    <x v="2"/>
    <n v="1"/>
  </r>
  <r>
    <d v="2035-06-30T00:00:00"/>
    <x v="29"/>
    <n v="14.7"/>
    <n v="0.5"/>
    <n v="0"/>
    <n v="38.5"/>
    <x v="2"/>
    <n v="1"/>
  </r>
  <r>
    <d v="2035-07-01T00:00:00"/>
    <x v="22"/>
    <n v="13.2"/>
    <n v="2.5"/>
    <n v="0.33"/>
    <n v="51.7"/>
    <x v="2"/>
    <n v="1"/>
  </r>
  <r>
    <d v="2035-07-02T00:00:00"/>
    <x v="22"/>
    <n v="28"/>
    <n v="3.8"/>
    <n v="1.0639999999999998"/>
    <n v="79.7"/>
    <x v="2"/>
    <n v="1"/>
  </r>
  <r>
    <d v="2035-07-03T00:00:00"/>
    <x v="7"/>
    <n v="27.5"/>
    <n v="10.3"/>
    <n v="2.8325"/>
    <n v="107.2"/>
    <x v="2"/>
    <n v="1"/>
  </r>
  <r>
    <d v="2035-07-04T00:00:00"/>
    <x v="22"/>
    <n v="12.1"/>
    <n v="4.7"/>
    <n v="0.56869999999999998"/>
    <n v="119.3"/>
    <x v="2"/>
    <n v="1"/>
  </r>
  <r>
    <d v="2035-07-05T00:00:00"/>
    <x v="11"/>
    <n v="24.7"/>
    <n v="7.2"/>
    <n v="1.7784"/>
    <n v="24.7"/>
    <x v="2"/>
    <n v="1"/>
  </r>
  <r>
    <d v="2035-07-06T00:00:00"/>
    <x v="21"/>
    <n v="27.1"/>
    <n v="2.6"/>
    <n v="0.70460000000000012"/>
    <n v="51.8"/>
    <x v="2"/>
    <n v="1"/>
  </r>
  <r>
    <d v="2035-07-07T00:00:00"/>
    <x v="3"/>
    <n v="28.7"/>
    <n v="3"/>
    <n v="0.86099999999999999"/>
    <n v="80.5"/>
    <x v="2"/>
    <n v="1"/>
  </r>
  <r>
    <d v="2035-07-08T00:00:00"/>
    <x v="6"/>
    <n v="15"/>
    <n v="21.4"/>
    <n v="3.21"/>
    <n v="95.5"/>
    <x v="2"/>
    <n v="1"/>
  </r>
  <r>
    <d v="2035-07-09T00:00:00"/>
    <x v="7"/>
    <n v="11.6"/>
    <n v="3.7"/>
    <n v="0.42920000000000003"/>
    <n v="107.1"/>
    <x v="2"/>
    <n v="1"/>
  </r>
  <r>
    <d v="2035-07-10T00:00:00"/>
    <x v="6"/>
    <n v="13.1"/>
    <n v="0"/>
    <n v="0"/>
    <n v="120.19999999999999"/>
    <x v="2"/>
    <n v="1"/>
  </r>
  <r>
    <d v="2035-07-11T00:00:00"/>
    <x v="22"/>
    <n v="25.5"/>
    <n v="0"/>
    <n v="0"/>
    <n v="145.69999999999999"/>
    <x v="2"/>
    <n v="1"/>
  </r>
  <r>
    <d v="2035-07-12T00:00:00"/>
    <x v="24"/>
    <n v="19.399999999999999"/>
    <n v="0.7"/>
    <n v="0"/>
    <n v="19.399999999999999"/>
    <x v="2"/>
    <n v="1"/>
  </r>
  <r>
    <d v="2035-07-13T00:00:00"/>
    <x v="3"/>
    <n v="27.3"/>
    <n v="2.6"/>
    <n v="0.70979999999999999"/>
    <n v="46.7"/>
    <x v="2"/>
    <n v="1"/>
  </r>
  <r>
    <d v="2035-07-14T00:00:00"/>
    <x v="6"/>
    <n v="21"/>
    <n v="27.8"/>
    <n v="5.838000000000001"/>
    <n v="67.7"/>
    <x v="2"/>
    <n v="1"/>
  </r>
  <r>
    <d v="2035-07-15T00:00:00"/>
    <x v="10"/>
    <n v="11.5"/>
    <n v="0"/>
    <n v="0"/>
    <n v="79.2"/>
    <x v="2"/>
    <n v="1"/>
  </r>
  <r>
    <d v="2035-07-16T00:00:00"/>
    <x v="17"/>
    <n v="13.6"/>
    <n v="2.7"/>
    <n v="0.36719999999999997"/>
    <n v="92.8"/>
    <x v="2"/>
    <n v="1"/>
  </r>
  <r>
    <d v="2035-07-17T00:00:00"/>
    <x v="4"/>
    <n v="17.8"/>
    <n v="0.3"/>
    <n v="0"/>
    <n v="110.6"/>
    <x v="2"/>
    <n v="1"/>
  </r>
  <r>
    <d v="2035-07-18T00:00:00"/>
    <x v="4"/>
    <n v="10.8"/>
    <n v="0"/>
    <n v="0"/>
    <n v="121.39999999999999"/>
    <x v="2"/>
    <n v="1"/>
  </r>
  <r>
    <d v="2035-07-19T00:00:00"/>
    <x v="6"/>
    <n v="23"/>
    <n v="3.3"/>
    <n v="0.7589999999999999"/>
    <n v="23"/>
    <x v="2"/>
    <n v="1"/>
  </r>
  <r>
    <d v="2035-07-20T00:00:00"/>
    <x v="7"/>
    <n v="14"/>
    <n v="18.100000000000001"/>
    <n v="2.5340000000000003"/>
    <n v="37"/>
    <x v="2"/>
    <n v="1"/>
  </r>
  <r>
    <d v="2035-07-21T00:00:00"/>
    <x v="22"/>
    <n v="10.7"/>
    <n v="0.4"/>
    <n v="0"/>
    <n v="47.7"/>
    <x v="2"/>
    <n v="1"/>
  </r>
  <r>
    <d v="2035-07-22T00:00:00"/>
    <x v="9"/>
    <n v="24.7"/>
    <n v="9.1"/>
    <n v="2.2477"/>
    <n v="72.400000000000006"/>
    <x v="2"/>
    <n v="1"/>
  </r>
  <r>
    <d v="2035-07-23T00:00:00"/>
    <x v="15"/>
    <n v="12.2"/>
    <n v="18.600000000000001"/>
    <n v="2.2692000000000001"/>
    <n v="84.600000000000009"/>
    <x v="2"/>
    <n v="1"/>
  </r>
  <r>
    <d v="2035-07-24T00:00:00"/>
    <x v="2"/>
    <n v="23.8"/>
    <n v="7.7"/>
    <n v="1.8326000000000002"/>
    <n v="108.4"/>
    <x v="2"/>
    <n v="1"/>
  </r>
  <r>
    <d v="2035-07-25T00:00:00"/>
    <x v="8"/>
    <n v="18.5"/>
    <n v="0"/>
    <n v="0"/>
    <n v="126.9"/>
    <x v="2"/>
    <n v="1"/>
  </r>
  <r>
    <d v="2035-07-26T00:00:00"/>
    <x v="13"/>
    <n v="24.6"/>
    <n v="0.4"/>
    <n v="0"/>
    <n v="24.6"/>
    <x v="2"/>
    <n v="1"/>
  </r>
  <r>
    <d v="2035-07-27T00:00:00"/>
    <x v="15"/>
    <n v="24.6"/>
    <n v="10.4"/>
    <n v="2.5584000000000002"/>
    <n v="49.2"/>
    <x v="2"/>
    <n v="1"/>
  </r>
  <r>
    <d v="2035-07-28T00:00:00"/>
    <x v="8"/>
    <n v="25.4"/>
    <n v="11.2"/>
    <n v="2.8447999999999998"/>
    <n v="74.599999999999994"/>
    <x v="2"/>
    <n v="1"/>
  </r>
  <r>
    <d v="2035-07-29T00:00:00"/>
    <x v="7"/>
    <n v="13.1"/>
    <n v="22.2"/>
    <n v="2.9081999999999999"/>
    <n v="87.699999999999989"/>
    <x v="2"/>
    <n v="1"/>
  </r>
  <r>
    <d v="2035-07-30T00:00:00"/>
    <x v="6"/>
    <n v="10.1"/>
    <n v="11.6"/>
    <n v="1.1716"/>
    <n v="97.799999999999983"/>
    <x v="2"/>
    <n v="1"/>
  </r>
  <r>
    <d v="2035-07-31T00:00:00"/>
    <x v="11"/>
    <n v="25"/>
    <n v="0"/>
    <n v="0"/>
    <n v="122.79999999999998"/>
    <x v="2"/>
    <n v="1"/>
  </r>
  <r>
    <d v="2035-08-01T00:00:00"/>
    <x v="14"/>
    <n v="20.9"/>
    <n v="11.4"/>
    <n v="2.3826000000000001"/>
    <n v="143.69999999999999"/>
    <x v="2"/>
    <n v="1"/>
  </r>
  <r>
    <d v="2035-08-02T00:00:00"/>
    <x v="10"/>
    <n v="27.6"/>
    <n v="2.5"/>
    <n v="0.69"/>
    <n v="27.6"/>
    <x v="2"/>
    <n v="1"/>
  </r>
  <r>
    <d v="2035-08-03T00:00:00"/>
    <x v="6"/>
    <n v="22.8"/>
    <n v="0"/>
    <n v="0"/>
    <n v="50.400000000000006"/>
    <x v="2"/>
    <n v="1"/>
  </r>
  <r>
    <d v="2035-08-04T00:00:00"/>
    <x v="5"/>
    <n v="12"/>
    <n v="0"/>
    <n v="0"/>
    <n v="62.400000000000006"/>
    <x v="2"/>
    <n v="1"/>
  </r>
  <r>
    <d v="2035-08-05T00:00:00"/>
    <x v="19"/>
    <n v="16.8"/>
    <n v="4.9000000000000004"/>
    <n v="0.82320000000000004"/>
    <n v="79.2"/>
    <x v="2"/>
    <n v="1"/>
  </r>
  <r>
    <d v="2035-08-06T00:00:00"/>
    <x v="16"/>
    <n v="12.9"/>
    <n v="3"/>
    <n v="0.38700000000000001"/>
    <n v="92.100000000000009"/>
    <x v="2"/>
    <n v="1"/>
  </r>
  <r>
    <d v="2035-08-07T00:00:00"/>
    <x v="6"/>
    <n v="18"/>
    <n v="13.6"/>
    <n v="2.448"/>
    <n v="110.10000000000001"/>
    <x v="2"/>
    <n v="1"/>
  </r>
  <r>
    <d v="2035-08-08T00:00:00"/>
    <x v="15"/>
    <n v="26"/>
    <n v="30.4"/>
    <n v="7.9039999999999999"/>
    <n v="136.10000000000002"/>
    <x v="2"/>
    <n v="1"/>
  </r>
  <r>
    <d v="2035-08-09T00:00:00"/>
    <x v="11"/>
    <n v="21.3"/>
    <n v="0"/>
    <n v="0"/>
    <n v="21.3"/>
    <x v="2"/>
    <n v="1"/>
  </r>
  <r>
    <d v="2035-08-10T00:00:00"/>
    <x v="7"/>
    <n v="15.7"/>
    <n v="5.9"/>
    <n v="0.9262999999999999"/>
    <n v="37"/>
    <x v="2"/>
    <n v="1"/>
  </r>
  <r>
    <d v="2035-08-11T00:00:00"/>
    <x v="6"/>
    <n v="19.100000000000001"/>
    <n v="0"/>
    <n v="0"/>
    <n v="56.1"/>
    <x v="2"/>
    <n v="1"/>
  </r>
  <r>
    <d v="2035-08-12T00:00:00"/>
    <x v="15"/>
    <n v="24.6"/>
    <n v="12.3"/>
    <n v="3.0258000000000003"/>
    <n v="80.7"/>
    <x v="2"/>
    <n v="1"/>
  </r>
  <r>
    <d v="2035-08-13T00:00:00"/>
    <x v="6"/>
    <n v="18.7"/>
    <n v="17.8"/>
    <n v="3.3286000000000002"/>
    <n v="99.4"/>
    <x v="2"/>
    <n v="1"/>
  </r>
  <r>
    <d v="2035-08-14T00:00:00"/>
    <x v="5"/>
    <n v="13.2"/>
    <n v="3.2"/>
    <n v="0.4224"/>
    <n v="112.60000000000001"/>
    <x v="2"/>
    <n v="1"/>
  </r>
  <r>
    <d v="2035-08-15T00:00:00"/>
    <x v="8"/>
    <n v="24.8"/>
    <n v="2.2999999999999998"/>
    <n v="0.57040000000000002"/>
    <n v="137.4"/>
    <x v="2"/>
    <n v="1"/>
  </r>
  <r>
    <d v="2035-08-16T00:00:00"/>
    <x v="11"/>
    <n v="19.3"/>
    <n v="1.8"/>
    <n v="0.34740000000000004"/>
    <n v="19.3"/>
    <x v="2"/>
    <n v="1"/>
  </r>
  <r>
    <d v="2035-08-17T00:00:00"/>
    <x v="14"/>
    <n v="22.7"/>
    <n v="0"/>
    <n v="0"/>
    <n v="42"/>
    <x v="2"/>
    <n v="1"/>
  </r>
  <r>
    <d v="2035-08-18T00:00:00"/>
    <x v="7"/>
    <n v="15.2"/>
    <n v="0"/>
    <n v="0"/>
    <n v="57.2"/>
    <x v="2"/>
    <n v="1"/>
  </r>
  <r>
    <d v="2035-08-19T00:00:00"/>
    <x v="19"/>
    <n v="28.6"/>
    <n v="0.2"/>
    <n v="0"/>
    <n v="85.800000000000011"/>
    <x v="2"/>
    <n v="1"/>
  </r>
  <r>
    <d v="2035-08-20T00:00:00"/>
    <x v="3"/>
    <n v="17.899999999999999"/>
    <n v="18.600000000000001"/>
    <n v="3.3294000000000001"/>
    <n v="103.70000000000002"/>
    <x v="2"/>
    <n v="1"/>
  </r>
  <r>
    <d v="2035-08-21T00:00:00"/>
    <x v="27"/>
    <n v="11.6"/>
    <n v="0"/>
    <n v="0"/>
    <n v="115.30000000000001"/>
    <x v="2"/>
    <n v="1"/>
  </r>
  <r>
    <d v="2035-08-22T00:00:00"/>
    <x v="17"/>
    <n v="19"/>
    <n v="2.2000000000000002"/>
    <n v="0.41800000000000004"/>
    <n v="134.30000000000001"/>
    <x v="2"/>
    <n v="1"/>
  </r>
  <r>
    <d v="2035-08-23T00:00:00"/>
    <x v="8"/>
    <n v="17.600000000000001"/>
    <n v="7.2"/>
    <n v="1.2672000000000001"/>
    <n v="17.600000000000001"/>
    <x v="2"/>
    <n v="1"/>
  </r>
  <r>
    <d v="2035-08-24T00:00:00"/>
    <x v="3"/>
    <n v="12.1"/>
    <n v="7.2"/>
    <n v="0.87120000000000009"/>
    <n v="29.700000000000003"/>
    <x v="2"/>
    <n v="1"/>
  </r>
  <r>
    <d v="2035-08-25T00:00:00"/>
    <x v="9"/>
    <n v="28.3"/>
    <n v="1.8"/>
    <n v="0.50940000000000007"/>
    <n v="58"/>
    <x v="2"/>
    <n v="1"/>
  </r>
  <r>
    <d v="2035-08-26T00:00:00"/>
    <x v="14"/>
    <n v="13.3"/>
    <n v="0"/>
    <n v="0"/>
    <n v="71.3"/>
    <x v="2"/>
    <n v="1"/>
  </r>
  <r>
    <d v="2035-08-27T00:00:00"/>
    <x v="7"/>
    <n v="21"/>
    <n v="4.2"/>
    <n v="0.88200000000000001"/>
    <n v="92.3"/>
    <x v="2"/>
    <n v="1"/>
  </r>
  <r>
    <d v="2035-08-28T00:00:00"/>
    <x v="6"/>
    <n v="12"/>
    <n v="2.2000000000000002"/>
    <n v="0.26400000000000001"/>
    <n v="104.3"/>
    <x v="2"/>
    <n v="1"/>
  </r>
  <r>
    <d v="2035-08-29T00:00:00"/>
    <x v="15"/>
    <n v="12.1"/>
    <n v="0"/>
    <n v="0"/>
    <n v="116.39999999999999"/>
    <x v="2"/>
    <n v="1"/>
  </r>
  <r>
    <d v="2035-08-30T00:00:00"/>
    <x v="7"/>
    <n v="15.8"/>
    <n v="17.2"/>
    <n v="2.7176"/>
    <n v="15.8"/>
    <x v="2"/>
    <n v="1"/>
  </r>
  <r>
    <d v="2035-08-31T00:00:00"/>
    <x v="8"/>
    <n v="25.7"/>
    <n v="5.9"/>
    <n v="1.5163"/>
    <n v="41.5"/>
    <x v="2"/>
    <n v="1"/>
  </r>
  <r>
    <d v="2035-09-01T00:00:00"/>
    <x v="6"/>
    <n v="20.5"/>
    <n v="26"/>
    <n v="5.33"/>
    <n v="62"/>
    <x v="2"/>
    <n v="1"/>
  </r>
  <r>
    <d v="2035-09-02T00:00:00"/>
    <x v="9"/>
    <n v="23.5"/>
    <n v="15.3"/>
    <n v="3.5954999999999999"/>
    <n v="85.5"/>
    <x v="2"/>
    <n v="1"/>
  </r>
  <r>
    <d v="2035-09-03T00:00:00"/>
    <x v="8"/>
    <n v="21.7"/>
    <n v="1.2"/>
    <n v="0.26039999999999996"/>
    <n v="107.2"/>
    <x v="2"/>
    <n v="1"/>
  </r>
  <r>
    <d v="2035-09-04T00:00:00"/>
    <x v="6"/>
    <n v="29.8"/>
    <n v="0"/>
    <n v="0"/>
    <n v="137"/>
    <x v="2"/>
    <n v="1"/>
  </r>
  <r>
    <d v="2035-09-05T00:00:00"/>
    <x v="3"/>
    <n v="27.1"/>
    <n v="0"/>
    <n v="0"/>
    <n v="164.1"/>
    <x v="2"/>
    <n v="1"/>
  </r>
  <r>
    <d v="2035-09-06T00:00:00"/>
    <x v="8"/>
    <n v="27.3"/>
    <n v="0"/>
    <n v="0"/>
    <n v="27.3"/>
    <x v="2"/>
    <n v="1"/>
  </r>
  <r>
    <d v="2035-09-07T00:00:00"/>
    <x v="15"/>
    <n v="15.5"/>
    <n v="27.6"/>
    <n v="4.2780000000000005"/>
    <n v="42.8"/>
    <x v="2"/>
    <n v="1"/>
  </r>
  <r>
    <d v="2035-09-08T00:00:00"/>
    <x v="9"/>
    <n v="27.9"/>
    <n v="5.0999999999999996"/>
    <n v="1.4228999999999998"/>
    <n v="70.699999999999989"/>
    <x v="2"/>
    <n v="1"/>
  </r>
  <r>
    <d v="2035-09-09T00:00:00"/>
    <x v="6"/>
    <n v="19.7"/>
    <n v="21.4"/>
    <n v="4.2157999999999998"/>
    <n v="90.399999999999991"/>
    <x v="2"/>
    <n v="1"/>
  </r>
  <r>
    <d v="2035-09-10T00:00:00"/>
    <x v="6"/>
    <n v="27.8"/>
    <n v="27.6"/>
    <n v="7.6728000000000005"/>
    <n v="118.19999999999999"/>
    <x v="2"/>
    <n v="1"/>
  </r>
  <r>
    <d v="2035-09-11T00:00:00"/>
    <x v="18"/>
    <n v="12.3"/>
    <n v="2.9"/>
    <n v="0.35670000000000002"/>
    <n v="130.5"/>
    <x v="2"/>
    <n v="1"/>
  </r>
  <r>
    <d v="2035-09-12T00:00:00"/>
    <x v="14"/>
    <n v="12.8"/>
    <n v="8.8000000000000007"/>
    <n v="1.1264000000000001"/>
    <n v="143.30000000000001"/>
    <x v="2"/>
    <n v="1"/>
  </r>
  <r>
    <d v="2035-09-13T00:00:00"/>
    <x v="6"/>
    <n v="15"/>
    <n v="0"/>
    <n v="0"/>
    <n v="15"/>
    <x v="2"/>
    <n v="1"/>
  </r>
  <r>
    <d v="2035-09-14T00:00:00"/>
    <x v="19"/>
    <n v="27.6"/>
    <n v="4.7"/>
    <n v="1.2971999999999999"/>
    <n v="42.6"/>
    <x v="2"/>
    <n v="1"/>
  </r>
  <r>
    <d v="2035-09-15T00:00:00"/>
    <x v="6"/>
    <n v="19.600000000000001"/>
    <n v="0"/>
    <n v="0"/>
    <n v="62.2"/>
    <x v="2"/>
    <n v="1"/>
  </r>
  <r>
    <d v="2035-09-16T00:00:00"/>
    <x v="26"/>
    <n v="16"/>
    <n v="0.4"/>
    <n v="0"/>
    <n v="78.2"/>
    <x v="2"/>
    <n v="1"/>
  </r>
  <r>
    <d v="2035-09-17T00:00:00"/>
    <x v="6"/>
    <n v="10.3"/>
    <n v="0"/>
    <n v="0"/>
    <n v="88.5"/>
    <x v="2"/>
    <n v="1"/>
  </r>
  <r>
    <d v="2035-09-18T00:00:00"/>
    <x v="14"/>
    <n v="20.2"/>
    <n v="13.9"/>
    <n v="2.8077999999999999"/>
    <n v="108.7"/>
    <x v="2"/>
    <n v="1"/>
  </r>
  <r>
    <d v="2035-09-19T00:00:00"/>
    <x v="22"/>
    <n v="26.4"/>
    <n v="6.8"/>
    <n v="1.7951999999999999"/>
    <n v="135.1"/>
    <x v="2"/>
    <n v="1"/>
  </r>
  <r>
    <d v="2035-09-20T00:00:00"/>
    <x v="13"/>
    <n v="20.6"/>
    <n v="0"/>
    <n v="0"/>
    <n v="20.6"/>
    <x v="2"/>
    <n v="1"/>
  </r>
  <r>
    <d v="2035-09-21T00:00:00"/>
    <x v="15"/>
    <n v="12.3"/>
    <n v="0.2"/>
    <n v="0"/>
    <n v="32.900000000000006"/>
    <x v="2"/>
    <n v="1"/>
  </r>
  <r>
    <d v="2035-09-22T00:00:00"/>
    <x v="15"/>
    <n v="11.2"/>
    <n v="36.200000000000003"/>
    <n v="4.0544000000000002"/>
    <n v="44.100000000000009"/>
    <x v="2"/>
    <n v="1"/>
  </r>
  <r>
    <d v="2035-09-23T00:00:00"/>
    <x v="4"/>
    <n v="22.6"/>
    <n v="2.4"/>
    <n v="0.54239999999999999"/>
    <n v="66.700000000000017"/>
    <x v="2"/>
    <n v="1"/>
  </r>
  <r>
    <d v="2035-09-24T00:00:00"/>
    <x v="21"/>
    <n v="16.399999999999999"/>
    <n v="0.1"/>
    <n v="0"/>
    <n v="83.100000000000023"/>
    <x v="2"/>
    <n v="1"/>
  </r>
  <r>
    <d v="2035-09-25T00:00:00"/>
    <x v="23"/>
    <n v="23.4"/>
    <n v="0"/>
    <n v="0"/>
    <n v="106.50000000000003"/>
    <x v="2"/>
    <n v="1"/>
  </r>
  <r>
    <d v="2035-09-26T00:00:00"/>
    <x v="19"/>
    <n v="20.2"/>
    <n v="0.3"/>
    <n v="0"/>
    <n v="126.70000000000003"/>
    <x v="2"/>
    <n v="1"/>
  </r>
  <r>
    <d v="2035-09-27T00:00:00"/>
    <x v="7"/>
    <n v="17.600000000000001"/>
    <n v="15"/>
    <n v="2.64"/>
    <n v="17.600000000000001"/>
    <x v="2"/>
    <n v="1"/>
  </r>
  <r>
    <d v="2035-09-28T00:00:00"/>
    <x v="6"/>
    <n v="21.7"/>
    <n v="33.299999999999997"/>
    <n v="7.2260999999999989"/>
    <n v="39.299999999999997"/>
    <x v="2"/>
    <n v="1"/>
  </r>
  <r>
    <d v="2035-09-29T00:00:00"/>
    <x v="6"/>
    <n v="18.399999999999999"/>
    <n v="19.3"/>
    <n v="3.5512000000000001"/>
    <n v="57.699999999999996"/>
    <x v="2"/>
    <n v="1"/>
  </r>
  <r>
    <d v="2035-09-30T00:00:00"/>
    <x v="3"/>
    <n v="20.100000000000001"/>
    <n v="15.4"/>
    <n v="3.0954000000000002"/>
    <n v="77.8"/>
    <x v="2"/>
    <n v="1"/>
  </r>
  <r>
    <d v="2035-10-01T00:00:00"/>
    <x v="14"/>
    <n v="16.5"/>
    <n v="14.7"/>
    <n v="2.4255"/>
    <n v="94.3"/>
    <x v="2"/>
    <n v="1"/>
  </r>
  <r>
    <d v="2035-10-02T00:00:00"/>
    <x v="6"/>
    <n v="12.3"/>
    <n v="30.2"/>
    <n v="3.7146000000000003"/>
    <n v="106.6"/>
    <x v="2"/>
    <n v="1"/>
  </r>
  <r>
    <d v="2035-10-03T00:00:00"/>
    <x v="6"/>
    <n v="29.6"/>
    <n v="42.8"/>
    <n v="12.668799999999999"/>
    <n v="136.19999999999999"/>
    <x v="2"/>
    <n v="1"/>
  </r>
  <r>
    <d v="2035-10-04T00:00:00"/>
    <x v="8"/>
    <n v="26.6"/>
    <n v="9.1999999999999993"/>
    <n v="2.4472"/>
    <n v="26.6"/>
    <x v="2"/>
    <n v="1"/>
  </r>
  <r>
    <d v="2035-10-05T00:00:00"/>
    <x v="14"/>
    <n v="26.7"/>
    <n v="4"/>
    <n v="1.0680000000000001"/>
    <n v="53.3"/>
    <x v="2"/>
    <n v="1"/>
  </r>
  <r>
    <d v="2035-10-06T00:00:00"/>
    <x v="11"/>
    <n v="23.6"/>
    <n v="0"/>
    <n v="0"/>
    <n v="76.900000000000006"/>
    <x v="2"/>
    <n v="1"/>
  </r>
  <r>
    <d v="2035-10-07T00:00:00"/>
    <x v="21"/>
    <n v="13.6"/>
    <n v="2.8"/>
    <n v="0.38079999999999997"/>
    <n v="90.5"/>
    <x v="2"/>
    <n v="1"/>
  </r>
  <r>
    <d v="2035-10-08T00:00:00"/>
    <x v="1"/>
    <n v="13.8"/>
    <n v="6.5"/>
    <n v="0.89700000000000002"/>
    <n v="104.3"/>
    <x v="2"/>
    <n v="1"/>
  </r>
  <r>
    <d v="2035-10-09T00:00:00"/>
    <x v="2"/>
    <n v="12.3"/>
    <n v="0"/>
    <n v="0"/>
    <n v="116.6"/>
    <x v="2"/>
    <n v="1"/>
  </r>
  <r>
    <d v="2035-10-10T00:00:00"/>
    <x v="3"/>
    <n v="12.3"/>
    <n v="0"/>
    <n v="0"/>
    <n v="128.9"/>
    <x v="2"/>
    <n v="1"/>
  </r>
  <r>
    <d v="2035-10-11T00:00:00"/>
    <x v="14"/>
    <n v="22.7"/>
    <n v="10.3"/>
    <n v="2.3380999999999998"/>
    <n v="22.7"/>
    <x v="2"/>
    <n v="1"/>
  </r>
  <r>
    <d v="2035-10-12T00:00:00"/>
    <x v="6"/>
    <n v="19"/>
    <n v="0"/>
    <n v="0"/>
    <n v="41.7"/>
    <x v="2"/>
    <n v="1"/>
  </r>
  <r>
    <d v="2035-10-13T00:00:00"/>
    <x v="4"/>
    <n v="23.4"/>
    <n v="0"/>
    <n v="0"/>
    <n v="65.099999999999994"/>
    <x v="2"/>
    <n v="1"/>
  </r>
  <r>
    <d v="2035-10-14T00:00:00"/>
    <x v="11"/>
    <n v="28.2"/>
    <n v="0"/>
    <n v="0"/>
    <n v="93.3"/>
    <x v="2"/>
    <n v="1"/>
  </r>
  <r>
    <d v="2035-10-15T00:00:00"/>
    <x v="11"/>
    <n v="20.100000000000001"/>
    <n v="9.6999999999999993"/>
    <n v="1.9497"/>
    <n v="113.4"/>
    <x v="2"/>
    <n v="1"/>
  </r>
  <r>
    <d v="2035-10-16T00:00:00"/>
    <x v="13"/>
    <n v="29.6"/>
    <n v="0"/>
    <n v="0"/>
    <n v="143"/>
    <x v="2"/>
    <n v="1"/>
  </r>
  <r>
    <d v="2035-10-17T00:00:00"/>
    <x v="3"/>
    <n v="25.8"/>
    <n v="0"/>
    <n v="0"/>
    <n v="168.8"/>
    <x v="2"/>
    <n v="1"/>
  </r>
  <r>
    <d v="2035-10-18T00:00:00"/>
    <x v="6"/>
    <n v="19.600000000000001"/>
    <n v="18.5"/>
    <n v="3.6260000000000003"/>
    <n v="19.600000000000001"/>
    <x v="2"/>
    <n v="1"/>
  </r>
  <r>
    <d v="2035-10-19T00:00:00"/>
    <x v="15"/>
    <n v="21.5"/>
    <n v="3"/>
    <n v="0.64500000000000002"/>
    <n v="41.1"/>
    <x v="2"/>
    <n v="1"/>
  </r>
  <r>
    <d v="2035-10-20T00:00:00"/>
    <x v="11"/>
    <n v="24.2"/>
    <n v="17.399999999999999"/>
    <n v="4.210799999999999"/>
    <n v="65.3"/>
    <x v="2"/>
    <n v="1"/>
  </r>
  <r>
    <d v="2035-10-21T00:00:00"/>
    <x v="23"/>
    <n v="12"/>
    <n v="0"/>
    <n v="0"/>
    <n v="77.3"/>
    <x v="2"/>
    <n v="1"/>
  </r>
  <r>
    <d v="2035-10-22T00:00:00"/>
    <x v="29"/>
    <n v="23"/>
    <n v="0"/>
    <n v="0"/>
    <n v="100.3"/>
    <x v="2"/>
    <n v="1"/>
  </r>
  <r>
    <d v="2035-10-23T00:00:00"/>
    <x v="15"/>
    <n v="19.8"/>
    <n v="29.2"/>
    <n v="5.7816000000000001"/>
    <n v="120.1"/>
    <x v="2"/>
    <n v="1"/>
  </r>
  <r>
    <d v="2035-10-24T00:00:00"/>
    <x v="1"/>
    <n v="14.9"/>
    <n v="0.8"/>
    <n v="0"/>
    <n v="135"/>
    <x v="2"/>
    <n v="1"/>
  </r>
  <r>
    <d v="2035-10-25T00:00:00"/>
    <x v="11"/>
    <n v="17.899999999999999"/>
    <n v="10.3"/>
    <n v="1.8437000000000001"/>
    <n v="17.899999999999999"/>
    <x v="2"/>
    <n v="1"/>
  </r>
  <r>
    <d v="2035-10-26T00:00:00"/>
    <x v="3"/>
    <n v="26"/>
    <n v="0"/>
    <n v="0"/>
    <n v="43.9"/>
    <x v="2"/>
    <n v="1"/>
  </r>
  <r>
    <d v="2035-10-27T00:00:00"/>
    <x v="8"/>
    <n v="21.5"/>
    <n v="9.3000000000000007"/>
    <n v="1.9995000000000003"/>
    <n v="65.400000000000006"/>
    <x v="2"/>
    <n v="1"/>
  </r>
  <r>
    <d v="2035-10-28T00:00:00"/>
    <x v="15"/>
    <n v="29.9"/>
    <n v="2.4"/>
    <n v="0.7175999999999999"/>
    <n v="95.300000000000011"/>
    <x v="2"/>
    <n v="1"/>
  </r>
  <r>
    <d v="2035-10-29T00:00:00"/>
    <x v="6"/>
    <n v="12.3"/>
    <n v="35.1"/>
    <n v="4.3173000000000004"/>
    <n v="107.60000000000001"/>
    <x v="2"/>
    <n v="1"/>
  </r>
  <r>
    <d v="2035-10-30T00:00:00"/>
    <x v="13"/>
    <n v="21.7"/>
    <n v="3.9"/>
    <n v="0.84629999999999994"/>
    <n v="129.30000000000001"/>
    <x v="2"/>
    <n v="1"/>
  </r>
  <r>
    <d v="2035-10-31T00:00:00"/>
    <x v="6"/>
    <n v="10.7"/>
    <n v="0"/>
    <n v="0"/>
    <n v="140"/>
    <x v="2"/>
    <n v="1"/>
  </r>
  <r>
    <d v="2035-11-01T00:00:00"/>
    <x v="1"/>
    <n v="21.5"/>
    <n v="0"/>
    <n v="0"/>
    <n v="21.5"/>
    <x v="2"/>
    <n v="1"/>
  </r>
  <r>
    <d v="2035-11-02T00:00:00"/>
    <x v="6"/>
    <n v="26"/>
    <n v="33.799999999999997"/>
    <n v="8.7880000000000003"/>
    <n v="47.5"/>
    <x v="2"/>
    <n v="1"/>
  </r>
  <r>
    <d v="2035-11-03T00:00:00"/>
    <x v="11"/>
    <n v="24.4"/>
    <n v="15.4"/>
    <n v="3.7576000000000001"/>
    <n v="71.900000000000006"/>
    <x v="2"/>
    <n v="1"/>
  </r>
  <r>
    <d v="2035-11-04T00:00:00"/>
    <x v="1"/>
    <n v="20.8"/>
    <n v="0"/>
    <n v="0"/>
    <n v="92.7"/>
    <x v="2"/>
    <n v="1"/>
  </r>
  <r>
    <d v="2035-11-05T00:00:00"/>
    <x v="9"/>
    <n v="18.2"/>
    <n v="15.7"/>
    <n v="2.8573999999999997"/>
    <n v="110.9"/>
    <x v="2"/>
    <n v="1"/>
  </r>
  <r>
    <d v="2035-11-06T00:00:00"/>
    <x v="13"/>
    <n v="25.6"/>
    <n v="7"/>
    <n v="1.7920000000000003"/>
    <n v="136.5"/>
    <x v="2"/>
    <n v="1"/>
  </r>
  <r>
    <d v="2035-11-07T00:00:00"/>
    <x v="7"/>
    <n v="25.2"/>
    <n v="0"/>
    <n v="0"/>
    <n v="161.69999999999999"/>
    <x v="2"/>
    <n v="1"/>
  </r>
  <r>
    <d v="2035-11-08T00:00:00"/>
    <x v="8"/>
    <n v="19.5"/>
    <n v="5.3"/>
    <n v="1.0334999999999999"/>
    <n v="19.5"/>
    <x v="2"/>
    <n v="1"/>
  </r>
  <r>
    <d v="2035-11-09T00:00:00"/>
    <x v="20"/>
    <n v="15.2"/>
    <n v="2.1"/>
    <n v="0.31919999999999998"/>
    <n v="34.700000000000003"/>
    <x v="2"/>
    <n v="1"/>
  </r>
  <r>
    <d v="2035-11-10T00:00:00"/>
    <x v="11"/>
    <n v="21.3"/>
    <n v="11.4"/>
    <n v="2.4282000000000004"/>
    <n v="56"/>
    <x v="2"/>
    <n v="1"/>
  </r>
  <r>
    <d v="2035-11-11T00:00:00"/>
    <x v="11"/>
    <n v="21.8"/>
    <n v="17.399999999999999"/>
    <n v="3.7932000000000001"/>
    <n v="77.8"/>
    <x v="2"/>
    <n v="1"/>
  </r>
  <r>
    <d v="2035-11-12T00:00:00"/>
    <x v="12"/>
    <n v="27.7"/>
    <n v="0.5"/>
    <n v="0"/>
    <n v="105.5"/>
    <x v="2"/>
    <n v="1"/>
  </r>
  <r>
    <d v="2035-11-13T00:00:00"/>
    <x v="6"/>
    <n v="28.5"/>
    <n v="46"/>
    <n v="13.11"/>
    <n v="134"/>
    <x v="2"/>
    <n v="1"/>
  </r>
  <r>
    <d v="2035-11-14T00:00:00"/>
    <x v="23"/>
    <n v="25.7"/>
    <n v="0"/>
    <n v="0"/>
    <n v="159.69999999999999"/>
    <x v="2"/>
    <n v="1"/>
  </r>
  <r>
    <d v="2035-11-15T00:00:00"/>
    <x v="6"/>
    <n v="18"/>
    <n v="0.5"/>
    <n v="0"/>
    <n v="18"/>
    <x v="2"/>
    <n v="1"/>
  </r>
  <r>
    <d v="2035-11-16T00:00:00"/>
    <x v="2"/>
    <n v="29.5"/>
    <n v="0"/>
    <n v="0"/>
    <n v="47.5"/>
    <x v="2"/>
    <n v="1"/>
  </r>
  <r>
    <d v="2035-11-17T00:00:00"/>
    <x v="14"/>
    <n v="21"/>
    <n v="10.3"/>
    <n v="2.1630000000000003"/>
    <n v="68.5"/>
    <x v="2"/>
    <n v="1"/>
  </r>
  <r>
    <d v="2035-11-18T00:00:00"/>
    <x v="16"/>
    <n v="11.4"/>
    <n v="3.2"/>
    <n v="0.36480000000000001"/>
    <n v="79.900000000000006"/>
    <x v="2"/>
    <n v="1"/>
  </r>
  <r>
    <d v="2035-11-19T00:00:00"/>
    <x v="6"/>
    <n v="12.7"/>
    <n v="0"/>
    <n v="0"/>
    <n v="92.600000000000009"/>
    <x v="2"/>
    <n v="1"/>
  </r>
  <r>
    <d v="2035-11-20T00:00:00"/>
    <x v="1"/>
    <n v="14.1"/>
    <n v="6.2"/>
    <n v="0.87419999999999998"/>
    <n v="106.7"/>
    <x v="2"/>
    <n v="1"/>
  </r>
  <r>
    <d v="2035-11-21T00:00:00"/>
    <x v="6"/>
    <n v="29.5"/>
    <n v="29.9"/>
    <n v="8.8204999999999991"/>
    <n v="136.19999999999999"/>
    <x v="2"/>
    <n v="1"/>
  </r>
  <r>
    <d v="2035-11-22T00:00:00"/>
    <x v="18"/>
    <n v="18.399999999999999"/>
    <n v="0"/>
    <n v="0"/>
    <n v="18.399999999999999"/>
    <x v="2"/>
    <n v="1"/>
  </r>
  <r>
    <d v="2035-11-23T00:00:00"/>
    <x v="6"/>
    <n v="29.6"/>
    <n v="43.9"/>
    <n v="12.994400000000001"/>
    <n v="48"/>
    <x v="2"/>
    <n v="1"/>
  </r>
  <r>
    <d v="2035-11-24T00:00:00"/>
    <x v="11"/>
    <n v="22.6"/>
    <n v="14.6"/>
    <n v="3.2996000000000003"/>
    <n v="70.599999999999994"/>
    <x v="2"/>
    <n v="1"/>
  </r>
  <r>
    <d v="2035-11-25T00:00:00"/>
    <x v="10"/>
    <n v="13.2"/>
    <n v="6.7"/>
    <n v="0.88439999999999996"/>
    <n v="83.8"/>
    <x v="2"/>
    <n v="1"/>
  </r>
  <r>
    <d v="2035-11-26T00:00:00"/>
    <x v="2"/>
    <n v="10.4"/>
    <n v="8.5"/>
    <n v="0.88400000000000001"/>
    <n v="94.2"/>
    <x v="2"/>
    <n v="1"/>
  </r>
  <r>
    <d v="2035-11-27T00:00:00"/>
    <x v="9"/>
    <n v="16.899999999999999"/>
    <n v="16.399999999999999"/>
    <n v="2.7715999999999998"/>
    <n v="111.1"/>
    <x v="2"/>
    <n v="1"/>
  </r>
  <r>
    <d v="2035-11-28T00:00:00"/>
    <x v="11"/>
    <n v="19.399999999999999"/>
    <n v="0"/>
    <n v="0"/>
    <n v="130.5"/>
    <x v="2"/>
    <n v="1"/>
  </r>
  <r>
    <d v="2035-11-29T00:00:00"/>
    <x v="20"/>
    <n v="16.899999999999999"/>
    <n v="1"/>
    <n v="0.16899999999999998"/>
    <n v="16.899999999999999"/>
    <x v="2"/>
    <n v="1"/>
  </r>
  <r>
    <d v="2035-11-30T00:00:00"/>
    <x v="6"/>
    <n v="18.399999999999999"/>
    <n v="0"/>
    <n v="0"/>
    <n v="35.299999999999997"/>
    <x v="2"/>
    <n v="1"/>
  </r>
  <r>
    <d v="2035-12-01T00:00:00"/>
    <x v="11"/>
    <n v="13.4"/>
    <n v="12.8"/>
    <n v="1.7152000000000001"/>
    <n v="48.699999999999996"/>
    <x v="2"/>
    <n v="1"/>
  </r>
  <r>
    <d v="2035-12-02T00:00:00"/>
    <x v="3"/>
    <n v="28.8"/>
    <n v="0"/>
    <n v="0"/>
    <n v="77.5"/>
    <x v="2"/>
    <n v="1"/>
  </r>
  <r>
    <d v="2035-12-03T00:00:00"/>
    <x v="9"/>
    <n v="19.5"/>
    <n v="1.3"/>
    <n v="0.2535"/>
    <n v="97"/>
    <x v="2"/>
    <n v="1"/>
  </r>
  <r>
    <d v="2035-12-04T00:00:00"/>
    <x v="7"/>
    <n v="29"/>
    <n v="14"/>
    <n v="4.0599999999999996"/>
    <n v="126"/>
    <x v="2"/>
    <n v="1"/>
  </r>
  <r>
    <d v="2035-12-05T00:00:00"/>
    <x v="6"/>
    <n v="29.6"/>
    <n v="28.7"/>
    <n v="8.4952000000000005"/>
    <n v="155.6"/>
    <x v="2"/>
    <n v="1"/>
  </r>
  <r>
    <d v="2035-12-06T00:00:00"/>
    <x v="2"/>
    <n v="26.5"/>
    <n v="0"/>
    <n v="0"/>
    <n v="26.5"/>
    <x v="2"/>
    <n v="1"/>
  </r>
  <r>
    <d v="2035-12-07T00:00:00"/>
    <x v="14"/>
    <n v="24.8"/>
    <n v="12.1"/>
    <n v="3.0007999999999999"/>
    <n v="51.3"/>
    <x v="2"/>
    <n v="1"/>
  </r>
  <r>
    <d v="2035-12-08T00:00:00"/>
    <x v="6"/>
    <n v="20"/>
    <n v="14.7"/>
    <n v="2.94"/>
    <n v="71.3"/>
    <x v="2"/>
    <n v="1"/>
  </r>
  <r>
    <d v="2035-12-09T00:00:00"/>
    <x v="15"/>
    <n v="16.899999999999999"/>
    <n v="38.299999999999997"/>
    <n v="6.4726999999999988"/>
    <n v="88.199999999999989"/>
    <x v="2"/>
    <n v="1"/>
  </r>
  <r>
    <d v="2035-12-10T00:00:00"/>
    <x v="6"/>
    <n v="11.5"/>
    <n v="24.7"/>
    <n v="2.8405"/>
    <n v="99.699999999999989"/>
    <x v="2"/>
    <n v="1"/>
  </r>
  <r>
    <d v="2035-12-11T00:00:00"/>
    <x v="9"/>
    <n v="11.4"/>
    <n v="0"/>
    <n v="0"/>
    <n v="111.1"/>
    <x v="2"/>
    <n v="1"/>
  </r>
  <r>
    <d v="2035-12-12T00:00:00"/>
    <x v="2"/>
    <n v="28.5"/>
    <n v="0"/>
    <n v="0"/>
    <n v="139.6"/>
    <x v="2"/>
    <n v="1"/>
  </r>
  <r>
    <d v="2035-12-13T00:00:00"/>
    <x v="18"/>
    <n v="27.9"/>
    <n v="0.7"/>
    <n v="0"/>
    <n v="27.9"/>
    <x v="2"/>
    <n v="1"/>
  </r>
  <r>
    <d v="2035-12-14T00:00:00"/>
    <x v="3"/>
    <n v="26.7"/>
    <n v="15.5"/>
    <n v="4.1384999999999996"/>
    <n v="54.599999999999994"/>
    <x v="2"/>
    <n v="1"/>
  </r>
  <r>
    <d v="2035-12-15T00:00:00"/>
    <x v="14"/>
    <n v="28.3"/>
    <n v="6.8"/>
    <n v="1.9243999999999999"/>
    <n v="82.899999999999991"/>
    <x v="2"/>
    <n v="1"/>
  </r>
  <r>
    <d v="2035-12-16T00:00:00"/>
    <x v="6"/>
    <n v="28.9"/>
    <n v="0"/>
    <n v="0"/>
    <n v="111.79999999999998"/>
    <x v="2"/>
    <n v="1"/>
  </r>
  <r>
    <d v="2035-12-17T00:00:00"/>
    <x v="16"/>
    <n v="21.6"/>
    <n v="4"/>
    <n v="0.8640000000000001"/>
    <n v="133.39999999999998"/>
    <x v="2"/>
    <n v="1"/>
  </r>
  <r>
    <d v="2035-12-18T00:00:00"/>
    <x v="19"/>
    <n v="16.5"/>
    <n v="4.2"/>
    <n v="0.69299999999999995"/>
    <n v="149.89999999999998"/>
    <x v="2"/>
    <n v="1"/>
  </r>
  <r>
    <d v="2035-12-19T00:00:00"/>
    <x v="9"/>
    <n v="24.6"/>
    <n v="10.6"/>
    <n v="2.6075999999999997"/>
    <n v="174.49999999999997"/>
    <x v="2"/>
    <n v="1"/>
  </r>
  <r>
    <d v="2035-12-20T00:00:00"/>
    <x v="6"/>
    <n v="28.9"/>
    <n v="40.799999999999997"/>
    <n v="11.791199999999998"/>
    <n v="28.9"/>
    <x v="2"/>
    <n v="1"/>
  </r>
  <r>
    <d v="2035-12-21T00:00:00"/>
    <x v="6"/>
    <n v="22.1"/>
    <n v="10"/>
    <n v="2.21"/>
    <n v="51"/>
    <x v="2"/>
    <n v="1"/>
  </r>
  <r>
    <d v="2035-12-22T00:00:00"/>
    <x v="17"/>
    <n v="29.3"/>
    <n v="0"/>
    <n v="0"/>
    <n v="80.3"/>
    <x v="2"/>
    <n v="1"/>
  </r>
  <r>
    <d v="2035-12-23T00:00:00"/>
    <x v="14"/>
    <n v="18.8"/>
    <n v="4.7"/>
    <n v="0.88360000000000016"/>
    <n v="99.1"/>
    <x v="2"/>
    <n v="1"/>
  </r>
  <r>
    <d v="2035-12-24T00:00:00"/>
    <x v="15"/>
    <n v="26.5"/>
    <n v="7.3"/>
    <n v="1.9344999999999999"/>
    <n v="125.6"/>
    <x v="2"/>
    <n v="1"/>
  </r>
  <r>
    <d v="2035-12-25T00:00:00"/>
    <x v="7"/>
    <n v="24"/>
    <n v="0"/>
    <n v="0"/>
    <n v="149.6"/>
    <x v="2"/>
    <n v="1"/>
  </r>
  <r>
    <d v="2035-12-26T00:00:00"/>
    <x v="15"/>
    <n v="21"/>
    <n v="12.2"/>
    <n v="2.5619999999999998"/>
    <n v="170.6"/>
    <x v="2"/>
    <n v="1"/>
  </r>
  <r>
    <d v="2035-12-27T00:00:00"/>
    <x v="13"/>
    <n v="28.1"/>
    <n v="6.7"/>
    <n v="1.8827"/>
    <n v="28.1"/>
    <x v="2"/>
    <n v="1"/>
  </r>
  <r>
    <d v="2035-12-28T00:00:00"/>
    <x v="10"/>
    <n v="23.3"/>
    <n v="4.8"/>
    <n v="1.1184000000000001"/>
    <n v="51.400000000000006"/>
    <x v="2"/>
    <n v="1"/>
  </r>
  <r>
    <d v="2035-12-29T00:00:00"/>
    <x v="13"/>
    <n v="14.3"/>
    <n v="1.5"/>
    <n v="0.21450000000000002"/>
    <n v="65.7"/>
    <x v="2"/>
    <n v="1"/>
  </r>
  <r>
    <d v="2035-12-30T00:00:00"/>
    <x v="21"/>
    <n v="12.6"/>
    <n v="1.1000000000000001"/>
    <n v="0.1386"/>
    <n v="78.3"/>
    <x v="2"/>
    <n v="1"/>
  </r>
  <r>
    <d v="2035-12-31T00:00:00"/>
    <x v="15"/>
    <n v="18.100000000000001"/>
    <n v="0"/>
    <n v="0"/>
    <n v="96.4"/>
    <x v="2"/>
    <n v="1"/>
  </r>
  <r>
    <d v="2036-01-01T00:00:00"/>
    <x v="11"/>
    <n v="19"/>
    <n v="11"/>
    <n v="2.09"/>
    <n v="115.4"/>
    <x v="3"/>
    <n v="1"/>
  </r>
  <r>
    <d v="2036-01-02T00:00:00"/>
    <x v="10"/>
    <n v="13.1"/>
    <n v="0"/>
    <n v="0"/>
    <n v="128.5"/>
    <x v="3"/>
    <n v="1"/>
  </r>
  <r>
    <d v="2036-01-03T00:00:00"/>
    <x v="9"/>
    <n v="17.3"/>
    <n v="1.1000000000000001"/>
    <n v="0.19030000000000002"/>
    <n v="17.3"/>
    <x v="3"/>
    <n v="1"/>
  </r>
  <r>
    <d v="2036-01-04T00:00:00"/>
    <x v="13"/>
    <n v="23.7"/>
    <n v="5.9"/>
    <n v="1.3983000000000001"/>
    <n v="41"/>
    <x v="3"/>
    <n v="1"/>
  </r>
  <r>
    <d v="2036-01-05T00:00:00"/>
    <x v="29"/>
    <n v="26.3"/>
    <n v="0"/>
    <n v="0"/>
    <n v="67.3"/>
    <x v="3"/>
    <n v="1"/>
  </r>
  <r>
    <d v="2036-01-06T00:00:00"/>
    <x v="11"/>
    <n v="16.399999999999999"/>
    <n v="0"/>
    <n v="0"/>
    <n v="83.699999999999989"/>
    <x v="3"/>
    <n v="1"/>
  </r>
  <r>
    <d v="2036-01-07T00:00:00"/>
    <x v="5"/>
    <n v="13"/>
    <n v="0"/>
    <n v="0"/>
    <n v="96.699999999999989"/>
    <x v="3"/>
    <n v="1"/>
  </r>
  <r>
    <d v="2036-01-08T00:00:00"/>
    <x v="7"/>
    <n v="28.6"/>
    <n v="1"/>
    <n v="0.28600000000000003"/>
    <n v="125.29999999999998"/>
    <x v="3"/>
    <n v="1"/>
  </r>
  <r>
    <d v="2036-01-09T00:00:00"/>
    <x v="6"/>
    <n v="11.1"/>
    <n v="2.4"/>
    <n v="0.26639999999999997"/>
    <n v="136.39999999999998"/>
    <x v="3"/>
    <n v="1"/>
  </r>
  <r>
    <d v="2036-01-10T00:00:00"/>
    <x v="20"/>
    <n v="12.9"/>
    <n v="2.9"/>
    <n v="0.37409999999999999"/>
    <n v="12.9"/>
    <x v="3"/>
    <n v="1"/>
  </r>
  <r>
    <d v="2036-01-11T00:00:00"/>
    <x v="26"/>
    <n v="28.4"/>
    <n v="0.9"/>
    <n v="0"/>
    <n v="41.3"/>
    <x v="3"/>
    <n v="1"/>
  </r>
  <r>
    <d v="2036-01-12T00:00:00"/>
    <x v="15"/>
    <n v="21.8"/>
    <n v="3.4"/>
    <n v="0.74120000000000008"/>
    <n v="63.099999999999994"/>
    <x v="3"/>
    <n v="1"/>
  </r>
  <r>
    <d v="2036-01-13T00:00:00"/>
    <x v="2"/>
    <n v="20.8"/>
    <n v="11.8"/>
    <n v="2.4544000000000001"/>
    <n v="83.899999999999991"/>
    <x v="3"/>
    <n v="1"/>
  </r>
  <r>
    <d v="2036-01-14T00:00:00"/>
    <x v="9"/>
    <n v="17.399999999999999"/>
    <n v="0"/>
    <n v="0"/>
    <n v="101.29999999999998"/>
    <x v="3"/>
    <n v="1"/>
  </r>
  <r>
    <d v="2036-01-15T00:00:00"/>
    <x v="2"/>
    <n v="24.8"/>
    <n v="0"/>
    <n v="0"/>
    <n v="126.09999999999998"/>
    <x v="3"/>
    <n v="1"/>
  </r>
  <r>
    <d v="2036-01-16T00:00:00"/>
    <x v="5"/>
    <n v="12.9"/>
    <n v="0"/>
    <n v="0"/>
    <n v="138.99999999999997"/>
    <x v="3"/>
    <n v="1"/>
  </r>
  <r>
    <d v="2036-01-17T00:00:00"/>
    <x v="13"/>
    <n v="25.9"/>
    <n v="0"/>
    <n v="0"/>
    <n v="25.9"/>
    <x v="3"/>
    <n v="1"/>
  </r>
  <r>
    <d v="2036-01-18T00:00:00"/>
    <x v="6"/>
    <n v="11.5"/>
    <n v="23.2"/>
    <n v="2.6680000000000001"/>
    <n v="37.4"/>
    <x v="3"/>
    <n v="1"/>
  </r>
  <r>
    <d v="2036-01-19T00:00:00"/>
    <x v="16"/>
    <n v="25.5"/>
    <n v="0"/>
    <n v="0"/>
    <n v="62.9"/>
    <x v="3"/>
    <n v="1"/>
  </r>
  <r>
    <d v="2036-01-20T00:00:00"/>
    <x v="29"/>
    <n v="22.6"/>
    <n v="2.2000000000000002"/>
    <n v="0.49720000000000009"/>
    <n v="85.5"/>
    <x v="3"/>
    <n v="1"/>
  </r>
  <r>
    <d v="2036-01-21T00:00:00"/>
    <x v="6"/>
    <n v="14.2"/>
    <n v="0"/>
    <n v="0"/>
    <n v="99.7"/>
    <x v="3"/>
    <n v="1"/>
  </r>
  <r>
    <d v="2036-01-22T00:00:00"/>
    <x v="9"/>
    <n v="26.9"/>
    <n v="9.1999999999999993"/>
    <n v="2.4747999999999997"/>
    <n v="126.6"/>
    <x v="3"/>
    <n v="1"/>
  </r>
  <r>
    <d v="2036-01-23T00:00:00"/>
    <x v="15"/>
    <n v="30"/>
    <n v="32.299999999999997"/>
    <n v="9.69"/>
    <n v="156.6"/>
    <x v="3"/>
    <n v="1"/>
  </r>
  <r>
    <d v="2036-01-24T00:00:00"/>
    <x v="23"/>
    <n v="16.2"/>
    <n v="5.2"/>
    <n v="0.84239999999999993"/>
    <n v="16.2"/>
    <x v="3"/>
    <n v="1"/>
  </r>
  <r>
    <d v="2036-01-25T00:00:00"/>
    <x v="7"/>
    <n v="12.2"/>
    <n v="0"/>
    <n v="0"/>
    <n v="28.4"/>
    <x v="3"/>
    <n v="1"/>
  </r>
  <r>
    <d v="2036-01-26T00:00:00"/>
    <x v="11"/>
    <n v="28.7"/>
    <n v="0.5"/>
    <n v="0"/>
    <n v="57.099999999999994"/>
    <x v="3"/>
    <n v="1"/>
  </r>
  <r>
    <d v="2036-01-27T00:00:00"/>
    <x v="2"/>
    <n v="23.3"/>
    <n v="11.1"/>
    <n v="2.5863"/>
    <n v="80.399999999999991"/>
    <x v="3"/>
    <n v="1"/>
  </r>
  <r>
    <d v="2036-01-28T00:00:00"/>
    <x v="11"/>
    <n v="30"/>
    <n v="16.100000000000001"/>
    <n v="4.830000000000001"/>
    <n v="110.39999999999999"/>
    <x v="3"/>
    <n v="1"/>
  </r>
  <r>
    <d v="2036-01-29T00:00:00"/>
    <x v="14"/>
    <n v="16"/>
    <n v="9.8000000000000007"/>
    <n v="1.5680000000000001"/>
    <n v="126.39999999999999"/>
    <x v="3"/>
    <n v="1"/>
  </r>
  <r>
    <d v="2036-01-30T00:00:00"/>
    <x v="16"/>
    <n v="21.6"/>
    <n v="3.4"/>
    <n v="0.73439999999999994"/>
    <n v="148"/>
    <x v="3"/>
    <n v="1"/>
  </r>
  <r>
    <d v="2036-01-31T00:00:00"/>
    <x v="15"/>
    <n v="27.9"/>
    <n v="4.8"/>
    <n v="1.3391999999999999"/>
    <n v="27.9"/>
    <x v="3"/>
    <n v="1"/>
  </r>
  <r>
    <d v="2036-02-01T00:00:00"/>
    <x v="9"/>
    <n v="17.5"/>
    <n v="14.7"/>
    <n v="2.5724999999999998"/>
    <n v="45.4"/>
    <x v="3"/>
    <n v="1"/>
  </r>
  <r>
    <d v="2036-02-02T00:00:00"/>
    <x v="3"/>
    <n v="20.7"/>
    <n v="0"/>
    <n v="0"/>
    <n v="66.099999999999994"/>
    <x v="3"/>
    <n v="1"/>
  </r>
  <r>
    <d v="2036-02-03T00:00:00"/>
    <x v="6"/>
    <n v="10.8"/>
    <n v="36.4"/>
    <n v="3.9312"/>
    <n v="76.899999999999991"/>
    <x v="3"/>
    <n v="1"/>
  </r>
  <r>
    <d v="2036-02-04T00:00:00"/>
    <x v="15"/>
    <n v="27.6"/>
    <n v="32.799999999999997"/>
    <n v="9.0527999999999995"/>
    <n v="104.5"/>
    <x v="3"/>
    <n v="1"/>
  </r>
  <r>
    <d v="2036-02-05T00:00:00"/>
    <x v="7"/>
    <n v="10.8"/>
    <n v="11.6"/>
    <n v="1.2527999999999999"/>
    <n v="115.3"/>
    <x v="3"/>
    <n v="1"/>
  </r>
  <r>
    <d v="2036-02-06T00:00:00"/>
    <x v="13"/>
    <n v="13.7"/>
    <n v="0"/>
    <n v="0"/>
    <n v="129"/>
    <x v="3"/>
    <n v="1"/>
  </r>
  <r>
    <d v="2036-02-07T00:00:00"/>
    <x v="14"/>
    <n v="19.5"/>
    <n v="0"/>
    <n v="0"/>
    <n v="19.5"/>
    <x v="3"/>
    <n v="1"/>
  </r>
  <r>
    <d v="2036-02-08T00:00:00"/>
    <x v="5"/>
    <n v="21.6"/>
    <n v="11.6"/>
    <n v="2.5055999999999998"/>
    <n v="41.1"/>
    <x v="3"/>
    <n v="1"/>
  </r>
  <r>
    <d v="2036-02-09T00:00:00"/>
    <x v="13"/>
    <n v="21.6"/>
    <n v="2.7"/>
    <n v="0.58320000000000005"/>
    <n v="62.7"/>
    <x v="3"/>
    <n v="1"/>
  </r>
  <r>
    <d v="2036-02-10T00:00:00"/>
    <x v="20"/>
    <n v="16.100000000000001"/>
    <n v="0"/>
    <n v="0"/>
    <n v="78.800000000000011"/>
    <x v="3"/>
    <n v="1"/>
  </r>
  <r>
    <d v="2036-02-11T00:00:00"/>
    <x v="2"/>
    <n v="29.4"/>
    <n v="12.5"/>
    <n v="3.6749999999999998"/>
    <n v="108.20000000000002"/>
    <x v="3"/>
    <n v="1"/>
  </r>
  <r>
    <d v="2036-02-12T00:00:00"/>
    <x v="22"/>
    <n v="17.8"/>
    <n v="5.9"/>
    <n v="1.0502"/>
    <n v="126.00000000000001"/>
    <x v="3"/>
    <n v="1"/>
  </r>
  <r>
    <d v="2036-02-13T00:00:00"/>
    <x v="15"/>
    <n v="26.1"/>
    <n v="14.8"/>
    <n v="3.8628000000000005"/>
    <n v="152.10000000000002"/>
    <x v="3"/>
    <n v="1"/>
  </r>
  <r>
    <d v="2036-02-14T00:00:00"/>
    <x v="6"/>
    <n v="13.8"/>
    <n v="0"/>
    <n v="0"/>
    <n v="13.8"/>
    <x v="3"/>
    <n v="1"/>
  </r>
  <r>
    <d v="2036-02-15T00:00:00"/>
    <x v="8"/>
    <n v="16.100000000000001"/>
    <n v="6.2"/>
    <n v="0.99820000000000009"/>
    <n v="29.900000000000002"/>
    <x v="3"/>
    <n v="1"/>
  </r>
  <r>
    <d v="2036-02-16T00:00:00"/>
    <x v="6"/>
    <n v="23.2"/>
    <n v="45.8"/>
    <n v="10.625599999999999"/>
    <n v="53.1"/>
    <x v="3"/>
    <n v="1"/>
  </r>
  <r>
    <d v="2036-02-17T00:00:00"/>
    <x v="8"/>
    <n v="18.899999999999999"/>
    <n v="0"/>
    <n v="0"/>
    <n v="72"/>
    <x v="3"/>
    <n v="1"/>
  </r>
  <r>
    <d v="2036-02-18T00:00:00"/>
    <x v="15"/>
    <n v="28.9"/>
    <n v="34.1"/>
    <n v="9.8549000000000007"/>
    <n v="100.9"/>
    <x v="3"/>
    <n v="1"/>
  </r>
  <r>
    <d v="2036-02-19T00:00:00"/>
    <x v="6"/>
    <n v="19.3"/>
    <n v="49.6"/>
    <n v="9.5728000000000009"/>
    <n v="120.2"/>
    <x v="3"/>
    <n v="1"/>
  </r>
  <r>
    <d v="2036-02-20T00:00:00"/>
    <x v="14"/>
    <n v="23.9"/>
    <n v="11.7"/>
    <n v="2.7962999999999996"/>
    <n v="144.1"/>
    <x v="3"/>
    <n v="1"/>
  </r>
  <r>
    <d v="2036-02-21T00:00:00"/>
    <x v="9"/>
    <n v="28.6"/>
    <n v="11.5"/>
    <n v="3.2890000000000001"/>
    <n v="28.6"/>
    <x v="3"/>
    <n v="1"/>
  </r>
  <r>
    <d v="2036-02-22T00:00:00"/>
    <x v="22"/>
    <n v="14.5"/>
    <n v="0.3"/>
    <n v="0"/>
    <n v="43.1"/>
    <x v="3"/>
    <n v="1"/>
  </r>
  <r>
    <d v="2036-02-23T00:00:00"/>
    <x v="6"/>
    <n v="13"/>
    <n v="0"/>
    <n v="0"/>
    <n v="56.1"/>
    <x v="3"/>
    <n v="1"/>
  </r>
  <r>
    <d v="2036-02-24T00:00:00"/>
    <x v="15"/>
    <n v="16.2"/>
    <n v="9.1999999999999993"/>
    <n v="1.4903999999999999"/>
    <n v="72.3"/>
    <x v="3"/>
    <n v="1"/>
  </r>
  <r>
    <d v="2036-02-25T00:00:00"/>
    <x v="11"/>
    <n v="27.1"/>
    <n v="6.3"/>
    <n v="1.7073000000000003"/>
    <n v="99.4"/>
    <x v="3"/>
    <n v="1"/>
  </r>
  <r>
    <d v="2036-02-26T00:00:00"/>
    <x v="6"/>
    <n v="15.6"/>
    <n v="28"/>
    <n v="4.3680000000000003"/>
    <n v="115"/>
    <x v="3"/>
    <n v="1"/>
  </r>
  <r>
    <d v="2036-02-27T00:00:00"/>
    <x v="22"/>
    <n v="28.9"/>
    <n v="6.8"/>
    <n v="1.9651999999999998"/>
    <n v="143.9"/>
    <x v="3"/>
    <n v="1"/>
  </r>
  <r>
    <d v="2036-02-28T00:00:00"/>
    <x v="2"/>
    <n v="13.8"/>
    <n v="11.9"/>
    <n v="1.6422000000000003"/>
    <n v="13.8"/>
    <x v="3"/>
    <n v="1"/>
  </r>
  <r>
    <d v="2036-02-29T00:00:00"/>
    <x v="2"/>
    <n v="17.8"/>
    <n v="1.5"/>
    <n v="0.26700000000000002"/>
    <n v="31.6"/>
    <x v="3"/>
    <n v="1"/>
  </r>
  <r>
    <d v="2036-03-01T00:00:00"/>
    <x v="18"/>
    <n v="25.1"/>
    <n v="0"/>
    <n v="0"/>
    <n v="56.7"/>
    <x v="3"/>
    <n v="1"/>
  </r>
  <r>
    <d v="2036-03-02T00:00:00"/>
    <x v="18"/>
    <n v="29.5"/>
    <n v="0"/>
    <n v="0"/>
    <n v="86.2"/>
    <x v="3"/>
    <n v="1"/>
  </r>
  <r>
    <d v="2036-03-03T00:00:00"/>
    <x v="22"/>
    <n v="16.100000000000001"/>
    <n v="7.1"/>
    <n v="1.1431"/>
    <n v="102.30000000000001"/>
    <x v="3"/>
    <n v="1"/>
  </r>
  <r>
    <d v="2036-03-04T00:00:00"/>
    <x v="5"/>
    <n v="18"/>
    <n v="12"/>
    <n v="2.16"/>
    <n v="120.30000000000001"/>
    <x v="3"/>
    <n v="1"/>
  </r>
  <r>
    <d v="2036-03-05T00:00:00"/>
    <x v="6"/>
    <n v="12.2"/>
    <n v="26.8"/>
    <n v="3.2695999999999996"/>
    <n v="132.5"/>
    <x v="3"/>
    <n v="1"/>
  </r>
  <r>
    <d v="2036-03-06T00:00:00"/>
    <x v="10"/>
    <n v="20.7"/>
    <n v="4.7"/>
    <n v="0.9729000000000001"/>
    <n v="20.7"/>
    <x v="3"/>
    <n v="1"/>
  </r>
  <r>
    <d v="2036-03-07T00:00:00"/>
    <x v="6"/>
    <n v="20.100000000000001"/>
    <n v="47.4"/>
    <n v="9.5274000000000001"/>
    <n v="40.799999999999997"/>
    <x v="3"/>
    <n v="1"/>
  </r>
  <r>
    <d v="2036-03-08T00:00:00"/>
    <x v="6"/>
    <n v="14.9"/>
    <n v="43.8"/>
    <n v="6.5262000000000002"/>
    <n v="55.699999999999996"/>
    <x v="3"/>
    <n v="1"/>
  </r>
  <r>
    <d v="2036-03-09T00:00:00"/>
    <x v="6"/>
    <n v="19"/>
    <n v="0"/>
    <n v="0"/>
    <n v="74.699999999999989"/>
    <x v="3"/>
    <n v="1"/>
  </r>
  <r>
    <d v="2036-03-10T00:00:00"/>
    <x v="2"/>
    <n v="12.5"/>
    <n v="0"/>
    <n v="0"/>
    <n v="87.199999999999989"/>
    <x v="3"/>
    <n v="1"/>
  </r>
  <r>
    <d v="2036-03-11T00:00:00"/>
    <x v="9"/>
    <n v="15.2"/>
    <n v="13.9"/>
    <n v="2.1128"/>
    <n v="102.39999999999999"/>
    <x v="3"/>
    <n v="1"/>
  </r>
  <r>
    <d v="2036-03-12T00:00:00"/>
    <x v="15"/>
    <n v="29.2"/>
    <n v="26.8"/>
    <n v="7.8255999999999997"/>
    <n v="131.6"/>
    <x v="3"/>
    <n v="1"/>
  </r>
  <r>
    <d v="2036-03-13T00:00:00"/>
    <x v="2"/>
    <n v="13.9"/>
    <n v="1.1000000000000001"/>
    <n v="0.15290000000000001"/>
    <n v="13.9"/>
    <x v="3"/>
    <n v="1"/>
  </r>
  <r>
    <d v="2036-03-14T00:00:00"/>
    <x v="11"/>
    <n v="11.4"/>
    <n v="0"/>
    <n v="0"/>
    <n v="25.3"/>
    <x v="3"/>
    <n v="1"/>
  </r>
  <r>
    <d v="2036-03-15T00:00:00"/>
    <x v="5"/>
    <n v="15.8"/>
    <n v="7"/>
    <n v="1.1060000000000001"/>
    <n v="41.1"/>
    <x v="3"/>
    <n v="1"/>
  </r>
  <r>
    <d v="2036-03-16T00:00:00"/>
    <x v="6"/>
    <n v="10.199999999999999"/>
    <n v="43.3"/>
    <n v="4.4165999999999999"/>
    <n v="51.3"/>
    <x v="3"/>
    <n v="1"/>
  </r>
  <r>
    <d v="2036-03-17T00:00:00"/>
    <x v="9"/>
    <n v="19.600000000000001"/>
    <n v="8.9"/>
    <n v="1.7444000000000002"/>
    <n v="70.900000000000006"/>
    <x v="3"/>
    <n v="1"/>
  </r>
  <r>
    <d v="2036-03-18T00:00:00"/>
    <x v="2"/>
    <n v="15.5"/>
    <n v="10.1"/>
    <n v="1.5654999999999999"/>
    <n v="86.4"/>
    <x v="3"/>
    <n v="1"/>
  </r>
  <r>
    <d v="2036-03-19T00:00:00"/>
    <x v="11"/>
    <n v="19.899999999999999"/>
    <n v="16.2"/>
    <n v="3.2237999999999993"/>
    <n v="106.30000000000001"/>
    <x v="3"/>
    <n v="1"/>
  </r>
  <r>
    <d v="2036-03-20T00:00:00"/>
    <x v="14"/>
    <n v="10.7"/>
    <n v="2.8"/>
    <n v="0.29959999999999998"/>
    <n v="10.7"/>
    <x v="3"/>
    <n v="1"/>
  </r>
  <r>
    <d v="2036-03-21T00:00:00"/>
    <x v="22"/>
    <n v="11.5"/>
    <n v="5.9"/>
    <n v="0.6785000000000001"/>
    <n v="22.2"/>
    <x v="3"/>
    <n v="1"/>
  </r>
  <r>
    <d v="2036-03-22T00:00:00"/>
    <x v="10"/>
    <n v="28.4"/>
    <n v="1"/>
    <n v="0.28399999999999997"/>
    <n v="50.599999999999994"/>
    <x v="3"/>
    <n v="1"/>
  </r>
  <r>
    <d v="2036-03-23T00:00:00"/>
    <x v="15"/>
    <n v="22.3"/>
    <n v="5.0999999999999996"/>
    <n v="1.1373"/>
    <n v="72.899999999999991"/>
    <x v="3"/>
    <n v="1"/>
  </r>
  <r>
    <d v="2036-03-24T00:00:00"/>
    <x v="9"/>
    <n v="28.7"/>
    <n v="11.5"/>
    <n v="3.3005"/>
    <n v="101.6"/>
    <x v="3"/>
    <n v="1"/>
  </r>
  <r>
    <d v="2036-03-25T00:00:00"/>
    <x v="2"/>
    <n v="19.100000000000001"/>
    <n v="0"/>
    <n v="0"/>
    <n v="120.69999999999999"/>
    <x v="3"/>
    <n v="1"/>
  </r>
  <r>
    <d v="2036-03-26T00:00:00"/>
    <x v="6"/>
    <n v="10.199999999999999"/>
    <n v="7.6"/>
    <n v="0.7752"/>
    <n v="130.89999999999998"/>
    <x v="3"/>
    <n v="1"/>
  </r>
  <r>
    <d v="2036-03-27T00:00:00"/>
    <x v="6"/>
    <n v="18.399999999999999"/>
    <n v="0"/>
    <n v="0"/>
    <n v="18.399999999999999"/>
    <x v="3"/>
    <n v="1"/>
  </r>
  <r>
    <d v="2036-03-28T00:00:00"/>
    <x v="15"/>
    <n v="29.3"/>
    <n v="0"/>
    <n v="0"/>
    <n v="47.7"/>
    <x v="3"/>
    <n v="1"/>
  </r>
  <r>
    <d v="2036-03-29T00:00:00"/>
    <x v="13"/>
    <n v="26.7"/>
    <n v="5.7"/>
    <n v="1.5219"/>
    <n v="74.400000000000006"/>
    <x v="3"/>
    <n v="1"/>
  </r>
  <r>
    <d v="2036-03-30T00:00:00"/>
    <x v="4"/>
    <n v="22.2"/>
    <n v="0.9"/>
    <n v="0"/>
    <n v="96.600000000000009"/>
    <x v="3"/>
    <n v="1"/>
  </r>
  <r>
    <d v="2036-03-31T00:00:00"/>
    <x v="9"/>
    <n v="25.5"/>
    <n v="5.8"/>
    <n v="1.4790000000000001"/>
    <n v="122.10000000000001"/>
    <x v="3"/>
    <n v="1"/>
  </r>
  <r>
    <d v="2036-04-01T00:00:00"/>
    <x v="15"/>
    <n v="23.5"/>
    <n v="32"/>
    <n v="7.52"/>
    <n v="145.60000000000002"/>
    <x v="3"/>
    <n v="1"/>
  </r>
  <r>
    <d v="2036-04-02T00:00:00"/>
    <x v="1"/>
    <n v="28.4"/>
    <n v="5.7"/>
    <n v="1.6188"/>
    <n v="174.00000000000003"/>
    <x v="3"/>
    <n v="1"/>
  </r>
  <r>
    <d v="2036-04-03T00:00:00"/>
    <x v="18"/>
    <n v="13.7"/>
    <n v="6"/>
    <n v="0.82199999999999984"/>
    <n v="13.7"/>
    <x v="3"/>
    <n v="1"/>
  </r>
  <r>
    <d v="2036-04-04T00:00:00"/>
    <x v="5"/>
    <n v="22.1"/>
    <n v="11.7"/>
    <n v="2.5857000000000001"/>
    <n v="35.799999999999997"/>
    <x v="3"/>
    <n v="1"/>
  </r>
  <r>
    <d v="2036-04-05T00:00:00"/>
    <x v="7"/>
    <n v="16.899999999999999"/>
    <n v="18.2"/>
    <n v="3.0757999999999996"/>
    <n v="52.699999999999996"/>
    <x v="3"/>
    <n v="1"/>
  </r>
  <r>
    <d v="2036-04-06T00:00:00"/>
    <x v="18"/>
    <n v="28"/>
    <n v="0"/>
    <n v="0"/>
    <n v="80.699999999999989"/>
    <x v="3"/>
    <n v="1"/>
  </r>
  <r>
    <d v="2036-04-07T00:00:00"/>
    <x v="6"/>
    <n v="13.5"/>
    <n v="3.7"/>
    <n v="0.49950000000000006"/>
    <n v="94.199999999999989"/>
    <x v="3"/>
    <n v="1"/>
  </r>
  <r>
    <d v="2036-04-08T00:00:00"/>
    <x v="15"/>
    <n v="13.4"/>
    <n v="22.5"/>
    <n v="3.0150000000000001"/>
    <n v="107.6"/>
    <x v="3"/>
    <n v="1"/>
  </r>
  <r>
    <d v="2036-04-09T00:00:00"/>
    <x v="2"/>
    <n v="19.899999999999999"/>
    <n v="11.6"/>
    <n v="2.3083999999999998"/>
    <n v="127.5"/>
    <x v="3"/>
    <n v="1"/>
  </r>
  <r>
    <d v="2036-04-10T00:00:00"/>
    <x v="3"/>
    <n v="24.2"/>
    <n v="11"/>
    <n v="2.6619999999999999"/>
    <n v="24.2"/>
    <x v="3"/>
    <n v="1"/>
  </r>
  <r>
    <d v="2036-04-11T00:00:00"/>
    <x v="23"/>
    <n v="20.399999999999999"/>
    <n v="0"/>
    <n v="0"/>
    <n v="44.599999999999994"/>
    <x v="3"/>
    <n v="1"/>
  </r>
  <r>
    <d v="2036-04-12T00:00:00"/>
    <x v="23"/>
    <n v="16.600000000000001"/>
    <n v="3.9"/>
    <n v="0.64740000000000009"/>
    <n v="61.199999999999996"/>
    <x v="3"/>
    <n v="1"/>
  </r>
  <r>
    <d v="2036-04-13T00:00:00"/>
    <x v="29"/>
    <n v="14.3"/>
    <n v="0"/>
    <n v="0"/>
    <n v="75.5"/>
    <x v="3"/>
    <n v="1"/>
  </r>
  <r>
    <d v="2036-04-14T00:00:00"/>
    <x v="22"/>
    <n v="24.4"/>
    <n v="4.4000000000000004"/>
    <n v="1.0735999999999999"/>
    <n v="99.9"/>
    <x v="3"/>
    <n v="1"/>
  </r>
  <r>
    <d v="2036-04-15T00:00:00"/>
    <x v="6"/>
    <n v="26.7"/>
    <n v="30.4"/>
    <n v="8.1167999999999996"/>
    <n v="126.60000000000001"/>
    <x v="3"/>
    <n v="1"/>
  </r>
  <r>
    <d v="2036-04-16T00:00:00"/>
    <x v="9"/>
    <n v="20.100000000000001"/>
    <n v="3.1"/>
    <n v="0.6231000000000001"/>
    <n v="146.70000000000002"/>
    <x v="3"/>
    <n v="1"/>
  </r>
  <r>
    <d v="2036-04-17T00:00:00"/>
    <x v="2"/>
    <n v="13.5"/>
    <n v="6.9"/>
    <n v="0.93150000000000011"/>
    <n v="13.5"/>
    <x v="3"/>
    <n v="1"/>
  </r>
  <r>
    <d v="2036-04-18T00:00:00"/>
    <x v="3"/>
    <n v="18.8"/>
    <n v="21.5"/>
    <n v="4.0419999999999998"/>
    <n v="32.299999999999997"/>
    <x v="3"/>
    <n v="1"/>
  </r>
  <r>
    <d v="2036-04-19T00:00:00"/>
    <x v="15"/>
    <n v="18"/>
    <n v="13.9"/>
    <n v="2.5020000000000002"/>
    <n v="50.3"/>
    <x v="3"/>
    <n v="1"/>
  </r>
  <r>
    <d v="2036-04-20T00:00:00"/>
    <x v="23"/>
    <n v="16.899999999999999"/>
    <n v="1.8"/>
    <n v="0.30419999999999997"/>
    <n v="67.199999999999989"/>
    <x v="3"/>
    <n v="1"/>
  </r>
  <r>
    <d v="2036-04-21T00:00:00"/>
    <x v="2"/>
    <n v="23.7"/>
    <n v="13"/>
    <n v="3.0809999999999995"/>
    <n v="90.899999999999991"/>
    <x v="3"/>
    <n v="1"/>
  </r>
  <r>
    <d v="2036-04-22T00:00:00"/>
    <x v="28"/>
    <n v="17.600000000000001"/>
    <n v="0.6"/>
    <n v="0"/>
    <n v="108.5"/>
    <x v="3"/>
    <n v="1"/>
  </r>
  <r>
    <d v="2036-04-23T00:00:00"/>
    <x v="3"/>
    <n v="29.1"/>
    <n v="8.3000000000000007"/>
    <n v="2.4153000000000002"/>
    <n v="137.6"/>
    <x v="3"/>
    <n v="1"/>
  </r>
  <r>
    <d v="2036-04-24T00:00:00"/>
    <x v="5"/>
    <n v="26.8"/>
    <n v="11.2"/>
    <n v="3.0015999999999998"/>
    <n v="26.8"/>
    <x v="3"/>
    <n v="1"/>
  </r>
  <r>
    <d v="2036-04-25T00:00:00"/>
    <x v="14"/>
    <n v="10.5"/>
    <n v="0"/>
    <n v="0"/>
    <n v="37.299999999999997"/>
    <x v="3"/>
    <n v="1"/>
  </r>
  <r>
    <d v="2036-04-26T00:00:00"/>
    <x v="7"/>
    <n v="13.5"/>
    <n v="0"/>
    <n v="0"/>
    <n v="50.8"/>
    <x v="3"/>
    <n v="1"/>
  </r>
  <r>
    <d v="2036-04-27T00:00:00"/>
    <x v="6"/>
    <n v="14"/>
    <n v="22"/>
    <n v="3.08"/>
    <n v="64.8"/>
    <x v="3"/>
    <n v="1"/>
  </r>
  <r>
    <d v="2036-04-28T00:00:00"/>
    <x v="7"/>
    <n v="26.7"/>
    <n v="8"/>
    <n v="2.1360000000000001"/>
    <n v="91.5"/>
    <x v="3"/>
    <n v="1"/>
  </r>
  <r>
    <d v="2036-04-29T00:00:00"/>
    <x v="22"/>
    <n v="11.2"/>
    <n v="6.1"/>
    <n v="0.68319999999999992"/>
    <n v="102.7"/>
    <x v="3"/>
    <n v="1"/>
  </r>
  <r>
    <d v="2036-04-30T00:00:00"/>
    <x v="23"/>
    <n v="24.7"/>
    <n v="0"/>
    <n v="0"/>
    <n v="127.4"/>
    <x v="3"/>
    <n v="1"/>
  </r>
  <r>
    <d v="2036-05-01T00:00:00"/>
    <x v="25"/>
    <n v="27.2"/>
    <n v="0.3"/>
    <n v="0"/>
    <n v="27.2"/>
    <x v="3"/>
    <n v="1"/>
  </r>
  <r>
    <d v="2036-05-02T00:00:00"/>
    <x v="26"/>
    <n v="11"/>
    <n v="0"/>
    <n v="0"/>
    <n v="38.200000000000003"/>
    <x v="3"/>
    <n v="1"/>
  </r>
  <r>
    <d v="2036-05-03T00:00:00"/>
    <x v="8"/>
    <n v="10.9"/>
    <n v="4.4000000000000004"/>
    <n v="0.47960000000000008"/>
    <n v="49.1"/>
    <x v="3"/>
    <n v="1"/>
  </r>
  <r>
    <d v="2036-05-04T00:00:00"/>
    <x v="3"/>
    <n v="27.4"/>
    <n v="6"/>
    <n v="1.6439999999999997"/>
    <n v="76.5"/>
    <x v="3"/>
    <n v="1"/>
  </r>
  <r>
    <d v="2036-05-05T00:00:00"/>
    <x v="2"/>
    <n v="20"/>
    <n v="7.6"/>
    <n v="1.52"/>
    <n v="96.5"/>
    <x v="3"/>
    <n v="1"/>
  </r>
  <r>
    <d v="2036-05-06T00:00:00"/>
    <x v="14"/>
    <n v="23.5"/>
    <n v="2.5"/>
    <n v="0.58750000000000002"/>
    <n v="120"/>
    <x v="3"/>
    <n v="1"/>
  </r>
  <r>
    <d v="2036-05-07T00:00:00"/>
    <x v="7"/>
    <n v="28.5"/>
    <n v="0"/>
    <n v="0"/>
    <n v="148.5"/>
    <x v="3"/>
    <n v="1"/>
  </r>
  <r>
    <d v="2036-05-08T00:00:00"/>
    <x v="23"/>
    <n v="10.8"/>
    <n v="5.8"/>
    <n v="0.62639999999999996"/>
    <n v="10.8"/>
    <x v="3"/>
    <n v="1"/>
  </r>
  <r>
    <d v="2036-05-09T00:00:00"/>
    <x v="11"/>
    <n v="18.899999999999999"/>
    <n v="9.5"/>
    <n v="1.7954999999999999"/>
    <n v="29.7"/>
    <x v="3"/>
    <n v="1"/>
  </r>
  <r>
    <d v="2036-05-10T00:00:00"/>
    <x v="9"/>
    <n v="24"/>
    <n v="4"/>
    <n v="0.96"/>
    <n v="53.7"/>
    <x v="3"/>
    <n v="1"/>
  </r>
  <r>
    <d v="2036-05-11T00:00:00"/>
    <x v="8"/>
    <n v="12.7"/>
    <n v="3"/>
    <n v="0.38099999999999995"/>
    <n v="66.400000000000006"/>
    <x v="3"/>
    <n v="1"/>
  </r>
  <r>
    <d v="2036-05-12T00:00:00"/>
    <x v="3"/>
    <n v="13.4"/>
    <n v="6.2"/>
    <n v="0.83079999999999998"/>
    <n v="79.800000000000011"/>
    <x v="3"/>
    <n v="1"/>
  </r>
  <r>
    <d v="2036-05-13T00:00:00"/>
    <x v="6"/>
    <n v="15.9"/>
    <n v="0"/>
    <n v="0"/>
    <n v="95.700000000000017"/>
    <x v="3"/>
    <n v="1"/>
  </r>
  <r>
    <d v="2036-05-14T00:00:00"/>
    <x v="7"/>
    <n v="19.399999999999999"/>
    <n v="21.2"/>
    <n v="4.1128"/>
    <n v="115.10000000000002"/>
    <x v="3"/>
    <n v="1"/>
  </r>
  <r>
    <d v="2036-05-15T00:00:00"/>
    <x v="11"/>
    <n v="16.3"/>
    <n v="17.600000000000001"/>
    <n v="2.8688000000000007"/>
    <n v="16.3"/>
    <x v="3"/>
    <n v="1"/>
  </r>
  <r>
    <d v="2036-05-16T00:00:00"/>
    <x v="7"/>
    <n v="28"/>
    <n v="20.399999999999999"/>
    <n v="5.7119999999999997"/>
    <n v="44.3"/>
    <x v="3"/>
    <n v="1"/>
  </r>
  <r>
    <d v="2036-05-17T00:00:00"/>
    <x v="8"/>
    <n v="19"/>
    <n v="5.2"/>
    <n v="0.98799999999999999"/>
    <n v="63.3"/>
    <x v="3"/>
    <n v="1"/>
  </r>
  <r>
    <d v="2036-05-18T00:00:00"/>
    <x v="23"/>
    <n v="24.1"/>
    <n v="4.8"/>
    <n v="1.1568000000000001"/>
    <n v="87.4"/>
    <x v="3"/>
    <n v="1"/>
  </r>
  <r>
    <d v="2036-05-19T00:00:00"/>
    <x v="6"/>
    <n v="15.2"/>
    <n v="25.7"/>
    <n v="3.9063999999999997"/>
    <n v="102.60000000000001"/>
    <x v="3"/>
    <n v="1"/>
  </r>
  <r>
    <d v="2036-05-20T00:00:00"/>
    <x v="7"/>
    <n v="16.3"/>
    <n v="21"/>
    <n v="3.423"/>
    <n v="118.9"/>
    <x v="3"/>
    <n v="1"/>
  </r>
  <r>
    <d v="2036-05-21T00:00:00"/>
    <x v="3"/>
    <n v="26.9"/>
    <n v="0"/>
    <n v="0"/>
    <n v="145.80000000000001"/>
    <x v="3"/>
    <n v="1"/>
  </r>
  <r>
    <d v="2036-05-22T00:00:00"/>
    <x v="5"/>
    <n v="25"/>
    <n v="0.5"/>
    <n v="0"/>
    <n v="25"/>
    <x v="3"/>
    <n v="1"/>
  </r>
  <r>
    <d v="2036-05-23T00:00:00"/>
    <x v="13"/>
    <n v="25.1"/>
    <n v="5.2"/>
    <n v="1.3052000000000001"/>
    <n v="50.1"/>
    <x v="3"/>
    <n v="1"/>
  </r>
  <r>
    <d v="2036-05-24T00:00:00"/>
    <x v="8"/>
    <n v="29.2"/>
    <n v="7.1"/>
    <n v="2.0731999999999999"/>
    <n v="79.3"/>
    <x v="3"/>
    <n v="1"/>
  </r>
  <r>
    <d v="2036-05-25T00:00:00"/>
    <x v="9"/>
    <n v="18.100000000000001"/>
    <n v="5.0999999999999996"/>
    <n v="0.92310000000000003"/>
    <n v="97.4"/>
    <x v="3"/>
    <n v="1"/>
  </r>
  <r>
    <d v="2036-05-26T00:00:00"/>
    <x v="7"/>
    <n v="12.5"/>
    <n v="0"/>
    <n v="0"/>
    <n v="109.9"/>
    <x v="3"/>
    <n v="1"/>
  </r>
  <r>
    <d v="2036-05-27T00:00:00"/>
    <x v="7"/>
    <n v="19.100000000000001"/>
    <n v="0.3"/>
    <n v="0"/>
    <n v="129"/>
    <x v="3"/>
    <n v="1"/>
  </r>
  <r>
    <d v="2036-05-28T00:00:00"/>
    <x v="15"/>
    <n v="27.4"/>
    <n v="0"/>
    <n v="0"/>
    <n v="156.4"/>
    <x v="3"/>
    <n v="1"/>
  </r>
  <r>
    <d v="2036-05-29T00:00:00"/>
    <x v="3"/>
    <n v="21.1"/>
    <n v="10.4"/>
    <n v="2.1944000000000004"/>
    <n v="21.1"/>
    <x v="3"/>
    <n v="1"/>
  </r>
  <r>
    <d v="2036-05-30T00:00:00"/>
    <x v="23"/>
    <n v="13.4"/>
    <n v="0"/>
    <n v="0"/>
    <n v="34.5"/>
    <x v="3"/>
    <n v="1"/>
  </r>
  <r>
    <d v="2036-05-31T00:00:00"/>
    <x v="1"/>
    <n v="11.9"/>
    <n v="7.3"/>
    <n v="0.86870000000000003"/>
    <n v="46.4"/>
    <x v="3"/>
    <n v="1"/>
  </r>
  <r>
    <d v="2036-06-01T00:00:00"/>
    <x v="9"/>
    <n v="20.399999999999999"/>
    <n v="4.3"/>
    <n v="0.87719999999999987"/>
    <n v="66.8"/>
    <x v="3"/>
    <n v="1"/>
  </r>
  <r>
    <d v="2036-06-02T00:00:00"/>
    <x v="3"/>
    <n v="29.5"/>
    <n v="18.600000000000001"/>
    <n v="5.4870000000000001"/>
    <n v="96.3"/>
    <x v="3"/>
    <n v="1"/>
  </r>
  <r>
    <d v="2036-06-03T00:00:00"/>
    <x v="8"/>
    <n v="24.1"/>
    <n v="5"/>
    <n v="1.2050000000000001"/>
    <n v="120.4"/>
    <x v="3"/>
    <n v="1"/>
  </r>
  <r>
    <d v="2036-06-04T00:00:00"/>
    <x v="10"/>
    <n v="11.5"/>
    <n v="3.6"/>
    <n v="0.41399999999999998"/>
    <n v="131.9"/>
    <x v="3"/>
    <n v="1"/>
  </r>
  <r>
    <d v="2036-06-05T00:00:00"/>
    <x v="21"/>
    <n v="21.2"/>
    <n v="1.8"/>
    <n v="0.38159999999999994"/>
    <n v="21.2"/>
    <x v="3"/>
    <n v="1"/>
  </r>
  <r>
    <d v="2036-06-06T00:00:00"/>
    <x v="6"/>
    <n v="22.2"/>
    <n v="40.299999999999997"/>
    <n v="8.9465999999999983"/>
    <n v="43.4"/>
    <x v="3"/>
    <n v="1"/>
  </r>
  <r>
    <d v="2036-06-07T00:00:00"/>
    <x v="6"/>
    <n v="14.6"/>
    <n v="2.6"/>
    <n v="0.37959999999999999"/>
    <n v="58"/>
    <x v="3"/>
    <n v="1"/>
  </r>
  <r>
    <d v="2036-06-08T00:00:00"/>
    <x v="9"/>
    <n v="23.3"/>
    <n v="8.1"/>
    <n v="1.8873"/>
    <n v="81.3"/>
    <x v="3"/>
    <n v="1"/>
  </r>
  <r>
    <d v="2036-06-09T00:00:00"/>
    <x v="9"/>
    <n v="16.2"/>
    <n v="10.4"/>
    <n v="1.6847999999999999"/>
    <n v="97.5"/>
    <x v="3"/>
    <n v="1"/>
  </r>
  <r>
    <d v="2036-06-10T00:00:00"/>
    <x v="6"/>
    <n v="25.9"/>
    <n v="0"/>
    <n v="0"/>
    <n v="123.4"/>
    <x v="3"/>
    <n v="1"/>
  </r>
  <r>
    <d v="2036-06-11T00:00:00"/>
    <x v="1"/>
    <n v="14.6"/>
    <n v="7"/>
    <n v="1.022"/>
    <n v="138"/>
    <x v="3"/>
    <n v="1"/>
  </r>
  <r>
    <d v="2036-06-12T00:00:00"/>
    <x v="14"/>
    <n v="15.1"/>
    <n v="11.7"/>
    <n v="1.7666999999999999"/>
    <n v="15.1"/>
    <x v="3"/>
    <n v="1"/>
  </r>
  <r>
    <d v="2036-06-13T00:00:00"/>
    <x v="15"/>
    <n v="14.1"/>
    <n v="6.5"/>
    <n v="0.91649999999999987"/>
    <n v="29.2"/>
    <x v="3"/>
    <n v="1"/>
  </r>
  <r>
    <d v="2036-06-14T00:00:00"/>
    <x v="23"/>
    <n v="22.1"/>
    <n v="1.8"/>
    <n v="0.39779999999999999"/>
    <n v="51.3"/>
    <x v="3"/>
    <n v="1"/>
  </r>
  <r>
    <d v="2036-06-15T00:00:00"/>
    <x v="7"/>
    <n v="27.2"/>
    <n v="21.9"/>
    <n v="5.9567999999999994"/>
    <n v="78.5"/>
    <x v="3"/>
    <n v="1"/>
  </r>
  <r>
    <d v="2036-06-16T00:00:00"/>
    <x v="2"/>
    <n v="10.8"/>
    <n v="0"/>
    <n v="0"/>
    <n v="89.3"/>
    <x v="3"/>
    <n v="1"/>
  </r>
  <r>
    <d v="2036-06-17T00:00:00"/>
    <x v="3"/>
    <n v="24.6"/>
    <n v="0"/>
    <n v="0"/>
    <n v="113.9"/>
    <x v="3"/>
    <n v="1"/>
  </r>
  <r>
    <d v="2036-06-18T00:00:00"/>
    <x v="6"/>
    <n v="27.8"/>
    <n v="26.3"/>
    <n v="7.3113999999999999"/>
    <n v="141.70000000000002"/>
    <x v="3"/>
    <n v="1"/>
  </r>
  <r>
    <d v="2036-06-19T00:00:00"/>
    <x v="10"/>
    <n v="12.9"/>
    <n v="2.8"/>
    <n v="0.36119999999999997"/>
    <n v="12.9"/>
    <x v="3"/>
    <n v="1"/>
  </r>
  <r>
    <d v="2036-06-20T00:00:00"/>
    <x v="9"/>
    <n v="13.9"/>
    <n v="0.6"/>
    <n v="0"/>
    <n v="26.8"/>
    <x v="3"/>
    <n v="1"/>
  </r>
  <r>
    <d v="2036-06-21T00:00:00"/>
    <x v="25"/>
    <n v="27.6"/>
    <n v="0.6"/>
    <n v="0"/>
    <n v="54.400000000000006"/>
    <x v="3"/>
    <n v="1"/>
  </r>
  <r>
    <d v="2036-06-22T00:00:00"/>
    <x v="7"/>
    <n v="18.600000000000001"/>
    <n v="21.5"/>
    <n v="3.9990000000000006"/>
    <n v="73"/>
    <x v="3"/>
    <n v="1"/>
  </r>
  <r>
    <d v="2036-06-23T00:00:00"/>
    <x v="2"/>
    <n v="17.8"/>
    <n v="0"/>
    <n v="0"/>
    <n v="90.8"/>
    <x v="3"/>
    <n v="1"/>
  </r>
  <r>
    <d v="2036-06-24T00:00:00"/>
    <x v="11"/>
    <n v="20.8"/>
    <n v="8.5"/>
    <n v="1.768"/>
    <n v="111.6"/>
    <x v="3"/>
    <n v="1"/>
  </r>
  <r>
    <d v="2036-06-25T00:00:00"/>
    <x v="18"/>
    <n v="16.399999999999999"/>
    <n v="6.8"/>
    <n v="1.1151999999999997"/>
    <n v="128"/>
    <x v="3"/>
    <n v="1"/>
  </r>
  <r>
    <d v="2036-06-26T00:00:00"/>
    <x v="23"/>
    <n v="14.6"/>
    <n v="0"/>
    <n v="0"/>
    <n v="14.6"/>
    <x v="3"/>
    <n v="1"/>
  </r>
  <r>
    <d v="2036-06-27T00:00:00"/>
    <x v="5"/>
    <n v="27.1"/>
    <n v="1.2"/>
    <n v="0.32520000000000004"/>
    <n v="41.7"/>
    <x v="3"/>
    <n v="1"/>
  </r>
  <r>
    <d v="2036-06-28T00:00:00"/>
    <x v="6"/>
    <n v="18.3"/>
    <n v="3.7"/>
    <n v="0.67710000000000004"/>
    <n v="60"/>
    <x v="3"/>
    <n v="1"/>
  </r>
  <r>
    <d v="2036-06-29T00:00:00"/>
    <x v="25"/>
    <n v="27.1"/>
    <n v="0.2"/>
    <n v="0"/>
    <n v="87.1"/>
    <x v="3"/>
    <n v="1"/>
  </r>
  <r>
    <d v="2036-06-30T00:00:00"/>
    <x v="11"/>
    <n v="12.9"/>
    <n v="10.199999999999999"/>
    <n v="1.3157999999999999"/>
    <n v="100"/>
    <x v="3"/>
    <n v="1"/>
  </r>
  <r>
    <d v="2036-07-01T00:00:00"/>
    <x v="15"/>
    <n v="19.100000000000001"/>
    <n v="19.600000000000001"/>
    <n v="3.7436000000000007"/>
    <n v="119.1"/>
    <x v="3"/>
    <n v="1"/>
  </r>
  <r>
    <d v="2036-07-02T00:00:00"/>
    <x v="2"/>
    <n v="19.2"/>
    <n v="3.6"/>
    <n v="0.69120000000000004"/>
    <n v="138.29999999999998"/>
    <x v="3"/>
    <n v="1"/>
  </r>
  <r>
    <d v="2036-07-03T00:00:00"/>
    <x v="5"/>
    <n v="25.2"/>
    <n v="0"/>
    <n v="0"/>
    <n v="25.2"/>
    <x v="3"/>
    <n v="1"/>
  </r>
  <r>
    <d v="2036-07-04T00:00:00"/>
    <x v="11"/>
    <n v="13.5"/>
    <n v="6.3"/>
    <n v="0.85049999999999992"/>
    <n v="38.700000000000003"/>
    <x v="3"/>
    <n v="1"/>
  </r>
  <r>
    <d v="2036-07-05T00:00:00"/>
    <x v="8"/>
    <n v="19.2"/>
    <n v="7.7"/>
    <n v="1.4783999999999999"/>
    <n v="57.900000000000006"/>
    <x v="3"/>
    <n v="1"/>
  </r>
  <r>
    <d v="2036-07-06T00:00:00"/>
    <x v="10"/>
    <n v="24.1"/>
    <n v="7.8"/>
    <n v="1.8798000000000001"/>
    <n v="82"/>
    <x v="3"/>
    <n v="1"/>
  </r>
  <r>
    <d v="2036-07-07T00:00:00"/>
    <x v="6"/>
    <n v="17.8"/>
    <n v="13.4"/>
    <n v="2.3852000000000002"/>
    <n v="99.8"/>
    <x v="3"/>
    <n v="1"/>
  </r>
  <r>
    <d v="2036-07-08T00:00:00"/>
    <x v="3"/>
    <n v="24.7"/>
    <n v="21.1"/>
    <n v="5.2117000000000004"/>
    <n v="124.5"/>
    <x v="3"/>
    <n v="1"/>
  </r>
  <r>
    <d v="2036-07-09T00:00:00"/>
    <x v="16"/>
    <n v="16.8"/>
    <n v="0"/>
    <n v="0"/>
    <n v="141.30000000000001"/>
    <x v="3"/>
    <n v="1"/>
  </r>
  <r>
    <d v="2036-07-10T00:00:00"/>
    <x v="1"/>
    <n v="10.7"/>
    <n v="3"/>
    <n v="0.32099999999999995"/>
    <n v="10.7"/>
    <x v="3"/>
    <n v="1"/>
  </r>
  <r>
    <d v="2036-07-11T00:00:00"/>
    <x v="2"/>
    <n v="29.3"/>
    <n v="8.3000000000000007"/>
    <n v="2.4319000000000002"/>
    <n v="40"/>
    <x v="3"/>
    <n v="1"/>
  </r>
  <r>
    <d v="2036-07-12T00:00:00"/>
    <x v="21"/>
    <n v="28.2"/>
    <n v="0"/>
    <n v="0"/>
    <n v="68.2"/>
    <x v="3"/>
    <n v="1"/>
  </r>
  <r>
    <d v="2036-07-13T00:00:00"/>
    <x v="6"/>
    <n v="17.3"/>
    <n v="33.6"/>
    <n v="5.8128000000000011"/>
    <n v="85.5"/>
    <x v="3"/>
    <n v="1"/>
  </r>
  <r>
    <d v="2036-07-14T00:00:00"/>
    <x v="2"/>
    <n v="24.6"/>
    <n v="0"/>
    <n v="0"/>
    <n v="110.1"/>
    <x v="3"/>
    <n v="1"/>
  </r>
  <r>
    <d v="2036-07-15T00:00:00"/>
    <x v="8"/>
    <n v="12.6"/>
    <n v="0.6"/>
    <n v="0"/>
    <n v="122.69999999999999"/>
    <x v="3"/>
    <n v="1"/>
  </r>
  <r>
    <d v="2036-07-16T00:00:00"/>
    <x v="15"/>
    <n v="27.3"/>
    <n v="0"/>
    <n v="0"/>
    <n v="150"/>
    <x v="3"/>
    <n v="1"/>
  </r>
  <r>
    <d v="2036-07-17T00:00:00"/>
    <x v="4"/>
    <n v="14.4"/>
    <n v="2"/>
    <n v="0.28800000000000003"/>
    <n v="14.4"/>
    <x v="3"/>
    <n v="1"/>
  </r>
  <r>
    <d v="2036-07-18T00:00:00"/>
    <x v="6"/>
    <n v="11.2"/>
    <n v="32.6"/>
    <n v="3.6512000000000002"/>
    <n v="25.6"/>
    <x v="3"/>
    <n v="1"/>
  </r>
  <r>
    <d v="2036-07-19T00:00:00"/>
    <x v="15"/>
    <n v="11.4"/>
    <n v="5.5"/>
    <n v="0.627"/>
    <n v="37"/>
    <x v="3"/>
    <n v="1"/>
  </r>
  <r>
    <d v="2036-07-20T00:00:00"/>
    <x v="10"/>
    <n v="22.9"/>
    <n v="0"/>
    <n v="0"/>
    <n v="59.9"/>
    <x v="3"/>
    <n v="1"/>
  </r>
  <r>
    <d v="2036-07-21T00:00:00"/>
    <x v="3"/>
    <n v="14.3"/>
    <n v="13.2"/>
    <n v="1.8875999999999999"/>
    <n v="74.2"/>
    <x v="3"/>
    <n v="1"/>
  </r>
  <r>
    <d v="2036-07-22T00:00:00"/>
    <x v="6"/>
    <n v="22.9"/>
    <n v="22.9"/>
    <n v="5.2440999999999995"/>
    <n v="97.1"/>
    <x v="3"/>
    <n v="1"/>
  </r>
  <r>
    <d v="2036-07-23T00:00:00"/>
    <x v="7"/>
    <n v="11.8"/>
    <n v="0"/>
    <n v="0"/>
    <n v="108.89999999999999"/>
    <x v="3"/>
    <n v="1"/>
  </r>
  <r>
    <d v="2036-07-24T00:00:00"/>
    <x v="14"/>
    <n v="24.5"/>
    <n v="0"/>
    <n v="0"/>
    <n v="24.5"/>
    <x v="3"/>
    <n v="1"/>
  </r>
  <r>
    <d v="2036-07-25T00:00:00"/>
    <x v="11"/>
    <n v="25.5"/>
    <n v="19.3"/>
    <n v="4.9215"/>
    <n v="50"/>
    <x v="3"/>
    <n v="1"/>
  </r>
  <r>
    <d v="2036-07-26T00:00:00"/>
    <x v="15"/>
    <n v="14.7"/>
    <n v="18.3"/>
    <n v="2.6900999999999997"/>
    <n v="64.7"/>
    <x v="3"/>
    <n v="1"/>
  </r>
  <r>
    <d v="2036-07-27T00:00:00"/>
    <x v="11"/>
    <n v="28.7"/>
    <n v="0"/>
    <n v="0"/>
    <n v="93.4"/>
    <x v="3"/>
    <n v="1"/>
  </r>
  <r>
    <d v="2036-07-28T00:00:00"/>
    <x v="6"/>
    <n v="16.7"/>
    <n v="0"/>
    <n v="0"/>
    <n v="110.10000000000001"/>
    <x v="3"/>
    <n v="1"/>
  </r>
  <r>
    <d v="2036-07-29T00:00:00"/>
    <x v="11"/>
    <n v="17.399999999999999"/>
    <n v="13.7"/>
    <n v="2.3837999999999995"/>
    <n v="127.5"/>
    <x v="3"/>
    <n v="1"/>
  </r>
  <r>
    <d v="2036-07-30T00:00:00"/>
    <x v="6"/>
    <n v="15.6"/>
    <n v="0"/>
    <n v="0"/>
    <n v="143.1"/>
    <x v="3"/>
    <n v="1"/>
  </r>
  <r>
    <d v="2036-07-31T00:00:00"/>
    <x v="15"/>
    <n v="21.7"/>
    <n v="0"/>
    <n v="0"/>
    <n v="21.7"/>
    <x v="3"/>
    <n v="1"/>
  </r>
  <r>
    <d v="2036-08-01T00:00:00"/>
    <x v="3"/>
    <n v="26"/>
    <n v="0"/>
    <n v="0"/>
    <n v="47.7"/>
    <x v="3"/>
    <n v="1"/>
  </r>
  <r>
    <d v="2036-08-02T00:00:00"/>
    <x v="18"/>
    <n v="24.5"/>
    <n v="9"/>
    <n v="2.2050000000000001"/>
    <n v="72.2"/>
    <x v="3"/>
    <n v="1"/>
  </r>
  <r>
    <d v="2036-08-03T00:00:00"/>
    <x v="13"/>
    <n v="23.2"/>
    <n v="0"/>
    <n v="0"/>
    <n v="95.4"/>
    <x v="3"/>
    <n v="1"/>
  </r>
  <r>
    <d v="2036-08-04T00:00:00"/>
    <x v="20"/>
    <n v="17.600000000000001"/>
    <n v="0.8"/>
    <n v="0"/>
    <n v="113"/>
    <x v="3"/>
    <n v="1"/>
  </r>
  <r>
    <d v="2036-08-05T00:00:00"/>
    <x v="3"/>
    <n v="13.9"/>
    <n v="8.8000000000000007"/>
    <n v="1.2232000000000001"/>
    <n v="126.9"/>
    <x v="3"/>
    <n v="1"/>
  </r>
  <r>
    <d v="2036-08-06T00:00:00"/>
    <x v="23"/>
    <n v="20.7"/>
    <n v="4.3"/>
    <n v="0.89009999999999989"/>
    <n v="147.6"/>
    <x v="3"/>
    <n v="1"/>
  </r>
  <r>
    <d v="2036-08-07T00:00:00"/>
    <x v="1"/>
    <n v="10.1"/>
    <n v="1.7"/>
    <n v="0.17169999999999999"/>
    <n v="10.1"/>
    <x v="3"/>
    <n v="1"/>
  </r>
  <r>
    <d v="2036-08-08T00:00:00"/>
    <x v="3"/>
    <n v="26.2"/>
    <n v="22.7"/>
    <n v="5.9474"/>
    <n v="36.299999999999997"/>
    <x v="3"/>
    <n v="1"/>
  </r>
  <r>
    <d v="2036-08-09T00:00:00"/>
    <x v="15"/>
    <n v="27.6"/>
    <n v="13.8"/>
    <n v="3.8088000000000006"/>
    <n v="63.9"/>
    <x v="3"/>
    <n v="1"/>
  </r>
  <r>
    <d v="2036-08-10T00:00:00"/>
    <x v="2"/>
    <n v="20.6"/>
    <n v="4.7"/>
    <n v="0.96820000000000006"/>
    <n v="84.5"/>
    <x v="3"/>
    <n v="1"/>
  </r>
  <r>
    <d v="2036-08-11T00:00:00"/>
    <x v="5"/>
    <n v="21.4"/>
    <n v="5"/>
    <n v="1.07"/>
    <n v="105.9"/>
    <x v="3"/>
    <n v="1"/>
  </r>
  <r>
    <d v="2036-08-12T00:00:00"/>
    <x v="2"/>
    <n v="17.100000000000001"/>
    <n v="0"/>
    <n v="0"/>
    <n v="123"/>
    <x v="3"/>
    <n v="1"/>
  </r>
  <r>
    <d v="2036-08-13T00:00:00"/>
    <x v="6"/>
    <n v="19.5"/>
    <n v="20.5"/>
    <n v="3.9975000000000001"/>
    <n v="142.5"/>
    <x v="3"/>
    <n v="1"/>
  </r>
  <r>
    <d v="2036-08-14T00:00:00"/>
    <x v="9"/>
    <n v="15.9"/>
    <n v="0"/>
    <n v="0"/>
    <n v="15.9"/>
    <x v="3"/>
    <n v="1"/>
  </r>
  <r>
    <d v="2036-08-15T00:00:00"/>
    <x v="6"/>
    <n v="21.1"/>
    <n v="46.8"/>
    <n v="9.8748000000000005"/>
    <n v="37"/>
    <x v="3"/>
    <n v="1"/>
  </r>
  <r>
    <d v="2036-08-16T00:00:00"/>
    <x v="15"/>
    <n v="20.2"/>
    <n v="36.6"/>
    <n v="7.3932000000000002"/>
    <n v="57.2"/>
    <x v="3"/>
    <n v="1"/>
  </r>
  <r>
    <d v="2036-08-17T00:00:00"/>
    <x v="8"/>
    <n v="25"/>
    <n v="7.8"/>
    <n v="1.95"/>
    <n v="82.2"/>
    <x v="3"/>
    <n v="1"/>
  </r>
  <r>
    <d v="2036-08-18T00:00:00"/>
    <x v="6"/>
    <n v="22.1"/>
    <n v="8.8000000000000007"/>
    <n v="1.9448000000000001"/>
    <n v="104.30000000000001"/>
    <x v="3"/>
    <n v="1"/>
  </r>
  <r>
    <d v="2036-08-19T00:00:00"/>
    <x v="29"/>
    <n v="28.9"/>
    <n v="0.5"/>
    <n v="0"/>
    <n v="133.20000000000002"/>
    <x v="3"/>
    <n v="1"/>
  </r>
  <r>
    <d v="2036-08-20T00:00:00"/>
    <x v="7"/>
    <n v="19.600000000000001"/>
    <n v="0"/>
    <n v="0"/>
    <n v="152.80000000000001"/>
    <x v="3"/>
    <n v="1"/>
  </r>
  <r>
    <d v="2036-08-21T00:00:00"/>
    <x v="3"/>
    <n v="18"/>
    <n v="13.2"/>
    <n v="2.3759999999999999"/>
    <n v="18"/>
    <x v="3"/>
    <n v="1"/>
  </r>
  <r>
    <d v="2036-08-22T00:00:00"/>
    <x v="8"/>
    <n v="28.3"/>
    <n v="0"/>
    <n v="0"/>
    <n v="46.3"/>
    <x v="3"/>
    <n v="1"/>
  </r>
  <r>
    <d v="2036-08-23T00:00:00"/>
    <x v="2"/>
    <n v="25.2"/>
    <n v="0"/>
    <n v="0"/>
    <n v="71.5"/>
    <x v="3"/>
    <n v="1"/>
  </r>
  <r>
    <d v="2036-08-24T00:00:00"/>
    <x v="6"/>
    <n v="22.5"/>
    <n v="0"/>
    <n v="0"/>
    <n v="94"/>
    <x v="3"/>
    <n v="1"/>
  </r>
  <r>
    <d v="2036-08-25T00:00:00"/>
    <x v="9"/>
    <n v="19.899999999999999"/>
    <n v="6.7"/>
    <n v="1.3332999999999999"/>
    <n v="113.9"/>
    <x v="3"/>
    <n v="1"/>
  </r>
  <r>
    <d v="2036-08-26T00:00:00"/>
    <x v="7"/>
    <n v="10.8"/>
    <n v="19.600000000000001"/>
    <n v="2.1168000000000005"/>
    <n v="124.7"/>
    <x v="3"/>
    <n v="1"/>
  </r>
  <r>
    <d v="2036-08-27T00:00:00"/>
    <x v="15"/>
    <n v="18.399999999999999"/>
    <n v="0.6"/>
    <n v="0"/>
    <n v="143.1"/>
    <x v="3"/>
    <n v="1"/>
  </r>
  <r>
    <d v="2036-08-28T00:00:00"/>
    <x v="22"/>
    <n v="27.6"/>
    <n v="3.7"/>
    <n v="1.0212000000000001"/>
    <n v="27.6"/>
    <x v="3"/>
    <n v="1"/>
  </r>
  <r>
    <d v="2036-08-29T00:00:00"/>
    <x v="22"/>
    <n v="11.3"/>
    <n v="1.9"/>
    <n v="0.2147"/>
    <n v="38.900000000000006"/>
    <x v="3"/>
    <n v="1"/>
  </r>
  <r>
    <d v="2036-08-30T00:00:00"/>
    <x v="22"/>
    <n v="28.7"/>
    <n v="0"/>
    <n v="0"/>
    <n v="67.600000000000009"/>
    <x v="3"/>
    <n v="1"/>
  </r>
  <r>
    <d v="2036-08-31T00:00:00"/>
    <x v="17"/>
    <n v="15"/>
    <n v="1.7"/>
    <n v="0.255"/>
    <n v="82.600000000000009"/>
    <x v="3"/>
    <n v="1"/>
  </r>
  <r>
    <d v="2036-09-01T00:00:00"/>
    <x v="3"/>
    <n v="15.1"/>
    <n v="13.5"/>
    <n v="2.0385"/>
    <n v="97.7"/>
    <x v="3"/>
    <n v="1"/>
  </r>
  <r>
    <d v="2036-09-02T00:00:00"/>
    <x v="15"/>
    <n v="19.399999999999999"/>
    <n v="29.6"/>
    <n v="5.7423999999999999"/>
    <n v="117.1"/>
    <x v="3"/>
    <n v="1"/>
  </r>
  <r>
    <d v="2036-09-03T00:00:00"/>
    <x v="3"/>
    <n v="21.9"/>
    <n v="1.6"/>
    <n v="0.35039999999999999"/>
    <n v="139"/>
    <x v="3"/>
    <n v="1"/>
  </r>
  <r>
    <d v="2036-09-04T00:00:00"/>
    <x v="14"/>
    <n v="19.399999999999999"/>
    <n v="9.8000000000000007"/>
    <n v="1.9012"/>
    <n v="19.399999999999999"/>
    <x v="3"/>
    <n v="1"/>
  </r>
  <r>
    <d v="2036-09-05T00:00:00"/>
    <x v="3"/>
    <n v="21.8"/>
    <n v="18.5"/>
    <n v="4.0330000000000004"/>
    <n v="41.2"/>
    <x v="3"/>
    <n v="1"/>
  </r>
  <r>
    <d v="2036-09-06T00:00:00"/>
    <x v="13"/>
    <n v="29.3"/>
    <n v="2.8"/>
    <n v="0.82039999999999991"/>
    <n v="70.5"/>
    <x v="3"/>
    <n v="1"/>
  </r>
  <r>
    <d v="2036-09-07T00:00:00"/>
    <x v="15"/>
    <n v="14.4"/>
    <n v="0"/>
    <n v="0"/>
    <n v="84.9"/>
    <x v="3"/>
    <n v="1"/>
  </r>
  <r>
    <d v="2036-09-08T00:00:00"/>
    <x v="6"/>
    <n v="14.5"/>
    <n v="0"/>
    <n v="0"/>
    <n v="99.4"/>
    <x v="3"/>
    <n v="1"/>
  </r>
  <r>
    <d v="2036-09-09T00:00:00"/>
    <x v="11"/>
    <n v="18.399999999999999"/>
    <n v="10.1"/>
    <n v="1.8583999999999998"/>
    <n v="117.80000000000001"/>
    <x v="3"/>
    <n v="1"/>
  </r>
  <r>
    <d v="2036-09-10T00:00:00"/>
    <x v="14"/>
    <n v="29.8"/>
    <n v="0"/>
    <n v="0"/>
    <n v="147.60000000000002"/>
    <x v="3"/>
    <n v="1"/>
  </r>
  <r>
    <d v="2036-09-11T00:00:00"/>
    <x v="3"/>
    <n v="27.3"/>
    <n v="18.600000000000001"/>
    <n v="5.0777999999999999"/>
    <n v="27.3"/>
    <x v="3"/>
    <n v="1"/>
  </r>
  <r>
    <d v="2036-09-12T00:00:00"/>
    <x v="5"/>
    <n v="22.7"/>
    <n v="0"/>
    <n v="0"/>
    <n v="50"/>
    <x v="3"/>
    <n v="1"/>
  </r>
  <r>
    <d v="2036-09-13T00:00:00"/>
    <x v="6"/>
    <n v="27.3"/>
    <n v="18.399999999999999"/>
    <n v="5.0232000000000001"/>
    <n v="77.3"/>
    <x v="3"/>
    <n v="1"/>
  </r>
  <r>
    <d v="2036-09-14T00:00:00"/>
    <x v="14"/>
    <n v="12.9"/>
    <n v="0"/>
    <n v="0"/>
    <n v="90.2"/>
    <x v="3"/>
    <n v="1"/>
  </r>
  <r>
    <d v="2036-09-15T00:00:00"/>
    <x v="15"/>
    <n v="24.3"/>
    <n v="1.9"/>
    <n v="0.4617"/>
    <n v="114.5"/>
    <x v="3"/>
    <n v="1"/>
  </r>
  <r>
    <d v="2036-09-16T00:00:00"/>
    <x v="14"/>
    <n v="20.6"/>
    <n v="14.6"/>
    <n v="3.0076000000000001"/>
    <n v="135.1"/>
    <x v="3"/>
    <n v="1"/>
  </r>
  <r>
    <d v="2036-09-17T00:00:00"/>
    <x v="1"/>
    <n v="24.2"/>
    <n v="0"/>
    <n v="0"/>
    <n v="159.29999999999998"/>
    <x v="3"/>
    <n v="1"/>
  </r>
  <r>
    <d v="2036-09-18T00:00:00"/>
    <x v="6"/>
    <n v="15.2"/>
    <n v="0"/>
    <n v="0"/>
    <n v="15.2"/>
    <x v="3"/>
    <n v="1"/>
  </r>
  <r>
    <d v="2036-09-19T00:00:00"/>
    <x v="21"/>
    <n v="27.3"/>
    <n v="2.5"/>
    <n v="0.6825"/>
    <n v="42.5"/>
    <x v="3"/>
    <n v="1"/>
  </r>
  <r>
    <d v="2036-09-20T00:00:00"/>
    <x v="21"/>
    <n v="28"/>
    <n v="0"/>
    <n v="0"/>
    <n v="70.5"/>
    <x v="3"/>
    <n v="1"/>
  </r>
  <r>
    <d v="2036-09-21T00:00:00"/>
    <x v="27"/>
    <n v="16.100000000000001"/>
    <n v="0"/>
    <n v="0"/>
    <n v="86.6"/>
    <x v="3"/>
    <n v="1"/>
  </r>
  <r>
    <d v="2036-09-22T00:00:00"/>
    <x v="15"/>
    <n v="18.8"/>
    <n v="16.899999999999999"/>
    <n v="3.1771999999999996"/>
    <n v="105.39999999999999"/>
    <x v="3"/>
    <n v="1"/>
  </r>
  <r>
    <d v="2036-09-23T00:00:00"/>
    <x v="6"/>
    <n v="13.2"/>
    <n v="10.4"/>
    <n v="1.3728"/>
    <n v="118.6"/>
    <x v="3"/>
    <n v="1"/>
  </r>
  <r>
    <d v="2036-09-24T00:00:00"/>
    <x v="1"/>
    <n v="17.899999999999999"/>
    <n v="3.5"/>
    <n v="0.62649999999999995"/>
    <n v="136.5"/>
    <x v="3"/>
    <n v="1"/>
  </r>
  <r>
    <d v="2036-09-25T00:00:00"/>
    <x v="3"/>
    <n v="18.3"/>
    <n v="16.7"/>
    <n v="3.0561000000000003"/>
    <n v="18.3"/>
    <x v="3"/>
    <n v="1"/>
  </r>
  <r>
    <d v="2036-09-26T00:00:00"/>
    <x v="13"/>
    <n v="25.7"/>
    <n v="2"/>
    <n v="0.51400000000000001"/>
    <n v="44"/>
    <x v="3"/>
    <n v="1"/>
  </r>
  <r>
    <d v="2036-09-27T00:00:00"/>
    <x v="6"/>
    <n v="29.2"/>
    <n v="31.5"/>
    <n v="9.1980000000000004"/>
    <n v="73.2"/>
    <x v="3"/>
    <n v="1"/>
  </r>
  <r>
    <d v="2036-09-28T00:00:00"/>
    <x v="3"/>
    <n v="21.5"/>
    <n v="0"/>
    <n v="0"/>
    <n v="94.7"/>
    <x v="3"/>
    <n v="1"/>
  </r>
  <r>
    <d v="2036-09-29T00:00:00"/>
    <x v="7"/>
    <n v="29.5"/>
    <n v="12.2"/>
    <n v="3.5989999999999998"/>
    <n v="124.2"/>
    <x v="3"/>
    <n v="1"/>
  </r>
  <r>
    <d v="2036-09-30T00:00:00"/>
    <x v="3"/>
    <n v="17.7"/>
    <n v="10.1"/>
    <n v="1.7876999999999998"/>
    <n v="141.9"/>
    <x v="3"/>
    <n v="1"/>
  </r>
  <r>
    <d v="2036-10-01T00:00:00"/>
    <x v="15"/>
    <n v="26.7"/>
    <n v="1.2"/>
    <n v="0.32040000000000002"/>
    <n v="168.6"/>
    <x v="3"/>
    <n v="1"/>
  </r>
  <r>
    <d v="2036-10-02T00:00:00"/>
    <x v="6"/>
    <n v="13.3"/>
    <n v="0.5"/>
    <n v="0"/>
    <n v="13.3"/>
    <x v="3"/>
    <n v="1"/>
  </r>
  <r>
    <d v="2036-10-03T00:00:00"/>
    <x v="3"/>
    <n v="13.4"/>
    <n v="23.4"/>
    <n v="3.1356000000000002"/>
    <n v="26.700000000000003"/>
    <x v="3"/>
    <n v="1"/>
  </r>
  <r>
    <d v="2036-10-04T00:00:00"/>
    <x v="7"/>
    <n v="22.1"/>
    <n v="17.7"/>
    <n v="3.9117000000000002"/>
    <n v="48.800000000000004"/>
    <x v="3"/>
    <n v="1"/>
  </r>
  <r>
    <d v="2036-10-05T00:00:00"/>
    <x v="18"/>
    <n v="11.4"/>
    <n v="0"/>
    <n v="0"/>
    <n v="60.2"/>
    <x v="3"/>
    <n v="1"/>
  </r>
  <r>
    <d v="2036-10-06T00:00:00"/>
    <x v="11"/>
    <n v="26"/>
    <n v="4.9000000000000004"/>
    <n v="1.274"/>
    <n v="86.2"/>
    <x v="3"/>
    <n v="1"/>
  </r>
  <r>
    <d v="2036-10-07T00:00:00"/>
    <x v="11"/>
    <n v="27.8"/>
    <n v="6.7"/>
    <n v="1.8626000000000003"/>
    <n v="114"/>
    <x v="3"/>
    <n v="1"/>
  </r>
  <r>
    <d v="2036-10-08T00:00:00"/>
    <x v="3"/>
    <n v="29.3"/>
    <n v="1.7"/>
    <n v="0.49810000000000004"/>
    <n v="143.30000000000001"/>
    <x v="3"/>
    <n v="1"/>
  </r>
  <r>
    <d v="2036-10-09T00:00:00"/>
    <x v="19"/>
    <n v="24.7"/>
    <n v="2.5"/>
    <n v="0.61750000000000005"/>
    <n v="24.7"/>
    <x v="3"/>
    <n v="1"/>
  </r>
  <r>
    <d v="2036-10-10T00:00:00"/>
    <x v="0"/>
    <n v="16.600000000000001"/>
    <n v="0.1"/>
    <n v="0"/>
    <n v="41.3"/>
    <x v="3"/>
    <n v="1"/>
  </r>
  <r>
    <d v="2036-10-11T00:00:00"/>
    <x v="14"/>
    <n v="27.5"/>
    <n v="0"/>
    <n v="0"/>
    <n v="68.8"/>
    <x v="3"/>
    <n v="1"/>
  </r>
  <r>
    <d v="2036-10-12T00:00:00"/>
    <x v="11"/>
    <n v="22.7"/>
    <n v="0"/>
    <n v="0"/>
    <n v="91.5"/>
    <x v="3"/>
    <n v="1"/>
  </r>
  <r>
    <d v="2036-10-13T00:00:00"/>
    <x v="8"/>
    <n v="20.100000000000001"/>
    <n v="10.5"/>
    <n v="2.1105"/>
    <n v="111.6"/>
    <x v="3"/>
    <n v="1"/>
  </r>
  <r>
    <d v="2036-10-14T00:00:00"/>
    <x v="3"/>
    <n v="16.100000000000001"/>
    <n v="8.1"/>
    <n v="1.3041"/>
    <n v="127.69999999999999"/>
    <x v="3"/>
    <n v="1"/>
  </r>
  <r>
    <d v="2036-10-15T00:00:00"/>
    <x v="3"/>
    <n v="13.9"/>
    <n v="0"/>
    <n v="0"/>
    <n v="141.6"/>
    <x v="3"/>
    <n v="1"/>
  </r>
  <r>
    <d v="2036-10-16T00:00:00"/>
    <x v="8"/>
    <n v="22.3"/>
    <n v="0"/>
    <n v="0"/>
    <n v="22.3"/>
    <x v="3"/>
    <n v="1"/>
  </r>
  <r>
    <d v="2036-10-17T00:00:00"/>
    <x v="22"/>
    <n v="13"/>
    <n v="0"/>
    <n v="0"/>
    <n v="35.299999999999997"/>
    <x v="3"/>
    <n v="1"/>
  </r>
  <r>
    <d v="2036-10-18T00:00:00"/>
    <x v="7"/>
    <n v="16.2"/>
    <n v="0"/>
    <n v="0"/>
    <n v="51.5"/>
    <x v="3"/>
    <n v="1"/>
  </r>
  <r>
    <d v="2036-10-19T00:00:00"/>
    <x v="10"/>
    <n v="24.8"/>
    <n v="0"/>
    <n v="0"/>
    <n v="76.3"/>
    <x v="3"/>
    <n v="1"/>
  </r>
  <r>
    <d v="2036-10-20T00:00:00"/>
    <x v="9"/>
    <n v="29.7"/>
    <n v="0"/>
    <n v="0"/>
    <n v="106"/>
    <x v="3"/>
    <n v="1"/>
  </r>
  <r>
    <d v="2036-10-21T00:00:00"/>
    <x v="6"/>
    <n v="17.600000000000001"/>
    <n v="14.7"/>
    <n v="2.5872000000000002"/>
    <n v="123.6"/>
    <x v="3"/>
    <n v="1"/>
  </r>
  <r>
    <d v="2036-10-22T00:00:00"/>
    <x v="6"/>
    <n v="10.4"/>
    <n v="27.7"/>
    <n v="2.8807999999999998"/>
    <n v="134"/>
    <x v="3"/>
    <n v="1"/>
  </r>
  <r>
    <d v="2036-10-23T00:00:00"/>
    <x v="11"/>
    <n v="17"/>
    <n v="1.1000000000000001"/>
    <n v="0.18700000000000003"/>
    <n v="17"/>
    <x v="3"/>
    <n v="1"/>
  </r>
  <r>
    <d v="2036-10-24T00:00:00"/>
    <x v="14"/>
    <n v="15.7"/>
    <n v="5.9"/>
    <n v="0.9262999999999999"/>
    <n v="32.700000000000003"/>
    <x v="3"/>
    <n v="1"/>
  </r>
  <r>
    <d v="2036-10-25T00:00:00"/>
    <x v="15"/>
    <n v="23.8"/>
    <n v="4.3"/>
    <n v="1.0234000000000001"/>
    <n v="56.5"/>
    <x v="3"/>
    <n v="1"/>
  </r>
  <r>
    <d v="2036-10-26T00:00:00"/>
    <x v="7"/>
    <n v="16.2"/>
    <n v="8.6999999999999993"/>
    <n v="1.4093999999999998"/>
    <n v="72.7"/>
    <x v="3"/>
    <n v="1"/>
  </r>
  <r>
    <d v="2036-10-27T00:00:00"/>
    <x v="1"/>
    <n v="23.3"/>
    <n v="5.8"/>
    <n v="1.3513999999999999"/>
    <n v="96"/>
    <x v="3"/>
    <n v="1"/>
  </r>
  <r>
    <d v="2036-10-28T00:00:00"/>
    <x v="3"/>
    <n v="18.7"/>
    <n v="1.1000000000000001"/>
    <n v="0.20569999999999999"/>
    <n v="114.7"/>
    <x v="3"/>
    <n v="1"/>
  </r>
  <r>
    <d v="2036-10-29T00:00:00"/>
    <x v="13"/>
    <n v="27.9"/>
    <n v="2.6"/>
    <n v="0.72539999999999993"/>
    <n v="142.6"/>
    <x v="3"/>
    <n v="1"/>
  </r>
  <r>
    <d v="2036-10-30T00:00:00"/>
    <x v="14"/>
    <n v="19.8"/>
    <n v="0"/>
    <n v="0"/>
    <n v="19.8"/>
    <x v="3"/>
    <n v="1"/>
  </r>
  <r>
    <d v="2036-10-31T00:00:00"/>
    <x v="7"/>
    <n v="16.7"/>
    <n v="3.5"/>
    <n v="0.58449999999999991"/>
    <n v="36.5"/>
    <x v="3"/>
    <n v="1"/>
  </r>
  <r>
    <d v="2036-11-01T00:00:00"/>
    <x v="19"/>
    <n v="28.6"/>
    <n v="0"/>
    <n v="0"/>
    <n v="65.099999999999994"/>
    <x v="3"/>
    <n v="1"/>
  </r>
  <r>
    <d v="2036-11-02T00:00:00"/>
    <x v="6"/>
    <n v="10.8"/>
    <n v="32.9"/>
    <n v="3.5531999999999999"/>
    <n v="75.899999999999991"/>
    <x v="3"/>
    <n v="1"/>
  </r>
  <r>
    <d v="2036-11-03T00:00:00"/>
    <x v="14"/>
    <n v="12.8"/>
    <n v="0"/>
    <n v="0"/>
    <n v="88.699999999999989"/>
    <x v="3"/>
    <n v="1"/>
  </r>
  <r>
    <d v="2036-11-04T00:00:00"/>
    <x v="22"/>
    <n v="17.600000000000001"/>
    <n v="0"/>
    <n v="0"/>
    <n v="106.29999999999998"/>
    <x v="3"/>
    <n v="1"/>
  </r>
  <r>
    <d v="2036-11-05T00:00:00"/>
    <x v="18"/>
    <n v="24.1"/>
    <n v="0"/>
    <n v="0"/>
    <n v="130.39999999999998"/>
    <x v="3"/>
    <n v="1"/>
  </r>
  <r>
    <d v="2036-11-06T00:00:00"/>
    <x v="7"/>
    <n v="11.4"/>
    <n v="18.2"/>
    <n v="2.0747999999999998"/>
    <n v="11.4"/>
    <x v="3"/>
    <n v="1"/>
  </r>
  <r>
    <d v="2036-11-07T00:00:00"/>
    <x v="5"/>
    <n v="21.9"/>
    <n v="5.4"/>
    <n v="1.1826000000000001"/>
    <n v="33.299999999999997"/>
    <x v="3"/>
    <n v="1"/>
  </r>
  <r>
    <d v="2036-11-08T00:00:00"/>
    <x v="22"/>
    <n v="16.8"/>
    <n v="1.6"/>
    <n v="0.26880000000000004"/>
    <n v="50.099999999999994"/>
    <x v="3"/>
    <n v="1"/>
  </r>
  <r>
    <d v="2036-11-09T00:00:00"/>
    <x v="2"/>
    <n v="26"/>
    <n v="0"/>
    <n v="0"/>
    <n v="76.099999999999994"/>
    <x v="3"/>
    <n v="1"/>
  </r>
  <r>
    <d v="2036-11-10T00:00:00"/>
    <x v="7"/>
    <n v="20.2"/>
    <n v="10"/>
    <n v="2.02"/>
    <n v="96.3"/>
    <x v="3"/>
    <n v="1"/>
  </r>
  <r>
    <d v="2036-11-11T00:00:00"/>
    <x v="15"/>
    <n v="20.3"/>
    <n v="37.799999999999997"/>
    <n v="7.6733999999999991"/>
    <n v="116.6"/>
    <x v="3"/>
    <n v="1"/>
  </r>
  <r>
    <d v="2036-11-12T00:00:00"/>
    <x v="3"/>
    <n v="27.5"/>
    <n v="20.8"/>
    <n v="5.72"/>
    <n v="144.1"/>
    <x v="3"/>
    <n v="1"/>
  </r>
  <r>
    <d v="2036-11-13T00:00:00"/>
    <x v="15"/>
    <n v="24.2"/>
    <n v="2.9"/>
    <n v="0.70179999999999998"/>
    <n v="24.2"/>
    <x v="3"/>
    <n v="1"/>
  </r>
  <r>
    <d v="2036-11-14T00:00:00"/>
    <x v="7"/>
    <n v="10.7"/>
    <n v="14.3"/>
    <n v="1.5301"/>
    <n v="34.9"/>
    <x v="3"/>
    <n v="1"/>
  </r>
  <r>
    <d v="2036-11-15T00:00:00"/>
    <x v="15"/>
    <n v="17.3"/>
    <n v="0"/>
    <n v="0"/>
    <n v="52.2"/>
    <x v="3"/>
    <n v="1"/>
  </r>
  <r>
    <d v="2036-11-16T00:00:00"/>
    <x v="7"/>
    <n v="13.5"/>
    <n v="21.1"/>
    <n v="2.8485"/>
    <n v="65.7"/>
    <x v="3"/>
    <n v="1"/>
  </r>
  <r>
    <d v="2036-11-17T00:00:00"/>
    <x v="2"/>
    <n v="13.6"/>
    <n v="6"/>
    <n v="0.81599999999999995"/>
    <n v="79.3"/>
    <x v="3"/>
    <n v="1"/>
  </r>
  <r>
    <d v="2036-11-18T00:00:00"/>
    <x v="1"/>
    <n v="19.899999999999999"/>
    <n v="0"/>
    <n v="0"/>
    <n v="99.199999999999989"/>
    <x v="3"/>
    <n v="1"/>
  </r>
  <r>
    <d v="2036-11-19T00:00:00"/>
    <x v="14"/>
    <n v="13.1"/>
    <n v="10.199999999999999"/>
    <n v="1.3361999999999998"/>
    <n v="112.29999999999998"/>
    <x v="3"/>
    <n v="1"/>
  </r>
  <r>
    <d v="2036-11-20T00:00:00"/>
    <x v="17"/>
    <n v="29.8"/>
    <n v="1.9"/>
    <n v="0.56619999999999993"/>
    <n v="29.8"/>
    <x v="3"/>
    <n v="1"/>
  </r>
  <r>
    <d v="2036-11-21T00:00:00"/>
    <x v="24"/>
    <n v="23.7"/>
    <n v="0.3"/>
    <n v="0"/>
    <n v="53.5"/>
    <x v="3"/>
    <n v="1"/>
  </r>
  <r>
    <d v="2036-11-22T00:00:00"/>
    <x v="15"/>
    <n v="14"/>
    <n v="0"/>
    <n v="0"/>
    <n v="67.5"/>
    <x v="3"/>
    <n v="1"/>
  </r>
  <r>
    <d v="2036-11-23T00:00:00"/>
    <x v="26"/>
    <n v="19"/>
    <n v="0.5"/>
    <n v="0"/>
    <n v="86.5"/>
    <x v="3"/>
    <n v="1"/>
  </r>
  <r>
    <d v="2036-11-24T00:00:00"/>
    <x v="28"/>
    <n v="23.9"/>
    <n v="0.5"/>
    <n v="0"/>
    <n v="110.4"/>
    <x v="3"/>
    <n v="1"/>
  </r>
  <r>
    <d v="2036-11-25T00:00:00"/>
    <x v="15"/>
    <n v="12.8"/>
    <n v="26.7"/>
    <n v="3.4175999999999997"/>
    <n v="123.2"/>
    <x v="3"/>
    <n v="1"/>
  </r>
  <r>
    <d v="2036-11-26T00:00:00"/>
    <x v="3"/>
    <n v="26.9"/>
    <n v="4.5"/>
    <n v="1.2104999999999999"/>
    <n v="150.1"/>
    <x v="3"/>
    <n v="1"/>
  </r>
  <r>
    <d v="2036-11-27T00:00:00"/>
    <x v="22"/>
    <n v="10.6"/>
    <n v="0"/>
    <n v="0"/>
    <n v="10.6"/>
    <x v="3"/>
    <n v="1"/>
  </r>
  <r>
    <d v="2036-11-28T00:00:00"/>
    <x v="7"/>
    <n v="21.1"/>
    <n v="10.6"/>
    <n v="2.2366000000000001"/>
    <n v="31.700000000000003"/>
    <x v="3"/>
    <n v="1"/>
  </r>
  <r>
    <d v="2036-11-29T00:00:00"/>
    <x v="2"/>
    <n v="11.7"/>
    <n v="9.9"/>
    <n v="1.1582999999999999"/>
    <n v="43.400000000000006"/>
    <x v="3"/>
    <n v="1"/>
  </r>
  <r>
    <d v="2036-11-30T00:00:00"/>
    <x v="4"/>
    <n v="20.5"/>
    <n v="3.7"/>
    <n v="0.75850000000000006"/>
    <n v="63.900000000000006"/>
    <x v="3"/>
    <n v="1"/>
  </r>
  <r>
    <d v="2036-12-01T00:00:00"/>
    <x v="15"/>
    <n v="27.4"/>
    <n v="10.4"/>
    <n v="2.8495999999999997"/>
    <n v="91.300000000000011"/>
    <x v="3"/>
    <n v="1"/>
  </r>
  <r>
    <d v="2036-12-02T00:00:00"/>
    <x v="6"/>
    <n v="15.8"/>
    <n v="10.199999999999999"/>
    <n v="1.6115999999999999"/>
    <n v="107.10000000000001"/>
    <x v="3"/>
    <n v="1"/>
  </r>
  <r>
    <d v="2036-12-03T00:00:00"/>
    <x v="15"/>
    <n v="19.600000000000001"/>
    <n v="0"/>
    <n v="0"/>
    <n v="126.70000000000002"/>
    <x v="3"/>
    <n v="1"/>
  </r>
  <r>
    <d v="2036-12-04T00:00:00"/>
    <x v="6"/>
    <n v="16.899999999999999"/>
    <n v="48.4"/>
    <n v="8.1795999999999989"/>
    <n v="16.899999999999999"/>
    <x v="3"/>
    <n v="1"/>
  </r>
  <r>
    <d v="2036-12-05T00:00:00"/>
    <x v="15"/>
    <n v="12.2"/>
    <n v="0"/>
    <n v="0"/>
    <n v="29.099999999999998"/>
    <x v="3"/>
    <n v="1"/>
  </r>
  <r>
    <d v="2036-12-06T00:00:00"/>
    <x v="6"/>
    <n v="16.600000000000001"/>
    <n v="14.1"/>
    <n v="2.3406000000000002"/>
    <n v="45.7"/>
    <x v="3"/>
    <n v="1"/>
  </r>
  <r>
    <d v="2036-12-07T00:00:00"/>
    <x v="7"/>
    <n v="27.6"/>
    <n v="0"/>
    <n v="0"/>
    <n v="73.300000000000011"/>
    <x v="3"/>
    <n v="1"/>
  </r>
  <r>
    <d v="2036-12-08T00:00:00"/>
    <x v="11"/>
    <n v="24.8"/>
    <n v="0"/>
    <n v="0"/>
    <n v="98.100000000000009"/>
    <x v="3"/>
    <n v="1"/>
  </r>
  <r>
    <d v="2036-12-09T00:00:00"/>
    <x v="6"/>
    <n v="23.1"/>
    <n v="29.8"/>
    <n v="6.8838000000000008"/>
    <n v="121.20000000000002"/>
    <x v="3"/>
    <n v="1"/>
  </r>
  <r>
    <d v="2036-12-10T00:00:00"/>
    <x v="23"/>
    <n v="12.4"/>
    <n v="6.1"/>
    <n v="0.75639999999999996"/>
    <n v="133.60000000000002"/>
    <x v="3"/>
    <n v="1"/>
  </r>
  <r>
    <d v="2036-12-11T00:00:00"/>
    <x v="15"/>
    <n v="13.9"/>
    <n v="21.5"/>
    <n v="2.9885000000000002"/>
    <n v="13.9"/>
    <x v="3"/>
    <n v="1"/>
  </r>
  <r>
    <d v="2036-12-12T00:00:00"/>
    <x v="16"/>
    <n v="16.600000000000001"/>
    <n v="4.7"/>
    <n v="0.78020000000000012"/>
    <n v="30.5"/>
    <x v="3"/>
    <n v="1"/>
  </r>
  <r>
    <d v="2036-12-13T00:00:00"/>
    <x v="9"/>
    <n v="17.7"/>
    <n v="14"/>
    <n v="2.4779999999999998"/>
    <n v="48.2"/>
    <x v="3"/>
    <n v="1"/>
  </r>
  <r>
    <d v="2036-12-14T00:00:00"/>
    <x v="7"/>
    <n v="19"/>
    <n v="1.7"/>
    <n v="0.32299999999999995"/>
    <n v="67.2"/>
    <x v="3"/>
    <n v="1"/>
  </r>
  <r>
    <d v="2036-12-15T00:00:00"/>
    <x v="3"/>
    <n v="29.9"/>
    <n v="0"/>
    <n v="0"/>
    <n v="97.1"/>
    <x v="3"/>
    <n v="1"/>
  </r>
  <r>
    <d v="2036-12-16T00:00:00"/>
    <x v="15"/>
    <n v="23.7"/>
    <n v="31.4"/>
    <n v="7.4417999999999997"/>
    <n v="120.8"/>
    <x v="3"/>
    <n v="1"/>
  </r>
  <r>
    <d v="2036-12-17T00:00:00"/>
    <x v="6"/>
    <n v="25.4"/>
    <n v="0"/>
    <n v="0"/>
    <n v="146.19999999999999"/>
    <x v="3"/>
    <n v="1"/>
  </r>
  <r>
    <d v="2036-12-18T00:00:00"/>
    <x v="14"/>
    <n v="24.3"/>
    <n v="15.8"/>
    <n v="3.8394000000000004"/>
    <n v="24.3"/>
    <x v="3"/>
    <n v="1"/>
  </r>
  <r>
    <d v="2036-12-19T00:00:00"/>
    <x v="3"/>
    <n v="10.8"/>
    <n v="0"/>
    <n v="0"/>
    <n v="35.1"/>
    <x v="3"/>
    <n v="1"/>
  </r>
  <r>
    <d v="2036-12-20T00:00:00"/>
    <x v="6"/>
    <n v="19"/>
    <n v="9.1"/>
    <n v="1.7290000000000001"/>
    <n v="54.1"/>
    <x v="3"/>
    <n v="1"/>
  </r>
  <r>
    <d v="2036-12-21T00:00:00"/>
    <x v="11"/>
    <n v="27.8"/>
    <n v="15.2"/>
    <n v="4.2256"/>
    <n v="81.900000000000006"/>
    <x v="3"/>
    <n v="1"/>
  </r>
  <r>
    <d v="2036-12-22T00:00:00"/>
    <x v="3"/>
    <n v="28.8"/>
    <n v="0"/>
    <n v="0"/>
    <n v="110.7"/>
    <x v="3"/>
    <n v="1"/>
  </r>
  <r>
    <d v="2036-12-23T00:00:00"/>
    <x v="1"/>
    <n v="12.6"/>
    <n v="0.8"/>
    <n v="0"/>
    <n v="123.3"/>
    <x v="3"/>
    <n v="1"/>
  </r>
  <r>
    <d v="2036-12-24T00:00:00"/>
    <x v="1"/>
    <n v="20.7"/>
    <n v="0"/>
    <n v="0"/>
    <n v="144"/>
    <x v="3"/>
    <n v="1"/>
  </r>
  <r>
    <d v="2036-12-25T00:00:00"/>
    <x v="15"/>
    <n v="19.399999999999999"/>
    <n v="19.3"/>
    <n v="3.7441999999999998"/>
    <n v="19.399999999999999"/>
    <x v="3"/>
    <n v="1"/>
  </r>
  <r>
    <d v="2036-12-26T00:00:00"/>
    <x v="6"/>
    <n v="24.3"/>
    <n v="8.8000000000000007"/>
    <n v="2.1384000000000003"/>
    <n v="43.7"/>
    <x v="3"/>
    <n v="1"/>
  </r>
  <r>
    <d v="2036-12-27T00:00:00"/>
    <x v="15"/>
    <n v="21.2"/>
    <n v="36"/>
    <n v="7.6319999999999997"/>
    <n v="64.900000000000006"/>
    <x v="3"/>
    <n v="1"/>
  </r>
  <r>
    <d v="2036-12-28T00:00:00"/>
    <x v="1"/>
    <n v="28.4"/>
    <n v="0"/>
    <n v="0"/>
    <n v="93.300000000000011"/>
    <x v="3"/>
    <n v="1"/>
  </r>
  <r>
    <d v="2036-12-29T00:00:00"/>
    <x v="23"/>
    <n v="17.100000000000001"/>
    <n v="5.4"/>
    <n v="0.92340000000000022"/>
    <n v="110.4"/>
    <x v="3"/>
    <n v="1"/>
  </r>
  <r>
    <d v="2036-12-30T00:00:00"/>
    <x v="6"/>
    <n v="24.4"/>
    <n v="23.8"/>
    <n v="5.8071999999999999"/>
    <n v="134.80000000000001"/>
    <x v="3"/>
    <n v="1"/>
  </r>
  <r>
    <d v="2036-12-31T00:00:00"/>
    <x v="14"/>
    <n v="18.5"/>
    <n v="6"/>
    <n v="1.1100000000000001"/>
    <n v="153.30000000000001"/>
    <x v="3"/>
    <n v="1"/>
  </r>
  <r>
    <d v="2037-01-01T00:00:00"/>
    <x v="15"/>
    <n v="24.1"/>
    <n v="21.5"/>
    <n v="5.1814999999999998"/>
    <n v="24.1"/>
    <x v="4"/>
    <n v="1"/>
  </r>
  <r>
    <d v="2037-01-02T00:00:00"/>
    <x v="18"/>
    <n v="17.899999999999999"/>
    <n v="5.4"/>
    <n v="0.96660000000000001"/>
    <n v="42"/>
    <x v="4"/>
    <n v="1"/>
  </r>
  <r>
    <d v="2037-01-03T00:00:00"/>
    <x v="18"/>
    <n v="15.8"/>
    <n v="7.4"/>
    <n v="1.1692000000000002"/>
    <n v="57.8"/>
    <x v="4"/>
    <n v="1"/>
  </r>
  <r>
    <d v="2037-01-04T00:00:00"/>
    <x v="26"/>
    <n v="19.600000000000001"/>
    <n v="0.3"/>
    <n v="0"/>
    <n v="77.400000000000006"/>
    <x v="4"/>
    <n v="1"/>
  </r>
  <r>
    <d v="2037-01-05T00:00:00"/>
    <x v="15"/>
    <n v="17.7"/>
    <n v="0"/>
    <n v="0"/>
    <n v="95.100000000000009"/>
    <x v="4"/>
    <n v="1"/>
  </r>
  <r>
    <d v="2037-01-06T00:00:00"/>
    <x v="23"/>
    <n v="19.899999999999999"/>
    <n v="4.7"/>
    <n v="0.93530000000000002"/>
    <n v="115"/>
    <x v="4"/>
    <n v="1"/>
  </r>
  <r>
    <d v="2037-01-07T00:00:00"/>
    <x v="1"/>
    <n v="10.6"/>
    <n v="4.8"/>
    <n v="0.50879999999999992"/>
    <n v="125.6"/>
    <x v="4"/>
    <n v="1"/>
  </r>
  <r>
    <d v="2037-01-08T00:00:00"/>
    <x v="15"/>
    <n v="25.6"/>
    <n v="17.399999999999999"/>
    <n v="4.4543999999999997"/>
    <n v="25.6"/>
    <x v="4"/>
    <n v="1"/>
  </r>
  <r>
    <d v="2037-01-09T00:00:00"/>
    <x v="5"/>
    <n v="22.4"/>
    <n v="7.7"/>
    <n v="1.7247999999999999"/>
    <n v="48"/>
    <x v="4"/>
    <n v="1"/>
  </r>
  <r>
    <d v="2037-01-10T00:00:00"/>
    <x v="4"/>
    <n v="14.5"/>
    <n v="3.8"/>
    <n v="0.55099999999999993"/>
    <n v="62.5"/>
    <x v="4"/>
    <n v="1"/>
  </r>
  <r>
    <d v="2037-01-11T00:00:00"/>
    <x v="5"/>
    <n v="15"/>
    <n v="4.2"/>
    <n v="0.63"/>
    <n v="77.5"/>
    <x v="4"/>
    <n v="1"/>
  </r>
  <r>
    <d v="2037-01-12T00:00:00"/>
    <x v="9"/>
    <n v="24"/>
    <n v="11.5"/>
    <n v="2.76"/>
    <n v="101.5"/>
    <x v="4"/>
    <n v="1"/>
  </r>
  <r>
    <d v="2037-01-13T00:00:00"/>
    <x v="19"/>
    <n v="20.7"/>
    <n v="2.9"/>
    <n v="0.60029999999999994"/>
    <n v="122.2"/>
    <x v="4"/>
    <n v="1"/>
  </r>
  <r>
    <d v="2037-01-14T00:00:00"/>
    <x v="24"/>
    <n v="13.5"/>
    <n v="0.7"/>
    <n v="0"/>
    <n v="135.69999999999999"/>
    <x v="4"/>
    <n v="1"/>
  </r>
  <r>
    <d v="2037-01-15T00:00:00"/>
    <x v="15"/>
    <n v="23.7"/>
    <n v="13.1"/>
    <n v="3.1046999999999998"/>
    <n v="23.7"/>
    <x v="4"/>
    <n v="1"/>
  </r>
  <r>
    <d v="2037-01-16T00:00:00"/>
    <x v="6"/>
    <n v="12.1"/>
    <n v="36"/>
    <n v="4.3559999999999999"/>
    <n v="35.799999999999997"/>
    <x v="4"/>
    <n v="1"/>
  </r>
  <r>
    <d v="2037-01-17T00:00:00"/>
    <x v="9"/>
    <n v="21.8"/>
    <n v="10.9"/>
    <n v="2.3761999999999999"/>
    <n v="57.599999999999994"/>
    <x v="4"/>
    <n v="1"/>
  </r>
  <r>
    <d v="2037-01-18T00:00:00"/>
    <x v="18"/>
    <n v="17.399999999999999"/>
    <n v="0"/>
    <n v="0"/>
    <n v="75"/>
    <x v="4"/>
    <n v="1"/>
  </r>
  <r>
    <d v="2037-01-19T00:00:00"/>
    <x v="2"/>
    <n v="15.6"/>
    <n v="0"/>
    <n v="0"/>
    <n v="90.6"/>
    <x v="4"/>
    <n v="1"/>
  </r>
  <r>
    <d v="2037-01-20T00:00:00"/>
    <x v="9"/>
    <n v="13.7"/>
    <n v="0"/>
    <n v="0"/>
    <n v="104.3"/>
    <x v="4"/>
    <n v="1"/>
  </r>
  <r>
    <d v="2037-01-21T00:00:00"/>
    <x v="6"/>
    <n v="24.7"/>
    <n v="16.2"/>
    <n v="4.0014000000000003"/>
    <n v="129"/>
    <x v="4"/>
    <n v="1"/>
  </r>
  <r>
    <d v="2037-01-22T00:00:00"/>
    <x v="11"/>
    <n v="25.3"/>
    <n v="14.2"/>
    <n v="3.5926"/>
    <n v="25.3"/>
    <x v="4"/>
    <n v="1"/>
  </r>
  <r>
    <d v="2037-01-23T00:00:00"/>
    <x v="11"/>
    <n v="18.399999999999999"/>
    <n v="0"/>
    <n v="0"/>
    <n v="43.7"/>
    <x v="4"/>
    <n v="1"/>
  </r>
  <r>
    <d v="2037-01-24T00:00:00"/>
    <x v="10"/>
    <n v="10.199999999999999"/>
    <n v="0"/>
    <n v="0"/>
    <n v="53.900000000000006"/>
    <x v="4"/>
    <n v="1"/>
  </r>
  <r>
    <d v="2037-01-25T00:00:00"/>
    <x v="29"/>
    <n v="26.9"/>
    <n v="0"/>
    <n v="0"/>
    <n v="80.800000000000011"/>
    <x v="4"/>
    <n v="1"/>
  </r>
  <r>
    <d v="2037-01-26T00:00:00"/>
    <x v="4"/>
    <n v="28.2"/>
    <n v="0"/>
    <n v="0"/>
    <n v="109.00000000000001"/>
    <x v="4"/>
    <n v="1"/>
  </r>
  <r>
    <d v="2037-01-27T00:00:00"/>
    <x v="3"/>
    <n v="15.9"/>
    <n v="0"/>
    <n v="0"/>
    <n v="124.90000000000002"/>
    <x v="4"/>
    <n v="1"/>
  </r>
  <r>
    <d v="2037-01-28T00:00:00"/>
    <x v="6"/>
    <n v="19.7"/>
    <n v="0"/>
    <n v="0"/>
    <n v="144.60000000000002"/>
    <x v="4"/>
    <n v="1"/>
  </r>
  <r>
    <d v="2037-01-29T00:00:00"/>
    <x v="3"/>
    <n v="16"/>
    <n v="0"/>
    <n v="0"/>
    <n v="16"/>
    <x v="4"/>
    <n v="1"/>
  </r>
  <r>
    <d v="2037-01-30T00:00:00"/>
    <x v="2"/>
    <n v="20.8"/>
    <n v="0"/>
    <n v="0"/>
    <n v="36.799999999999997"/>
    <x v="4"/>
    <n v="1"/>
  </r>
  <r>
    <d v="2037-01-31T00:00:00"/>
    <x v="19"/>
    <n v="12.5"/>
    <n v="0"/>
    <n v="0"/>
    <n v="49.3"/>
    <x v="4"/>
    <n v="1"/>
  </r>
  <r>
    <d v="2037-02-01T00:00:00"/>
    <x v="11"/>
    <n v="12.7"/>
    <n v="2.4"/>
    <n v="0.30479999999999996"/>
    <n v="62"/>
    <x v="4"/>
    <n v="1"/>
  </r>
  <r>
    <d v="2037-02-02T00:00:00"/>
    <x v="14"/>
    <n v="23.5"/>
    <n v="11.5"/>
    <n v="2.7025000000000001"/>
    <n v="85.5"/>
    <x v="4"/>
    <n v="1"/>
  </r>
  <r>
    <d v="2037-02-03T00:00:00"/>
    <x v="10"/>
    <n v="17.8"/>
    <n v="1.8"/>
    <n v="0.32040000000000002"/>
    <n v="103.3"/>
    <x v="4"/>
    <n v="1"/>
  </r>
  <r>
    <d v="2037-02-04T00:00:00"/>
    <x v="7"/>
    <n v="11"/>
    <n v="0"/>
    <n v="0"/>
    <n v="114.3"/>
    <x v="4"/>
    <n v="1"/>
  </r>
  <r>
    <d v="2037-02-05T00:00:00"/>
    <x v="8"/>
    <n v="21.3"/>
    <n v="5.2"/>
    <n v="1.1076000000000001"/>
    <n v="21.3"/>
    <x v="4"/>
    <n v="1"/>
  </r>
  <r>
    <d v="2037-02-06T00:00:00"/>
    <x v="3"/>
    <n v="19.600000000000001"/>
    <n v="8.1"/>
    <n v="1.5875999999999999"/>
    <n v="40.900000000000006"/>
    <x v="4"/>
    <n v="1"/>
  </r>
  <r>
    <d v="2037-02-07T00:00:00"/>
    <x v="7"/>
    <n v="25.7"/>
    <n v="4.2"/>
    <n v="1.0793999999999999"/>
    <n v="66.600000000000009"/>
    <x v="4"/>
    <n v="1"/>
  </r>
  <r>
    <d v="2037-02-08T00:00:00"/>
    <x v="6"/>
    <n v="20.9"/>
    <n v="28.6"/>
    <n v="5.9774000000000003"/>
    <n v="87.5"/>
    <x v="4"/>
    <n v="1"/>
  </r>
  <r>
    <d v="2037-02-09T00:00:00"/>
    <x v="15"/>
    <n v="26.4"/>
    <n v="3.2"/>
    <n v="0.8448"/>
    <n v="113.9"/>
    <x v="4"/>
    <n v="1"/>
  </r>
  <r>
    <d v="2037-02-10T00:00:00"/>
    <x v="15"/>
    <n v="26.5"/>
    <n v="13.1"/>
    <n v="3.4714999999999998"/>
    <n v="140.4"/>
    <x v="4"/>
    <n v="1"/>
  </r>
  <r>
    <d v="2037-02-11T00:00:00"/>
    <x v="4"/>
    <n v="11.7"/>
    <n v="0"/>
    <n v="0"/>
    <n v="152.1"/>
    <x v="4"/>
    <n v="1"/>
  </r>
  <r>
    <d v="2037-02-12T00:00:00"/>
    <x v="8"/>
    <n v="24.7"/>
    <n v="0.3"/>
    <n v="0"/>
    <n v="24.7"/>
    <x v="4"/>
    <n v="1"/>
  </r>
  <r>
    <d v="2037-02-13T00:00:00"/>
    <x v="5"/>
    <n v="24.4"/>
    <n v="9.6"/>
    <n v="2.3423999999999996"/>
    <n v="49.099999999999994"/>
    <x v="4"/>
    <n v="1"/>
  </r>
  <r>
    <d v="2037-02-14T00:00:00"/>
    <x v="15"/>
    <n v="19"/>
    <n v="28.8"/>
    <n v="5.4720000000000004"/>
    <n v="68.099999999999994"/>
    <x v="4"/>
    <n v="1"/>
  </r>
  <r>
    <d v="2037-02-15T00:00:00"/>
    <x v="6"/>
    <n v="13.7"/>
    <n v="19.3"/>
    <n v="2.6440999999999999"/>
    <n v="81.8"/>
    <x v="4"/>
    <n v="1"/>
  </r>
  <r>
    <d v="2037-02-16T00:00:00"/>
    <x v="6"/>
    <n v="28.9"/>
    <n v="20.399999999999999"/>
    <n v="5.8955999999999991"/>
    <n v="110.69999999999999"/>
    <x v="4"/>
    <n v="1"/>
  </r>
  <r>
    <d v="2037-02-17T00:00:00"/>
    <x v="16"/>
    <n v="25.2"/>
    <n v="0"/>
    <n v="0"/>
    <n v="135.89999999999998"/>
    <x v="4"/>
    <n v="1"/>
  </r>
  <r>
    <d v="2037-02-18T00:00:00"/>
    <x v="7"/>
    <n v="15.4"/>
    <n v="9"/>
    <n v="1.3859999999999999"/>
    <n v="151.29999999999998"/>
    <x v="4"/>
    <n v="1"/>
  </r>
  <r>
    <d v="2037-02-19T00:00:00"/>
    <x v="12"/>
    <n v="24.1"/>
    <n v="0.3"/>
    <n v="0"/>
    <n v="24.1"/>
    <x v="4"/>
    <n v="1"/>
  </r>
  <r>
    <d v="2037-02-20T00:00:00"/>
    <x v="18"/>
    <n v="27.7"/>
    <n v="0"/>
    <n v="0"/>
    <n v="51.8"/>
    <x v="4"/>
    <n v="1"/>
  </r>
  <r>
    <d v="2037-02-21T00:00:00"/>
    <x v="7"/>
    <n v="19.600000000000001"/>
    <n v="21.1"/>
    <n v="4.1356000000000002"/>
    <n v="71.400000000000006"/>
    <x v="4"/>
    <n v="1"/>
  </r>
  <r>
    <d v="2037-02-22T00:00:00"/>
    <x v="19"/>
    <n v="29"/>
    <n v="3.2"/>
    <n v="0.92800000000000016"/>
    <n v="100.4"/>
    <x v="4"/>
    <n v="1"/>
  </r>
  <r>
    <d v="2037-02-23T00:00:00"/>
    <x v="27"/>
    <n v="10.3"/>
    <n v="0.7"/>
    <n v="0"/>
    <n v="110.7"/>
    <x v="4"/>
    <n v="1"/>
  </r>
  <r>
    <d v="2037-02-24T00:00:00"/>
    <x v="6"/>
    <n v="11"/>
    <n v="40.200000000000003"/>
    <n v="4.4220000000000006"/>
    <n v="121.7"/>
    <x v="4"/>
    <n v="1"/>
  </r>
  <r>
    <d v="2037-02-25T00:00:00"/>
    <x v="7"/>
    <n v="28.6"/>
    <n v="0.6"/>
    <n v="0"/>
    <n v="150.30000000000001"/>
    <x v="4"/>
    <n v="1"/>
  </r>
  <r>
    <d v="2037-02-26T00:00:00"/>
    <x v="13"/>
    <n v="22.5"/>
    <n v="1"/>
    <n v="0.22500000000000001"/>
    <n v="22.5"/>
    <x v="4"/>
    <n v="1"/>
  </r>
  <r>
    <d v="2037-02-27T00:00:00"/>
    <x v="8"/>
    <n v="19.600000000000001"/>
    <n v="0"/>
    <n v="0"/>
    <n v="42.1"/>
    <x v="4"/>
    <n v="1"/>
  </r>
  <r>
    <d v="2037-02-28T00:00:00"/>
    <x v="24"/>
    <n v="19.899999999999999"/>
    <n v="0"/>
    <n v="0"/>
    <n v="62"/>
    <x v="4"/>
    <n v="1"/>
  </r>
  <r>
    <d v="2037-03-01T00:00:00"/>
    <x v="2"/>
    <n v="21.7"/>
    <n v="9.4"/>
    <n v="2.0398000000000001"/>
    <n v="83.7"/>
    <x v="4"/>
    <n v="1"/>
  </r>
  <r>
    <d v="2037-03-02T00:00:00"/>
    <x v="8"/>
    <n v="15.3"/>
    <n v="0"/>
    <n v="0"/>
    <n v="99"/>
    <x v="4"/>
    <n v="1"/>
  </r>
  <r>
    <d v="2037-03-03T00:00:00"/>
    <x v="11"/>
    <n v="20.9"/>
    <n v="12.4"/>
    <n v="2.5915999999999997"/>
    <n v="119.9"/>
    <x v="4"/>
    <n v="1"/>
  </r>
  <r>
    <d v="2037-03-04T00:00:00"/>
    <x v="1"/>
    <n v="17"/>
    <n v="0"/>
    <n v="0"/>
    <n v="136.9"/>
    <x v="4"/>
    <n v="1"/>
  </r>
  <r>
    <d v="2037-03-05T00:00:00"/>
    <x v="2"/>
    <n v="25.8"/>
    <n v="1.4"/>
    <n v="0.36119999999999997"/>
    <n v="25.8"/>
    <x v="4"/>
    <n v="1"/>
  </r>
  <r>
    <d v="2037-03-06T00:00:00"/>
    <x v="23"/>
    <n v="19.100000000000001"/>
    <n v="2.5"/>
    <n v="0.47749999999999998"/>
    <n v="44.900000000000006"/>
    <x v="4"/>
    <n v="1"/>
  </r>
  <r>
    <d v="2037-03-07T00:00:00"/>
    <x v="9"/>
    <n v="24.6"/>
    <n v="12.5"/>
    <n v="3.0750000000000002"/>
    <n v="69.5"/>
    <x v="4"/>
    <n v="1"/>
  </r>
  <r>
    <d v="2037-03-08T00:00:00"/>
    <x v="11"/>
    <n v="22.6"/>
    <n v="15.4"/>
    <n v="3.4804000000000004"/>
    <n v="92.1"/>
    <x v="4"/>
    <n v="1"/>
  </r>
  <r>
    <d v="2037-03-09T00:00:00"/>
    <x v="5"/>
    <n v="18.3"/>
    <n v="4.7"/>
    <n v="0.86010000000000009"/>
    <n v="110.39999999999999"/>
    <x v="4"/>
    <n v="1"/>
  </r>
  <r>
    <d v="2037-03-10T00:00:00"/>
    <x v="3"/>
    <n v="25.5"/>
    <n v="0"/>
    <n v="0"/>
    <n v="135.89999999999998"/>
    <x v="4"/>
    <n v="1"/>
  </r>
  <r>
    <d v="2037-03-11T00:00:00"/>
    <x v="14"/>
    <n v="26.6"/>
    <n v="0"/>
    <n v="0"/>
    <n v="162.49999999999997"/>
    <x v="4"/>
    <n v="1"/>
  </r>
  <r>
    <d v="2037-03-12T00:00:00"/>
    <x v="3"/>
    <n v="19.8"/>
    <n v="14.9"/>
    <n v="2.9502000000000006"/>
    <n v="19.8"/>
    <x v="4"/>
    <n v="1"/>
  </r>
  <r>
    <d v="2037-03-13T00:00:00"/>
    <x v="22"/>
    <n v="23.7"/>
    <n v="0.9"/>
    <n v="0"/>
    <n v="43.5"/>
    <x v="4"/>
    <n v="1"/>
  </r>
  <r>
    <d v="2037-03-14T00:00:00"/>
    <x v="20"/>
    <n v="23.5"/>
    <n v="1"/>
    <n v="0.23499999999999999"/>
    <n v="67"/>
    <x v="4"/>
    <n v="1"/>
  </r>
  <r>
    <d v="2037-03-15T00:00:00"/>
    <x v="1"/>
    <n v="18.8"/>
    <n v="7.8"/>
    <n v="1.4664000000000001"/>
    <n v="85.8"/>
    <x v="4"/>
    <n v="1"/>
  </r>
  <r>
    <d v="2037-03-16T00:00:00"/>
    <x v="2"/>
    <n v="18.7"/>
    <n v="10"/>
    <n v="1.87"/>
    <n v="104.5"/>
    <x v="4"/>
    <n v="1"/>
  </r>
  <r>
    <d v="2037-03-17T00:00:00"/>
    <x v="15"/>
    <n v="28.3"/>
    <n v="21.8"/>
    <n v="6.1694000000000004"/>
    <n v="132.80000000000001"/>
    <x v="4"/>
    <n v="1"/>
  </r>
  <r>
    <d v="2037-03-18T00:00:00"/>
    <x v="18"/>
    <n v="10.6"/>
    <n v="6.4"/>
    <n v="0.6784"/>
    <n v="143.4"/>
    <x v="4"/>
    <n v="1"/>
  </r>
  <r>
    <d v="2037-03-19T00:00:00"/>
    <x v="6"/>
    <n v="26.2"/>
    <n v="19.2"/>
    <n v="5.0303999999999993"/>
    <n v="26.2"/>
    <x v="4"/>
    <n v="1"/>
  </r>
  <r>
    <d v="2037-03-20T00:00:00"/>
    <x v="9"/>
    <n v="25.3"/>
    <n v="8.6999999999999993"/>
    <n v="2.2010999999999998"/>
    <n v="51.5"/>
    <x v="4"/>
    <n v="1"/>
  </r>
  <r>
    <d v="2037-03-21T00:00:00"/>
    <x v="18"/>
    <n v="21.6"/>
    <n v="1"/>
    <n v="0.21600000000000003"/>
    <n v="73.099999999999994"/>
    <x v="4"/>
    <n v="1"/>
  </r>
  <r>
    <d v="2037-03-22T00:00:00"/>
    <x v="15"/>
    <n v="24.9"/>
    <n v="23.5"/>
    <n v="5.8514999999999997"/>
    <n v="98"/>
    <x v="4"/>
    <n v="1"/>
  </r>
  <r>
    <d v="2037-03-23T00:00:00"/>
    <x v="11"/>
    <n v="27.7"/>
    <n v="11.5"/>
    <n v="3.1855000000000002"/>
    <n v="125.7"/>
    <x v="4"/>
    <n v="1"/>
  </r>
  <r>
    <d v="2037-03-24T00:00:00"/>
    <x v="15"/>
    <n v="12.3"/>
    <n v="0"/>
    <n v="0"/>
    <n v="138"/>
    <x v="4"/>
    <n v="1"/>
  </r>
  <r>
    <d v="2037-03-25T00:00:00"/>
    <x v="16"/>
    <n v="10.199999999999999"/>
    <n v="0.8"/>
    <n v="0"/>
    <n v="148.19999999999999"/>
    <x v="4"/>
    <n v="1"/>
  </r>
  <r>
    <d v="2037-03-26T00:00:00"/>
    <x v="6"/>
    <n v="23.1"/>
    <n v="0"/>
    <n v="0"/>
    <n v="23.1"/>
    <x v="4"/>
    <n v="1"/>
  </r>
  <r>
    <d v="2037-03-27T00:00:00"/>
    <x v="14"/>
    <n v="11.3"/>
    <n v="0"/>
    <n v="0"/>
    <n v="34.400000000000006"/>
    <x v="4"/>
    <n v="1"/>
  </r>
  <r>
    <d v="2037-03-28T00:00:00"/>
    <x v="15"/>
    <n v="29.5"/>
    <n v="10.4"/>
    <n v="3.0680000000000001"/>
    <n v="63.900000000000006"/>
    <x v="4"/>
    <n v="1"/>
  </r>
  <r>
    <d v="2037-03-29T00:00:00"/>
    <x v="11"/>
    <n v="19.7"/>
    <n v="0"/>
    <n v="0"/>
    <n v="83.600000000000009"/>
    <x v="4"/>
    <n v="1"/>
  </r>
  <r>
    <d v="2037-03-30T00:00:00"/>
    <x v="1"/>
    <n v="27.9"/>
    <n v="3.4"/>
    <n v="0.9486"/>
    <n v="111.5"/>
    <x v="4"/>
    <n v="1"/>
  </r>
  <r>
    <d v="2037-03-31T00:00:00"/>
    <x v="6"/>
    <n v="17.399999999999999"/>
    <n v="34.200000000000003"/>
    <n v="5.9508000000000001"/>
    <n v="128.9"/>
    <x v="4"/>
    <n v="1"/>
  </r>
  <r>
    <d v="2037-04-01T00:00:00"/>
    <x v="13"/>
    <n v="23"/>
    <n v="0"/>
    <n v="0"/>
    <n v="151.9"/>
    <x v="4"/>
    <n v="1"/>
  </r>
  <r>
    <d v="2037-04-02T00:00:00"/>
    <x v="17"/>
    <n v="27.6"/>
    <n v="0"/>
    <n v="0"/>
    <n v="27.6"/>
    <x v="4"/>
    <n v="1"/>
  </r>
  <r>
    <d v="2037-04-03T00:00:00"/>
    <x v="18"/>
    <n v="11.6"/>
    <n v="0"/>
    <n v="0"/>
    <n v="39.200000000000003"/>
    <x v="4"/>
    <n v="1"/>
  </r>
  <r>
    <d v="2037-04-04T00:00:00"/>
    <x v="16"/>
    <n v="24.2"/>
    <n v="5"/>
    <n v="1.21"/>
    <n v="63.400000000000006"/>
    <x v="4"/>
    <n v="1"/>
  </r>
  <r>
    <d v="2037-04-05T00:00:00"/>
    <x v="2"/>
    <n v="13.2"/>
    <n v="2.2999999999999998"/>
    <n v="0.30359999999999998"/>
    <n v="76.600000000000009"/>
    <x v="4"/>
    <n v="1"/>
  </r>
  <r>
    <d v="2037-04-06T00:00:00"/>
    <x v="3"/>
    <n v="27"/>
    <n v="0.7"/>
    <n v="0"/>
    <n v="103.60000000000001"/>
    <x v="4"/>
    <n v="1"/>
  </r>
  <r>
    <d v="2037-04-07T00:00:00"/>
    <x v="2"/>
    <n v="23.9"/>
    <n v="6.2"/>
    <n v="1.4818"/>
    <n v="127.5"/>
    <x v="4"/>
    <n v="1"/>
  </r>
  <r>
    <d v="2037-04-08T00:00:00"/>
    <x v="15"/>
    <n v="16.8"/>
    <n v="17.600000000000001"/>
    <n v="2.9568000000000008"/>
    <n v="144.30000000000001"/>
    <x v="4"/>
    <n v="1"/>
  </r>
  <r>
    <d v="2037-04-09T00:00:00"/>
    <x v="15"/>
    <n v="28.5"/>
    <n v="15.2"/>
    <n v="4.3319999999999999"/>
    <n v="28.5"/>
    <x v="4"/>
    <n v="1"/>
  </r>
  <r>
    <d v="2037-04-10T00:00:00"/>
    <x v="29"/>
    <n v="25.2"/>
    <n v="1.9"/>
    <n v="0.47879999999999995"/>
    <n v="53.7"/>
    <x v="4"/>
    <n v="1"/>
  </r>
  <r>
    <d v="2037-04-11T00:00:00"/>
    <x v="6"/>
    <n v="24.9"/>
    <n v="6.8"/>
    <n v="1.6932"/>
    <n v="78.599999999999994"/>
    <x v="4"/>
    <n v="1"/>
  </r>
  <r>
    <d v="2037-04-12T00:00:00"/>
    <x v="8"/>
    <n v="14.7"/>
    <n v="5.7"/>
    <n v="0.83789999999999987"/>
    <n v="93.3"/>
    <x v="4"/>
    <n v="1"/>
  </r>
  <r>
    <d v="2037-04-13T00:00:00"/>
    <x v="6"/>
    <n v="12.2"/>
    <n v="14.1"/>
    <n v="1.7201999999999997"/>
    <n v="105.5"/>
    <x v="4"/>
    <n v="1"/>
  </r>
  <r>
    <d v="2037-04-14T00:00:00"/>
    <x v="5"/>
    <n v="24.2"/>
    <n v="8"/>
    <n v="1.9359999999999999"/>
    <n v="129.69999999999999"/>
    <x v="4"/>
    <n v="1"/>
  </r>
  <r>
    <d v="2037-04-15T00:00:00"/>
    <x v="18"/>
    <n v="28.7"/>
    <n v="0"/>
    <n v="0"/>
    <n v="158.39999999999998"/>
    <x v="4"/>
    <n v="1"/>
  </r>
  <r>
    <d v="2037-04-16T00:00:00"/>
    <x v="6"/>
    <n v="28.5"/>
    <n v="0"/>
    <n v="0"/>
    <n v="28.5"/>
    <x v="4"/>
    <n v="1"/>
  </r>
  <r>
    <d v="2037-04-17T00:00:00"/>
    <x v="3"/>
    <n v="29.3"/>
    <n v="23.3"/>
    <n v="6.8269000000000002"/>
    <n v="57.8"/>
    <x v="4"/>
    <n v="1"/>
  </r>
  <r>
    <d v="2037-04-18T00:00:00"/>
    <x v="6"/>
    <n v="13.3"/>
    <n v="4.9000000000000004"/>
    <n v="0.65170000000000006"/>
    <n v="71.099999999999994"/>
    <x v="4"/>
    <n v="1"/>
  </r>
  <r>
    <d v="2037-04-19T00:00:00"/>
    <x v="6"/>
    <n v="22.6"/>
    <n v="0.7"/>
    <n v="0"/>
    <n v="93.699999999999989"/>
    <x v="4"/>
    <n v="1"/>
  </r>
  <r>
    <d v="2037-04-20T00:00:00"/>
    <x v="16"/>
    <n v="19.3"/>
    <n v="3"/>
    <n v="0.57900000000000007"/>
    <n v="112.99999999999999"/>
    <x v="4"/>
    <n v="1"/>
  </r>
  <r>
    <d v="2037-04-21T00:00:00"/>
    <x v="4"/>
    <n v="17.899999999999999"/>
    <n v="5.0999999999999996"/>
    <n v="0.91289999999999993"/>
    <n v="130.89999999999998"/>
    <x v="4"/>
    <n v="1"/>
  </r>
  <r>
    <d v="2037-04-22T00:00:00"/>
    <x v="16"/>
    <n v="16.7"/>
    <n v="0.3"/>
    <n v="0"/>
    <n v="147.59999999999997"/>
    <x v="4"/>
    <n v="1"/>
  </r>
  <r>
    <d v="2037-04-23T00:00:00"/>
    <x v="16"/>
    <n v="22"/>
    <n v="0"/>
    <n v="0"/>
    <n v="22"/>
    <x v="4"/>
    <n v="1"/>
  </r>
  <r>
    <d v="2037-04-24T00:00:00"/>
    <x v="5"/>
    <n v="21.2"/>
    <n v="5.9"/>
    <n v="1.2507999999999999"/>
    <n v="43.2"/>
    <x v="4"/>
    <n v="1"/>
  </r>
  <r>
    <d v="2037-04-25T00:00:00"/>
    <x v="7"/>
    <n v="20.6"/>
    <n v="4.5999999999999996"/>
    <n v="0.9476"/>
    <n v="63.800000000000004"/>
    <x v="4"/>
    <n v="1"/>
  </r>
  <r>
    <d v="2037-04-26T00:00:00"/>
    <x v="15"/>
    <n v="29.4"/>
    <n v="9.1999999999999993"/>
    <n v="2.7047999999999996"/>
    <n v="93.2"/>
    <x v="4"/>
    <n v="1"/>
  </r>
  <r>
    <d v="2037-04-27T00:00:00"/>
    <x v="3"/>
    <n v="21.3"/>
    <n v="0"/>
    <n v="0"/>
    <n v="114.5"/>
    <x v="4"/>
    <n v="1"/>
  </r>
  <r>
    <d v="2037-04-28T00:00:00"/>
    <x v="5"/>
    <n v="20.100000000000001"/>
    <n v="2.2000000000000002"/>
    <n v="0.44220000000000004"/>
    <n v="134.6"/>
    <x v="4"/>
    <n v="1"/>
  </r>
  <r>
    <d v="2037-04-29T00:00:00"/>
    <x v="6"/>
    <n v="12.7"/>
    <n v="5.6"/>
    <n v="0.71119999999999994"/>
    <n v="147.29999999999998"/>
    <x v="4"/>
    <n v="1"/>
  </r>
  <r>
    <d v="2037-04-30T00:00:00"/>
    <x v="7"/>
    <n v="28.9"/>
    <n v="0"/>
    <n v="0"/>
    <n v="28.9"/>
    <x v="4"/>
    <n v="1"/>
  </r>
  <r>
    <d v="2037-05-01T00:00:00"/>
    <x v="15"/>
    <n v="24.4"/>
    <n v="28.7"/>
    <n v="7.0027999999999997"/>
    <n v="53.3"/>
    <x v="4"/>
    <n v="1"/>
  </r>
  <r>
    <d v="2037-05-02T00:00:00"/>
    <x v="6"/>
    <n v="10.8"/>
    <n v="0"/>
    <n v="0"/>
    <n v="64.099999999999994"/>
    <x v="4"/>
    <n v="1"/>
  </r>
  <r>
    <d v="2037-05-03T00:00:00"/>
    <x v="6"/>
    <n v="18.399999999999999"/>
    <n v="0"/>
    <n v="0"/>
    <n v="82.5"/>
    <x v="4"/>
    <n v="1"/>
  </r>
  <r>
    <d v="2037-05-04T00:00:00"/>
    <x v="15"/>
    <n v="23.3"/>
    <n v="10.7"/>
    <n v="2.4931000000000001"/>
    <n v="105.8"/>
    <x v="4"/>
    <n v="1"/>
  </r>
  <r>
    <d v="2037-05-05T00:00:00"/>
    <x v="11"/>
    <n v="27.9"/>
    <n v="14.8"/>
    <n v="4.1292"/>
    <n v="133.69999999999999"/>
    <x v="4"/>
    <n v="1"/>
  </r>
  <r>
    <d v="2037-05-06T00:00:00"/>
    <x v="8"/>
    <n v="24.7"/>
    <n v="9"/>
    <n v="2.2229999999999999"/>
    <n v="158.39999999999998"/>
    <x v="4"/>
    <n v="1"/>
  </r>
  <r>
    <d v="2037-05-07T00:00:00"/>
    <x v="15"/>
    <n v="14.3"/>
    <n v="22"/>
    <n v="3.1460000000000004"/>
    <n v="14.3"/>
    <x v="4"/>
    <n v="1"/>
  </r>
  <r>
    <d v="2037-05-08T00:00:00"/>
    <x v="29"/>
    <n v="26.2"/>
    <n v="2"/>
    <n v="0.52400000000000002"/>
    <n v="40.5"/>
    <x v="4"/>
    <n v="1"/>
  </r>
  <r>
    <d v="2037-05-09T00:00:00"/>
    <x v="12"/>
    <n v="21.5"/>
    <n v="0.4"/>
    <n v="0"/>
    <n v="62"/>
    <x v="4"/>
    <n v="1"/>
  </r>
  <r>
    <d v="2037-05-10T00:00:00"/>
    <x v="6"/>
    <n v="12.8"/>
    <n v="0"/>
    <n v="0"/>
    <n v="74.8"/>
    <x v="4"/>
    <n v="1"/>
  </r>
  <r>
    <d v="2037-05-11T00:00:00"/>
    <x v="5"/>
    <n v="24.6"/>
    <n v="3"/>
    <n v="0.7380000000000001"/>
    <n v="99.4"/>
    <x v="4"/>
    <n v="1"/>
  </r>
  <r>
    <d v="2037-05-12T00:00:00"/>
    <x v="23"/>
    <n v="22.6"/>
    <n v="1.6"/>
    <n v="0.36160000000000003"/>
    <n v="122"/>
    <x v="4"/>
    <n v="1"/>
  </r>
  <r>
    <d v="2037-05-13T00:00:00"/>
    <x v="9"/>
    <n v="27.3"/>
    <n v="9.3000000000000007"/>
    <n v="2.5388999999999999"/>
    <n v="149.30000000000001"/>
    <x v="4"/>
    <n v="1"/>
  </r>
  <r>
    <d v="2037-05-14T00:00:00"/>
    <x v="15"/>
    <n v="10.8"/>
    <n v="22.2"/>
    <n v="2.3976000000000002"/>
    <n v="10.8"/>
    <x v="4"/>
    <n v="1"/>
  </r>
  <r>
    <d v="2037-05-15T00:00:00"/>
    <x v="13"/>
    <n v="12"/>
    <n v="5.3"/>
    <n v="0.6359999999999999"/>
    <n v="22.8"/>
    <x v="4"/>
    <n v="1"/>
  </r>
  <r>
    <d v="2037-05-16T00:00:00"/>
    <x v="3"/>
    <n v="28.1"/>
    <n v="0"/>
    <n v="0"/>
    <n v="50.900000000000006"/>
    <x v="4"/>
    <n v="1"/>
  </r>
  <r>
    <d v="2037-05-17T00:00:00"/>
    <x v="7"/>
    <n v="16.100000000000001"/>
    <n v="9"/>
    <n v="1.4490000000000001"/>
    <n v="67"/>
    <x v="4"/>
    <n v="1"/>
  </r>
  <r>
    <d v="2037-05-18T00:00:00"/>
    <x v="14"/>
    <n v="29"/>
    <n v="1.6"/>
    <n v="0.46400000000000008"/>
    <n v="96"/>
    <x v="4"/>
    <n v="1"/>
  </r>
  <r>
    <d v="2037-05-19T00:00:00"/>
    <x v="7"/>
    <n v="23.6"/>
    <n v="16"/>
    <n v="3.7760000000000002"/>
    <n v="119.6"/>
    <x v="4"/>
    <n v="1"/>
  </r>
  <r>
    <d v="2037-05-20T00:00:00"/>
    <x v="15"/>
    <n v="11.6"/>
    <n v="32"/>
    <n v="3.7119999999999997"/>
    <n v="131.19999999999999"/>
    <x v="4"/>
    <n v="1"/>
  </r>
  <r>
    <d v="2037-05-21T00:00:00"/>
    <x v="11"/>
    <n v="15.9"/>
    <n v="5.5"/>
    <n v="0.87450000000000006"/>
    <n v="15.9"/>
    <x v="4"/>
    <n v="1"/>
  </r>
  <r>
    <d v="2037-05-22T00:00:00"/>
    <x v="22"/>
    <n v="28.3"/>
    <n v="6"/>
    <n v="1.6980000000000002"/>
    <n v="44.2"/>
    <x v="4"/>
    <n v="1"/>
  </r>
  <r>
    <d v="2037-05-23T00:00:00"/>
    <x v="8"/>
    <n v="16.600000000000001"/>
    <n v="11.3"/>
    <n v="1.8758000000000004"/>
    <n v="60.800000000000004"/>
    <x v="4"/>
    <n v="1"/>
  </r>
  <r>
    <d v="2037-05-24T00:00:00"/>
    <x v="18"/>
    <n v="25.2"/>
    <n v="6.4"/>
    <n v="1.6128"/>
    <n v="86"/>
    <x v="4"/>
    <n v="1"/>
  </r>
  <r>
    <d v="2037-05-25T00:00:00"/>
    <x v="6"/>
    <n v="29.5"/>
    <n v="26.1"/>
    <n v="7.6995000000000005"/>
    <n v="115.5"/>
    <x v="4"/>
    <n v="1"/>
  </r>
  <r>
    <d v="2037-05-26T00:00:00"/>
    <x v="14"/>
    <n v="13.3"/>
    <n v="7.3"/>
    <n v="0.97089999999999999"/>
    <n v="128.80000000000001"/>
    <x v="4"/>
    <n v="1"/>
  </r>
  <r>
    <d v="2037-05-27T00:00:00"/>
    <x v="13"/>
    <n v="19.5"/>
    <n v="3.4"/>
    <n v="0.66299999999999992"/>
    <n v="148.30000000000001"/>
    <x v="4"/>
    <n v="1"/>
  </r>
  <r>
    <d v="2037-05-28T00:00:00"/>
    <x v="21"/>
    <n v="11.9"/>
    <n v="1.7"/>
    <n v="0.20230000000000001"/>
    <n v="11.9"/>
    <x v="4"/>
    <n v="1"/>
  </r>
  <r>
    <d v="2037-05-29T00:00:00"/>
    <x v="10"/>
    <n v="29.5"/>
    <n v="5.0999999999999996"/>
    <n v="1.5044999999999999"/>
    <n v="41.4"/>
    <x v="4"/>
    <n v="1"/>
  </r>
  <r>
    <d v="2037-05-30T00:00:00"/>
    <x v="15"/>
    <n v="25.1"/>
    <n v="0"/>
    <n v="0"/>
    <n v="66.5"/>
    <x v="4"/>
    <n v="1"/>
  </r>
  <r>
    <d v="2037-05-31T00:00:00"/>
    <x v="18"/>
    <n v="15.1"/>
    <n v="0"/>
    <n v="0"/>
    <n v="81.599999999999994"/>
    <x v="4"/>
    <n v="1"/>
  </r>
  <r>
    <d v="2037-06-01T00:00:00"/>
    <x v="29"/>
    <n v="19.7"/>
    <n v="1.7"/>
    <n v="0.33489999999999998"/>
    <n v="101.3"/>
    <x v="4"/>
    <n v="1"/>
  </r>
  <r>
    <d v="2037-06-02T00:00:00"/>
    <x v="15"/>
    <n v="25.6"/>
    <n v="0"/>
    <n v="0"/>
    <n v="126.9"/>
    <x v="4"/>
    <n v="1"/>
  </r>
  <r>
    <d v="2037-06-03T00:00:00"/>
    <x v="7"/>
    <n v="25"/>
    <n v="18.8"/>
    <n v="4.7"/>
    <n v="151.9"/>
    <x v="4"/>
    <n v="1"/>
  </r>
  <r>
    <d v="2037-06-04T00:00:00"/>
    <x v="19"/>
    <n v="11.5"/>
    <n v="0"/>
    <n v="0"/>
    <n v="11.5"/>
    <x v="4"/>
    <n v="1"/>
  </r>
  <r>
    <d v="2037-06-05T00:00:00"/>
    <x v="6"/>
    <n v="23.8"/>
    <n v="7.3"/>
    <n v="1.7374000000000001"/>
    <n v="35.299999999999997"/>
    <x v="4"/>
    <n v="1"/>
  </r>
  <r>
    <d v="2037-06-06T00:00:00"/>
    <x v="15"/>
    <n v="25.3"/>
    <n v="14.7"/>
    <n v="3.7190999999999996"/>
    <n v="60.599999999999994"/>
    <x v="4"/>
    <n v="1"/>
  </r>
  <r>
    <d v="2037-06-07T00:00:00"/>
    <x v="6"/>
    <n v="22.6"/>
    <n v="42.2"/>
    <n v="9.5372000000000021"/>
    <n v="83.199999999999989"/>
    <x v="4"/>
    <n v="1"/>
  </r>
  <r>
    <d v="2037-06-08T00:00:00"/>
    <x v="10"/>
    <n v="18.100000000000001"/>
    <n v="3.3"/>
    <n v="0.59730000000000005"/>
    <n v="101.29999999999998"/>
    <x v="4"/>
    <n v="1"/>
  </r>
  <r>
    <d v="2037-06-09T00:00:00"/>
    <x v="15"/>
    <n v="17.8"/>
    <n v="0"/>
    <n v="0"/>
    <n v="119.09999999999998"/>
    <x v="4"/>
    <n v="1"/>
  </r>
  <r>
    <d v="2037-06-10T00:00:00"/>
    <x v="6"/>
    <n v="25.1"/>
    <n v="25.5"/>
    <n v="6.400500000000001"/>
    <n v="144.19999999999999"/>
    <x v="4"/>
    <n v="1"/>
  </r>
  <r>
    <d v="2037-06-11T00:00:00"/>
    <x v="14"/>
    <n v="12"/>
    <n v="0"/>
    <n v="0"/>
    <n v="12"/>
    <x v="4"/>
    <n v="1"/>
  </r>
  <r>
    <d v="2037-06-12T00:00:00"/>
    <x v="6"/>
    <n v="23.2"/>
    <n v="0"/>
    <n v="0"/>
    <n v="35.200000000000003"/>
    <x v="4"/>
    <n v="1"/>
  </r>
  <r>
    <d v="2037-06-13T00:00:00"/>
    <x v="2"/>
    <n v="16"/>
    <n v="7.9"/>
    <n v="1.264"/>
    <n v="51.2"/>
    <x v="4"/>
    <n v="1"/>
  </r>
  <r>
    <d v="2037-06-14T00:00:00"/>
    <x v="11"/>
    <n v="26.5"/>
    <n v="20.2"/>
    <n v="5.3529999999999998"/>
    <n v="77.7"/>
    <x v="4"/>
    <n v="1"/>
  </r>
  <r>
    <d v="2037-06-15T00:00:00"/>
    <x v="25"/>
    <n v="28.9"/>
    <n v="0.3"/>
    <n v="0"/>
    <n v="106.6"/>
    <x v="4"/>
    <n v="1"/>
  </r>
  <r>
    <d v="2037-06-16T00:00:00"/>
    <x v="6"/>
    <n v="26.6"/>
    <n v="0"/>
    <n v="0"/>
    <n v="133.19999999999999"/>
    <x v="4"/>
    <n v="1"/>
  </r>
  <r>
    <d v="2037-06-17T00:00:00"/>
    <x v="3"/>
    <n v="13.1"/>
    <n v="19.899999999999999"/>
    <n v="2.6069"/>
    <n v="146.29999999999998"/>
    <x v="4"/>
    <n v="1"/>
  </r>
  <r>
    <d v="2037-06-18T00:00:00"/>
    <x v="6"/>
    <n v="21.5"/>
    <n v="33.4"/>
    <n v="7.181"/>
    <n v="21.5"/>
    <x v="4"/>
    <n v="1"/>
  </r>
  <r>
    <d v="2037-06-19T00:00:00"/>
    <x v="27"/>
    <n v="25.7"/>
    <n v="0"/>
    <n v="0"/>
    <n v="47.2"/>
    <x v="4"/>
    <n v="1"/>
  </r>
  <r>
    <d v="2037-06-20T00:00:00"/>
    <x v="15"/>
    <n v="11.8"/>
    <n v="23"/>
    <n v="2.7140000000000004"/>
    <n v="59"/>
    <x v="4"/>
    <n v="1"/>
  </r>
  <r>
    <d v="2037-06-21T00:00:00"/>
    <x v="21"/>
    <n v="12.6"/>
    <n v="0.7"/>
    <n v="0"/>
    <n v="71.599999999999994"/>
    <x v="4"/>
    <n v="1"/>
  </r>
  <r>
    <d v="2037-06-22T00:00:00"/>
    <x v="23"/>
    <n v="26.2"/>
    <n v="0.3"/>
    <n v="0"/>
    <n v="97.8"/>
    <x v="4"/>
    <n v="1"/>
  </r>
  <r>
    <d v="2037-06-23T00:00:00"/>
    <x v="4"/>
    <n v="29.1"/>
    <n v="5"/>
    <n v="1.4550000000000001"/>
    <n v="126.9"/>
    <x v="4"/>
    <n v="1"/>
  </r>
  <r>
    <d v="2037-06-24T00:00:00"/>
    <x v="18"/>
    <n v="18.899999999999999"/>
    <n v="7.5"/>
    <n v="1.4175"/>
    <n v="145.80000000000001"/>
    <x v="4"/>
    <n v="1"/>
  </r>
  <r>
    <d v="2037-06-25T00:00:00"/>
    <x v="7"/>
    <n v="10.5"/>
    <n v="7.3"/>
    <n v="0.76649999999999996"/>
    <n v="10.5"/>
    <x v="4"/>
    <n v="1"/>
  </r>
  <r>
    <d v="2037-06-26T00:00:00"/>
    <x v="19"/>
    <n v="15.1"/>
    <n v="6"/>
    <n v="0.90599999999999992"/>
    <n v="25.6"/>
    <x v="4"/>
    <n v="1"/>
  </r>
  <r>
    <d v="2037-06-27T00:00:00"/>
    <x v="3"/>
    <n v="27.8"/>
    <n v="8.3000000000000007"/>
    <n v="2.3074000000000003"/>
    <n v="53.400000000000006"/>
    <x v="4"/>
    <n v="1"/>
  </r>
  <r>
    <d v="2037-06-28T00:00:00"/>
    <x v="12"/>
    <n v="11.7"/>
    <n v="0.4"/>
    <n v="0"/>
    <n v="65.100000000000009"/>
    <x v="4"/>
    <n v="1"/>
  </r>
  <r>
    <d v="2037-06-29T00:00:00"/>
    <x v="6"/>
    <n v="10.5"/>
    <n v="36.9"/>
    <n v="3.8744999999999998"/>
    <n v="75.600000000000009"/>
    <x v="4"/>
    <n v="1"/>
  </r>
  <r>
    <d v="2037-06-30T00:00:00"/>
    <x v="1"/>
    <n v="21"/>
    <n v="7.1"/>
    <n v="1.4909999999999999"/>
    <n v="96.600000000000009"/>
    <x v="4"/>
    <n v="1"/>
  </r>
  <r>
    <d v="2037-07-01T00:00:00"/>
    <x v="20"/>
    <n v="17.399999999999999"/>
    <n v="3.7"/>
    <n v="0.64379999999999993"/>
    <n v="114"/>
    <x v="4"/>
    <n v="1"/>
  </r>
  <r>
    <d v="2037-07-02T00:00:00"/>
    <x v="14"/>
    <n v="21.9"/>
    <n v="7.6"/>
    <n v="1.6643999999999997"/>
    <n v="21.9"/>
    <x v="4"/>
    <n v="1"/>
  </r>
  <r>
    <d v="2037-07-03T00:00:00"/>
    <x v="14"/>
    <n v="26"/>
    <n v="4.5999999999999996"/>
    <n v="1.196"/>
    <n v="47.9"/>
    <x v="4"/>
    <n v="1"/>
  </r>
  <r>
    <d v="2037-07-04T00:00:00"/>
    <x v="15"/>
    <n v="12.2"/>
    <n v="19.3"/>
    <n v="2.3546"/>
    <n v="60.099999999999994"/>
    <x v="4"/>
    <n v="1"/>
  </r>
  <r>
    <d v="2037-07-05T00:00:00"/>
    <x v="4"/>
    <n v="22.4"/>
    <n v="0.3"/>
    <n v="0"/>
    <n v="82.5"/>
    <x v="4"/>
    <n v="1"/>
  </r>
  <r>
    <d v="2037-07-06T00:00:00"/>
    <x v="18"/>
    <n v="18.600000000000001"/>
    <n v="7.2"/>
    <n v="1.3392000000000002"/>
    <n v="101.1"/>
    <x v="4"/>
    <n v="1"/>
  </r>
  <r>
    <d v="2037-07-07T00:00:00"/>
    <x v="6"/>
    <n v="17.100000000000001"/>
    <n v="0"/>
    <n v="0"/>
    <n v="118.19999999999999"/>
    <x v="4"/>
    <n v="1"/>
  </r>
  <r>
    <d v="2037-07-08T00:00:00"/>
    <x v="15"/>
    <n v="25.1"/>
    <n v="24.3"/>
    <n v="6.0993000000000004"/>
    <n v="143.29999999999998"/>
    <x v="4"/>
    <n v="1"/>
  </r>
  <r>
    <d v="2037-07-09T00:00:00"/>
    <x v="7"/>
    <n v="10.4"/>
    <n v="22.2"/>
    <n v="2.3087999999999997"/>
    <n v="10.4"/>
    <x v="4"/>
    <n v="1"/>
  </r>
  <r>
    <d v="2037-07-10T00:00:00"/>
    <x v="14"/>
    <n v="28.9"/>
    <n v="0"/>
    <n v="0"/>
    <n v="39.299999999999997"/>
    <x v="4"/>
    <n v="1"/>
  </r>
  <r>
    <d v="2037-07-11T00:00:00"/>
    <x v="27"/>
    <n v="24.1"/>
    <n v="0"/>
    <n v="0"/>
    <n v="63.4"/>
    <x v="4"/>
    <n v="1"/>
  </r>
  <r>
    <d v="2037-07-12T00:00:00"/>
    <x v="15"/>
    <n v="23.2"/>
    <n v="22.1"/>
    <n v="5.1272000000000002"/>
    <n v="86.6"/>
    <x v="4"/>
    <n v="1"/>
  </r>
  <r>
    <d v="2037-07-13T00:00:00"/>
    <x v="9"/>
    <n v="24.1"/>
    <n v="9.3000000000000007"/>
    <n v="2.2413000000000003"/>
    <n v="110.69999999999999"/>
    <x v="4"/>
    <n v="1"/>
  </r>
  <r>
    <d v="2037-07-14T00:00:00"/>
    <x v="6"/>
    <n v="14.6"/>
    <n v="0"/>
    <n v="0"/>
    <n v="125.29999999999998"/>
    <x v="4"/>
    <n v="1"/>
  </r>
  <r>
    <d v="2037-07-15T00:00:00"/>
    <x v="16"/>
    <n v="17.7"/>
    <n v="0"/>
    <n v="0"/>
    <n v="142.99999999999997"/>
    <x v="4"/>
    <n v="1"/>
  </r>
  <r>
    <d v="2037-07-16T00:00:00"/>
    <x v="2"/>
    <n v="20.100000000000001"/>
    <n v="11.5"/>
    <n v="2.3115000000000001"/>
    <n v="20.100000000000001"/>
    <x v="4"/>
    <n v="1"/>
  </r>
  <r>
    <d v="2037-07-17T00:00:00"/>
    <x v="4"/>
    <n v="27.5"/>
    <n v="0"/>
    <n v="0"/>
    <n v="47.6"/>
    <x v="4"/>
    <n v="1"/>
  </r>
  <r>
    <d v="2037-07-18T00:00:00"/>
    <x v="3"/>
    <n v="10.9"/>
    <n v="9"/>
    <n v="0.98100000000000009"/>
    <n v="58.5"/>
    <x v="4"/>
    <n v="1"/>
  </r>
  <r>
    <d v="2037-07-19T00:00:00"/>
    <x v="20"/>
    <n v="27.6"/>
    <n v="3.2"/>
    <n v="0.8832000000000001"/>
    <n v="86.1"/>
    <x v="4"/>
    <n v="1"/>
  </r>
  <r>
    <d v="2037-07-20T00:00:00"/>
    <x v="15"/>
    <n v="24.5"/>
    <n v="15.3"/>
    <n v="3.7485000000000004"/>
    <n v="110.6"/>
    <x v="4"/>
    <n v="1"/>
  </r>
  <r>
    <d v="2037-07-21T00:00:00"/>
    <x v="13"/>
    <n v="10.8"/>
    <n v="0"/>
    <n v="0"/>
    <n v="121.39999999999999"/>
    <x v="4"/>
    <n v="1"/>
  </r>
  <r>
    <d v="2037-07-22T00:00:00"/>
    <x v="15"/>
    <n v="28.7"/>
    <n v="27.2"/>
    <n v="7.8064"/>
    <n v="150.1"/>
    <x v="4"/>
    <n v="1"/>
  </r>
  <r>
    <d v="2037-07-23T00:00:00"/>
    <x v="5"/>
    <n v="21.5"/>
    <n v="0.6"/>
    <n v="0"/>
    <n v="21.5"/>
    <x v="4"/>
    <n v="1"/>
  </r>
  <r>
    <d v="2037-07-24T00:00:00"/>
    <x v="20"/>
    <n v="20.100000000000001"/>
    <n v="0.8"/>
    <n v="0"/>
    <n v="41.6"/>
    <x v="4"/>
    <n v="1"/>
  </r>
  <r>
    <d v="2037-07-25T00:00:00"/>
    <x v="15"/>
    <n v="21.3"/>
    <n v="14.6"/>
    <n v="3.1098000000000003"/>
    <n v="62.900000000000006"/>
    <x v="4"/>
    <n v="1"/>
  </r>
  <r>
    <d v="2037-07-26T00:00:00"/>
    <x v="23"/>
    <n v="20.2"/>
    <n v="6.9"/>
    <n v="1.3937999999999999"/>
    <n v="83.100000000000009"/>
    <x v="4"/>
    <n v="1"/>
  </r>
  <r>
    <d v="2037-07-27T00:00:00"/>
    <x v="9"/>
    <n v="16.8"/>
    <n v="7.6"/>
    <n v="1.2767999999999999"/>
    <n v="99.9"/>
    <x v="4"/>
    <n v="1"/>
  </r>
  <r>
    <d v="2037-07-28T00:00:00"/>
    <x v="2"/>
    <n v="26.5"/>
    <n v="2.5"/>
    <n v="0.66249999999999998"/>
    <n v="126.4"/>
    <x v="4"/>
    <n v="1"/>
  </r>
  <r>
    <d v="2037-07-29T00:00:00"/>
    <x v="3"/>
    <n v="18.899999999999999"/>
    <n v="0"/>
    <n v="0"/>
    <n v="145.30000000000001"/>
    <x v="4"/>
    <n v="1"/>
  </r>
  <r>
    <d v="2037-07-30T00:00:00"/>
    <x v="16"/>
    <n v="22.9"/>
    <n v="1.2"/>
    <n v="0.27479999999999999"/>
    <n v="22.9"/>
    <x v="4"/>
    <n v="1"/>
  </r>
  <r>
    <d v="2037-07-31T00:00:00"/>
    <x v="15"/>
    <n v="11.3"/>
    <n v="32.700000000000003"/>
    <n v="3.6951000000000005"/>
    <n v="34.200000000000003"/>
    <x v="4"/>
    <n v="1"/>
  </r>
  <r>
    <d v="2037-08-01T00:00:00"/>
    <x v="9"/>
    <n v="13"/>
    <n v="1.7"/>
    <n v="0.22099999999999997"/>
    <n v="47.2"/>
    <x v="4"/>
    <n v="1"/>
  </r>
  <r>
    <d v="2037-08-02T00:00:00"/>
    <x v="4"/>
    <n v="18.3"/>
    <n v="2.5"/>
    <n v="0.45750000000000002"/>
    <n v="65.5"/>
    <x v="4"/>
    <n v="1"/>
  </r>
  <r>
    <d v="2037-08-03T00:00:00"/>
    <x v="3"/>
    <n v="10.199999999999999"/>
    <n v="14.3"/>
    <n v="1.4585999999999999"/>
    <n v="75.7"/>
    <x v="4"/>
    <n v="1"/>
  </r>
  <r>
    <d v="2037-08-04T00:00:00"/>
    <x v="7"/>
    <n v="14.5"/>
    <n v="10.5"/>
    <n v="1.5225"/>
    <n v="90.2"/>
    <x v="4"/>
    <n v="1"/>
  </r>
  <r>
    <d v="2037-08-05T00:00:00"/>
    <x v="10"/>
    <n v="12.3"/>
    <n v="7.4"/>
    <n v="0.91020000000000012"/>
    <n v="102.5"/>
    <x v="4"/>
    <n v="1"/>
  </r>
  <r>
    <d v="2037-08-06T00:00:00"/>
    <x v="9"/>
    <n v="17"/>
    <n v="16.899999999999999"/>
    <n v="2.8729999999999993"/>
    <n v="17"/>
    <x v="4"/>
    <n v="1"/>
  </r>
  <r>
    <d v="2037-08-07T00:00:00"/>
    <x v="1"/>
    <n v="17.5"/>
    <n v="0"/>
    <n v="0"/>
    <n v="34.5"/>
    <x v="4"/>
    <n v="1"/>
  </r>
  <r>
    <d v="2037-08-08T00:00:00"/>
    <x v="0"/>
    <n v="28.4"/>
    <n v="0"/>
    <n v="0"/>
    <n v="62.9"/>
    <x v="4"/>
    <n v="1"/>
  </r>
  <r>
    <d v="2037-08-09T00:00:00"/>
    <x v="15"/>
    <n v="13.1"/>
    <n v="36.6"/>
    <n v="4.7946"/>
    <n v="76"/>
    <x v="4"/>
    <n v="1"/>
  </r>
  <r>
    <d v="2037-08-10T00:00:00"/>
    <x v="3"/>
    <n v="16.600000000000001"/>
    <n v="6.6"/>
    <n v="1.0956000000000001"/>
    <n v="92.6"/>
    <x v="4"/>
    <n v="1"/>
  </r>
  <r>
    <d v="2037-08-11T00:00:00"/>
    <x v="15"/>
    <n v="20.2"/>
    <n v="0"/>
    <n v="0"/>
    <n v="112.8"/>
    <x v="4"/>
    <n v="1"/>
  </r>
  <r>
    <d v="2037-08-12T00:00:00"/>
    <x v="3"/>
    <n v="26.4"/>
    <n v="11.9"/>
    <n v="3.1415999999999995"/>
    <n v="139.19999999999999"/>
    <x v="4"/>
    <n v="1"/>
  </r>
  <r>
    <d v="2037-08-13T00:00:00"/>
    <x v="6"/>
    <n v="11.8"/>
    <n v="0"/>
    <n v="0"/>
    <n v="11.8"/>
    <x v="4"/>
    <n v="1"/>
  </r>
  <r>
    <d v="2037-08-14T00:00:00"/>
    <x v="13"/>
    <n v="19.5"/>
    <n v="6.4"/>
    <n v="1.2480000000000002"/>
    <n v="31.3"/>
    <x v="4"/>
    <n v="1"/>
  </r>
  <r>
    <d v="2037-08-15T00:00:00"/>
    <x v="15"/>
    <n v="12"/>
    <n v="13.3"/>
    <n v="1.5960000000000003"/>
    <n v="43.3"/>
    <x v="4"/>
    <n v="1"/>
  </r>
  <r>
    <d v="2037-08-16T00:00:00"/>
    <x v="18"/>
    <n v="16.3"/>
    <n v="7.5"/>
    <n v="1.2224999999999999"/>
    <n v="59.599999999999994"/>
    <x v="4"/>
    <n v="1"/>
  </r>
  <r>
    <d v="2037-08-17T00:00:00"/>
    <x v="13"/>
    <n v="22.8"/>
    <n v="2.7"/>
    <n v="0.61560000000000015"/>
    <n v="82.399999999999991"/>
    <x v="4"/>
    <n v="1"/>
  </r>
  <r>
    <d v="2037-08-18T00:00:00"/>
    <x v="6"/>
    <n v="16.2"/>
    <n v="43.3"/>
    <n v="7.0145999999999988"/>
    <n v="98.6"/>
    <x v="4"/>
    <n v="1"/>
  </r>
  <r>
    <d v="2037-08-19T00:00:00"/>
    <x v="20"/>
    <n v="11.5"/>
    <n v="3.1"/>
    <n v="0.35649999999999998"/>
    <n v="110.1"/>
    <x v="4"/>
    <n v="1"/>
  </r>
  <r>
    <d v="2037-08-20T00:00:00"/>
    <x v="9"/>
    <n v="13.5"/>
    <n v="0"/>
    <n v="0"/>
    <n v="13.5"/>
    <x v="4"/>
    <n v="1"/>
  </r>
  <r>
    <d v="2037-08-21T00:00:00"/>
    <x v="13"/>
    <n v="16.2"/>
    <n v="6.4"/>
    <n v="1.0368000000000002"/>
    <n v="29.7"/>
    <x v="4"/>
    <n v="1"/>
  </r>
  <r>
    <d v="2037-08-22T00:00:00"/>
    <x v="6"/>
    <n v="18.5"/>
    <n v="24.9"/>
    <n v="4.6064999999999996"/>
    <n v="48.2"/>
    <x v="4"/>
    <n v="1"/>
  </r>
  <r>
    <d v="2037-08-23T00:00:00"/>
    <x v="15"/>
    <n v="10.9"/>
    <n v="0"/>
    <n v="0"/>
    <n v="59.1"/>
    <x v="4"/>
    <n v="1"/>
  </r>
  <r>
    <d v="2037-08-24T00:00:00"/>
    <x v="13"/>
    <n v="23.9"/>
    <n v="4.5"/>
    <n v="1.0754999999999999"/>
    <n v="83"/>
    <x v="4"/>
    <n v="1"/>
  </r>
  <r>
    <d v="2037-08-25T00:00:00"/>
    <x v="7"/>
    <n v="20.2"/>
    <n v="0"/>
    <n v="0"/>
    <n v="103.2"/>
    <x v="4"/>
    <n v="1"/>
  </r>
  <r>
    <d v="2037-08-26T00:00:00"/>
    <x v="3"/>
    <n v="23.3"/>
    <n v="0"/>
    <n v="0"/>
    <n v="126.5"/>
    <x v="4"/>
    <n v="1"/>
  </r>
  <r>
    <d v="2037-08-27T00:00:00"/>
    <x v="9"/>
    <n v="26.3"/>
    <n v="2.2000000000000002"/>
    <n v="0.57860000000000011"/>
    <n v="26.3"/>
    <x v="4"/>
    <n v="1"/>
  </r>
  <r>
    <d v="2037-08-28T00:00:00"/>
    <x v="9"/>
    <n v="20.3"/>
    <n v="16.600000000000001"/>
    <n v="3.3698000000000001"/>
    <n v="46.6"/>
    <x v="4"/>
    <n v="1"/>
  </r>
  <r>
    <d v="2037-08-29T00:00:00"/>
    <x v="6"/>
    <n v="11.1"/>
    <n v="38"/>
    <n v="4.218"/>
    <n v="57.7"/>
    <x v="4"/>
    <n v="1"/>
  </r>
  <r>
    <d v="2037-08-30T00:00:00"/>
    <x v="1"/>
    <n v="10.7"/>
    <n v="1.2"/>
    <n v="0.12839999999999999"/>
    <n v="68.400000000000006"/>
    <x v="4"/>
    <n v="1"/>
  </r>
  <r>
    <d v="2037-08-31T00:00:00"/>
    <x v="17"/>
    <n v="21.8"/>
    <n v="0"/>
    <n v="0"/>
    <n v="90.2"/>
    <x v="4"/>
    <n v="1"/>
  </r>
  <r>
    <d v="2037-09-01T00:00:00"/>
    <x v="3"/>
    <n v="29.7"/>
    <n v="2.5"/>
    <n v="0.74250000000000005"/>
    <n v="119.9"/>
    <x v="4"/>
    <n v="1"/>
  </r>
  <r>
    <d v="2037-09-02T00:00:00"/>
    <x v="6"/>
    <n v="21.7"/>
    <n v="16.100000000000001"/>
    <n v="3.4937"/>
    <n v="141.6"/>
    <x v="4"/>
    <n v="1"/>
  </r>
  <r>
    <d v="2037-09-03T00:00:00"/>
    <x v="6"/>
    <n v="26"/>
    <n v="47.6"/>
    <n v="12.376000000000001"/>
    <n v="26"/>
    <x v="4"/>
    <n v="1"/>
  </r>
  <r>
    <d v="2037-09-04T00:00:00"/>
    <x v="3"/>
    <n v="18"/>
    <n v="5.3"/>
    <n v="0.95399999999999996"/>
    <n v="44"/>
    <x v="4"/>
    <n v="1"/>
  </r>
  <r>
    <d v="2037-09-05T00:00:00"/>
    <x v="20"/>
    <n v="15.8"/>
    <n v="3.6"/>
    <n v="0.56879999999999997"/>
    <n v="59.8"/>
    <x v="4"/>
    <n v="1"/>
  </r>
  <r>
    <d v="2037-09-06T00:00:00"/>
    <x v="22"/>
    <n v="14.1"/>
    <n v="6.8"/>
    <n v="0.95879999999999999"/>
    <n v="73.899999999999991"/>
    <x v="4"/>
    <n v="1"/>
  </r>
  <r>
    <d v="2037-09-07T00:00:00"/>
    <x v="20"/>
    <n v="22.3"/>
    <n v="1.8"/>
    <n v="0.40139999999999998"/>
    <n v="96.199999999999989"/>
    <x v="4"/>
    <n v="1"/>
  </r>
  <r>
    <d v="2037-09-08T00:00:00"/>
    <x v="15"/>
    <n v="22.2"/>
    <n v="0"/>
    <n v="0"/>
    <n v="118.39999999999999"/>
    <x v="4"/>
    <n v="1"/>
  </r>
  <r>
    <d v="2037-09-09T00:00:00"/>
    <x v="2"/>
    <n v="23.8"/>
    <n v="0"/>
    <n v="0"/>
    <n v="142.19999999999999"/>
    <x v="4"/>
    <n v="1"/>
  </r>
  <r>
    <d v="2037-09-10T00:00:00"/>
    <x v="10"/>
    <n v="10"/>
    <n v="8.1"/>
    <n v="0.81"/>
    <n v="10"/>
    <x v="4"/>
    <n v="1"/>
  </r>
  <r>
    <d v="2037-09-11T00:00:00"/>
    <x v="20"/>
    <n v="23.8"/>
    <n v="0"/>
    <n v="0"/>
    <n v="33.799999999999997"/>
    <x v="4"/>
    <n v="1"/>
  </r>
  <r>
    <d v="2037-09-12T00:00:00"/>
    <x v="19"/>
    <n v="13.4"/>
    <n v="2.6"/>
    <n v="0.34840000000000004"/>
    <n v="47.199999999999996"/>
    <x v="4"/>
    <n v="1"/>
  </r>
  <r>
    <d v="2037-09-13T00:00:00"/>
    <x v="20"/>
    <n v="17"/>
    <n v="1.5"/>
    <n v="0.255"/>
    <n v="64.199999999999989"/>
    <x v="4"/>
    <n v="1"/>
  </r>
  <r>
    <d v="2037-09-14T00:00:00"/>
    <x v="2"/>
    <n v="25.5"/>
    <n v="0"/>
    <n v="0"/>
    <n v="89.699999999999989"/>
    <x v="4"/>
    <n v="1"/>
  </r>
  <r>
    <d v="2037-09-15T00:00:00"/>
    <x v="10"/>
    <n v="19.7"/>
    <n v="0"/>
    <n v="0"/>
    <n v="109.39999999999999"/>
    <x v="4"/>
    <n v="1"/>
  </r>
  <r>
    <d v="2037-09-16T00:00:00"/>
    <x v="6"/>
    <n v="22.8"/>
    <n v="10.7"/>
    <n v="2.4396"/>
    <n v="132.19999999999999"/>
    <x v="4"/>
    <n v="1"/>
  </r>
  <r>
    <d v="2037-09-17T00:00:00"/>
    <x v="12"/>
    <n v="25.5"/>
    <n v="0"/>
    <n v="0"/>
    <n v="25.5"/>
    <x v="4"/>
    <n v="1"/>
  </r>
  <r>
    <d v="2037-09-18T00:00:00"/>
    <x v="6"/>
    <n v="16.8"/>
    <n v="2.2000000000000002"/>
    <n v="0.3696000000000001"/>
    <n v="42.3"/>
    <x v="4"/>
    <n v="1"/>
  </r>
  <r>
    <d v="2037-09-19T00:00:00"/>
    <x v="19"/>
    <n v="25.3"/>
    <n v="2.5"/>
    <n v="0.63249999999999995"/>
    <n v="67.599999999999994"/>
    <x v="4"/>
    <n v="1"/>
  </r>
  <r>
    <d v="2037-09-20T00:00:00"/>
    <x v="21"/>
    <n v="26.3"/>
    <n v="0.4"/>
    <n v="0"/>
    <n v="93.899999999999991"/>
    <x v="4"/>
    <n v="1"/>
  </r>
  <r>
    <d v="2037-09-21T00:00:00"/>
    <x v="9"/>
    <n v="21.9"/>
    <n v="7"/>
    <n v="1.5329999999999999"/>
    <n v="115.79999999999998"/>
    <x v="4"/>
    <n v="1"/>
  </r>
  <r>
    <d v="2037-09-22T00:00:00"/>
    <x v="9"/>
    <n v="11.2"/>
    <n v="0"/>
    <n v="0"/>
    <n v="126.99999999999999"/>
    <x v="4"/>
    <n v="1"/>
  </r>
  <r>
    <d v="2037-09-23T00:00:00"/>
    <x v="11"/>
    <n v="10.6"/>
    <n v="5.2"/>
    <n v="0.55120000000000002"/>
    <n v="137.6"/>
    <x v="4"/>
    <n v="1"/>
  </r>
  <r>
    <d v="2037-09-24T00:00:00"/>
    <x v="8"/>
    <n v="17.7"/>
    <n v="1"/>
    <n v="0.17699999999999999"/>
    <n v="17.7"/>
    <x v="4"/>
    <n v="1"/>
  </r>
  <r>
    <d v="2037-09-25T00:00:00"/>
    <x v="3"/>
    <n v="19.899999999999999"/>
    <n v="0"/>
    <n v="0"/>
    <n v="37.599999999999994"/>
    <x v="4"/>
    <n v="1"/>
  </r>
  <r>
    <d v="2037-09-26T00:00:00"/>
    <x v="6"/>
    <n v="25.1"/>
    <n v="42.1"/>
    <n v="10.5671"/>
    <n v="62.699999999999996"/>
    <x v="4"/>
    <n v="1"/>
  </r>
  <r>
    <d v="2037-09-27T00:00:00"/>
    <x v="5"/>
    <n v="18.5"/>
    <n v="0.3"/>
    <n v="0"/>
    <n v="81.199999999999989"/>
    <x v="4"/>
    <n v="1"/>
  </r>
  <r>
    <d v="2037-09-28T00:00:00"/>
    <x v="6"/>
    <n v="25.5"/>
    <n v="25.3"/>
    <n v="6.4514999999999993"/>
    <n v="106.69999999999999"/>
    <x v="4"/>
    <n v="1"/>
  </r>
  <r>
    <d v="2037-09-29T00:00:00"/>
    <x v="6"/>
    <n v="12.8"/>
    <n v="0"/>
    <n v="0"/>
    <n v="119.49999999999999"/>
    <x v="4"/>
    <n v="1"/>
  </r>
  <r>
    <d v="2037-09-30T00:00:00"/>
    <x v="15"/>
    <n v="23.6"/>
    <n v="34.299999999999997"/>
    <n v="8.0947999999999993"/>
    <n v="143.1"/>
    <x v="4"/>
    <n v="1"/>
  </r>
  <r>
    <d v="2037-10-01T00:00:00"/>
    <x v="11"/>
    <n v="13.1"/>
    <n v="2"/>
    <n v="0.26200000000000001"/>
    <n v="13.1"/>
    <x v="4"/>
    <n v="1"/>
  </r>
  <r>
    <d v="2037-10-02T00:00:00"/>
    <x v="19"/>
    <n v="23"/>
    <n v="0"/>
    <n v="0"/>
    <n v="36.1"/>
    <x v="4"/>
    <n v="1"/>
  </r>
  <r>
    <d v="2037-10-03T00:00:00"/>
    <x v="9"/>
    <n v="13"/>
    <n v="15.8"/>
    <n v="2.0540000000000003"/>
    <n v="49.1"/>
    <x v="4"/>
    <n v="1"/>
  </r>
  <r>
    <d v="2037-10-04T00:00:00"/>
    <x v="5"/>
    <n v="19.5"/>
    <n v="8"/>
    <n v="1.56"/>
    <n v="68.599999999999994"/>
    <x v="4"/>
    <n v="1"/>
  </r>
  <r>
    <d v="2037-10-05T00:00:00"/>
    <x v="3"/>
    <n v="19.2"/>
    <n v="0"/>
    <n v="0"/>
    <n v="87.8"/>
    <x v="4"/>
    <n v="1"/>
  </r>
  <r>
    <d v="2037-10-06T00:00:00"/>
    <x v="1"/>
    <n v="28.3"/>
    <n v="1.1000000000000001"/>
    <n v="0.31130000000000002"/>
    <n v="116.1"/>
    <x v="4"/>
    <n v="1"/>
  </r>
  <r>
    <d v="2037-10-07T00:00:00"/>
    <x v="6"/>
    <n v="18.100000000000001"/>
    <n v="0"/>
    <n v="0"/>
    <n v="134.19999999999999"/>
    <x v="4"/>
    <n v="1"/>
  </r>
  <r>
    <d v="2037-10-08T00:00:00"/>
    <x v="15"/>
    <n v="17.5"/>
    <n v="13.3"/>
    <n v="2.3275000000000001"/>
    <n v="17.5"/>
    <x v="4"/>
    <n v="1"/>
  </r>
  <r>
    <d v="2037-10-09T00:00:00"/>
    <x v="2"/>
    <n v="26.7"/>
    <n v="12.9"/>
    <n v="3.4443000000000001"/>
    <n v="44.2"/>
    <x v="4"/>
    <n v="1"/>
  </r>
  <r>
    <d v="2037-10-10T00:00:00"/>
    <x v="15"/>
    <n v="26.6"/>
    <n v="0"/>
    <n v="0"/>
    <n v="70.800000000000011"/>
    <x v="4"/>
    <n v="1"/>
  </r>
  <r>
    <d v="2037-10-11T00:00:00"/>
    <x v="18"/>
    <n v="12.2"/>
    <n v="1.8"/>
    <n v="0.21960000000000002"/>
    <n v="83.000000000000014"/>
    <x v="4"/>
    <n v="1"/>
  </r>
  <r>
    <d v="2037-10-12T00:00:00"/>
    <x v="3"/>
    <n v="27.4"/>
    <n v="4.8"/>
    <n v="1.3151999999999999"/>
    <n v="110.4"/>
    <x v="4"/>
    <n v="1"/>
  </r>
  <r>
    <d v="2037-10-13T00:00:00"/>
    <x v="9"/>
    <n v="24.9"/>
    <n v="1.6"/>
    <n v="0.39840000000000003"/>
    <n v="135.30000000000001"/>
    <x v="4"/>
    <n v="1"/>
  </r>
  <r>
    <d v="2037-10-14T00:00:00"/>
    <x v="23"/>
    <n v="21.4"/>
    <n v="5.5"/>
    <n v="1.1769999999999998"/>
    <n v="156.70000000000002"/>
    <x v="4"/>
    <n v="1"/>
  </r>
  <r>
    <d v="2037-10-15T00:00:00"/>
    <x v="25"/>
    <n v="14.1"/>
    <n v="0"/>
    <n v="0"/>
    <n v="14.1"/>
    <x v="4"/>
    <n v="1"/>
  </r>
  <r>
    <d v="2037-10-16T00:00:00"/>
    <x v="21"/>
    <n v="15.4"/>
    <n v="2.1"/>
    <n v="0.32340000000000002"/>
    <n v="29.5"/>
    <x v="4"/>
    <n v="1"/>
  </r>
  <r>
    <d v="2037-10-17T00:00:00"/>
    <x v="9"/>
    <n v="27.7"/>
    <n v="0"/>
    <n v="0"/>
    <n v="57.2"/>
    <x v="4"/>
    <n v="1"/>
  </r>
  <r>
    <d v="2037-10-18T00:00:00"/>
    <x v="6"/>
    <n v="15.5"/>
    <n v="43.4"/>
    <n v="6.7269999999999994"/>
    <n v="72.7"/>
    <x v="4"/>
    <n v="1"/>
  </r>
  <r>
    <d v="2037-10-19T00:00:00"/>
    <x v="3"/>
    <n v="26.8"/>
    <n v="0"/>
    <n v="0"/>
    <n v="99.5"/>
    <x v="4"/>
    <n v="1"/>
  </r>
  <r>
    <d v="2037-10-20T00:00:00"/>
    <x v="9"/>
    <n v="23.1"/>
    <n v="9.1"/>
    <n v="2.1021000000000001"/>
    <n v="122.6"/>
    <x v="4"/>
    <n v="1"/>
  </r>
  <r>
    <d v="2037-10-21T00:00:00"/>
    <x v="2"/>
    <n v="22.8"/>
    <n v="12.9"/>
    <n v="2.9412000000000003"/>
    <n v="145.4"/>
    <x v="4"/>
    <n v="1"/>
  </r>
  <r>
    <d v="2037-10-22T00:00:00"/>
    <x v="6"/>
    <n v="17.2"/>
    <n v="0"/>
    <n v="0"/>
    <n v="17.2"/>
    <x v="4"/>
    <n v="1"/>
  </r>
  <r>
    <d v="2037-10-23T00:00:00"/>
    <x v="6"/>
    <n v="29.3"/>
    <n v="6.1"/>
    <n v="1.7872999999999999"/>
    <n v="46.5"/>
    <x v="4"/>
    <n v="1"/>
  </r>
  <r>
    <d v="2037-10-24T00:00:00"/>
    <x v="9"/>
    <n v="19.5"/>
    <n v="14.2"/>
    <n v="2.7689999999999997"/>
    <n v="66"/>
    <x v="4"/>
    <n v="1"/>
  </r>
  <r>
    <d v="2037-10-25T00:00:00"/>
    <x v="15"/>
    <n v="28.1"/>
    <n v="9.4"/>
    <n v="2.6414000000000004"/>
    <n v="94.1"/>
    <x v="4"/>
    <n v="1"/>
  </r>
  <r>
    <d v="2037-10-26T00:00:00"/>
    <x v="7"/>
    <n v="21.1"/>
    <n v="12"/>
    <n v="2.532"/>
    <n v="115.19999999999999"/>
    <x v="4"/>
    <n v="1"/>
  </r>
  <r>
    <d v="2037-10-27T00:00:00"/>
    <x v="3"/>
    <n v="23.8"/>
    <n v="13.3"/>
    <n v="3.1654"/>
    <n v="139"/>
    <x v="4"/>
    <n v="1"/>
  </r>
  <r>
    <d v="2037-10-28T00:00:00"/>
    <x v="20"/>
    <n v="19.399999999999999"/>
    <n v="2.2000000000000002"/>
    <n v="0.42680000000000001"/>
    <n v="158.4"/>
    <x v="4"/>
    <n v="1"/>
  </r>
  <r>
    <d v="2037-10-29T00:00:00"/>
    <x v="3"/>
    <n v="25.8"/>
    <n v="17.100000000000001"/>
    <n v="4.4118000000000004"/>
    <n v="25.8"/>
    <x v="4"/>
    <n v="1"/>
  </r>
  <r>
    <d v="2037-10-30T00:00:00"/>
    <x v="3"/>
    <n v="30"/>
    <n v="6.3"/>
    <n v="1.89"/>
    <n v="55.8"/>
    <x v="4"/>
    <n v="1"/>
  </r>
  <r>
    <d v="2037-10-31T00:00:00"/>
    <x v="6"/>
    <n v="11"/>
    <n v="0"/>
    <n v="0"/>
    <n v="66.8"/>
    <x v="4"/>
    <n v="1"/>
  </r>
  <r>
    <d v="2037-11-01T00:00:00"/>
    <x v="15"/>
    <n v="27.2"/>
    <n v="0"/>
    <n v="0"/>
    <n v="94"/>
    <x v="4"/>
    <n v="1"/>
  </r>
  <r>
    <d v="2037-11-02T00:00:00"/>
    <x v="3"/>
    <n v="18.3"/>
    <n v="8.4"/>
    <n v="1.5371999999999999"/>
    <n v="112.3"/>
    <x v="4"/>
    <n v="1"/>
  </r>
  <r>
    <d v="2037-11-03T00:00:00"/>
    <x v="21"/>
    <n v="14"/>
    <n v="2.5"/>
    <n v="0.35"/>
    <n v="126.3"/>
    <x v="4"/>
    <n v="1"/>
  </r>
  <r>
    <d v="2037-11-04T00:00:00"/>
    <x v="3"/>
    <n v="26.2"/>
    <n v="6.9"/>
    <n v="1.8078000000000001"/>
    <n v="152.5"/>
    <x v="4"/>
    <n v="1"/>
  </r>
  <r>
    <d v="2037-11-05T00:00:00"/>
    <x v="11"/>
    <n v="25.5"/>
    <n v="8.4"/>
    <n v="2.1420000000000003"/>
    <n v="25.5"/>
    <x v="4"/>
    <n v="1"/>
  </r>
  <r>
    <d v="2037-11-06T00:00:00"/>
    <x v="14"/>
    <n v="23.1"/>
    <n v="11.4"/>
    <n v="2.6334000000000004"/>
    <n v="48.6"/>
    <x v="4"/>
    <n v="1"/>
  </r>
  <r>
    <d v="2037-11-07T00:00:00"/>
    <x v="8"/>
    <n v="21.3"/>
    <n v="2.8"/>
    <n v="0.59640000000000004"/>
    <n v="69.900000000000006"/>
    <x v="4"/>
    <n v="1"/>
  </r>
  <r>
    <d v="2037-11-08T00:00:00"/>
    <x v="8"/>
    <n v="16.3"/>
    <n v="7.6"/>
    <n v="1.2387999999999999"/>
    <n v="86.2"/>
    <x v="4"/>
    <n v="1"/>
  </r>
  <r>
    <d v="2037-11-09T00:00:00"/>
    <x v="10"/>
    <n v="23.7"/>
    <n v="7.6"/>
    <n v="1.8011999999999997"/>
    <n v="109.9"/>
    <x v="4"/>
    <n v="1"/>
  </r>
  <r>
    <d v="2037-11-10T00:00:00"/>
    <x v="14"/>
    <n v="24.8"/>
    <n v="0"/>
    <n v="0"/>
    <n v="134.70000000000002"/>
    <x v="4"/>
    <n v="1"/>
  </r>
  <r>
    <d v="2037-11-11T00:00:00"/>
    <x v="29"/>
    <n v="21.7"/>
    <n v="1"/>
    <n v="0.217"/>
    <n v="156.4"/>
    <x v="4"/>
    <n v="1"/>
  </r>
  <r>
    <d v="2037-11-12T00:00:00"/>
    <x v="6"/>
    <n v="16.7"/>
    <n v="21"/>
    <n v="3.5069999999999997"/>
    <n v="16.7"/>
    <x v="4"/>
    <n v="1"/>
  </r>
  <r>
    <d v="2037-11-13T00:00:00"/>
    <x v="19"/>
    <n v="22.3"/>
    <n v="0.1"/>
    <n v="0"/>
    <n v="39"/>
    <x v="4"/>
    <n v="1"/>
  </r>
  <r>
    <d v="2037-11-14T00:00:00"/>
    <x v="22"/>
    <n v="13.6"/>
    <n v="0"/>
    <n v="0"/>
    <n v="52.6"/>
    <x v="4"/>
    <n v="1"/>
  </r>
  <r>
    <d v="2037-11-15T00:00:00"/>
    <x v="21"/>
    <n v="11.8"/>
    <n v="2.1"/>
    <n v="0.24780000000000002"/>
    <n v="64.400000000000006"/>
    <x v="4"/>
    <n v="1"/>
  </r>
  <r>
    <d v="2037-11-16T00:00:00"/>
    <x v="7"/>
    <n v="11.1"/>
    <n v="0"/>
    <n v="0"/>
    <n v="75.5"/>
    <x v="4"/>
    <n v="1"/>
  </r>
  <r>
    <d v="2037-11-17T00:00:00"/>
    <x v="9"/>
    <n v="11.2"/>
    <n v="15"/>
    <n v="1.68"/>
    <n v="86.7"/>
    <x v="4"/>
    <n v="1"/>
  </r>
  <r>
    <d v="2037-11-18T00:00:00"/>
    <x v="19"/>
    <n v="19.100000000000001"/>
    <n v="0"/>
    <n v="0"/>
    <n v="105.80000000000001"/>
    <x v="4"/>
    <n v="1"/>
  </r>
  <r>
    <d v="2037-11-19T00:00:00"/>
    <x v="6"/>
    <n v="11.1"/>
    <n v="46.3"/>
    <n v="5.1392999999999995"/>
    <n v="11.1"/>
    <x v="4"/>
    <n v="1"/>
  </r>
  <r>
    <d v="2037-11-20T00:00:00"/>
    <x v="14"/>
    <n v="15.1"/>
    <n v="6.2"/>
    <n v="0.93620000000000003"/>
    <n v="26.2"/>
    <x v="4"/>
    <n v="1"/>
  </r>
  <r>
    <d v="2037-11-21T00:00:00"/>
    <x v="11"/>
    <n v="21.7"/>
    <n v="0"/>
    <n v="0"/>
    <n v="47.9"/>
    <x v="4"/>
    <n v="1"/>
  </r>
  <r>
    <d v="2037-11-22T00:00:00"/>
    <x v="19"/>
    <n v="19.7"/>
    <n v="0.2"/>
    <n v="0"/>
    <n v="67.599999999999994"/>
    <x v="4"/>
    <n v="1"/>
  </r>
  <r>
    <d v="2037-11-23T00:00:00"/>
    <x v="3"/>
    <n v="17.5"/>
    <n v="2.2000000000000002"/>
    <n v="0.38500000000000001"/>
    <n v="85.1"/>
    <x v="4"/>
    <n v="1"/>
  </r>
  <r>
    <d v="2037-11-24T00:00:00"/>
    <x v="2"/>
    <n v="18.8"/>
    <n v="11.3"/>
    <n v="2.1244000000000001"/>
    <n v="103.89999999999999"/>
    <x v="4"/>
    <n v="1"/>
  </r>
  <r>
    <d v="2037-11-25T00:00:00"/>
    <x v="26"/>
    <n v="19.600000000000001"/>
    <n v="0.3"/>
    <n v="0"/>
    <n v="123.5"/>
    <x v="4"/>
    <n v="1"/>
  </r>
  <r>
    <d v="2037-11-26T00:00:00"/>
    <x v="7"/>
    <n v="24.4"/>
    <n v="22"/>
    <n v="5.3679999999999994"/>
    <n v="24.4"/>
    <x v="4"/>
    <n v="1"/>
  </r>
  <r>
    <d v="2037-11-27T00:00:00"/>
    <x v="19"/>
    <n v="10.5"/>
    <n v="0.1"/>
    <n v="0"/>
    <n v="34.9"/>
    <x v="4"/>
    <n v="1"/>
  </r>
  <r>
    <d v="2037-11-28T00:00:00"/>
    <x v="5"/>
    <n v="23.5"/>
    <n v="0"/>
    <n v="0"/>
    <n v="58.4"/>
    <x v="4"/>
    <n v="1"/>
  </r>
  <r>
    <d v="2037-11-29T00:00:00"/>
    <x v="23"/>
    <n v="19.2"/>
    <n v="0"/>
    <n v="0"/>
    <n v="77.599999999999994"/>
    <x v="4"/>
    <n v="1"/>
  </r>
  <r>
    <d v="2037-11-30T00:00:00"/>
    <x v="2"/>
    <n v="11"/>
    <n v="0"/>
    <n v="0"/>
    <n v="88.6"/>
    <x v="4"/>
    <n v="1"/>
  </r>
  <r>
    <d v="2037-12-01T00:00:00"/>
    <x v="7"/>
    <n v="10.4"/>
    <n v="0"/>
    <n v="0"/>
    <n v="99"/>
    <x v="4"/>
    <n v="1"/>
  </r>
  <r>
    <d v="2037-12-02T00:00:00"/>
    <x v="3"/>
    <n v="11.9"/>
    <n v="9"/>
    <n v="1.0710000000000002"/>
    <n v="110.9"/>
    <x v="4"/>
    <n v="1"/>
  </r>
  <r>
    <d v="2037-12-03T00:00:00"/>
    <x v="10"/>
    <n v="23.1"/>
    <n v="2"/>
    <n v="0.46200000000000002"/>
    <n v="23.1"/>
    <x v="4"/>
    <n v="1"/>
  </r>
  <r>
    <d v="2037-12-04T00:00:00"/>
    <x v="15"/>
    <n v="18.600000000000001"/>
    <n v="17.2"/>
    <n v="3.1992000000000003"/>
    <n v="41.7"/>
    <x v="4"/>
    <n v="1"/>
  </r>
  <r>
    <d v="2037-12-05T00:00:00"/>
    <x v="2"/>
    <n v="21.8"/>
    <n v="12.3"/>
    <n v="2.6814000000000004"/>
    <n v="63.5"/>
    <x v="4"/>
    <n v="1"/>
  </r>
  <r>
    <d v="2037-12-06T00:00:00"/>
    <x v="10"/>
    <n v="27.7"/>
    <n v="7.4"/>
    <n v="2.0498000000000003"/>
    <n v="91.2"/>
    <x v="4"/>
    <n v="1"/>
  </r>
  <r>
    <d v="2037-12-07T00:00:00"/>
    <x v="15"/>
    <n v="23.2"/>
    <n v="24"/>
    <n v="5.5679999999999996"/>
    <n v="114.4"/>
    <x v="4"/>
    <n v="1"/>
  </r>
  <r>
    <d v="2037-12-08T00:00:00"/>
    <x v="15"/>
    <n v="25.8"/>
    <n v="16.100000000000001"/>
    <n v="4.1538000000000004"/>
    <n v="140.20000000000002"/>
    <x v="4"/>
    <n v="1"/>
  </r>
  <r>
    <d v="2037-12-09T00:00:00"/>
    <x v="1"/>
    <n v="19.8"/>
    <n v="6.6"/>
    <n v="1.3068"/>
    <n v="160.00000000000003"/>
    <x v="4"/>
    <n v="1"/>
  </r>
  <r>
    <d v="2037-12-10T00:00:00"/>
    <x v="14"/>
    <n v="11.2"/>
    <n v="7.5"/>
    <n v="0.84"/>
    <n v="11.2"/>
    <x v="4"/>
    <n v="1"/>
  </r>
  <r>
    <d v="2037-12-11T00:00:00"/>
    <x v="6"/>
    <n v="15.7"/>
    <n v="0"/>
    <n v="0"/>
    <n v="26.9"/>
    <x v="4"/>
    <n v="1"/>
  </r>
  <r>
    <d v="2037-12-12T00:00:00"/>
    <x v="26"/>
    <n v="23.6"/>
    <n v="0.6"/>
    <n v="0"/>
    <n v="50.5"/>
    <x v="4"/>
    <n v="1"/>
  </r>
  <r>
    <d v="2037-12-13T00:00:00"/>
    <x v="4"/>
    <n v="27.5"/>
    <n v="5.3"/>
    <n v="1.4575"/>
    <n v="78"/>
    <x v="4"/>
    <n v="1"/>
  </r>
  <r>
    <d v="2037-12-14T00:00:00"/>
    <x v="1"/>
    <n v="17.3"/>
    <n v="0"/>
    <n v="0"/>
    <n v="95.3"/>
    <x v="4"/>
    <n v="1"/>
  </r>
  <r>
    <d v="2037-12-15T00:00:00"/>
    <x v="15"/>
    <n v="11.2"/>
    <n v="32.700000000000003"/>
    <n v="3.6623999999999999"/>
    <n v="106.5"/>
    <x v="4"/>
    <n v="1"/>
  </r>
  <r>
    <d v="2037-12-16T00:00:00"/>
    <x v="7"/>
    <n v="17.8"/>
    <n v="0"/>
    <n v="0"/>
    <n v="124.3"/>
    <x v="4"/>
    <n v="1"/>
  </r>
  <r>
    <d v="2037-12-17T00:00:00"/>
    <x v="6"/>
    <n v="16.899999999999999"/>
    <n v="41.8"/>
    <n v="7.0641999999999987"/>
    <n v="16.899999999999999"/>
    <x v="4"/>
    <n v="1"/>
  </r>
  <r>
    <d v="2037-12-18T00:00:00"/>
    <x v="7"/>
    <n v="18.3"/>
    <n v="0"/>
    <n v="0"/>
    <n v="35.200000000000003"/>
    <x v="4"/>
    <n v="1"/>
  </r>
  <r>
    <d v="2037-12-19T00:00:00"/>
    <x v="13"/>
    <n v="12.2"/>
    <n v="0"/>
    <n v="0"/>
    <n v="47.400000000000006"/>
    <x v="4"/>
    <n v="1"/>
  </r>
  <r>
    <d v="2037-12-20T00:00:00"/>
    <x v="9"/>
    <n v="21.2"/>
    <n v="0"/>
    <n v="0"/>
    <n v="68.600000000000009"/>
    <x v="4"/>
    <n v="1"/>
  </r>
  <r>
    <d v="2037-12-21T00:00:00"/>
    <x v="6"/>
    <n v="19.600000000000001"/>
    <n v="48.2"/>
    <n v="9.4472000000000023"/>
    <n v="88.200000000000017"/>
    <x v="4"/>
    <n v="1"/>
  </r>
  <r>
    <d v="2037-12-22T00:00:00"/>
    <x v="5"/>
    <n v="15.6"/>
    <n v="0.6"/>
    <n v="0"/>
    <n v="103.80000000000001"/>
    <x v="4"/>
    <n v="1"/>
  </r>
  <r>
    <d v="2037-12-23T00:00:00"/>
    <x v="22"/>
    <n v="12.5"/>
    <n v="5.9"/>
    <n v="0.73750000000000004"/>
    <n v="116.30000000000001"/>
    <x v="4"/>
    <n v="1"/>
  </r>
  <r>
    <d v="2037-12-24T00:00:00"/>
    <x v="8"/>
    <n v="29.3"/>
    <n v="0"/>
    <n v="0"/>
    <n v="29.3"/>
    <x v="4"/>
    <n v="1"/>
  </r>
  <r>
    <d v="2037-12-25T00:00:00"/>
    <x v="14"/>
    <n v="24.6"/>
    <n v="0"/>
    <n v="0"/>
    <n v="53.900000000000006"/>
    <x v="4"/>
    <n v="1"/>
  </r>
  <r>
    <d v="2037-12-26T00:00:00"/>
    <x v="5"/>
    <n v="21.2"/>
    <n v="3.1"/>
    <n v="0.65720000000000001"/>
    <n v="75.100000000000009"/>
    <x v="4"/>
    <n v="1"/>
  </r>
  <r>
    <d v="2037-12-27T00:00:00"/>
    <x v="6"/>
    <n v="12.7"/>
    <n v="38.1"/>
    <n v="4.8387000000000002"/>
    <n v="87.800000000000011"/>
    <x v="4"/>
    <n v="1"/>
  </r>
  <r>
    <d v="2037-12-28T00:00:00"/>
    <x v="19"/>
    <n v="20.6"/>
    <n v="5.2"/>
    <n v="1.0712000000000002"/>
    <n v="108.4"/>
    <x v="4"/>
    <n v="1"/>
  </r>
  <r>
    <d v="2037-12-29T00:00:00"/>
    <x v="8"/>
    <n v="28.3"/>
    <n v="0"/>
    <n v="0"/>
    <n v="136.70000000000002"/>
    <x v="4"/>
    <n v="1"/>
  </r>
  <r>
    <d v="2037-12-30T00:00:00"/>
    <x v="15"/>
    <n v="15.1"/>
    <n v="22.6"/>
    <n v="3.4125999999999999"/>
    <n v="151.80000000000001"/>
    <x v="4"/>
    <n v="1"/>
  </r>
  <r>
    <d v="2037-12-31T00:00:00"/>
    <x v="11"/>
    <n v="24.8"/>
    <n v="10.5"/>
    <n v="2.6040000000000005"/>
    <n v="24.8"/>
    <x v="4"/>
    <n v="1"/>
  </r>
  <r>
    <d v="2038-01-01T00:00:00"/>
    <x v="17"/>
    <n v="16.899999999999999"/>
    <n v="1.2"/>
    <n v="0.20279999999999998"/>
    <n v="41.7"/>
    <x v="5"/>
    <n v="1"/>
  </r>
  <r>
    <d v="2038-01-02T00:00:00"/>
    <x v="17"/>
    <n v="23.4"/>
    <n v="0"/>
    <n v="0"/>
    <n v="65.099999999999994"/>
    <x v="5"/>
    <n v="1"/>
  </r>
  <r>
    <d v="2038-01-03T00:00:00"/>
    <x v="3"/>
    <n v="10.5"/>
    <n v="22.2"/>
    <n v="2.331"/>
    <n v="75.599999999999994"/>
    <x v="5"/>
    <n v="1"/>
  </r>
  <r>
    <d v="2038-01-04T00:00:00"/>
    <x v="6"/>
    <n v="16.2"/>
    <n v="0"/>
    <n v="0"/>
    <n v="91.8"/>
    <x v="5"/>
    <n v="1"/>
  </r>
  <r>
    <d v="2038-01-05T00:00:00"/>
    <x v="12"/>
    <n v="29.7"/>
    <n v="0.3"/>
    <n v="0"/>
    <n v="121.5"/>
    <x v="5"/>
    <n v="1"/>
  </r>
  <r>
    <d v="2038-01-06T00:00:00"/>
    <x v="6"/>
    <n v="12.8"/>
    <n v="0"/>
    <n v="0"/>
    <n v="134.30000000000001"/>
    <x v="5"/>
    <n v="1"/>
  </r>
  <r>
    <d v="2038-01-07T00:00:00"/>
    <x v="4"/>
    <n v="19.100000000000001"/>
    <n v="1.7"/>
    <n v="0.32469999999999999"/>
    <n v="19.100000000000001"/>
    <x v="5"/>
    <n v="1"/>
  </r>
  <r>
    <d v="2038-01-08T00:00:00"/>
    <x v="7"/>
    <n v="27.7"/>
    <n v="0"/>
    <n v="0"/>
    <n v="46.8"/>
    <x v="5"/>
    <n v="1"/>
  </r>
  <r>
    <d v="2038-01-09T00:00:00"/>
    <x v="10"/>
    <n v="22"/>
    <n v="5.9"/>
    <n v="1.298"/>
    <n v="68.8"/>
    <x v="5"/>
    <n v="1"/>
  </r>
  <r>
    <d v="2038-01-10T00:00:00"/>
    <x v="2"/>
    <n v="19.600000000000001"/>
    <n v="2.7"/>
    <n v="0.52920000000000011"/>
    <n v="88.4"/>
    <x v="5"/>
    <n v="1"/>
  </r>
  <r>
    <d v="2038-01-11T00:00:00"/>
    <x v="4"/>
    <n v="16"/>
    <n v="0.3"/>
    <n v="0"/>
    <n v="104.4"/>
    <x v="5"/>
    <n v="1"/>
  </r>
  <r>
    <d v="2038-01-12T00:00:00"/>
    <x v="1"/>
    <n v="14"/>
    <n v="1.3"/>
    <n v="0.182"/>
    <n v="118.4"/>
    <x v="5"/>
    <n v="1"/>
  </r>
  <r>
    <d v="2038-01-13T00:00:00"/>
    <x v="11"/>
    <n v="29.5"/>
    <n v="3.3"/>
    <n v="0.97349999999999992"/>
    <n v="147.9"/>
    <x v="5"/>
    <n v="1"/>
  </r>
  <r>
    <d v="2038-01-14T00:00:00"/>
    <x v="3"/>
    <n v="12.2"/>
    <n v="0"/>
    <n v="0"/>
    <n v="12.2"/>
    <x v="5"/>
    <n v="1"/>
  </r>
  <r>
    <d v="2038-01-15T00:00:00"/>
    <x v="7"/>
    <n v="15"/>
    <n v="7.4"/>
    <n v="1.1100000000000001"/>
    <n v="27.2"/>
    <x v="5"/>
    <n v="1"/>
  </r>
  <r>
    <d v="2038-01-16T00:00:00"/>
    <x v="16"/>
    <n v="10.4"/>
    <n v="2"/>
    <n v="0.20800000000000002"/>
    <n v="37.6"/>
    <x v="5"/>
    <n v="1"/>
  </r>
  <r>
    <d v="2038-01-17T00:00:00"/>
    <x v="15"/>
    <n v="18.600000000000001"/>
    <n v="4.5999999999999996"/>
    <n v="0.85560000000000003"/>
    <n v="56.2"/>
    <x v="5"/>
    <n v="1"/>
  </r>
  <r>
    <d v="2038-01-18T00:00:00"/>
    <x v="14"/>
    <n v="23.7"/>
    <n v="7.2"/>
    <n v="1.7063999999999999"/>
    <n v="79.900000000000006"/>
    <x v="5"/>
    <n v="1"/>
  </r>
  <r>
    <d v="2038-01-19T00:00:00"/>
    <x v="1"/>
    <n v="27.2"/>
    <n v="0"/>
    <n v="0"/>
    <n v="107.10000000000001"/>
    <x v="5"/>
    <n v="1"/>
  </r>
  <r>
    <d v="2038-01-20T00:00:00"/>
    <x v="11"/>
    <n v="11.3"/>
    <n v="18.8"/>
    <n v="2.1244000000000001"/>
    <n v="118.4"/>
    <x v="5"/>
    <n v="1"/>
  </r>
  <r>
    <d v="2038-01-21T00:00:00"/>
    <x v="3"/>
    <n v="22.1"/>
    <n v="0"/>
    <n v="0"/>
    <n v="22.1"/>
    <x v="5"/>
    <n v="1"/>
  </r>
  <r>
    <d v="2038-01-22T00:00:00"/>
    <x v="8"/>
    <n v="11"/>
    <n v="0"/>
    <n v="0"/>
    <n v="33.1"/>
    <x v="5"/>
    <n v="1"/>
  </r>
  <r>
    <d v="2038-01-23T00:00:00"/>
    <x v="15"/>
    <n v="14.7"/>
    <n v="0"/>
    <n v="0"/>
    <n v="47.8"/>
    <x v="5"/>
    <n v="1"/>
  </r>
  <r>
    <d v="2038-01-24T00:00:00"/>
    <x v="15"/>
    <n v="10.4"/>
    <n v="14.4"/>
    <n v="1.4976000000000003"/>
    <n v="58.199999999999996"/>
    <x v="5"/>
    <n v="1"/>
  </r>
  <r>
    <d v="2038-01-25T00:00:00"/>
    <x v="20"/>
    <n v="29.6"/>
    <n v="2.8"/>
    <n v="0.82879999999999998"/>
    <n v="87.8"/>
    <x v="5"/>
    <n v="1"/>
  </r>
  <r>
    <d v="2038-01-26T00:00:00"/>
    <x v="14"/>
    <n v="11.3"/>
    <n v="7.2"/>
    <n v="0.8136000000000001"/>
    <n v="99.1"/>
    <x v="5"/>
    <n v="1"/>
  </r>
  <r>
    <d v="2038-01-27T00:00:00"/>
    <x v="16"/>
    <n v="22.4"/>
    <n v="0"/>
    <n v="0"/>
    <n v="121.5"/>
    <x v="5"/>
    <n v="1"/>
  </r>
  <r>
    <d v="2038-01-28T00:00:00"/>
    <x v="15"/>
    <n v="19.600000000000001"/>
    <n v="28.7"/>
    <n v="5.6251999999999995"/>
    <n v="19.600000000000001"/>
    <x v="5"/>
    <n v="1"/>
  </r>
  <r>
    <d v="2038-01-29T00:00:00"/>
    <x v="2"/>
    <n v="28.5"/>
    <n v="12.9"/>
    <n v="3.6765000000000003"/>
    <n v="48.1"/>
    <x v="5"/>
    <n v="1"/>
  </r>
  <r>
    <d v="2038-01-30T00:00:00"/>
    <x v="20"/>
    <n v="10.9"/>
    <n v="0"/>
    <n v="0"/>
    <n v="59"/>
    <x v="5"/>
    <n v="1"/>
  </r>
  <r>
    <d v="2038-01-31T00:00:00"/>
    <x v="9"/>
    <n v="13.4"/>
    <n v="15.7"/>
    <n v="2.1038000000000001"/>
    <n v="72.400000000000006"/>
    <x v="5"/>
    <n v="1"/>
  </r>
  <r>
    <d v="2038-02-01T00:00:00"/>
    <x v="15"/>
    <n v="27.3"/>
    <n v="0"/>
    <n v="0"/>
    <n v="99.7"/>
    <x v="5"/>
    <n v="1"/>
  </r>
  <r>
    <d v="2038-02-02T00:00:00"/>
    <x v="5"/>
    <n v="23.6"/>
    <n v="0"/>
    <n v="0"/>
    <n v="123.30000000000001"/>
    <x v="5"/>
    <n v="1"/>
  </r>
  <r>
    <d v="2038-02-03T00:00:00"/>
    <x v="3"/>
    <n v="26.5"/>
    <n v="20.3"/>
    <n v="5.3795000000000002"/>
    <n v="149.80000000000001"/>
    <x v="5"/>
    <n v="1"/>
  </r>
  <r>
    <d v="2038-02-04T00:00:00"/>
    <x v="5"/>
    <n v="23.6"/>
    <n v="6.5"/>
    <n v="1.534"/>
    <n v="23.6"/>
    <x v="5"/>
    <n v="1"/>
  </r>
  <r>
    <d v="2038-02-05T00:00:00"/>
    <x v="7"/>
    <n v="22.4"/>
    <n v="13.3"/>
    <n v="2.9792000000000001"/>
    <n v="46"/>
    <x v="5"/>
    <n v="1"/>
  </r>
  <r>
    <d v="2038-02-06T00:00:00"/>
    <x v="14"/>
    <n v="22"/>
    <n v="15.5"/>
    <n v="3.41"/>
    <n v="68"/>
    <x v="5"/>
    <n v="1"/>
  </r>
  <r>
    <d v="2038-02-07T00:00:00"/>
    <x v="23"/>
    <n v="10.8"/>
    <n v="0.4"/>
    <n v="0"/>
    <n v="78.8"/>
    <x v="5"/>
    <n v="1"/>
  </r>
  <r>
    <d v="2038-02-08T00:00:00"/>
    <x v="11"/>
    <n v="21.6"/>
    <n v="0"/>
    <n v="0"/>
    <n v="100.4"/>
    <x v="5"/>
    <n v="1"/>
  </r>
  <r>
    <d v="2038-02-09T00:00:00"/>
    <x v="4"/>
    <n v="10.1"/>
    <n v="0"/>
    <n v="0"/>
    <n v="110.5"/>
    <x v="5"/>
    <n v="1"/>
  </r>
  <r>
    <d v="2038-02-10T00:00:00"/>
    <x v="7"/>
    <n v="29"/>
    <n v="12.6"/>
    <n v="3.6539999999999999"/>
    <n v="139.5"/>
    <x v="5"/>
    <n v="1"/>
  </r>
  <r>
    <d v="2038-02-11T00:00:00"/>
    <x v="4"/>
    <n v="16.399999999999999"/>
    <n v="3.7"/>
    <n v="0.60680000000000001"/>
    <n v="16.399999999999999"/>
    <x v="5"/>
    <n v="1"/>
  </r>
  <r>
    <d v="2038-02-12T00:00:00"/>
    <x v="15"/>
    <n v="13.5"/>
    <n v="38.5"/>
    <n v="5.1974999999999998"/>
    <n v="29.9"/>
    <x v="5"/>
    <n v="1"/>
  </r>
  <r>
    <d v="2038-02-13T00:00:00"/>
    <x v="10"/>
    <n v="18.100000000000001"/>
    <n v="3"/>
    <n v="0.54300000000000004"/>
    <n v="48"/>
    <x v="5"/>
    <n v="1"/>
  </r>
  <r>
    <d v="2038-02-14T00:00:00"/>
    <x v="3"/>
    <n v="20.399999999999999"/>
    <n v="11.7"/>
    <n v="2.3867999999999996"/>
    <n v="68.400000000000006"/>
    <x v="5"/>
    <n v="1"/>
  </r>
  <r>
    <d v="2038-02-15T00:00:00"/>
    <x v="11"/>
    <n v="29.6"/>
    <n v="0.9"/>
    <n v="0"/>
    <n v="98"/>
    <x v="5"/>
    <n v="1"/>
  </r>
  <r>
    <d v="2038-02-16T00:00:00"/>
    <x v="28"/>
    <n v="11.4"/>
    <n v="0.6"/>
    <n v="0"/>
    <n v="109.4"/>
    <x v="5"/>
    <n v="1"/>
  </r>
  <r>
    <d v="2038-02-17T00:00:00"/>
    <x v="7"/>
    <n v="28.8"/>
    <n v="14.1"/>
    <n v="4.0607999999999995"/>
    <n v="138.20000000000002"/>
    <x v="5"/>
    <n v="1"/>
  </r>
  <r>
    <d v="2038-02-18T00:00:00"/>
    <x v="6"/>
    <n v="11.8"/>
    <n v="42.4"/>
    <n v="5.0031999999999996"/>
    <n v="11.8"/>
    <x v="5"/>
    <n v="1"/>
  </r>
  <r>
    <d v="2038-02-19T00:00:00"/>
    <x v="3"/>
    <n v="11.5"/>
    <n v="10.1"/>
    <n v="1.1615"/>
    <n v="23.3"/>
    <x v="5"/>
    <n v="1"/>
  </r>
  <r>
    <d v="2038-02-20T00:00:00"/>
    <x v="9"/>
    <n v="13.6"/>
    <n v="8.4"/>
    <n v="1.1423999999999999"/>
    <n v="36.9"/>
    <x v="5"/>
    <n v="1"/>
  </r>
  <r>
    <d v="2038-02-21T00:00:00"/>
    <x v="27"/>
    <n v="14.1"/>
    <n v="0.7"/>
    <n v="0"/>
    <n v="51"/>
    <x v="5"/>
    <n v="1"/>
  </r>
  <r>
    <d v="2038-02-22T00:00:00"/>
    <x v="15"/>
    <n v="19.399999999999999"/>
    <n v="32.700000000000003"/>
    <n v="6.3437999999999999"/>
    <n v="70.400000000000006"/>
    <x v="5"/>
    <n v="1"/>
  </r>
  <r>
    <d v="2038-02-23T00:00:00"/>
    <x v="29"/>
    <n v="28.5"/>
    <n v="0"/>
    <n v="0"/>
    <n v="98.9"/>
    <x v="5"/>
    <n v="1"/>
  </r>
  <r>
    <d v="2038-02-24T00:00:00"/>
    <x v="15"/>
    <n v="23.7"/>
    <n v="12.2"/>
    <n v="2.8914"/>
    <n v="122.60000000000001"/>
    <x v="5"/>
    <n v="1"/>
  </r>
  <r>
    <d v="2038-02-25T00:00:00"/>
    <x v="16"/>
    <n v="21.7"/>
    <n v="0"/>
    <n v="0"/>
    <n v="21.7"/>
    <x v="5"/>
    <n v="1"/>
  </r>
  <r>
    <d v="2038-02-26T00:00:00"/>
    <x v="2"/>
    <n v="13.3"/>
    <n v="0"/>
    <n v="0"/>
    <n v="35"/>
    <x v="5"/>
    <n v="1"/>
  </r>
  <r>
    <d v="2038-02-27T00:00:00"/>
    <x v="5"/>
    <n v="14.4"/>
    <n v="0"/>
    <n v="0"/>
    <n v="49.4"/>
    <x v="5"/>
    <n v="1"/>
  </r>
  <r>
    <d v="2038-02-28T00:00:00"/>
    <x v="7"/>
    <n v="28.5"/>
    <n v="21.5"/>
    <n v="6.1275000000000004"/>
    <n v="77.900000000000006"/>
    <x v="5"/>
    <n v="1"/>
  </r>
  <r>
    <d v="2038-03-01T00:00:00"/>
    <x v="15"/>
    <n v="20.5"/>
    <n v="0"/>
    <n v="0"/>
    <n v="98.4"/>
    <x v="5"/>
    <n v="1"/>
  </r>
  <r>
    <d v="2038-03-02T00:00:00"/>
    <x v="6"/>
    <n v="11.4"/>
    <n v="39"/>
    <n v="4.4460000000000006"/>
    <n v="109.80000000000001"/>
    <x v="5"/>
    <n v="1"/>
  </r>
  <r>
    <d v="2038-03-03T00:00:00"/>
    <x v="5"/>
    <n v="12.5"/>
    <n v="0"/>
    <n v="0"/>
    <n v="122.30000000000001"/>
    <x v="5"/>
    <n v="1"/>
  </r>
  <r>
    <d v="2038-03-04T00:00:00"/>
    <x v="11"/>
    <n v="16.600000000000001"/>
    <n v="4.5999999999999996"/>
    <n v="0.76359999999999995"/>
    <n v="16.600000000000001"/>
    <x v="5"/>
    <n v="1"/>
  </r>
  <r>
    <d v="2038-03-05T00:00:00"/>
    <x v="11"/>
    <n v="10.6"/>
    <n v="11.3"/>
    <n v="1.1978"/>
    <n v="27.200000000000003"/>
    <x v="5"/>
    <n v="1"/>
  </r>
  <r>
    <d v="2038-03-06T00:00:00"/>
    <x v="3"/>
    <n v="27.9"/>
    <n v="16.100000000000001"/>
    <n v="4.4919000000000002"/>
    <n v="55.1"/>
    <x v="5"/>
    <n v="1"/>
  </r>
  <r>
    <d v="2038-03-07T00:00:00"/>
    <x v="6"/>
    <n v="11.1"/>
    <n v="28.2"/>
    <n v="3.1301999999999999"/>
    <n v="66.2"/>
    <x v="5"/>
    <n v="1"/>
  </r>
  <r>
    <d v="2038-03-08T00:00:00"/>
    <x v="3"/>
    <n v="21.5"/>
    <n v="12.8"/>
    <n v="2.7519999999999998"/>
    <n v="87.7"/>
    <x v="5"/>
    <n v="1"/>
  </r>
  <r>
    <d v="2038-03-09T00:00:00"/>
    <x v="2"/>
    <n v="28.4"/>
    <n v="4.5999999999999996"/>
    <n v="1.3063999999999998"/>
    <n v="116.1"/>
    <x v="5"/>
    <n v="1"/>
  </r>
  <r>
    <d v="2038-03-10T00:00:00"/>
    <x v="18"/>
    <n v="18.100000000000001"/>
    <n v="5.9"/>
    <n v="1.0679000000000003"/>
    <n v="134.19999999999999"/>
    <x v="5"/>
    <n v="1"/>
  </r>
  <r>
    <d v="2038-03-11T00:00:00"/>
    <x v="16"/>
    <n v="25.3"/>
    <n v="0"/>
    <n v="0"/>
    <n v="25.3"/>
    <x v="5"/>
    <n v="1"/>
  </r>
  <r>
    <d v="2038-03-12T00:00:00"/>
    <x v="5"/>
    <n v="15.6"/>
    <n v="10.6"/>
    <n v="1.6536"/>
    <n v="40.9"/>
    <x v="5"/>
    <n v="1"/>
  </r>
  <r>
    <d v="2038-03-13T00:00:00"/>
    <x v="15"/>
    <n v="19.899999999999999"/>
    <n v="0"/>
    <n v="0"/>
    <n v="60.8"/>
    <x v="5"/>
    <n v="1"/>
  </r>
  <r>
    <d v="2038-03-14T00:00:00"/>
    <x v="3"/>
    <n v="24.7"/>
    <n v="14.7"/>
    <n v="3.6308999999999996"/>
    <n v="85.5"/>
    <x v="5"/>
    <n v="1"/>
  </r>
  <r>
    <d v="2038-03-15T00:00:00"/>
    <x v="19"/>
    <n v="21.9"/>
    <n v="5.6"/>
    <n v="1.2263999999999999"/>
    <n v="107.4"/>
    <x v="5"/>
    <n v="1"/>
  </r>
  <r>
    <d v="2038-03-16T00:00:00"/>
    <x v="10"/>
    <n v="18"/>
    <n v="6.2"/>
    <n v="1.1160000000000001"/>
    <n v="125.4"/>
    <x v="5"/>
    <n v="1"/>
  </r>
  <r>
    <d v="2038-03-17T00:00:00"/>
    <x v="25"/>
    <n v="24.5"/>
    <n v="0.6"/>
    <n v="0"/>
    <n v="149.9"/>
    <x v="5"/>
    <n v="1"/>
  </r>
  <r>
    <d v="2038-03-18T00:00:00"/>
    <x v="4"/>
    <n v="10.9"/>
    <n v="0"/>
    <n v="0"/>
    <n v="10.9"/>
    <x v="5"/>
    <n v="1"/>
  </r>
  <r>
    <d v="2038-03-19T00:00:00"/>
    <x v="22"/>
    <n v="11.3"/>
    <n v="2.7"/>
    <n v="0.30510000000000004"/>
    <n v="22.200000000000003"/>
    <x v="5"/>
    <n v="1"/>
  </r>
  <r>
    <d v="2038-03-20T00:00:00"/>
    <x v="6"/>
    <n v="13.2"/>
    <n v="30"/>
    <n v="3.96"/>
    <n v="35.400000000000006"/>
    <x v="5"/>
    <n v="1"/>
  </r>
  <r>
    <d v="2038-03-21T00:00:00"/>
    <x v="4"/>
    <n v="18.7"/>
    <n v="4.7"/>
    <n v="0.87890000000000001"/>
    <n v="54.100000000000009"/>
    <x v="5"/>
    <n v="1"/>
  </r>
  <r>
    <d v="2038-03-22T00:00:00"/>
    <x v="4"/>
    <n v="12.1"/>
    <n v="1.5"/>
    <n v="0.18149999999999999"/>
    <n v="66.2"/>
    <x v="5"/>
    <n v="1"/>
  </r>
  <r>
    <d v="2038-03-23T00:00:00"/>
    <x v="11"/>
    <n v="11.9"/>
    <n v="1.3"/>
    <n v="0.1547"/>
    <n v="78.100000000000009"/>
    <x v="5"/>
    <n v="1"/>
  </r>
  <r>
    <d v="2038-03-24T00:00:00"/>
    <x v="22"/>
    <n v="17.7"/>
    <n v="2.6"/>
    <n v="0.46020000000000005"/>
    <n v="95.800000000000011"/>
    <x v="5"/>
    <n v="1"/>
  </r>
  <r>
    <d v="2038-03-25T00:00:00"/>
    <x v="17"/>
    <n v="25.9"/>
    <n v="0.8"/>
    <n v="0"/>
    <n v="25.9"/>
    <x v="5"/>
    <n v="1"/>
  </r>
  <r>
    <d v="2038-03-26T00:00:00"/>
    <x v="2"/>
    <n v="27.7"/>
    <n v="0"/>
    <n v="0"/>
    <n v="53.599999999999994"/>
    <x v="5"/>
    <n v="1"/>
  </r>
  <r>
    <d v="2038-03-27T00:00:00"/>
    <x v="9"/>
    <n v="13.3"/>
    <n v="13.3"/>
    <n v="1.7689000000000001"/>
    <n v="66.899999999999991"/>
    <x v="5"/>
    <n v="1"/>
  </r>
  <r>
    <d v="2038-03-28T00:00:00"/>
    <x v="15"/>
    <n v="11.7"/>
    <n v="4.9000000000000004"/>
    <n v="0.57330000000000003"/>
    <n v="78.599999999999994"/>
    <x v="5"/>
    <n v="1"/>
  </r>
  <r>
    <d v="2038-03-29T00:00:00"/>
    <x v="22"/>
    <n v="26.5"/>
    <n v="4.5"/>
    <n v="1.1924999999999999"/>
    <n v="105.1"/>
    <x v="5"/>
    <n v="1"/>
  </r>
  <r>
    <d v="2038-03-30T00:00:00"/>
    <x v="23"/>
    <n v="18.7"/>
    <n v="2.2999999999999998"/>
    <n v="0.43009999999999998"/>
    <n v="123.8"/>
    <x v="5"/>
    <n v="1"/>
  </r>
  <r>
    <d v="2038-03-31T00:00:00"/>
    <x v="18"/>
    <n v="11.7"/>
    <n v="6"/>
    <n v="0.70199999999999985"/>
    <n v="135.5"/>
    <x v="5"/>
    <n v="1"/>
  </r>
  <r>
    <d v="2038-04-01T00:00:00"/>
    <x v="15"/>
    <n v="27.5"/>
    <n v="22.6"/>
    <n v="6.2149999999999999"/>
    <n v="27.5"/>
    <x v="5"/>
    <n v="1"/>
  </r>
  <r>
    <d v="2038-04-02T00:00:00"/>
    <x v="23"/>
    <n v="27.4"/>
    <n v="0"/>
    <n v="0"/>
    <n v="54.9"/>
    <x v="5"/>
    <n v="1"/>
  </r>
  <r>
    <d v="2038-04-03T00:00:00"/>
    <x v="7"/>
    <n v="14.8"/>
    <n v="0"/>
    <n v="0"/>
    <n v="69.7"/>
    <x v="5"/>
    <n v="1"/>
  </r>
  <r>
    <d v="2038-04-04T00:00:00"/>
    <x v="13"/>
    <n v="26.2"/>
    <n v="0"/>
    <n v="0"/>
    <n v="95.9"/>
    <x v="5"/>
    <n v="1"/>
  </r>
  <r>
    <d v="2038-04-05T00:00:00"/>
    <x v="11"/>
    <n v="12.9"/>
    <n v="17.899999999999999"/>
    <n v="2.3090999999999999"/>
    <n v="108.80000000000001"/>
    <x v="5"/>
    <n v="1"/>
  </r>
  <r>
    <d v="2038-04-06T00:00:00"/>
    <x v="21"/>
    <n v="12.5"/>
    <n v="0"/>
    <n v="0"/>
    <n v="121.30000000000001"/>
    <x v="5"/>
    <n v="1"/>
  </r>
  <r>
    <d v="2038-04-07T00:00:00"/>
    <x v="20"/>
    <n v="12.3"/>
    <n v="0"/>
    <n v="0"/>
    <n v="133.60000000000002"/>
    <x v="5"/>
    <n v="1"/>
  </r>
  <r>
    <d v="2038-04-08T00:00:00"/>
    <x v="1"/>
    <n v="19.399999999999999"/>
    <n v="0"/>
    <n v="0"/>
    <n v="19.399999999999999"/>
    <x v="5"/>
    <n v="1"/>
  </r>
  <r>
    <d v="2038-04-09T00:00:00"/>
    <x v="11"/>
    <n v="20.9"/>
    <n v="0"/>
    <n v="0"/>
    <n v="40.299999999999997"/>
    <x v="5"/>
    <n v="1"/>
  </r>
  <r>
    <d v="2038-04-10T00:00:00"/>
    <x v="5"/>
    <n v="10.4"/>
    <n v="0"/>
    <n v="0"/>
    <n v="50.699999999999996"/>
    <x v="5"/>
    <n v="1"/>
  </r>
  <r>
    <d v="2038-04-11T00:00:00"/>
    <x v="7"/>
    <n v="22.2"/>
    <n v="2.5"/>
    <n v="0.55500000000000005"/>
    <n v="72.899999999999991"/>
    <x v="5"/>
    <n v="1"/>
  </r>
  <r>
    <d v="2038-04-12T00:00:00"/>
    <x v="6"/>
    <n v="16.8"/>
    <n v="0"/>
    <n v="0"/>
    <n v="89.699999999999989"/>
    <x v="5"/>
    <n v="1"/>
  </r>
  <r>
    <d v="2038-04-13T00:00:00"/>
    <x v="15"/>
    <n v="21.7"/>
    <n v="33.299999999999997"/>
    <n v="7.2260999999999989"/>
    <n v="111.39999999999999"/>
    <x v="5"/>
    <n v="1"/>
  </r>
  <r>
    <d v="2038-04-14T00:00:00"/>
    <x v="7"/>
    <n v="10.199999999999999"/>
    <n v="16.600000000000001"/>
    <n v="1.6932"/>
    <n v="121.6"/>
    <x v="5"/>
    <n v="1"/>
  </r>
  <r>
    <d v="2038-04-15T00:00:00"/>
    <x v="6"/>
    <n v="16.5"/>
    <n v="0"/>
    <n v="0"/>
    <n v="16.5"/>
    <x v="5"/>
    <n v="1"/>
  </r>
  <r>
    <d v="2038-04-16T00:00:00"/>
    <x v="12"/>
    <n v="29.1"/>
    <n v="0.5"/>
    <n v="0"/>
    <n v="45.6"/>
    <x v="5"/>
    <n v="1"/>
  </r>
  <r>
    <d v="2038-04-17T00:00:00"/>
    <x v="7"/>
    <n v="17.8"/>
    <n v="0"/>
    <n v="0"/>
    <n v="63.400000000000006"/>
    <x v="5"/>
    <n v="1"/>
  </r>
  <r>
    <d v="2038-04-18T00:00:00"/>
    <x v="6"/>
    <n v="10"/>
    <n v="0"/>
    <n v="0"/>
    <n v="73.400000000000006"/>
    <x v="5"/>
    <n v="1"/>
  </r>
  <r>
    <d v="2038-04-19T00:00:00"/>
    <x v="5"/>
    <n v="15.5"/>
    <n v="8.6"/>
    <n v="1.3329999999999997"/>
    <n v="88.9"/>
    <x v="5"/>
    <n v="1"/>
  </r>
  <r>
    <d v="2038-04-20T00:00:00"/>
    <x v="6"/>
    <n v="15.3"/>
    <n v="21.4"/>
    <n v="3.2742"/>
    <n v="104.2"/>
    <x v="5"/>
    <n v="1"/>
  </r>
  <r>
    <d v="2038-04-21T00:00:00"/>
    <x v="8"/>
    <n v="23.7"/>
    <n v="0"/>
    <n v="0"/>
    <n v="127.9"/>
    <x v="5"/>
    <n v="1"/>
  </r>
  <r>
    <d v="2038-04-22T00:00:00"/>
    <x v="7"/>
    <n v="26.1"/>
    <n v="12.5"/>
    <n v="3.2625000000000002"/>
    <n v="26.1"/>
    <x v="5"/>
    <n v="1"/>
  </r>
  <r>
    <d v="2038-04-23T00:00:00"/>
    <x v="7"/>
    <n v="13.4"/>
    <n v="0"/>
    <n v="0"/>
    <n v="39.5"/>
    <x v="5"/>
    <n v="1"/>
  </r>
  <r>
    <d v="2038-04-24T00:00:00"/>
    <x v="1"/>
    <n v="17.8"/>
    <n v="3.7"/>
    <n v="0.65859999999999996"/>
    <n v="57.3"/>
    <x v="5"/>
    <n v="1"/>
  </r>
  <r>
    <d v="2038-04-25T00:00:00"/>
    <x v="20"/>
    <n v="13"/>
    <n v="2.7"/>
    <n v="0.35100000000000003"/>
    <n v="70.3"/>
    <x v="5"/>
    <n v="1"/>
  </r>
  <r>
    <d v="2038-04-26T00:00:00"/>
    <x v="3"/>
    <n v="28.2"/>
    <n v="0"/>
    <n v="0"/>
    <n v="98.5"/>
    <x v="5"/>
    <n v="1"/>
  </r>
  <r>
    <d v="2038-04-27T00:00:00"/>
    <x v="6"/>
    <n v="23"/>
    <n v="0"/>
    <n v="0"/>
    <n v="121.5"/>
    <x v="5"/>
    <n v="1"/>
  </r>
  <r>
    <d v="2038-04-28T00:00:00"/>
    <x v="3"/>
    <n v="21.5"/>
    <n v="0"/>
    <n v="0"/>
    <n v="143"/>
    <x v="5"/>
    <n v="1"/>
  </r>
  <r>
    <d v="2038-04-29T00:00:00"/>
    <x v="14"/>
    <n v="22.3"/>
    <n v="0"/>
    <n v="0"/>
    <n v="22.3"/>
    <x v="5"/>
    <n v="1"/>
  </r>
  <r>
    <d v="2038-04-30T00:00:00"/>
    <x v="6"/>
    <n v="28.2"/>
    <n v="0"/>
    <n v="0"/>
    <n v="50.5"/>
    <x v="5"/>
    <n v="1"/>
  </r>
  <r>
    <d v="2038-05-01T00:00:00"/>
    <x v="20"/>
    <n v="11.9"/>
    <n v="3.4"/>
    <n v="0.40460000000000002"/>
    <n v="62.4"/>
    <x v="5"/>
    <n v="1"/>
  </r>
  <r>
    <d v="2038-05-02T00:00:00"/>
    <x v="14"/>
    <n v="20.9"/>
    <n v="7.5"/>
    <n v="1.5674999999999999"/>
    <n v="83.3"/>
    <x v="5"/>
    <n v="1"/>
  </r>
  <r>
    <d v="2038-05-03T00:00:00"/>
    <x v="28"/>
    <n v="18.399999999999999"/>
    <n v="0.2"/>
    <n v="0"/>
    <n v="101.69999999999999"/>
    <x v="5"/>
    <n v="1"/>
  </r>
  <r>
    <d v="2038-05-04T00:00:00"/>
    <x v="6"/>
    <n v="27.8"/>
    <n v="35.9"/>
    <n v="9.9802"/>
    <n v="129.5"/>
    <x v="5"/>
    <n v="1"/>
  </r>
  <r>
    <d v="2038-05-05T00:00:00"/>
    <x v="15"/>
    <n v="20.7"/>
    <n v="14.7"/>
    <n v="3.0428999999999995"/>
    <n v="150.19999999999999"/>
    <x v="5"/>
    <n v="1"/>
  </r>
  <r>
    <d v="2038-05-06T00:00:00"/>
    <x v="1"/>
    <n v="13"/>
    <n v="0"/>
    <n v="0"/>
    <n v="13"/>
    <x v="5"/>
    <n v="1"/>
  </r>
  <r>
    <d v="2038-05-07T00:00:00"/>
    <x v="15"/>
    <n v="29.4"/>
    <n v="0"/>
    <n v="0"/>
    <n v="42.4"/>
    <x v="5"/>
    <n v="1"/>
  </r>
  <r>
    <d v="2038-05-08T00:00:00"/>
    <x v="2"/>
    <n v="19.8"/>
    <n v="13.9"/>
    <n v="2.7522000000000002"/>
    <n v="62.2"/>
    <x v="5"/>
    <n v="1"/>
  </r>
  <r>
    <d v="2038-05-09T00:00:00"/>
    <x v="7"/>
    <n v="10.9"/>
    <n v="17"/>
    <n v="1.8530000000000002"/>
    <n v="73.100000000000009"/>
    <x v="5"/>
    <n v="1"/>
  </r>
  <r>
    <d v="2038-05-10T00:00:00"/>
    <x v="6"/>
    <n v="27.3"/>
    <n v="15.8"/>
    <n v="4.3134000000000006"/>
    <n v="100.4"/>
    <x v="5"/>
    <n v="1"/>
  </r>
  <r>
    <d v="2038-05-11T00:00:00"/>
    <x v="15"/>
    <n v="16.399999999999999"/>
    <n v="0"/>
    <n v="0"/>
    <n v="116.80000000000001"/>
    <x v="5"/>
    <n v="1"/>
  </r>
  <r>
    <d v="2038-05-12T00:00:00"/>
    <x v="11"/>
    <n v="28"/>
    <n v="9.6999999999999993"/>
    <n v="2.7159999999999997"/>
    <n v="144.80000000000001"/>
    <x v="5"/>
    <n v="1"/>
  </r>
  <r>
    <d v="2038-05-13T00:00:00"/>
    <x v="3"/>
    <n v="17.399999999999999"/>
    <n v="6.6"/>
    <n v="1.1483999999999999"/>
    <n v="17.399999999999999"/>
    <x v="5"/>
    <n v="1"/>
  </r>
  <r>
    <d v="2038-05-14T00:00:00"/>
    <x v="4"/>
    <n v="25.7"/>
    <n v="0.7"/>
    <n v="0"/>
    <n v="43.099999999999994"/>
    <x v="5"/>
    <n v="1"/>
  </r>
  <r>
    <d v="2038-05-15T00:00:00"/>
    <x v="15"/>
    <n v="20.100000000000001"/>
    <n v="11"/>
    <n v="2.2110000000000003"/>
    <n v="63.199999999999996"/>
    <x v="5"/>
    <n v="1"/>
  </r>
  <r>
    <d v="2038-05-16T00:00:00"/>
    <x v="15"/>
    <n v="17.899999999999999"/>
    <n v="0"/>
    <n v="0"/>
    <n v="81.099999999999994"/>
    <x v="5"/>
    <n v="1"/>
  </r>
  <r>
    <d v="2038-05-17T00:00:00"/>
    <x v="7"/>
    <n v="10.7"/>
    <n v="6.4"/>
    <n v="0.68480000000000008"/>
    <n v="91.8"/>
    <x v="5"/>
    <n v="1"/>
  </r>
  <r>
    <d v="2038-05-18T00:00:00"/>
    <x v="5"/>
    <n v="20.399999999999999"/>
    <n v="0"/>
    <n v="0"/>
    <n v="112.19999999999999"/>
    <x v="5"/>
    <n v="1"/>
  </r>
  <r>
    <d v="2038-05-19T00:00:00"/>
    <x v="8"/>
    <n v="25.4"/>
    <n v="1"/>
    <n v="0.254"/>
    <n v="137.6"/>
    <x v="5"/>
    <n v="1"/>
  </r>
  <r>
    <d v="2038-05-20T00:00:00"/>
    <x v="4"/>
    <n v="10.9"/>
    <n v="0.2"/>
    <n v="0"/>
    <n v="10.9"/>
    <x v="5"/>
    <n v="1"/>
  </r>
  <r>
    <d v="2038-05-21T00:00:00"/>
    <x v="23"/>
    <n v="18.5"/>
    <n v="0.5"/>
    <n v="0"/>
    <n v="29.4"/>
    <x v="5"/>
    <n v="1"/>
  </r>
  <r>
    <d v="2038-05-22T00:00:00"/>
    <x v="6"/>
    <n v="14.8"/>
    <n v="50.3"/>
    <n v="7.444399999999999"/>
    <n v="44.2"/>
    <x v="5"/>
    <n v="1"/>
  </r>
  <r>
    <d v="2038-05-23T00:00:00"/>
    <x v="14"/>
    <n v="28.5"/>
    <n v="0.7"/>
    <n v="0"/>
    <n v="72.7"/>
    <x v="5"/>
    <n v="1"/>
  </r>
  <r>
    <d v="2038-05-24T00:00:00"/>
    <x v="27"/>
    <n v="19.399999999999999"/>
    <n v="0"/>
    <n v="0"/>
    <n v="92.1"/>
    <x v="5"/>
    <n v="1"/>
  </r>
  <r>
    <d v="2038-05-25T00:00:00"/>
    <x v="19"/>
    <n v="20.7"/>
    <n v="4.7"/>
    <n v="0.9729000000000001"/>
    <n v="112.8"/>
    <x v="5"/>
    <n v="1"/>
  </r>
  <r>
    <d v="2038-05-26T00:00:00"/>
    <x v="22"/>
    <n v="25.7"/>
    <n v="0"/>
    <n v="0"/>
    <n v="138.5"/>
    <x v="5"/>
    <n v="1"/>
  </r>
  <r>
    <d v="2038-05-27T00:00:00"/>
    <x v="15"/>
    <n v="21.4"/>
    <n v="0"/>
    <n v="0"/>
    <n v="21.4"/>
    <x v="5"/>
    <n v="1"/>
  </r>
  <r>
    <d v="2038-05-28T00:00:00"/>
    <x v="6"/>
    <n v="19.2"/>
    <n v="0"/>
    <n v="0"/>
    <n v="40.599999999999994"/>
    <x v="5"/>
    <n v="1"/>
  </r>
  <r>
    <d v="2038-05-29T00:00:00"/>
    <x v="14"/>
    <n v="19.399999999999999"/>
    <n v="14.2"/>
    <n v="2.7547999999999995"/>
    <n v="59.999999999999993"/>
    <x v="5"/>
    <n v="1"/>
  </r>
  <r>
    <d v="2038-05-30T00:00:00"/>
    <x v="15"/>
    <n v="24.2"/>
    <n v="1.9"/>
    <n v="0.45979999999999999"/>
    <n v="84.199999999999989"/>
    <x v="5"/>
    <n v="1"/>
  </r>
  <r>
    <d v="2038-05-31T00:00:00"/>
    <x v="3"/>
    <n v="27.7"/>
    <n v="19.5"/>
    <n v="5.4014999999999995"/>
    <n v="111.89999999999999"/>
    <x v="5"/>
    <n v="1"/>
  </r>
  <r>
    <d v="2038-06-01T00:00:00"/>
    <x v="1"/>
    <n v="16.899999999999999"/>
    <n v="4.0999999999999996"/>
    <n v="0.69289999999999996"/>
    <n v="128.79999999999998"/>
    <x v="5"/>
    <n v="1"/>
  </r>
  <r>
    <d v="2038-06-02T00:00:00"/>
    <x v="15"/>
    <n v="11.8"/>
    <n v="0"/>
    <n v="0"/>
    <n v="140.6"/>
    <x v="5"/>
    <n v="1"/>
  </r>
  <r>
    <d v="2038-06-03T00:00:00"/>
    <x v="8"/>
    <n v="15.7"/>
    <n v="9.4"/>
    <n v="1.4758000000000002"/>
    <n v="15.7"/>
    <x v="5"/>
    <n v="1"/>
  </r>
  <r>
    <d v="2038-06-04T00:00:00"/>
    <x v="2"/>
    <n v="14.2"/>
    <n v="0"/>
    <n v="0"/>
    <n v="29.9"/>
    <x v="5"/>
    <n v="1"/>
  </r>
  <r>
    <d v="2038-06-05T00:00:00"/>
    <x v="11"/>
    <n v="18.100000000000001"/>
    <n v="13.1"/>
    <n v="2.3711000000000002"/>
    <n v="48"/>
    <x v="5"/>
    <n v="1"/>
  </r>
  <r>
    <d v="2038-06-06T00:00:00"/>
    <x v="15"/>
    <n v="21.9"/>
    <n v="27.5"/>
    <n v="6.0225"/>
    <n v="69.900000000000006"/>
    <x v="5"/>
    <n v="1"/>
  </r>
  <r>
    <d v="2038-06-07T00:00:00"/>
    <x v="6"/>
    <n v="28"/>
    <n v="2.1"/>
    <n v="0.58800000000000008"/>
    <n v="97.9"/>
    <x v="5"/>
    <n v="1"/>
  </r>
  <r>
    <d v="2038-06-08T00:00:00"/>
    <x v="9"/>
    <n v="14.2"/>
    <n v="7"/>
    <n v="0.99399999999999988"/>
    <n v="112.10000000000001"/>
    <x v="5"/>
    <n v="1"/>
  </r>
  <r>
    <d v="2038-06-09T00:00:00"/>
    <x v="9"/>
    <n v="11.1"/>
    <n v="0"/>
    <n v="0"/>
    <n v="123.2"/>
    <x v="5"/>
    <n v="1"/>
  </r>
  <r>
    <d v="2038-06-10T00:00:00"/>
    <x v="10"/>
    <n v="11.8"/>
    <n v="6"/>
    <n v="0.70800000000000007"/>
    <n v="11.8"/>
    <x v="5"/>
    <n v="1"/>
  </r>
  <r>
    <d v="2038-06-11T00:00:00"/>
    <x v="29"/>
    <n v="26.8"/>
    <n v="0.9"/>
    <n v="0"/>
    <n v="38.6"/>
    <x v="5"/>
    <n v="1"/>
  </r>
  <r>
    <d v="2038-06-12T00:00:00"/>
    <x v="6"/>
    <n v="27.3"/>
    <n v="44.5"/>
    <n v="12.148500000000002"/>
    <n v="65.900000000000006"/>
    <x v="5"/>
    <n v="1"/>
  </r>
  <r>
    <d v="2038-06-13T00:00:00"/>
    <x v="4"/>
    <n v="14.3"/>
    <n v="3.7"/>
    <n v="0.52910000000000001"/>
    <n v="80.2"/>
    <x v="5"/>
    <n v="1"/>
  </r>
  <r>
    <d v="2038-06-14T00:00:00"/>
    <x v="1"/>
    <n v="19.399999999999999"/>
    <n v="0"/>
    <n v="0"/>
    <n v="99.6"/>
    <x v="5"/>
    <n v="1"/>
  </r>
  <r>
    <d v="2038-06-15T00:00:00"/>
    <x v="15"/>
    <n v="26.5"/>
    <n v="0"/>
    <n v="0"/>
    <n v="126.1"/>
    <x v="5"/>
    <n v="1"/>
  </r>
  <r>
    <d v="2038-06-16T00:00:00"/>
    <x v="15"/>
    <n v="28.3"/>
    <n v="14.4"/>
    <n v="4.0752000000000006"/>
    <n v="154.4"/>
    <x v="5"/>
    <n v="1"/>
  </r>
  <r>
    <d v="2038-06-17T00:00:00"/>
    <x v="23"/>
    <n v="19.8"/>
    <n v="0"/>
    <n v="0"/>
    <n v="19.8"/>
    <x v="5"/>
    <n v="1"/>
  </r>
  <r>
    <d v="2038-06-18T00:00:00"/>
    <x v="6"/>
    <n v="16"/>
    <n v="28.7"/>
    <n v="4.5919999999999996"/>
    <n v="35.799999999999997"/>
    <x v="5"/>
    <n v="1"/>
  </r>
  <r>
    <d v="2038-06-19T00:00:00"/>
    <x v="15"/>
    <n v="14.5"/>
    <n v="12"/>
    <n v="1.74"/>
    <n v="50.3"/>
    <x v="5"/>
    <n v="1"/>
  </r>
  <r>
    <d v="2038-06-20T00:00:00"/>
    <x v="11"/>
    <n v="14.3"/>
    <n v="13"/>
    <n v="1.859"/>
    <n v="64.599999999999994"/>
    <x v="5"/>
    <n v="1"/>
  </r>
  <r>
    <d v="2038-06-21T00:00:00"/>
    <x v="14"/>
    <n v="12.7"/>
    <n v="10.7"/>
    <n v="1.3588999999999998"/>
    <n v="77.3"/>
    <x v="5"/>
    <n v="1"/>
  </r>
  <r>
    <d v="2038-06-22T00:00:00"/>
    <x v="18"/>
    <n v="12.6"/>
    <n v="0"/>
    <n v="0"/>
    <n v="89.899999999999991"/>
    <x v="5"/>
    <n v="1"/>
  </r>
  <r>
    <d v="2038-06-23T00:00:00"/>
    <x v="22"/>
    <n v="19.899999999999999"/>
    <n v="6.6"/>
    <n v="1.3133999999999997"/>
    <n v="109.79999999999998"/>
    <x v="5"/>
    <n v="1"/>
  </r>
  <r>
    <d v="2038-06-24T00:00:00"/>
    <x v="3"/>
    <n v="27.4"/>
    <n v="6.6"/>
    <n v="1.8083999999999998"/>
    <n v="27.4"/>
    <x v="5"/>
    <n v="1"/>
  </r>
  <r>
    <d v="2038-06-25T00:00:00"/>
    <x v="15"/>
    <n v="27.4"/>
    <n v="0"/>
    <n v="0"/>
    <n v="54.8"/>
    <x v="5"/>
    <n v="1"/>
  </r>
  <r>
    <d v="2038-06-26T00:00:00"/>
    <x v="24"/>
    <n v="11.2"/>
    <n v="0.3"/>
    <n v="0"/>
    <n v="66"/>
    <x v="5"/>
    <n v="1"/>
  </r>
  <r>
    <d v="2038-06-27T00:00:00"/>
    <x v="7"/>
    <n v="19.899999999999999"/>
    <n v="19.399999999999999"/>
    <n v="3.8605999999999994"/>
    <n v="85.9"/>
    <x v="5"/>
    <n v="1"/>
  </r>
  <r>
    <d v="2038-06-28T00:00:00"/>
    <x v="0"/>
    <n v="13"/>
    <n v="0.4"/>
    <n v="0"/>
    <n v="98.9"/>
    <x v="5"/>
    <n v="1"/>
  </r>
  <r>
    <d v="2038-06-29T00:00:00"/>
    <x v="14"/>
    <n v="25.4"/>
    <n v="12.4"/>
    <n v="3.1496"/>
    <n v="124.30000000000001"/>
    <x v="5"/>
    <n v="1"/>
  </r>
  <r>
    <d v="2038-06-30T00:00:00"/>
    <x v="5"/>
    <n v="23.5"/>
    <n v="0.7"/>
    <n v="0"/>
    <n v="147.80000000000001"/>
    <x v="5"/>
    <n v="1"/>
  </r>
  <r>
    <d v="2038-07-01T00:00:00"/>
    <x v="18"/>
    <n v="16"/>
    <n v="0.1"/>
    <n v="0"/>
    <n v="16"/>
    <x v="5"/>
    <n v="1"/>
  </r>
  <r>
    <d v="2038-07-02T00:00:00"/>
    <x v="2"/>
    <n v="25"/>
    <n v="11.7"/>
    <n v="2.9249999999999998"/>
    <n v="41"/>
    <x v="5"/>
    <n v="1"/>
  </r>
  <r>
    <d v="2038-07-03T00:00:00"/>
    <x v="27"/>
    <n v="22.2"/>
    <n v="0.9"/>
    <n v="0"/>
    <n v="63.2"/>
    <x v="5"/>
    <n v="1"/>
  </r>
  <r>
    <d v="2038-07-04T00:00:00"/>
    <x v="20"/>
    <n v="29.6"/>
    <n v="0"/>
    <n v="0"/>
    <n v="92.800000000000011"/>
    <x v="5"/>
    <n v="1"/>
  </r>
  <r>
    <d v="2038-07-05T00:00:00"/>
    <x v="6"/>
    <n v="10.1"/>
    <n v="0"/>
    <n v="0"/>
    <n v="102.9"/>
    <x v="5"/>
    <n v="1"/>
  </r>
  <r>
    <d v="2038-07-06T00:00:00"/>
    <x v="5"/>
    <n v="26.3"/>
    <n v="6.7"/>
    <n v="1.7621"/>
    <n v="129.20000000000002"/>
    <x v="5"/>
    <n v="1"/>
  </r>
  <r>
    <d v="2038-07-07T00:00:00"/>
    <x v="6"/>
    <n v="27.3"/>
    <n v="15.3"/>
    <n v="4.1769000000000007"/>
    <n v="156.50000000000003"/>
    <x v="5"/>
    <n v="1"/>
  </r>
  <r>
    <d v="2038-07-08T00:00:00"/>
    <x v="7"/>
    <n v="27.8"/>
    <n v="0"/>
    <n v="0"/>
    <n v="27.8"/>
    <x v="5"/>
    <n v="1"/>
  </r>
  <r>
    <d v="2038-07-09T00:00:00"/>
    <x v="2"/>
    <n v="16.7"/>
    <n v="4.9000000000000004"/>
    <n v="0.81830000000000003"/>
    <n v="44.5"/>
    <x v="5"/>
    <n v="1"/>
  </r>
  <r>
    <d v="2038-07-10T00:00:00"/>
    <x v="11"/>
    <n v="15"/>
    <n v="9.4"/>
    <n v="1.41"/>
    <n v="59.5"/>
    <x v="5"/>
    <n v="1"/>
  </r>
  <r>
    <d v="2038-07-11T00:00:00"/>
    <x v="6"/>
    <n v="10.4"/>
    <n v="28.5"/>
    <n v="2.9640000000000004"/>
    <n v="69.900000000000006"/>
    <x v="5"/>
    <n v="1"/>
  </r>
  <r>
    <d v="2038-07-12T00:00:00"/>
    <x v="11"/>
    <n v="18.100000000000001"/>
    <n v="9.6"/>
    <n v="1.7376000000000003"/>
    <n v="88"/>
    <x v="5"/>
    <n v="1"/>
  </r>
  <r>
    <d v="2038-07-13T00:00:00"/>
    <x v="29"/>
    <n v="26.7"/>
    <n v="1.5"/>
    <n v="0.40049999999999997"/>
    <n v="114.7"/>
    <x v="5"/>
    <n v="1"/>
  </r>
  <r>
    <d v="2038-07-14T00:00:00"/>
    <x v="9"/>
    <n v="22.9"/>
    <n v="8.9"/>
    <n v="2.0381"/>
    <n v="137.6"/>
    <x v="5"/>
    <n v="1"/>
  </r>
  <r>
    <d v="2038-07-15T00:00:00"/>
    <x v="11"/>
    <n v="29.3"/>
    <n v="0"/>
    <n v="0"/>
    <n v="29.3"/>
    <x v="5"/>
    <n v="1"/>
  </r>
  <r>
    <d v="2038-07-16T00:00:00"/>
    <x v="3"/>
    <n v="26.4"/>
    <n v="3.2"/>
    <n v="0.8448"/>
    <n v="55.7"/>
    <x v="5"/>
    <n v="1"/>
  </r>
  <r>
    <d v="2038-07-17T00:00:00"/>
    <x v="14"/>
    <n v="20"/>
    <n v="7.3"/>
    <n v="1.46"/>
    <n v="75.7"/>
    <x v="5"/>
    <n v="1"/>
  </r>
  <r>
    <d v="2038-07-18T00:00:00"/>
    <x v="7"/>
    <n v="17.100000000000001"/>
    <n v="0"/>
    <n v="0"/>
    <n v="92.800000000000011"/>
    <x v="5"/>
    <n v="1"/>
  </r>
  <r>
    <d v="2038-07-19T00:00:00"/>
    <x v="1"/>
    <n v="18.8"/>
    <n v="0"/>
    <n v="0"/>
    <n v="111.60000000000001"/>
    <x v="5"/>
    <n v="1"/>
  </r>
  <r>
    <d v="2038-07-20T00:00:00"/>
    <x v="9"/>
    <n v="12.6"/>
    <n v="4.4000000000000004"/>
    <n v="0.5544"/>
    <n v="124.2"/>
    <x v="5"/>
    <n v="1"/>
  </r>
  <r>
    <d v="2038-07-21T00:00:00"/>
    <x v="18"/>
    <n v="24"/>
    <n v="0"/>
    <n v="0"/>
    <n v="148.19999999999999"/>
    <x v="5"/>
    <n v="1"/>
  </r>
  <r>
    <d v="2038-07-22T00:00:00"/>
    <x v="15"/>
    <n v="13.4"/>
    <n v="35.6"/>
    <n v="4.7704000000000004"/>
    <n v="13.4"/>
    <x v="5"/>
    <n v="1"/>
  </r>
  <r>
    <d v="2038-07-23T00:00:00"/>
    <x v="6"/>
    <n v="25.7"/>
    <n v="21.1"/>
    <n v="5.4226999999999999"/>
    <n v="39.1"/>
    <x v="5"/>
    <n v="1"/>
  </r>
  <r>
    <d v="2038-07-24T00:00:00"/>
    <x v="17"/>
    <n v="24.9"/>
    <n v="2"/>
    <n v="0.498"/>
    <n v="64"/>
    <x v="5"/>
    <n v="1"/>
  </r>
  <r>
    <d v="2038-07-25T00:00:00"/>
    <x v="7"/>
    <n v="12.5"/>
    <n v="0"/>
    <n v="0"/>
    <n v="76.5"/>
    <x v="5"/>
    <n v="1"/>
  </r>
  <r>
    <d v="2038-07-26T00:00:00"/>
    <x v="6"/>
    <n v="21.8"/>
    <n v="0"/>
    <n v="0"/>
    <n v="98.3"/>
    <x v="5"/>
    <n v="1"/>
  </r>
  <r>
    <d v="2038-07-27T00:00:00"/>
    <x v="1"/>
    <n v="15.8"/>
    <n v="6.7"/>
    <n v="1.0586000000000002"/>
    <n v="114.1"/>
    <x v="5"/>
    <n v="1"/>
  </r>
  <r>
    <d v="2038-07-28T00:00:00"/>
    <x v="8"/>
    <n v="13.9"/>
    <n v="0"/>
    <n v="0"/>
    <n v="128"/>
    <x v="5"/>
    <n v="1"/>
  </r>
  <r>
    <d v="2038-07-29T00:00:00"/>
    <x v="16"/>
    <n v="12.2"/>
    <n v="4.4000000000000004"/>
    <n v="0.53679999999999994"/>
    <n v="12.2"/>
    <x v="5"/>
    <n v="1"/>
  </r>
  <r>
    <d v="2038-07-30T00:00:00"/>
    <x v="7"/>
    <n v="12.2"/>
    <n v="0"/>
    <n v="0"/>
    <n v="24.4"/>
    <x v="5"/>
    <n v="1"/>
  </r>
  <r>
    <d v="2038-07-31T00:00:00"/>
    <x v="15"/>
    <n v="13.7"/>
    <n v="28"/>
    <n v="3.8359999999999999"/>
    <n v="38.099999999999994"/>
    <x v="5"/>
    <n v="1"/>
  </r>
  <r>
    <d v="2038-08-01T00:00:00"/>
    <x v="13"/>
    <n v="27.9"/>
    <n v="0"/>
    <n v="0"/>
    <n v="66"/>
    <x v="5"/>
    <n v="1"/>
  </r>
  <r>
    <d v="2038-08-02T00:00:00"/>
    <x v="9"/>
    <n v="25.6"/>
    <n v="1.7"/>
    <n v="0.43520000000000003"/>
    <n v="91.6"/>
    <x v="5"/>
    <n v="1"/>
  </r>
  <r>
    <d v="2038-08-03T00:00:00"/>
    <x v="10"/>
    <n v="11.7"/>
    <n v="4.5999999999999996"/>
    <n v="0.5381999999999999"/>
    <n v="103.3"/>
    <x v="5"/>
    <n v="1"/>
  </r>
  <r>
    <d v="2038-08-04T00:00:00"/>
    <x v="4"/>
    <n v="27.3"/>
    <n v="0"/>
    <n v="0"/>
    <n v="130.6"/>
    <x v="5"/>
    <n v="1"/>
  </r>
  <r>
    <d v="2038-08-05T00:00:00"/>
    <x v="7"/>
    <n v="25.6"/>
    <n v="18.2"/>
    <n v="4.6592000000000002"/>
    <n v="25.6"/>
    <x v="5"/>
    <n v="1"/>
  </r>
  <r>
    <d v="2038-08-06T00:00:00"/>
    <x v="24"/>
    <n v="23.6"/>
    <n v="0.1"/>
    <n v="0"/>
    <n v="49.2"/>
    <x v="5"/>
    <n v="1"/>
  </r>
  <r>
    <d v="2038-08-07T00:00:00"/>
    <x v="6"/>
    <n v="14.6"/>
    <n v="0"/>
    <n v="0"/>
    <n v="63.800000000000004"/>
    <x v="5"/>
    <n v="1"/>
  </r>
  <r>
    <d v="2038-08-08T00:00:00"/>
    <x v="5"/>
    <n v="17.399999999999999"/>
    <n v="7.8"/>
    <n v="1.3572"/>
    <n v="81.2"/>
    <x v="5"/>
    <n v="1"/>
  </r>
  <r>
    <d v="2038-08-09T00:00:00"/>
    <x v="6"/>
    <n v="27.4"/>
    <n v="0"/>
    <n v="0"/>
    <n v="108.6"/>
    <x v="5"/>
    <n v="1"/>
  </r>
  <r>
    <d v="2038-08-10T00:00:00"/>
    <x v="15"/>
    <n v="15.2"/>
    <n v="5.9"/>
    <n v="0.89680000000000004"/>
    <n v="123.8"/>
    <x v="5"/>
    <n v="1"/>
  </r>
  <r>
    <d v="2038-08-11T00:00:00"/>
    <x v="25"/>
    <n v="11.6"/>
    <n v="0"/>
    <n v="0"/>
    <n v="135.4"/>
    <x v="5"/>
    <n v="1"/>
  </r>
  <r>
    <d v="2038-08-12T00:00:00"/>
    <x v="22"/>
    <n v="10.8"/>
    <n v="1.6"/>
    <n v="0.17280000000000001"/>
    <n v="10.8"/>
    <x v="5"/>
    <n v="1"/>
  </r>
  <r>
    <d v="2038-08-13T00:00:00"/>
    <x v="18"/>
    <n v="12"/>
    <n v="3.9"/>
    <n v="0.46799999999999997"/>
    <n v="22.8"/>
    <x v="5"/>
    <n v="1"/>
  </r>
  <r>
    <d v="2038-08-14T00:00:00"/>
    <x v="22"/>
    <n v="14"/>
    <n v="5"/>
    <n v="0.7"/>
    <n v="36.799999999999997"/>
    <x v="5"/>
    <n v="1"/>
  </r>
  <r>
    <d v="2038-08-15T00:00:00"/>
    <x v="15"/>
    <n v="26.4"/>
    <n v="0"/>
    <n v="0"/>
    <n v="63.199999999999996"/>
    <x v="5"/>
    <n v="1"/>
  </r>
  <r>
    <d v="2038-08-16T00:00:00"/>
    <x v="11"/>
    <n v="23"/>
    <n v="20.100000000000001"/>
    <n v="4.6230000000000002"/>
    <n v="86.199999999999989"/>
    <x v="5"/>
    <n v="1"/>
  </r>
  <r>
    <d v="2038-08-17T00:00:00"/>
    <x v="4"/>
    <n v="20.5"/>
    <n v="1.1000000000000001"/>
    <n v="0.22550000000000001"/>
    <n v="106.69999999999999"/>
    <x v="5"/>
    <n v="1"/>
  </r>
  <r>
    <d v="2038-08-18T00:00:00"/>
    <x v="10"/>
    <n v="15.9"/>
    <n v="3.1"/>
    <n v="0.4929"/>
    <n v="122.6"/>
    <x v="5"/>
    <n v="1"/>
  </r>
  <r>
    <d v="2038-08-19T00:00:00"/>
    <x v="6"/>
    <n v="20.8"/>
    <n v="6.9"/>
    <n v="1.4352"/>
    <n v="20.8"/>
    <x v="5"/>
    <n v="1"/>
  </r>
  <r>
    <d v="2038-08-20T00:00:00"/>
    <x v="17"/>
    <n v="12.9"/>
    <n v="1.5"/>
    <n v="0.19350000000000001"/>
    <n v="33.700000000000003"/>
    <x v="5"/>
    <n v="1"/>
  </r>
  <r>
    <d v="2038-08-21T00:00:00"/>
    <x v="15"/>
    <n v="11.6"/>
    <n v="15.8"/>
    <n v="1.8328"/>
    <n v="45.300000000000004"/>
    <x v="5"/>
    <n v="1"/>
  </r>
  <r>
    <d v="2038-08-22T00:00:00"/>
    <x v="9"/>
    <n v="25.6"/>
    <n v="0"/>
    <n v="0"/>
    <n v="70.900000000000006"/>
    <x v="5"/>
    <n v="1"/>
  </r>
  <r>
    <d v="2038-08-23T00:00:00"/>
    <x v="3"/>
    <n v="15.7"/>
    <n v="6.7"/>
    <n v="1.0519000000000001"/>
    <n v="86.600000000000009"/>
    <x v="5"/>
    <n v="1"/>
  </r>
  <r>
    <d v="2038-08-24T00:00:00"/>
    <x v="10"/>
    <n v="25.5"/>
    <n v="0"/>
    <n v="0"/>
    <n v="112.10000000000001"/>
    <x v="5"/>
    <n v="1"/>
  </r>
  <r>
    <d v="2038-08-25T00:00:00"/>
    <x v="18"/>
    <n v="19.5"/>
    <n v="3.4"/>
    <n v="0.66299999999999992"/>
    <n v="131.60000000000002"/>
    <x v="5"/>
    <n v="1"/>
  </r>
  <r>
    <d v="2038-08-26T00:00:00"/>
    <x v="21"/>
    <n v="14.1"/>
    <n v="0"/>
    <n v="0"/>
    <n v="14.1"/>
    <x v="5"/>
    <n v="1"/>
  </r>
  <r>
    <d v="2038-08-27T00:00:00"/>
    <x v="2"/>
    <n v="26.4"/>
    <n v="0"/>
    <n v="0"/>
    <n v="40.5"/>
    <x v="5"/>
    <n v="1"/>
  </r>
  <r>
    <d v="2038-08-28T00:00:00"/>
    <x v="11"/>
    <n v="11.7"/>
    <n v="8.4"/>
    <n v="0.98280000000000001"/>
    <n v="52.2"/>
    <x v="5"/>
    <n v="1"/>
  </r>
  <r>
    <d v="2038-08-29T00:00:00"/>
    <x v="21"/>
    <n v="28"/>
    <n v="0"/>
    <n v="0"/>
    <n v="80.2"/>
    <x v="5"/>
    <n v="1"/>
  </r>
  <r>
    <d v="2038-08-30T00:00:00"/>
    <x v="13"/>
    <n v="13"/>
    <n v="0.1"/>
    <n v="0"/>
    <n v="93.2"/>
    <x v="5"/>
    <n v="1"/>
  </r>
  <r>
    <d v="2038-08-31T00:00:00"/>
    <x v="7"/>
    <n v="10.8"/>
    <n v="11.3"/>
    <n v="1.2204000000000002"/>
    <n v="104"/>
    <x v="5"/>
    <n v="1"/>
  </r>
  <r>
    <d v="2038-09-01T00:00:00"/>
    <x v="7"/>
    <n v="26.4"/>
    <n v="18.7"/>
    <n v="4.9367999999999999"/>
    <n v="130.4"/>
    <x v="5"/>
    <n v="1"/>
  </r>
  <r>
    <d v="2038-09-02T00:00:00"/>
    <x v="15"/>
    <n v="26.7"/>
    <n v="3.9"/>
    <n v="1.0412999999999999"/>
    <n v="26.7"/>
    <x v="5"/>
    <n v="1"/>
  </r>
  <r>
    <d v="2038-09-03T00:00:00"/>
    <x v="7"/>
    <n v="11.7"/>
    <n v="13"/>
    <n v="1.5209999999999999"/>
    <n v="38.4"/>
    <x v="5"/>
    <n v="1"/>
  </r>
  <r>
    <d v="2038-09-04T00:00:00"/>
    <x v="26"/>
    <n v="12"/>
    <n v="0.4"/>
    <n v="0"/>
    <n v="50.4"/>
    <x v="5"/>
    <n v="1"/>
  </r>
  <r>
    <d v="2038-09-05T00:00:00"/>
    <x v="17"/>
    <n v="24.2"/>
    <n v="0.7"/>
    <n v="0"/>
    <n v="74.599999999999994"/>
    <x v="5"/>
    <n v="1"/>
  </r>
  <r>
    <d v="2038-09-06T00:00:00"/>
    <x v="22"/>
    <n v="27.3"/>
    <n v="3.7"/>
    <n v="1.0101"/>
    <n v="101.89999999999999"/>
    <x v="5"/>
    <n v="1"/>
  </r>
  <r>
    <d v="2038-09-07T00:00:00"/>
    <x v="9"/>
    <n v="10.7"/>
    <n v="0"/>
    <n v="0"/>
    <n v="112.6"/>
    <x v="5"/>
    <n v="1"/>
  </r>
  <r>
    <d v="2038-09-08T00:00:00"/>
    <x v="4"/>
    <n v="11.1"/>
    <n v="0"/>
    <n v="0"/>
    <n v="123.69999999999999"/>
    <x v="5"/>
    <n v="1"/>
  </r>
  <r>
    <d v="2038-09-09T00:00:00"/>
    <x v="3"/>
    <n v="28.5"/>
    <n v="19.8"/>
    <n v="5.6430000000000007"/>
    <n v="28.5"/>
    <x v="5"/>
    <n v="1"/>
  </r>
  <r>
    <d v="2038-09-10T00:00:00"/>
    <x v="15"/>
    <n v="10.1"/>
    <n v="0"/>
    <n v="0"/>
    <n v="38.6"/>
    <x v="5"/>
    <n v="1"/>
  </r>
  <r>
    <d v="2038-09-11T00:00:00"/>
    <x v="5"/>
    <n v="20.8"/>
    <n v="11.2"/>
    <n v="2.3295999999999997"/>
    <n v="59.400000000000006"/>
    <x v="5"/>
    <n v="1"/>
  </r>
  <r>
    <d v="2038-09-12T00:00:00"/>
    <x v="3"/>
    <n v="16.600000000000001"/>
    <n v="0"/>
    <n v="0"/>
    <n v="76"/>
    <x v="5"/>
    <n v="1"/>
  </r>
  <r>
    <d v="2038-09-13T00:00:00"/>
    <x v="9"/>
    <n v="26.4"/>
    <n v="10"/>
    <n v="2.64"/>
    <n v="102.4"/>
    <x v="5"/>
    <n v="1"/>
  </r>
  <r>
    <d v="2038-09-14T00:00:00"/>
    <x v="18"/>
    <n v="15.1"/>
    <n v="0"/>
    <n v="0"/>
    <n v="117.5"/>
    <x v="5"/>
    <n v="1"/>
  </r>
  <r>
    <d v="2038-09-15T00:00:00"/>
    <x v="2"/>
    <n v="20.9"/>
    <n v="10.1"/>
    <n v="2.1108999999999996"/>
    <n v="138.4"/>
    <x v="5"/>
    <n v="1"/>
  </r>
  <r>
    <d v="2038-09-16T00:00:00"/>
    <x v="9"/>
    <n v="27.3"/>
    <n v="5.3"/>
    <n v="1.4469000000000001"/>
    <n v="27.3"/>
    <x v="5"/>
    <n v="1"/>
  </r>
  <r>
    <d v="2038-09-17T00:00:00"/>
    <x v="2"/>
    <n v="17.600000000000001"/>
    <n v="5.5"/>
    <n v="0.96800000000000008"/>
    <n v="44.900000000000006"/>
    <x v="5"/>
    <n v="1"/>
  </r>
  <r>
    <d v="2038-09-18T00:00:00"/>
    <x v="15"/>
    <n v="27.8"/>
    <n v="0"/>
    <n v="0"/>
    <n v="72.7"/>
    <x v="5"/>
    <n v="1"/>
  </r>
  <r>
    <d v="2038-09-19T00:00:00"/>
    <x v="6"/>
    <n v="25.8"/>
    <n v="12.1"/>
    <n v="3.1217999999999999"/>
    <n v="98.5"/>
    <x v="5"/>
    <n v="1"/>
  </r>
  <r>
    <d v="2038-09-20T00:00:00"/>
    <x v="22"/>
    <n v="18.100000000000001"/>
    <n v="1.1000000000000001"/>
    <n v="0.19910000000000003"/>
    <n v="116.6"/>
    <x v="5"/>
    <n v="1"/>
  </r>
  <r>
    <d v="2038-09-21T00:00:00"/>
    <x v="8"/>
    <n v="21.9"/>
    <n v="7.7"/>
    <n v="1.6862999999999999"/>
    <n v="138.5"/>
    <x v="5"/>
    <n v="1"/>
  </r>
  <r>
    <d v="2038-09-22T00:00:00"/>
    <x v="23"/>
    <n v="23.2"/>
    <n v="5.0999999999999996"/>
    <n v="1.1832"/>
    <n v="161.69999999999999"/>
    <x v="5"/>
    <n v="1"/>
  </r>
  <r>
    <d v="2038-09-23T00:00:00"/>
    <x v="27"/>
    <n v="26.6"/>
    <n v="0.3"/>
    <n v="0"/>
    <n v="26.6"/>
    <x v="5"/>
    <n v="1"/>
  </r>
  <r>
    <d v="2038-09-24T00:00:00"/>
    <x v="7"/>
    <n v="23.2"/>
    <n v="0"/>
    <n v="0"/>
    <n v="49.8"/>
    <x v="5"/>
    <n v="1"/>
  </r>
  <r>
    <d v="2038-09-25T00:00:00"/>
    <x v="6"/>
    <n v="11"/>
    <n v="40.9"/>
    <n v="4.4989999999999997"/>
    <n v="60.8"/>
    <x v="5"/>
    <n v="1"/>
  </r>
  <r>
    <d v="2038-09-26T00:00:00"/>
    <x v="19"/>
    <n v="26.8"/>
    <n v="2.2999999999999998"/>
    <n v="0.61639999999999995"/>
    <n v="87.6"/>
    <x v="5"/>
    <n v="1"/>
  </r>
  <r>
    <d v="2038-09-27T00:00:00"/>
    <x v="9"/>
    <n v="22.2"/>
    <n v="0"/>
    <n v="0"/>
    <n v="109.8"/>
    <x v="5"/>
    <n v="1"/>
  </r>
  <r>
    <d v="2038-09-28T00:00:00"/>
    <x v="14"/>
    <n v="10.199999999999999"/>
    <n v="6.1"/>
    <n v="0.62219999999999986"/>
    <n v="120"/>
    <x v="5"/>
    <n v="1"/>
  </r>
  <r>
    <d v="2038-09-29T00:00:00"/>
    <x v="29"/>
    <n v="18.399999999999999"/>
    <n v="1.5"/>
    <n v="0.27599999999999997"/>
    <n v="138.4"/>
    <x v="5"/>
    <n v="1"/>
  </r>
  <r>
    <d v="2038-09-30T00:00:00"/>
    <x v="3"/>
    <n v="29.4"/>
    <n v="22.3"/>
    <n v="6.5562000000000005"/>
    <n v="29.4"/>
    <x v="5"/>
    <n v="1"/>
  </r>
  <r>
    <d v="2038-10-01T00:00:00"/>
    <x v="19"/>
    <n v="23.4"/>
    <n v="0"/>
    <n v="0"/>
    <n v="52.8"/>
    <x v="5"/>
    <n v="1"/>
  </r>
  <r>
    <d v="2038-10-02T00:00:00"/>
    <x v="1"/>
    <n v="13.6"/>
    <n v="6.1"/>
    <n v="0.82959999999999989"/>
    <n v="66.399999999999991"/>
    <x v="5"/>
    <n v="1"/>
  </r>
  <r>
    <d v="2038-10-03T00:00:00"/>
    <x v="3"/>
    <n v="17.7"/>
    <n v="1.4"/>
    <n v="0.24779999999999996"/>
    <n v="84.1"/>
    <x v="5"/>
    <n v="1"/>
  </r>
  <r>
    <d v="2038-10-04T00:00:00"/>
    <x v="19"/>
    <n v="17"/>
    <n v="5.9"/>
    <n v="1.0030000000000001"/>
    <n v="101.1"/>
    <x v="5"/>
    <n v="1"/>
  </r>
  <r>
    <d v="2038-10-05T00:00:00"/>
    <x v="2"/>
    <n v="29.6"/>
    <n v="6.6"/>
    <n v="1.9535999999999998"/>
    <n v="130.69999999999999"/>
    <x v="5"/>
    <n v="1"/>
  </r>
  <r>
    <d v="2038-10-06T00:00:00"/>
    <x v="6"/>
    <n v="23.4"/>
    <n v="0"/>
    <n v="0"/>
    <n v="154.1"/>
    <x v="5"/>
    <n v="1"/>
  </r>
  <r>
    <d v="2038-10-07T00:00:00"/>
    <x v="3"/>
    <n v="21.3"/>
    <n v="22.4"/>
    <n v="4.7712000000000003"/>
    <n v="21.3"/>
    <x v="5"/>
    <n v="1"/>
  </r>
  <r>
    <d v="2038-10-08T00:00:00"/>
    <x v="15"/>
    <n v="18.600000000000001"/>
    <n v="0"/>
    <n v="0"/>
    <n v="39.900000000000006"/>
    <x v="5"/>
    <n v="1"/>
  </r>
  <r>
    <d v="2038-10-09T00:00:00"/>
    <x v="9"/>
    <n v="16.8"/>
    <n v="2.8"/>
    <n v="0.47039999999999998"/>
    <n v="56.7"/>
    <x v="5"/>
    <n v="1"/>
  </r>
  <r>
    <d v="2038-10-10T00:00:00"/>
    <x v="16"/>
    <n v="13.2"/>
    <n v="4"/>
    <n v="0.52800000000000002"/>
    <n v="69.900000000000006"/>
    <x v="5"/>
    <n v="1"/>
  </r>
  <r>
    <d v="2038-10-11T00:00:00"/>
    <x v="15"/>
    <n v="29.8"/>
    <n v="24.9"/>
    <n v="7.4201999999999995"/>
    <n v="99.7"/>
    <x v="5"/>
    <n v="1"/>
  </r>
  <r>
    <d v="2038-10-12T00:00:00"/>
    <x v="6"/>
    <n v="10.6"/>
    <n v="31.8"/>
    <n v="3.3708"/>
    <n v="110.3"/>
    <x v="5"/>
    <n v="1"/>
  </r>
  <r>
    <d v="2038-10-13T00:00:00"/>
    <x v="11"/>
    <n v="11.9"/>
    <n v="12.3"/>
    <n v="1.4637"/>
    <n v="122.2"/>
    <x v="5"/>
    <n v="1"/>
  </r>
  <r>
    <d v="2038-10-14T00:00:00"/>
    <x v="26"/>
    <n v="26.8"/>
    <n v="0.5"/>
    <n v="0"/>
    <n v="26.8"/>
    <x v="5"/>
    <n v="1"/>
  </r>
  <r>
    <d v="2038-10-15T00:00:00"/>
    <x v="18"/>
    <n v="29"/>
    <n v="3.5"/>
    <n v="1.0149999999999999"/>
    <n v="55.8"/>
    <x v="5"/>
    <n v="1"/>
  </r>
  <r>
    <d v="2038-10-16T00:00:00"/>
    <x v="16"/>
    <n v="22.9"/>
    <n v="2"/>
    <n v="0.45799999999999996"/>
    <n v="78.699999999999989"/>
    <x v="5"/>
    <n v="1"/>
  </r>
  <r>
    <d v="2038-10-17T00:00:00"/>
    <x v="17"/>
    <n v="27.1"/>
    <n v="0"/>
    <n v="0"/>
    <n v="105.79999999999998"/>
    <x v="5"/>
    <n v="1"/>
  </r>
  <r>
    <d v="2038-10-18T00:00:00"/>
    <x v="6"/>
    <n v="11.8"/>
    <n v="49"/>
    <n v="5.782"/>
    <n v="117.59999999999998"/>
    <x v="5"/>
    <n v="1"/>
  </r>
  <r>
    <d v="2038-10-19T00:00:00"/>
    <x v="2"/>
    <n v="26.6"/>
    <n v="0"/>
    <n v="0"/>
    <n v="144.19999999999999"/>
    <x v="5"/>
    <n v="1"/>
  </r>
  <r>
    <d v="2038-10-20T00:00:00"/>
    <x v="14"/>
    <n v="21.3"/>
    <n v="0"/>
    <n v="0"/>
    <n v="165.5"/>
    <x v="5"/>
    <n v="1"/>
  </r>
  <r>
    <d v="2038-10-21T00:00:00"/>
    <x v="7"/>
    <n v="23.2"/>
    <n v="0"/>
    <n v="0"/>
    <n v="23.2"/>
    <x v="5"/>
    <n v="1"/>
  </r>
  <r>
    <d v="2038-10-22T00:00:00"/>
    <x v="6"/>
    <n v="27.3"/>
    <n v="0"/>
    <n v="0"/>
    <n v="50.5"/>
    <x v="5"/>
    <n v="1"/>
  </r>
  <r>
    <d v="2038-10-23T00:00:00"/>
    <x v="9"/>
    <n v="21.3"/>
    <n v="2.6"/>
    <n v="0.55380000000000007"/>
    <n v="71.8"/>
    <x v="5"/>
    <n v="1"/>
  </r>
  <r>
    <d v="2038-10-24T00:00:00"/>
    <x v="15"/>
    <n v="22.9"/>
    <n v="5.3"/>
    <n v="1.2137"/>
    <n v="94.699999999999989"/>
    <x v="5"/>
    <n v="1"/>
  </r>
  <r>
    <d v="2038-10-25T00:00:00"/>
    <x v="24"/>
    <n v="25"/>
    <n v="0"/>
    <n v="0"/>
    <n v="119.69999999999999"/>
    <x v="5"/>
    <n v="1"/>
  </r>
  <r>
    <d v="2038-10-26T00:00:00"/>
    <x v="20"/>
    <n v="15.9"/>
    <n v="2.5"/>
    <n v="0.39750000000000002"/>
    <n v="135.6"/>
    <x v="5"/>
    <n v="1"/>
  </r>
  <r>
    <d v="2038-10-27T00:00:00"/>
    <x v="18"/>
    <n v="19.2"/>
    <n v="1.3"/>
    <n v="0.24960000000000002"/>
    <n v="154.79999999999998"/>
    <x v="5"/>
    <n v="1"/>
  </r>
  <r>
    <d v="2038-10-28T00:00:00"/>
    <x v="3"/>
    <n v="22.5"/>
    <n v="10.9"/>
    <n v="2.4525000000000001"/>
    <n v="22.5"/>
    <x v="5"/>
    <n v="1"/>
  </r>
  <r>
    <d v="2038-10-29T00:00:00"/>
    <x v="9"/>
    <n v="28.7"/>
    <n v="13.3"/>
    <n v="3.8171000000000004"/>
    <n v="51.2"/>
    <x v="5"/>
    <n v="1"/>
  </r>
  <r>
    <d v="2038-10-30T00:00:00"/>
    <x v="15"/>
    <n v="14.6"/>
    <n v="29.3"/>
    <n v="4.2778"/>
    <n v="65.8"/>
    <x v="5"/>
    <n v="1"/>
  </r>
  <r>
    <d v="2038-10-31T00:00:00"/>
    <x v="14"/>
    <n v="12.1"/>
    <n v="6.5"/>
    <n v="0.78649999999999987"/>
    <n v="77.899999999999991"/>
    <x v="5"/>
    <n v="1"/>
  </r>
  <r>
    <d v="2038-11-01T00:00:00"/>
    <x v="15"/>
    <n v="20"/>
    <n v="26.1"/>
    <n v="5.22"/>
    <n v="97.899999999999991"/>
    <x v="5"/>
    <n v="1"/>
  </r>
  <r>
    <d v="2038-11-02T00:00:00"/>
    <x v="23"/>
    <n v="20.8"/>
    <n v="2.5"/>
    <n v="0.52"/>
    <n v="118.69999999999999"/>
    <x v="5"/>
    <n v="1"/>
  </r>
  <r>
    <d v="2038-11-03T00:00:00"/>
    <x v="3"/>
    <n v="26.6"/>
    <n v="5.9"/>
    <n v="1.5694000000000004"/>
    <n v="145.29999999999998"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97987-E66B-468C-8148-ED79A098B1DF}" name="Tabela przestawna1" cacheId="6877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B34" firstHeaderRow="1" firstDataRow="1" firstDataCol="1"/>
  <pivotFields count="5">
    <pivotField compact="0" numFmtId="14" outline="0" showAll="0"/>
    <pivotField axis="axisRow" compact="0" outline="0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dataField="1" compact="0" outline="0" showAll="0"/>
    <pivotField compact="0" outline="0" showAll="0"/>
    <pivotField compact="0" outline="0" showAll="0"/>
  </pivotFields>
  <rowFields count="1">
    <field x="1"/>
  </rowFields>
  <row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Średnia z masa [kg]" fld="2" subtotal="average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C99CA2-D1B0-4266-9EF0-5EE887626F36}" name="Tabela przestawna4" cacheId="697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compact="0" compactData="0" multipleFieldFilters="0">
  <location ref="A3:AF11" firstHeaderRow="1" firstDataRow="2" firstDataCol="1"/>
  <pivotFields count="8">
    <pivotField compact="0" numFmtId="14" outline="0" showAll="0"/>
    <pivotField axis="axisCol" compact="0" outline="0" showAll="0">
      <items count="31">
        <item x="19"/>
        <item x="7"/>
        <item x="1"/>
        <item x="10"/>
        <item x="22"/>
        <item x="20"/>
        <item x="23"/>
        <item x="0"/>
        <item x="3"/>
        <item x="26"/>
        <item x="16"/>
        <item x="9"/>
        <item x="27"/>
        <item x="6"/>
        <item x="4"/>
        <item x="13"/>
        <item x="18"/>
        <item x="25"/>
        <item x="5"/>
        <item x="28"/>
        <item x="17"/>
        <item x="14"/>
        <item x="2"/>
        <item x="12"/>
        <item x="29"/>
        <item x="11"/>
        <item x="8"/>
        <item x="21"/>
        <item x="15"/>
        <item x="2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colItems>
  <dataFields count="1">
    <dataField name="Suma z ileRazy(pomoc)" fld="7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R2074"/>
  <sheetViews>
    <sheetView tabSelected="1" topLeftCell="E1" workbookViewId="0">
      <selection activeCell="M3" sqref="M3"/>
    </sheetView>
  </sheetViews>
  <sheetFormatPr defaultRowHeight="15"/>
  <cols>
    <col min="2" max="2" width="11.7109375" customWidth="1"/>
    <col min="3" max="3" width="17.42578125" customWidth="1"/>
    <col min="4" max="4" width="10.7109375" customWidth="1"/>
    <col min="5" max="5" width="14" customWidth="1"/>
    <col min="6" max="6" width="23.7109375" customWidth="1"/>
    <col min="7" max="7" width="22.7109375" bestFit="1" customWidth="1"/>
    <col min="9" max="9" width="15.7109375" customWidth="1"/>
    <col min="10" max="10" width="22.28515625" customWidth="1"/>
    <col min="11" max="11" width="20" bestFit="1" customWidth="1"/>
    <col min="12" max="12" width="23.5703125" bestFit="1" customWidth="1"/>
    <col min="14" max="14" width="25.42578125" customWidth="1"/>
    <col min="15" max="15" width="11.42578125" customWidth="1"/>
    <col min="16" max="16" width="10.85546875" bestFit="1" customWidth="1"/>
    <col min="17" max="17" width="12.28515625" customWidth="1"/>
  </cols>
  <sheetData>
    <row r="2" spans="2:18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N2" t="s">
        <v>11</v>
      </c>
    </row>
    <row r="3" spans="2:18">
      <c r="B3" s="1">
        <v>48641</v>
      </c>
      <c r="C3" t="s">
        <v>12</v>
      </c>
      <c r="D3">
        <v>27.8</v>
      </c>
      <c r="E3">
        <v>0.2</v>
      </c>
      <c r="F3">
        <f>IF(E3&gt;=1,D3*E3/100,0)</f>
        <v>0</v>
      </c>
      <c r="G3">
        <f>D3</f>
        <v>27.8</v>
      </c>
      <c r="H3">
        <f>YEAR(B3)</f>
        <v>2033</v>
      </c>
      <c r="I3">
        <v>1</v>
      </c>
      <c r="J3">
        <v>0</v>
      </c>
      <c r="K3">
        <v>0</v>
      </c>
      <c r="L3">
        <v>0</v>
      </c>
      <c r="M3">
        <f>MAX(G:G)</f>
        <v>174.49999999999997</v>
      </c>
      <c r="N3" s="4" t="s">
        <v>13</v>
      </c>
      <c r="O3" s="4"/>
      <c r="P3" s="4"/>
      <c r="Q3">
        <f>SUM(D:D)</f>
        <v>41498.199999999975</v>
      </c>
      <c r="R3" t="s">
        <v>14</v>
      </c>
    </row>
    <row r="4" spans="2:18">
      <c r="B4" s="1">
        <v>48642</v>
      </c>
      <c r="C4" t="s">
        <v>15</v>
      </c>
      <c r="D4">
        <v>11.8</v>
      </c>
      <c r="E4">
        <v>1.7</v>
      </c>
      <c r="F4">
        <f>IF(E4&gt;=1,D4*E4/100,0)</f>
        <v>0.20060000000000003</v>
      </c>
      <c r="G4">
        <f>D3+D4</f>
        <v>39.6</v>
      </c>
      <c r="H4">
        <f t="shared" ref="H4:H67" si="0">YEAR(B4)</f>
        <v>2033</v>
      </c>
      <c r="I4">
        <v>1</v>
      </c>
      <c r="J4">
        <f>L3+F4</f>
        <v>0.20060000000000003</v>
      </c>
      <c r="K4">
        <f>IF(J4&gt;=100,1,0)</f>
        <v>0</v>
      </c>
      <c r="L4">
        <f>IF(K4=1,J4-100,J4)</f>
        <v>0.20060000000000003</v>
      </c>
      <c r="N4" s="4" t="s">
        <v>16</v>
      </c>
      <c r="O4" s="4"/>
      <c r="P4" s="4"/>
      <c r="Q4">
        <f>SUM(F:F)</f>
        <v>3092.2943000000032</v>
      </c>
      <c r="R4" t="s">
        <v>14</v>
      </c>
    </row>
    <row r="5" spans="2:18">
      <c r="B5" s="1">
        <v>48643</v>
      </c>
      <c r="C5" t="s">
        <v>17</v>
      </c>
      <c r="D5">
        <v>21</v>
      </c>
      <c r="E5">
        <v>6</v>
      </c>
      <c r="F5">
        <f t="shared" ref="F5:F68" si="1">IF(E5&gt;=1,D5*E5/100,0)</f>
        <v>1.26</v>
      </c>
      <c r="G5">
        <f>D3+D4+D5</f>
        <v>60.6</v>
      </c>
      <c r="H5">
        <f t="shared" si="0"/>
        <v>2033</v>
      </c>
      <c r="I5">
        <v>1</v>
      </c>
      <c r="J5">
        <f t="shared" ref="J5:J68" si="2">L4+F5</f>
        <v>1.4606000000000001</v>
      </c>
      <c r="K5">
        <f t="shared" ref="K5:K68" si="3">IF(J5&gt;=100,1,0)</f>
        <v>0</v>
      </c>
      <c r="L5">
        <f t="shared" ref="L5:L68" si="4">IF(K5=1,J5-100,J5)</f>
        <v>1.4606000000000001</v>
      </c>
    </row>
    <row r="6" spans="2:18">
      <c r="B6" s="1">
        <v>48644</v>
      </c>
      <c r="C6" t="s">
        <v>18</v>
      </c>
      <c r="D6">
        <v>26.3</v>
      </c>
      <c r="E6">
        <v>11.4</v>
      </c>
      <c r="F6">
        <f t="shared" si="1"/>
        <v>2.9981999999999998</v>
      </c>
      <c r="G6">
        <f>D3+D4+D5+D6</f>
        <v>86.9</v>
      </c>
      <c r="H6">
        <f t="shared" si="0"/>
        <v>2033</v>
      </c>
      <c r="I6">
        <v>1</v>
      </c>
      <c r="J6">
        <f t="shared" si="2"/>
        <v>4.4588000000000001</v>
      </c>
      <c r="K6">
        <f t="shared" si="3"/>
        <v>0</v>
      </c>
      <c r="L6">
        <f t="shared" si="4"/>
        <v>4.4588000000000001</v>
      </c>
    </row>
    <row r="7" spans="2:18">
      <c r="B7" s="1">
        <v>48645</v>
      </c>
      <c r="C7" t="s">
        <v>19</v>
      </c>
      <c r="D7">
        <v>28.8</v>
      </c>
      <c r="E7">
        <v>0</v>
      </c>
      <c r="F7">
        <f t="shared" si="1"/>
        <v>0</v>
      </c>
      <c r="G7">
        <f>D3+D4+D5+D6+D7</f>
        <v>115.7</v>
      </c>
      <c r="H7">
        <f t="shared" si="0"/>
        <v>2033</v>
      </c>
      <c r="I7">
        <v>1</v>
      </c>
      <c r="J7">
        <f t="shared" si="2"/>
        <v>4.4588000000000001</v>
      </c>
      <c r="K7">
        <f t="shared" si="3"/>
        <v>0</v>
      </c>
      <c r="L7">
        <f t="shared" si="4"/>
        <v>4.4588000000000001</v>
      </c>
      <c r="N7" t="s">
        <v>20</v>
      </c>
    </row>
    <row r="8" spans="2:18">
      <c r="B8" s="1">
        <v>48646</v>
      </c>
      <c r="C8" t="s">
        <v>21</v>
      </c>
      <c r="D8">
        <v>29.2</v>
      </c>
      <c r="E8">
        <v>0</v>
      </c>
      <c r="F8">
        <f t="shared" si="1"/>
        <v>0</v>
      </c>
      <c r="G8">
        <f>D3+D4+D5+D6+D7+D8</f>
        <v>144.9</v>
      </c>
      <c r="H8">
        <f t="shared" si="0"/>
        <v>2033</v>
      </c>
      <c r="I8">
        <v>1</v>
      </c>
      <c r="J8">
        <f t="shared" si="2"/>
        <v>4.4588000000000001</v>
      </c>
      <c r="K8">
        <f t="shared" si="3"/>
        <v>0</v>
      </c>
      <c r="L8">
        <f t="shared" si="4"/>
        <v>4.4588000000000001</v>
      </c>
      <c r="N8" s="5" t="s">
        <v>22</v>
      </c>
      <c r="O8" s="5"/>
      <c r="P8" s="5"/>
      <c r="Q8" s="3" t="s">
        <v>23</v>
      </c>
    </row>
    <row r="9" spans="2:18">
      <c r="B9" s="1">
        <v>48647</v>
      </c>
      <c r="C9" t="s">
        <v>24</v>
      </c>
      <c r="D9">
        <v>25.6</v>
      </c>
      <c r="E9">
        <v>28.7</v>
      </c>
      <c r="F9">
        <f t="shared" si="1"/>
        <v>7.3472</v>
      </c>
      <c r="G9">
        <f>D3+D4+D5+D6+D7+D8+D9</f>
        <v>170.5</v>
      </c>
      <c r="H9">
        <f t="shared" si="0"/>
        <v>2033</v>
      </c>
      <c r="I9">
        <v>1</v>
      </c>
      <c r="J9">
        <f t="shared" si="2"/>
        <v>11.806000000000001</v>
      </c>
      <c r="K9">
        <f t="shared" si="3"/>
        <v>0</v>
      </c>
      <c r="L9">
        <f t="shared" si="4"/>
        <v>11.806000000000001</v>
      </c>
      <c r="N9" s="5"/>
      <c r="O9" s="5"/>
      <c r="P9" s="5"/>
      <c r="Q9" s="3"/>
    </row>
    <row r="10" spans="2:18">
      <c r="B10" s="1">
        <v>48648</v>
      </c>
      <c r="C10" t="s">
        <v>25</v>
      </c>
      <c r="D10">
        <v>10.1</v>
      </c>
      <c r="E10">
        <v>7.7</v>
      </c>
      <c r="F10">
        <f t="shared" si="1"/>
        <v>0.77769999999999995</v>
      </c>
      <c r="G10">
        <f t="shared" ref="G10:G73" si="5">D10</f>
        <v>10.1</v>
      </c>
      <c r="H10">
        <f t="shared" si="0"/>
        <v>2033</v>
      </c>
      <c r="I10">
        <v>1</v>
      </c>
      <c r="J10">
        <f t="shared" si="2"/>
        <v>12.5837</v>
      </c>
      <c r="K10">
        <f t="shared" si="3"/>
        <v>0</v>
      </c>
      <c r="L10">
        <f t="shared" si="4"/>
        <v>12.5837</v>
      </c>
    </row>
    <row r="11" spans="2:18">
      <c r="B11" s="1">
        <v>48649</v>
      </c>
      <c r="C11" t="s">
        <v>26</v>
      </c>
      <c r="D11">
        <v>14.6</v>
      </c>
      <c r="E11">
        <v>0</v>
      </c>
      <c r="F11">
        <f t="shared" si="1"/>
        <v>0</v>
      </c>
      <c r="G11">
        <f t="shared" ref="G11:G74" si="6">D10+D11</f>
        <v>24.7</v>
      </c>
      <c r="H11">
        <f t="shared" si="0"/>
        <v>2033</v>
      </c>
      <c r="I11">
        <v>1</v>
      </c>
      <c r="J11">
        <f t="shared" si="2"/>
        <v>12.5837</v>
      </c>
      <c r="K11">
        <f t="shared" si="3"/>
        <v>0</v>
      </c>
      <c r="L11">
        <f t="shared" si="4"/>
        <v>12.5837</v>
      </c>
    </row>
    <row r="12" spans="2:18">
      <c r="B12" s="1">
        <v>48650</v>
      </c>
      <c r="C12" t="s">
        <v>27</v>
      </c>
      <c r="D12">
        <v>11.5</v>
      </c>
      <c r="E12">
        <v>1.9</v>
      </c>
      <c r="F12">
        <f t="shared" si="1"/>
        <v>0.21849999999999997</v>
      </c>
      <c r="G12">
        <f t="shared" ref="G12" si="7">D10+D11+D12</f>
        <v>36.200000000000003</v>
      </c>
      <c r="H12">
        <f t="shared" si="0"/>
        <v>2033</v>
      </c>
      <c r="I12">
        <v>1</v>
      </c>
      <c r="J12">
        <f t="shared" si="2"/>
        <v>12.802200000000001</v>
      </c>
      <c r="K12">
        <f t="shared" si="3"/>
        <v>0</v>
      </c>
      <c r="L12">
        <f t="shared" si="4"/>
        <v>12.802200000000001</v>
      </c>
      <c r="N12" t="s">
        <v>28</v>
      </c>
    </row>
    <row r="13" spans="2:18">
      <c r="B13" s="1">
        <v>48651</v>
      </c>
      <c r="C13" t="s">
        <v>21</v>
      </c>
      <c r="D13">
        <v>15.2</v>
      </c>
      <c r="E13">
        <v>0</v>
      </c>
      <c r="F13">
        <f t="shared" si="1"/>
        <v>0</v>
      </c>
      <c r="G13">
        <f t="shared" ref="G13" si="8">D10+D11+D12+D13</f>
        <v>51.400000000000006</v>
      </c>
      <c r="H13">
        <f t="shared" si="0"/>
        <v>2033</v>
      </c>
      <c r="I13">
        <v>1</v>
      </c>
      <c r="J13">
        <f t="shared" si="2"/>
        <v>12.802200000000001</v>
      </c>
      <c r="K13">
        <f t="shared" si="3"/>
        <v>0</v>
      </c>
      <c r="L13">
        <f t="shared" si="4"/>
        <v>12.802200000000001</v>
      </c>
      <c r="N13" s="10" t="s">
        <v>29</v>
      </c>
      <c r="O13" s="10"/>
      <c r="P13" s="10"/>
      <c r="Q13" s="8">
        <v>49656</v>
      </c>
    </row>
    <row r="14" spans="2:18">
      <c r="B14" s="1">
        <v>48652</v>
      </c>
      <c r="C14" t="s">
        <v>24</v>
      </c>
      <c r="D14">
        <v>10.199999999999999</v>
      </c>
      <c r="E14">
        <v>13.3</v>
      </c>
      <c r="F14">
        <f t="shared" si="1"/>
        <v>1.3566</v>
      </c>
      <c r="G14">
        <f t="shared" ref="G14" si="9">D10+D11+D12+D13+D14</f>
        <v>61.600000000000009</v>
      </c>
      <c r="H14">
        <f t="shared" si="0"/>
        <v>2033</v>
      </c>
      <c r="I14">
        <v>1</v>
      </c>
      <c r="J14">
        <f t="shared" si="2"/>
        <v>14.158800000000001</v>
      </c>
      <c r="K14">
        <f t="shared" si="3"/>
        <v>0</v>
      </c>
      <c r="L14">
        <f t="shared" si="4"/>
        <v>14.158800000000001</v>
      </c>
      <c r="N14" s="9" t="s">
        <v>30</v>
      </c>
      <c r="O14" s="9"/>
      <c r="P14" s="9"/>
      <c r="Q14" s="11">
        <v>174.5</v>
      </c>
      <c r="R14" s="12" t="s">
        <v>14</v>
      </c>
    </row>
    <row r="15" spans="2:18">
      <c r="B15" s="1">
        <v>48653</v>
      </c>
      <c r="C15" t="s">
        <v>31</v>
      </c>
      <c r="D15">
        <v>20.399999999999999</v>
      </c>
      <c r="E15">
        <v>4.5999999999999996</v>
      </c>
      <c r="F15">
        <f t="shared" si="1"/>
        <v>0.9383999999999999</v>
      </c>
      <c r="G15">
        <f t="shared" ref="G15" si="10">D10+D11+D12+D13+D14+D15</f>
        <v>82</v>
      </c>
      <c r="H15">
        <f t="shared" si="0"/>
        <v>2033</v>
      </c>
      <c r="I15">
        <v>1</v>
      </c>
      <c r="J15">
        <f t="shared" si="2"/>
        <v>15.097200000000001</v>
      </c>
      <c r="K15">
        <f t="shared" si="3"/>
        <v>0</v>
      </c>
      <c r="L15">
        <f t="shared" si="4"/>
        <v>15.097200000000001</v>
      </c>
      <c r="N15" s="9"/>
      <c r="O15" s="9"/>
      <c r="P15" s="9"/>
      <c r="Q15" s="11"/>
      <c r="R15" s="12"/>
    </row>
    <row r="16" spans="2:18">
      <c r="B16" s="1">
        <v>48654</v>
      </c>
      <c r="C16" t="s">
        <v>31</v>
      </c>
      <c r="D16">
        <v>13.6</v>
      </c>
      <c r="E16">
        <v>8</v>
      </c>
      <c r="F16">
        <f t="shared" si="1"/>
        <v>1.0880000000000001</v>
      </c>
      <c r="G16">
        <f t="shared" ref="G16" si="11">D10+D11+D12+D13+D14+D15+D16</f>
        <v>95.6</v>
      </c>
      <c r="H16">
        <f t="shared" si="0"/>
        <v>2033</v>
      </c>
      <c r="I16">
        <v>1</v>
      </c>
      <c r="J16">
        <f t="shared" si="2"/>
        <v>16.185200000000002</v>
      </c>
      <c r="K16">
        <f t="shared" si="3"/>
        <v>0</v>
      </c>
      <c r="L16">
        <f t="shared" si="4"/>
        <v>16.185200000000002</v>
      </c>
    </row>
    <row r="17" spans="2:44">
      <c r="B17" s="1">
        <v>48655</v>
      </c>
      <c r="C17" t="s">
        <v>32</v>
      </c>
      <c r="D17">
        <v>11</v>
      </c>
      <c r="E17">
        <v>11.6</v>
      </c>
      <c r="F17">
        <f t="shared" si="1"/>
        <v>1.276</v>
      </c>
      <c r="G17">
        <f t="shared" ref="G17:G80" si="12">D17</f>
        <v>11</v>
      </c>
      <c r="H17">
        <f t="shared" si="0"/>
        <v>2033</v>
      </c>
      <c r="I17">
        <v>1</v>
      </c>
      <c r="J17">
        <f t="shared" si="2"/>
        <v>17.461200000000002</v>
      </c>
      <c r="K17">
        <f t="shared" si="3"/>
        <v>0</v>
      </c>
      <c r="L17">
        <f t="shared" si="4"/>
        <v>17.461200000000002</v>
      </c>
    </row>
    <row r="18" spans="2:44">
      <c r="B18" s="1">
        <v>48656</v>
      </c>
      <c r="C18" t="s">
        <v>33</v>
      </c>
      <c r="D18">
        <v>14.1</v>
      </c>
      <c r="E18">
        <v>0</v>
      </c>
      <c r="F18">
        <f t="shared" si="1"/>
        <v>0</v>
      </c>
      <c r="G18">
        <f t="shared" ref="G18:G81" si="13">D17+D18</f>
        <v>25.1</v>
      </c>
      <c r="H18">
        <f t="shared" si="0"/>
        <v>2033</v>
      </c>
      <c r="I18">
        <v>1</v>
      </c>
      <c r="J18">
        <f t="shared" si="2"/>
        <v>17.461200000000002</v>
      </c>
      <c r="K18">
        <f t="shared" si="3"/>
        <v>0</v>
      </c>
      <c r="L18">
        <f t="shared" si="4"/>
        <v>17.461200000000002</v>
      </c>
      <c r="N18" t="s">
        <v>34</v>
      </c>
    </row>
    <row r="19" spans="2:44">
      <c r="B19" s="1">
        <v>48657</v>
      </c>
      <c r="C19" t="s">
        <v>24</v>
      </c>
      <c r="D19">
        <v>19.2</v>
      </c>
      <c r="E19">
        <v>0</v>
      </c>
      <c r="F19">
        <f t="shared" si="1"/>
        <v>0</v>
      </c>
      <c r="G19">
        <f t="shared" ref="G19" si="14">D17+D18+D19</f>
        <v>44.3</v>
      </c>
      <c r="H19">
        <f t="shared" si="0"/>
        <v>2033</v>
      </c>
      <c r="I19">
        <v>1</v>
      </c>
      <c r="J19">
        <f t="shared" si="2"/>
        <v>17.461200000000002</v>
      </c>
      <c r="K19">
        <f t="shared" si="3"/>
        <v>0</v>
      </c>
      <c r="L19">
        <f t="shared" si="4"/>
        <v>17.461200000000002</v>
      </c>
      <c r="N19" s="13" t="s">
        <v>6</v>
      </c>
      <c r="O19" s="13" t="s">
        <v>35</v>
      </c>
      <c r="P19" s="13" t="s">
        <v>25</v>
      </c>
      <c r="Q19" s="13" t="s">
        <v>15</v>
      </c>
      <c r="R19" s="13" t="s">
        <v>31</v>
      </c>
      <c r="S19" s="13" t="s">
        <v>36</v>
      </c>
      <c r="T19" s="13" t="s">
        <v>37</v>
      </c>
      <c r="U19" s="13" t="s">
        <v>38</v>
      </c>
      <c r="V19" s="13" t="s">
        <v>12</v>
      </c>
      <c r="W19" s="13" t="s">
        <v>18</v>
      </c>
      <c r="X19" s="13" t="s">
        <v>39</v>
      </c>
      <c r="Y19" s="13" t="s">
        <v>40</v>
      </c>
      <c r="Z19" s="13" t="s">
        <v>27</v>
      </c>
      <c r="AA19" s="13" t="s">
        <v>41</v>
      </c>
      <c r="AB19" s="13" t="s">
        <v>24</v>
      </c>
      <c r="AC19" s="13" t="s">
        <v>19</v>
      </c>
      <c r="AD19" s="13" t="s">
        <v>42</v>
      </c>
      <c r="AE19" s="13" t="s">
        <v>43</v>
      </c>
      <c r="AF19" s="13" t="s">
        <v>44</v>
      </c>
      <c r="AG19" s="13" t="s">
        <v>21</v>
      </c>
      <c r="AH19" s="13" t="s">
        <v>45</v>
      </c>
      <c r="AI19" s="13" t="s">
        <v>46</v>
      </c>
      <c r="AJ19" s="13" t="s">
        <v>47</v>
      </c>
      <c r="AK19" s="13" t="s">
        <v>17</v>
      </c>
      <c r="AL19" s="13" t="s">
        <v>33</v>
      </c>
      <c r="AM19" s="13" t="s">
        <v>48</v>
      </c>
      <c r="AN19" s="13" t="s">
        <v>32</v>
      </c>
      <c r="AO19" s="13" t="s">
        <v>26</v>
      </c>
      <c r="AP19" s="13" t="s">
        <v>49</v>
      </c>
      <c r="AQ19" s="13" t="s">
        <v>50</v>
      </c>
      <c r="AR19" s="13" t="s">
        <v>23</v>
      </c>
    </row>
    <row r="20" spans="2:44">
      <c r="B20" s="1">
        <v>48658</v>
      </c>
      <c r="C20" t="s">
        <v>24</v>
      </c>
      <c r="D20">
        <v>20.7</v>
      </c>
      <c r="E20">
        <v>0</v>
      </c>
      <c r="F20">
        <f t="shared" si="1"/>
        <v>0</v>
      </c>
      <c r="G20">
        <f t="shared" ref="G20" si="15">D17+D18+D19+D20</f>
        <v>65</v>
      </c>
      <c r="H20">
        <f t="shared" si="0"/>
        <v>2033</v>
      </c>
      <c r="I20">
        <v>1</v>
      </c>
      <c r="J20">
        <f t="shared" si="2"/>
        <v>17.461200000000002</v>
      </c>
      <c r="K20">
        <f t="shared" si="3"/>
        <v>0</v>
      </c>
      <c r="L20">
        <f t="shared" si="4"/>
        <v>17.461200000000002</v>
      </c>
      <c r="N20" s="14">
        <v>2033</v>
      </c>
      <c r="O20" s="15">
        <v>5</v>
      </c>
      <c r="P20" s="15">
        <v>23</v>
      </c>
      <c r="Q20" s="15">
        <v>10</v>
      </c>
      <c r="R20" s="15">
        <v>9</v>
      </c>
      <c r="S20" s="15">
        <v>7</v>
      </c>
      <c r="T20" s="15">
        <v>4</v>
      </c>
      <c r="U20" s="15">
        <v>6</v>
      </c>
      <c r="V20" s="15">
        <v>4</v>
      </c>
      <c r="W20" s="15">
        <v>21</v>
      </c>
      <c r="X20" s="15">
        <v>2</v>
      </c>
      <c r="Y20" s="15">
        <v>6</v>
      </c>
      <c r="Z20" s="15">
        <v>8</v>
      </c>
      <c r="AA20" s="15">
        <v>1</v>
      </c>
      <c r="AB20" s="15">
        <v>47</v>
      </c>
      <c r="AC20" s="15">
        <v>6</v>
      </c>
      <c r="AD20" s="15">
        <v>11</v>
      </c>
      <c r="AE20" s="15">
        <v>8</v>
      </c>
      <c r="AF20" s="15">
        <v>2</v>
      </c>
      <c r="AG20" s="15">
        <v>14</v>
      </c>
      <c r="AH20" s="15">
        <v>2</v>
      </c>
      <c r="AI20" s="15">
        <v>4</v>
      </c>
      <c r="AJ20" s="15">
        <v>11</v>
      </c>
      <c r="AK20" s="15">
        <v>13</v>
      </c>
      <c r="AL20" s="15">
        <v>3</v>
      </c>
      <c r="AM20" s="15">
        <v>1</v>
      </c>
      <c r="AN20" s="15">
        <v>25</v>
      </c>
      <c r="AO20" s="15">
        <v>14</v>
      </c>
      <c r="AP20" s="15">
        <v>6</v>
      </c>
      <c r="AQ20" s="15">
        <v>29</v>
      </c>
      <c r="AR20" s="15">
        <v>2</v>
      </c>
    </row>
    <row r="21" spans="2:44">
      <c r="B21" s="1">
        <v>48659</v>
      </c>
      <c r="C21" t="s">
        <v>42</v>
      </c>
      <c r="D21">
        <v>29.5</v>
      </c>
      <c r="E21">
        <v>2.1</v>
      </c>
      <c r="F21">
        <f t="shared" si="1"/>
        <v>0.61950000000000005</v>
      </c>
      <c r="G21">
        <f t="shared" ref="G21" si="16">D17+D18+D19+D20+D21</f>
        <v>94.5</v>
      </c>
      <c r="H21">
        <f t="shared" si="0"/>
        <v>2033</v>
      </c>
      <c r="I21">
        <v>1</v>
      </c>
      <c r="J21">
        <f t="shared" si="2"/>
        <v>18.0807</v>
      </c>
      <c r="K21">
        <f t="shared" si="3"/>
        <v>0</v>
      </c>
      <c r="L21">
        <f t="shared" si="4"/>
        <v>18.0807</v>
      </c>
      <c r="N21" s="14">
        <v>2034</v>
      </c>
      <c r="O21" s="15">
        <v>7</v>
      </c>
      <c r="P21" s="15">
        <v>20</v>
      </c>
      <c r="Q21" s="15">
        <v>5</v>
      </c>
      <c r="R21" s="15">
        <v>10</v>
      </c>
      <c r="S21" s="15">
        <v>7</v>
      </c>
      <c r="T21" s="15">
        <v>4</v>
      </c>
      <c r="U21" s="15">
        <v>10</v>
      </c>
      <c r="V21" s="15">
        <v>5</v>
      </c>
      <c r="W21" s="15">
        <v>27</v>
      </c>
      <c r="X21" s="15">
        <v>3</v>
      </c>
      <c r="Y21" s="15">
        <v>9</v>
      </c>
      <c r="Z21" s="15">
        <v>19</v>
      </c>
      <c r="AA21" s="15">
        <v>4</v>
      </c>
      <c r="AB21" s="15">
        <v>51</v>
      </c>
      <c r="AC21" s="15">
        <v>4</v>
      </c>
      <c r="AD21" s="15">
        <v>11</v>
      </c>
      <c r="AE21" s="15">
        <v>14</v>
      </c>
      <c r="AF21" s="15">
        <v>3</v>
      </c>
      <c r="AG21" s="15">
        <v>19</v>
      </c>
      <c r="AH21" s="15">
        <v>5</v>
      </c>
      <c r="AI21" s="15">
        <v>5</v>
      </c>
      <c r="AJ21" s="15">
        <v>24</v>
      </c>
      <c r="AK21" s="15">
        <v>11</v>
      </c>
      <c r="AL21" s="15">
        <v>3</v>
      </c>
      <c r="AM21" s="15">
        <v>7</v>
      </c>
      <c r="AN21" s="15">
        <v>22</v>
      </c>
      <c r="AO21" s="15">
        <v>12</v>
      </c>
      <c r="AP21" s="15">
        <v>2</v>
      </c>
      <c r="AQ21" s="15">
        <v>40</v>
      </c>
      <c r="AR21" s="15">
        <v>2</v>
      </c>
    </row>
    <row r="22" spans="2:44">
      <c r="B22" s="1">
        <v>48660</v>
      </c>
      <c r="C22" t="s">
        <v>25</v>
      </c>
      <c r="D22">
        <v>24.4</v>
      </c>
      <c r="E22">
        <v>10.1</v>
      </c>
      <c r="F22">
        <f t="shared" si="1"/>
        <v>2.4643999999999995</v>
      </c>
      <c r="G22">
        <f t="shared" ref="G22" si="17">D17+D18+D19+D20+D21+D22</f>
        <v>118.9</v>
      </c>
      <c r="H22">
        <f t="shared" si="0"/>
        <v>2033</v>
      </c>
      <c r="I22">
        <v>1</v>
      </c>
      <c r="J22">
        <f t="shared" si="2"/>
        <v>20.545099999999998</v>
      </c>
      <c r="K22">
        <f t="shared" si="3"/>
        <v>0</v>
      </c>
      <c r="L22">
        <f t="shared" si="4"/>
        <v>20.545099999999998</v>
      </c>
      <c r="N22" s="14">
        <v>2035</v>
      </c>
      <c r="O22" s="15">
        <v>11</v>
      </c>
      <c r="P22" s="15">
        <v>21</v>
      </c>
      <c r="Q22" s="15">
        <v>9</v>
      </c>
      <c r="R22" s="15">
        <v>15</v>
      </c>
      <c r="S22" s="15">
        <v>11</v>
      </c>
      <c r="T22" s="15">
        <v>3</v>
      </c>
      <c r="U22" s="15">
        <v>7</v>
      </c>
      <c r="V22" s="15">
        <v>1</v>
      </c>
      <c r="W22" s="15">
        <v>18</v>
      </c>
      <c r="X22" s="15">
        <v>2</v>
      </c>
      <c r="Y22" s="15">
        <v>5</v>
      </c>
      <c r="Z22" s="15">
        <v>23</v>
      </c>
      <c r="AA22" s="15">
        <v>2</v>
      </c>
      <c r="AB22" s="15">
        <v>67</v>
      </c>
      <c r="AC22" s="15">
        <v>5</v>
      </c>
      <c r="AD22" s="15">
        <v>9</v>
      </c>
      <c r="AE22" s="15">
        <v>10</v>
      </c>
      <c r="AF22" s="15">
        <v>2</v>
      </c>
      <c r="AG22" s="15">
        <v>8</v>
      </c>
      <c r="AH22" s="15">
        <v>3</v>
      </c>
      <c r="AI22" s="15">
        <v>5</v>
      </c>
      <c r="AJ22" s="15">
        <v>23</v>
      </c>
      <c r="AK22" s="15">
        <v>11</v>
      </c>
      <c r="AL22" s="15">
        <v>1</v>
      </c>
      <c r="AM22" s="15">
        <v>2</v>
      </c>
      <c r="AN22" s="15">
        <v>25</v>
      </c>
      <c r="AO22" s="15">
        <v>19</v>
      </c>
      <c r="AP22" s="15">
        <v>5</v>
      </c>
      <c r="AQ22" s="15">
        <v>38</v>
      </c>
      <c r="AR22" s="15">
        <v>4</v>
      </c>
    </row>
    <row r="23" spans="2:44">
      <c r="B23" s="1">
        <v>48661</v>
      </c>
      <c r="C23" t="s">
        <v>47</v>
      </c>
      <c r="D23">
        <v>15.6</v>
      </c>
      <c r="E23">
        <v>6.6</v>
      </c>
      <c r="F23">
        <f t="shared" si="1"/>
        <v>1.0295999999999998</v>
      </c>
      <c r="G23">
        <f t="shared" ref="G23" si="18">D17+D18+D19+D20+D21+D22+D23</f>
        <v>134.5</v>
      </c>
      <c r="H23">
        <f t="shared" si="0"/>
        <v>2033</v>
      </c>
      <c r="I23">
        <v>1</v>
      </c>
      <c r="J23">
        <f t="shared" si="2"/>
        <v>21.574699999999996</v>
      </c>
      <c r="K23">
        <f t="shared" si="3"/>
        <v>0</v>
      </c>
      <c r="L23">
        <f t="shared" si="4"/>
        <v>21.574699999999996</v>
      </c>
      <c r="N23" s="14">
        <v>2036</v>
      </c>
      <c r="O23" s="15">
        <v>2</v>
      </c>
      <c r="P23" s="15">
        <v>29</v>
      </c>
      <c r="Q23" s="15">
        <v>12</v>
      </c>
      <c r="R23" s="15">
        <v>8</v>
      </c>
      <c r="S23" s="15">
        <v>14</v>
      </c>
      <c r="T23" s="15">
        <v>3</v>
      </c>
      <c r="U23" s="15">
        <v>13</v>
      </c>
      <c r="V23" s="15">
        <v>1</v>
      </c>
      <c r="W23" s="15">
        <v>33</v>
      </c>
      <c r="X23" s="15">
        <v>3</v>
      </c>
      <c r="Y23" s="15">
        <v>4</v>
      </c>
      <c r="Z23" s="15">
        <v>20</v>
      </c>
      <c r="AA23" s="15">
        <v>1</v>
      </c>
      <c r="AB23" s="15">
        <v>53</v>
      </c>
      <c r="AC23" s="15">
        <v>3</v>
      </c>
      <c r="AD23" s="15">
        <v>10</v>
      </c>
      <c r="AE23" s="15">
        <v>8</v>
      </c>
      <c r="AF23" s="15">
        <v>3</v>
      </c>
      <c r="AG23" s="15">
        <v>13</v>
      </c>
      <c r="AH23" s="15">
        <v>2</v>
      </c>
      <c r="AI23" s="15">
        <v>2</v>
      </c>
      <c r="AJ23" s="15">
        <v>19</v>
      </c>
      <c r="AK23" s="15">
        <v>25</v>
      </c>
      <c r="AL23" s="15"/>
      <c r="AM23" s="15">
        <v>4</v>
      </c>
      <c r="AN23" s="15">
        <v>22</v>
      </c>
      <c r="AO23" s="15">
        <v>13</v>
      </c>
      <c r="AP23" s="15">
        <v>4</v>
      </c>
      <c r="AQ23" s="15">
        <v>41</v>
      </c>
      <c r="AR23" s="15">
        <v>1</v>
      </c>
    </row>
    <row r="24" spans="2:44">
      <c r="B24" s="1">
        <v>48662</v>
      </c>
      <c r="C24" t="s">
        <v>21</v>
      </c>
      <c r="D24">
        <v>22.7</v>
      </c>
      <c r="E24">
        <v>2.9</v>
      </c>
      <c r="F24">
        <f t="shared" si="1"/>
        <v>0.6583</v>
      </c>
      <c r="G24">
        <f t="shared" ref="G24:G87" si="19">D24</f>
        <v>22.7</v>
      </c>
      <c r="H24">
        <f t="shared" si="0"/>
        <v>2033</v>
      </c>
      <c r="I24">
        <v>1</v>
      </c>
      <c r="J24">
        <f t="shared" si="2"/>
        <v>22.232999999999997</v>
      </c>
      <c r="K24">
        <f t="shared" si="3"/>
        <v>0</v>
      </c>
      <c r="L24">
        <f t="shared" si="4"/>
        <v>22.232999999999997</v>
      </c>
      <c r="N24" s="14">
        <v>2037</v>
      </c>
      <c r="O24" s="15">
        <v>13</v>
      </c>
      <c r="P24" s="15">
        <v>20</v>
      </c>
      <c r="Q24" s="15">
        <v>10</v>
      </c>
      <c r="R24" s="15">
        <v>10</v>
      </c>
      <c r="S24" s="15">
        <v>5</v>
      </c>
      <c r="T24" s="15">
        <v>10</v>
      </c>
      <c r="U24" s="15">
        <v>7</v>
      </c>
      <c r="V24" s="15">
        <v>1</v>
      </c>
      <c r="W24" s="15">
        <v>30</v>
      </c>
      <c r="X24" s="15">
        <v>3</v>
      </c>
      <c r="Y24" s="15">
        <v>8</v>
      </c>
      <c r="Z24" s="15">
        <v>22</v>
      </c>
      <c r="AA24" s="15">
        <v>3</v>
      </c>
      <c r="AB24" s="15">
        <v>51</v>
      </c>
      <c r="AC24" s="15">
        <v>9</v>
      </c>
      <c r="AD24" s="15">
        <v>10</v>
      </c>
      <c r="AE24" s="15">
        <v>14</v>
      </c>
      <c r="AF24" s="15">
        <v>2</v>
      </c>
      <c r="AG24" s="15">
        <v>14</v>
      </c>
      <c r="AH24" s="15"/>
      <c r="AI24" s="15">
        <v>2</v>
      </c>
      <c r="AJ24" s="15">
        <v>14</v>
      </c>
      <c r="AK24" s="15">
        <v>17</v>
      </c>
      <c r="AL24" s="15">
        <v>4</v>
      </c>
      <c r="AM24" s="15">
        <v>5</v>
      </c>
      <c r="AN24" s="15">
        <v>15</v>
      </c>
      <c r="AO24" s="15">
        <v>12</v>
      </c>
      <c r="AP24" s="15">
        <v>6</v>
      </c>
      <c r="AQ24" s="15">
        <v>46</v>
      </c>
      <c r="AR24" s="15">
        <v>2</v>
      </c>
    </row>
    <row r="25" spans="2:44">
      <c r="B25" s="1">
        <v>48663</v>
      </c>
      <c r="C25" t="s">
        <v>32</v>
      </c>
      <c r="D25">
        <v>15.1</v>
      </c>
      <c r="E25">
        <v>0</v>
      </c>
      <c r="F25">
        <f t="shared" si="1"/>
        <v>0</v>
      </c>
      <c r="G25">
        <f t="shared" ref="G25:G88" si="20">D24+D25</f>
        <v>37.799999999999997</v>
      </c>
      <c r="H25">
        <f t="shared" si="0"/>
        <v>2033</v>
      </c>
      <c r="I25">
        <v>1</v>
      </c>
      <c r="J25">
        <f t="shared" si="2"/>
        <v>22.232999999999997</v>
      </c>
      <c r="K25">
        <f t="shared" si="3"/>
        <v>0</v>
      </c>
      <c r="L25">
        <f t="shared" si="4"/>
        <v>22.232999999999997</v>
      </c>
      <c r="N25" s="14">
        <v>2038</v>
      </c>
      <c r="O25" s="15">
        <v>5</v>
      </c>
      <c r="P25" s="15">
        <v>25</v>
      </c>
      <c r="Q25" s="15">
        <v>10</v>
      </c>
      <c r="R25" s="15">
        <v>7</v>
      </c>
      <c r="S25" s="15">
        <v>9</v>
      </c>
      <c r="T25" s="15">
        <v>7</v>
      </c>
      <c r="U25" s="15">
        <v>7</v>
      </c>
      <c r="V25" s="15">
        <v>1</v>
      </c>
      <c r="W25" s="15">
        <v>23</v>
      </c>
      <c r="X25" s="15">
        <v>2</v>
      </c>
      <c r="Y25" s="15">
        <v>7</v>
      </c>
      <c r="Z25" s="15">
        <v>16</v>
      </c>
      <c r="AA25" s="15">
        <v>4</v>
      </c>
      <c r="AB25" s="15">
        <v>33</v>
      </c>
      <c r="AC25" s="15">
        <v>13</v>
      </c>
      <c r="AD25" s="15">
        <v>3</v>
      </c>
      <c r="AE25" s="15">
        <v>10</v>
      </c>
      <c r="AF25" s="15">
        <v>2</v>
      </c>
      <c r="AG25" s="15">
        <v>12</v>
      </c>
      <c r="AH25" s="15">
        <v>2</v>
      </c>
      <c r="AI25" s="15">
        <v>7</v>
      </c>
      <c r="AJ25" s="15">
        <v>13</v>
      </c>
      <c r="AK25" s="15">
        <v>14</v>
      </c>
      <c r="AL25" s="15">
        <v>2</v>
      </c>
      <c r="AM25" s="15">
        <v>4</v>
      </c>
      <c r="AN25" s="15">
        <v>18</v>
      </c>
      <c r="AO25" s="15">
        <v>6</v>
      </c>
      <c r="AP25" s="15">
        <v>3</v>
      </c>
      <c r="AQ25" s="15">
        <v>39</v>
      </c>
      <c r="AR25" s="15">
        <v>3</v>
      </c>
    </row>
    <row r="26" spans="2:44">
      <c r="B26" s="1">
        <v>48664</v>
      </c>
      <c r="C26" t="s">
        <v>50</v>
      </c>
      <c r="D26">
        <v>14.1</v>
      </c>
      <c r="E26">
        <v>0.8</v>
      </c>
      <c r="F26">
        <f t="shared" si="1"/>
        <v>0</v>
      </c>
      <c r="G26">
        <f t="shared" ref="G26" si="21">D24+D25+D26</f>
        <v>51.9</v>
      </c>
      <c r="H26">
        <f t="shared" si="0"/>
        <v>2033</v>
      </c>
      <c r="I26">
        <v>1</v>
      </c>
      <c r="J26">
        <f t="shared" si="2"/>
        <v>22.232999999999997</v>
      </c>
      <c r="K26">
        <f t="shared" si="3"/>
        <v>0</v>
      </c>
      <c r="L26">
        <f t="shared" si="4"/>
        <v>22.232999999999997</v>
      </c>
    </row>
    <row r="27" spans="2:44">
      <c r="B27" s="1">
        <v>48665</v>
      </c>
      <c r="C27" t="s">
        <v>18</v>
      </c>
      <c r="D27">
        <v>24.9</v>
      </c>
      <c r="E27">
        <v>2.2000000000000002</v>
      </c>
      <c r="F27">
        <f t="shared" si="1"/>
        <v>0.54780000000000006</v>
      </c>
      <c r="G27">
        <f t="shared" ref="G27" si="22">D24+D25+D26+D27</f>
        <v>76.8</v>
      </c>
      <c r="H27">
        <f t="shared" si="0"/>
        <v>2033</v>
      </c>
      <c r="I27">
        <v>1</v>
      </c>
      <c r="J27">
        <f t="shared" si="2"/>
        <v>22.780799999999996</v>
      </c>
      <c r="K27">
        <f t="shared" si="3"/>
        <v>0</v>
      </c>
      <c r="L27">
        <f t="shared" si="4"/>
        <v>22.780799999999996</v>
      </c>
    </row>
    <row r="28" spans="2:44">
      <c r="B28" s="1">
        <v>48666</v>
      </c>
      <c r="C28" t="s">
        <v>40</v>
      </c>
      <c r="D28">
        <v>14.8</v>
      </c>
      <c r="E28">
        <v>0</v>
      </c>
      <c r="F28">
        <f t="shared" si="1"/>
        <v>0</v>
      </c>
      <c r="G28">
        <f t="shared" ref="G28" si="23">D24+D25+D26+D27+D28</f>
        <v>91.6</v>
      </c>
      <c r="H28">
        <f t="shared" si="0"/>
        <v>2033</v>
      </c>
      <c r="I28">
        <v>1</v>
      </c>
      <c r="J28">
        <f t="shared" si="2"/>
        <v>22.780799999999996</v>
      </c>
      <c r="K28">
        <f t="shared" si="3"/>
        <v>0</v>
      </c>
      <c r="L28">
        <f t="shared" si="4"/>
        <v>22.780799999999996</v>
      </c>
      <c r="N28" s="14" t="s">
        <v>51</v>
      </c>
    </row>
    <row r="29" spans="2:44">
      <c r="B29" s="1">
        <v>48667</v>
      </c>
      <c r="C29" t="s">
        <v>31</v>
      </c>
      <c r="D29">
        <v>18.8</v>
      </c>
      <c r="E29">
        <v>0</v>
      </c>
      <c r="F29">
        <f t="shared" si="1"/>
        <v>0</v>
      </c>
      <c r="G29">
        <f t="shared" ref="G29" si="24">D24+D25+D26+D27+D28+D29</f>
        <v>110.39999999999999</v>
      </c>
      <c r="H29">
        <f t="shared" si="0"/>
        <v>2033</v>
      </c>
      <c r="I29">
        <v>1</v>
      </c>
      <c r="J29">
        <f t="shared" si="2"/>
        <v>22.780799999999996</v>
      </c>
      <c r="K29">
        <f t="shared" si="3"/>
        <v>0</v>
      </c>
      <c r="L29">
        <f t="shared" si="4"/>
        <v>22.780799999999996</v>
      </c>
      <c r="N29" t="s">
        <v>52</v>
      </c>
      <c r="O29">
        <f>SUM(K:K)</f>
        <v>30</v>
      </c>
    </row>
    <row r="30" spans="2:44">
      <c r="B30" s="1">
        <v>48668</v>
      </c>
      <c r="C30" t="s">
        <v>32</v>
      </c>
      <c r="D30">
        <v>29.3</v>
      </c>
      <c r="E30">
        <v>8</v>
      </c>
      <c r="F30">
        <f t="shared" si="1"/>
        <v>2.3439999999999999</v>
      </c>
      <c r="G30">
        <f t="shared" ref="G30" si="25">D24+D25+D26+D27+D28+D29+D30</f>
        <v>139.69999999999999</v>
      </c>
      <c r="H30">
        <f t="shared" si="0"/>
        <v>2033</v>
      </c>
      <c r="I30">
        <v>1</v>
      </c>
      <c r="J30">
        <f t="shared" si="2"/>
        <v>25.124799999999997</v>
      </c>
      <c r="K30">
        <f t="shared" si="3"/>
        <v>0</v>
      </c>
      <c r="L30">
        <f t="shared" si="4"/>
        <v>25.124799999999997</v>
      </c>
      <c r="N30" t="s">
        <v>53</v>
      </c>
      <c r="O30" s="1">
        <v>48728</v>
      </c>
    </row>
    <row r="31" spans="2:44">
      <c r="B31" s="1">
        <v>48669</v>
      </c>
      <c r="C31" t="s">
        <v>46</v>
      </c>
      <c r="D31">
        <v>29.4</v>
      </c>
      <c r="E31">
        <v>2.4</v>
      </c>
      <c r="F31">
        <f t="shared" si="1"/>
        <v>0.70559999999999989</v>
      </c>
      <c r="G31">
        <f t="shared" ref="G31:G94" si="26">D31</f>
        <v>29.4</v>
      </c>
      <c r="H31">
        <f t="shared" si="0"/>
        <v>2033</v>
      </c>
      <c r="I31">
        <v>1</v>
      </c>
      <c r="J31">
        <f t="shared" si="2"/>
        <v>25.830399999999997</v>
      </c>
      <c r="K31">
        <f t="shared" si="3"/>
        <v>0</v>
      </c>
      <c r="L31">
        <f t="shared" si="4"/>
        <v>25.830399999999997</v>
      </c>
      <c r="N31" t="s">
        <v>54</v>
      </c>
      <c r="O31" s="1">
        <v>50649</v>
      </c>
    </row>
    <row r="32" spans="2:44">
      <c r="B32" s="1">
        <v>48670</v>
      </c>
      <c r="C32" t="s">
        <v>43</v>
      </c>
      <c r="D32">
        <v>16.8</v>
      </c>
      <c r="E32">
        <v>2.9</v>
      </c>
      <c r="F32">
        <f t="shared" si="1"/>
        <v>0.48719999999999997</v>
      </c>
      <c r="G32">
        <f t="shared" ref="G32:G95" si="27">D31+D32</f>
        <v>46.2</v>
      </c>
      <c r="H32">
        <f t="shared" si="0"/>
        <v>2033</v>
      </c>
      <c r="I32">
        <v>1</v>
      </c>
      <c r="J32">
        <f t="shared" si="2"/>
        <v>26.317599999999999</v>
      </c>
      <c r="K32">
        <f t="shared" si="3"/>
        <v>0</v>
      </c>
      <c r="L32">
        <f t="shared" si="4"/>
        <v>26.317599999999999</v>
      </c>
    </row>
    <row r="33" spans="2:12">
      <c r="B33" s="1">
        <v>48671</v>
      </c>
      <c r="C33" t="s">
        <v>26</v>
      </c>
      <c r="D33">
        <v>21.4</v>
      </c>
      <c r="E33">
        <v>6.3</v>
      </c>
      <c r="F33">
        <f t="shared" si="1"/>
        <v>1.3481999999999998</v>
      </c>
      <c r="G33">
        <f t="shared" ref="G33" si="28">D31+D32+D33</f>
        <v>67.599999999999994</v>
      </c>
      <c r="H33">
        <f t="shared" si="0"/>
        <v>2033</v>
      </c>
      <c r="I33">
        <v>1</v>
      </c>
      <c r="J33">
        <f t="shared" si="2"/>
        <v>27.665799999999997</v>
      </c>
      <c r="K33">
        <f t="shared" si="3"/>
        <v>0</v>
      </c>
      <c r="L33">
        <f t="shared" si="4"/>
        <v>27.665799999999997</v>
      </c>
    </row>
    <row r="34" spans="2:12">
      <c r="B34" s="1">
        <v>48672</v>
      </c>
      <c r="C34" t="s">
        <v>18</v>
      </c>
      <c r="D34">
        <v>23.9</v>
      </c>
      <c r="E34">
        <v>0</v>
      </c>
      <c r="F34">
        <f t="shared" si="1"/>
        <v>0</v>
      </c>
      <c r="G34">
        <f t="shared" ref="G34" si="29">D31+D32+D33+D34</f>
        <v>91.5</v>
      </c>
      <c r="H34">
        <f t="shared" si="0"/>
        <v>2033</v>
      </c>
      <c r="I34">
        <v>1</v>
      </c>
      <c r="J34">
        <f t="shared" si="2"/>
        <v>27.665799999999997</v>
      </c>
      <c r="K34">
        <f t="shared" si="3"/>
        <v>0</v>
      </c>
      <c r="L34">
        <f t="shared" si="4"/>
        <v>27.665799999999997</v>
      </c>
    </row>
    <row r="35" spans="2:12">
      <c r="B35" s="1">
        <v>48673</v>
      </c>
      <c r="C35" t="s">
        <v>26</v>
      </c>
      <c r="D35">
        <v>26.7</v>
      </c>
      <c r="E35">
        <v>0</v>
      </c>
      <c r="F35">
        <f t="shared" si="1"/>
        <v>0</v>
      </c>
      <c r="G35">
        <f t="shared" ref="G35" si="30">D31+D32+D33+D34+D35</f>
        <v>118.2</v>
      </c>
      <c r="H35">
        <f t="shared" si="0"/>
        <v>2033</v>
      </c>
      <c r="I35">
        <v>1</v>
      </c>
      <c r="J35">
        <f t="shared" si="2"/>
        <v>27.665799999999997</v>
      </c>
      <c r="K35">
        <f t="shared" si="3"/>
        <v>0</v>
      </c>
      <c r="L35">
        <f t="shared" si="4"/>
        <v>27.665799999999997</v>
      </c>
    </row>
    <row r="36" spans="2:12">
      <c r="B36" s="1">
        <v>48674</v>
      </c>
      <c r="C36" t="s">
        <v>18</v>
      </c>
      <c r="D36">
        <v>12.4</v>
      </c>
      <c r="E36">
        <v>0</v>
      </c>
      <c r="F36">
        <f t="shared" si="1"/>
        <v>0</v>
      </c>
      <c r="G36">
        <f t="shared" ref="G36" si="31">D31+D32+D33+D34+D35+D36</f>
        <v>130.6</v>
      </c>
      <c r="H36">
        <f t="shared" si="0"/>
        <v>2033</v>
      </c>
      <c r="I36">
        <v>1</v>
      </c>
      <c r="J36">
        <f t="shared" si="2"/>
        <v>27.665799999999997</v>
      </c>
      <c r="K36">
        <f t="shared" si="3"/>
        <v>0</v>
      </c>
      <c r="L36">
        <f t="shared" si="4"/>
        <v>27.665799999999997</v>
      </c>
    </row>
    <row r="37" spans="2:12">
      <c r="B37" s="1">
        <v>48675</v>
      </c>
      <c r="C37" t="s">
        <v>26</v>
      </c>
      <c r="D37">
        <v>10.4</v>
      </c>
      <c r="E37">
        <v>10.7</v>
      </c>
      <c r="F37">
        <f t="shared" si="1"/>
        <v>1.1128</v>
      </c>
      <c r="G37">
        <f t="shared" ref="G37" si="32">D31+D32+D33+D34+D35+D36+D37</f>
        <v>141</v>
      </c>
      <c r="H37">
        <f t="shared" si="0"/>
        <v>2033</v>
      </c>
      <c r="I37">
        <v>1</v>
      </c>
      <c r="J37">
        <f t="shared" si="2"/>
        <v>28.778599999999997</v>
      </c>
      <c r="K37">
        <f t="shared" si="3"/>
        <v>0</v>
      </c>
      <c r="L37">
        <f t="shared" si="4"/>
        <v>28.778599999999997</v>
      </c>
    </row>
    <row r="38" spans="2:12">
      <c r="B38" s="1">
        <v>48676</v>
      </c>
      <c r="C38" t="s">
        <v>21</v>
      </c>
      <c r="D38">
        <v>17.899999999999999</v>
      </c>
      <c r="E38">
        <v>0</v>
      </c>
      <c r="F38">
        <f t="shared" si="1"/>
        <v>0</v>
      </c>
      <c r="G38">
        <f t="shared" ref="G38:G101" si="33">D38</f>
        <v>17.899999999999999</v>
      </c>
      <c r="H38">
        <f t="shared" si="0"/>
        <v>2033</v>
      </c>
      <c r="I38">
        <v>1</v>
      </c>
      <c r="J38">
        <f t="shared" si="2"/>
        <v>28.778599999999997</v>
      </c>
      <c r="K38">
        <f t="shared" si="3"/>
        <v>0</v>
      </c>
      <c r="L38">
        <f t="shared" si="4"/>
        <v>28.778599999999997</v>
      </c>
    </row>
    <row r="39" spans="2:12">
      <c r="B39" s="1">
        <v>48677</v>
      </c>
      <c r="C39" t="s">
        <v>40</v>
      </c>
      <c r="D39">
        <v>17.399999999999999</v>
      </c>
      <c r="E39">
        <v>1.6</v>
      </c>
      <c r="F39">
        <f t="shared" si="1"/>
        <v>0.27839999999999998</v>
      </c>
      <c r="G39">
        <f t="shared" ref="G39:G102" si="34">D38+D39</f>
        <v>35.299999999999997</v>
      </c>
      <c r="H39">
        <f t="shared" si="0"/>
        <v>2033</v>
      </c>
      <c r="I39">
        <v>1</v>
      </c>
      <c r="J39">
        <f t="shared" si="2"/>
        <v>29.056999999999999</v>
      </c>
      <c r="K39">
        <f t="shared" si="3"/>
        <v>0</v>
      </c>
      <c r="L39">
        <f t="shared" si="4"/>
        <v>29.056999999999999</v>
      </c>
    </row>
    <row r="40" spans="2:12">
      <c r="B40" s="1">
        <v>48678</v>
      </c>
      <c r="C40" t="s">
        <v>25</v>
      </c>
      <c r="D40">
        <v>29.4</v>
      </c>
      <c r="E40">
        <v>21.7</v>
      </c>
      <c r="F40">
        <f t="shared" si="1"/>
        <v>6.3797999999999995</v>
      </c>
      <c r="G40">
        <f t="shared" ref="G40" si="35">D38+D39+D40</f>
        <v>64.699999999999989</v>
      </c>
      <c r="H40">
        <f t="shared" si="0"/>
        <v>2033</v>
      </c>
      <c r="I40">
        <v>1</v>
      </c>
      <c r="J40">
        <f t="shared" si="2"/>
        <v>35.436799999999998</v>
      </c>
      <c r="K40">
        <f t="shared" si="3"/>
        <v>0</v>
      </c>
      <c r="L40">
        <f t="shared" si="4"/>
        <v>35.436799999999998</v>
      </c>
    </row>
    <row r="41" spans="2:12">
      <c r="B41" s="1">
        <v>48679</v>
      </c>
      <c r="C41" t="s">
        <v>50</v>
      </c>
      <c r="D41">
        <v>22.9</v>
      </c>
      <c r="E41">
        <v>26.9</v>
      </c>
      <c r="F41">
        <f t="shared" si="1"/>
        <v>6.160099999999999</v>
      </c>
      <c r="G41">
        <f t="shared" ref="G41" si="36">D38+D39+D40+D41</f>
        <v>87.6</v>
      </c>
      <c r="H41">
        <f t="shared" si="0"/>
        <v>2033</v>
      </c>
      <c r="I41">
        <v>1</v>
      </c>
      <c r="J41">
        <f t="shared" si="2"/>
        <v>41.596899999999998</v>
      </c>
      <c r="K41">
        <f t="shared" si="3"/>
        <v>0</v>
      </c>
      <c r="L41">
        <f t="shared" si="4"/>
        <v>41.596899999999998</v>
      </c>
    </row>
    <row r="42" spans="2:12">
      <c r="B42" s="1">
        <v>48680</v>
      </c>
      <c r="C42" t="s">
        <v>50</v>
      </c>
      <c r="D42">
        <v>18.899999999999999</v>
      </c>
      <c r="E42">
        <v>11.3</v>
      </c>
      <c r="F42">
        <f t="shared" si="1"/>
        <v>2.1356999999999999</v>
      </c>
      <c r="G42">
        <f t="shared" ref="G42" si="37">D38+D39+D40+D41+D42</f>
        <v>106.5</v>
      </c>
      <c r="H42">
        <f t="shared" si="0"/>
        <v>2033</v>
      </c>
      <c r="I42">
        <v>1</v>
      </c>
      <c r="J42">
        <f t="shared" si="2"/>
        <v>43.732599999999998</v>
      </c>
      <c r="K42">
        <f t="shared" si="3"/>
        <v>0</v>
      </c>
      <c r="L42">
        <f t="shared" si="4"/>
        <v>43.732599999999998</v>
      </c>
    </row>
    <row r="43" spans="2:12">
      <c r="B43" s="1">
        <v>48681</v>
      </c>
      <c r="C43" t="s">
        <v>15</v>
      </c>
      <c r="D43">
        <v>23.5</v>
      </c>
      <c r="E43">
        <v>0</v>
      </c>
      <c r="F43">
        <f t="shared" si="1"/>
        <v>0</v>
      </c>
      <c r="G43">
        <f t="shared" ref="G43" si="38">D38+D39+D40+D41+D42+D43</f>
        <v>130</v>
      </c>
      <c r="H43">
        <f t="shared" si="0"/>
        <v>2033</v>
      </c>
      <c r="I43">
        <v>1</v>
      </c>
      <c r="J43">
        <f t="shared" si="2"/>
        <v>43.732599999999998</v>
      </c>
      <c r="K43">
        <f t="shared" si="3"/>
        <v>0</v>
      </c>
      <c r="L43">
        <f t="shared" si="4"/>
        <v>43.732599999999998</v>
      </c>
    </row>
    <row r="44" spans="2:12">
      <c r="B44" s="1">
        <v>48682</v>
      </c>
      <c r="C44" t="s">
        <v>47</v>
      </c>
      <c r="D44">
        <v>13.4</v>
      </c>
      <c r="E44">
        <v>14.2</v>
      </c>
      <c r="F44">
        <f t="shared" si="1"/>
        <v>1.9028</v>
      </c>
      <c r="G44">
        <f t="shared" ref="G44" si="39">D38+D39+D40+D41+D42+D43+D44</f>
        <v>143.4</v>
      </c>
      <c r="H44">
        <f t="shared" si="0"/>
        <v>2033</v>
      </c>
      <c r="I44">
        <v>1</v>
      </c>
      <c r="J44">
        <f t="shared" si="2"/>
        <v>45.635399999999997</v>
      </c>
      <c r="K44">
        <f t="shared" si="3"/>
        <v>0</v>
      </c>
      <c r="L44">
        <f t="shared" si="4"/>
        <v>45.635399999999997</v>
      </c>
    </row>
    <row r="45" spans="2:12">
      <c r="B45" s="1">
        <v>48683</v>
      </c>
      <c r="C45" t="s">
        <v>40</v>
      </c>
      <c r="D45">
        <v>18.899999999999999</v>
      </c>
      <c r="E45">
        <v>1.5</v>
      </c>
      <c r="F45">
        <f t="shared" si="1"/>
        <v>0.28349999999999997</v>
      </c>
      <c r="G45">
        <f t="shared" ref="G45:G108" si="40">D45</f>
        <v>18.899999999999999</v>
      </c>
      <c r="H45">
        <f t="shared" si="0"/>
        <v>2033</v>
      </c>
      <c r="I45">
        <v>1</v>
      </c>
      <c r="J45">
        <f t="shared" si="2"/>
        <v>45.918899999999994</v>
      </c>
      <c r="K45">
        <f t="shared" si="3"/>
        <v>0</v>
      </c>
      <c r="L45">
        <f t="shared" si="4"/>
        <v>45.918899999999994</v>
      </c>
    </row>
    <row r="46" spans="2:12">
      <c r="B46" s="1">
        <v>48684</v>
      </c>
      <c r="C46" t="s">
        <v>42</v>
      </c>
      <c r="D46">
        <v>13.5</v>
      </c>
      <c r="E46">
        <v>1.4</v>
      </c>
      <c r="F46">
        <f t="shared" si="1"/>
        <v>0.18899999999999997</v>
      </c>
      <c r="G46">
        <f t="shared" ref="G46:G109" si="41">D45+D46</f>
        <v>32.4</v>
      </c>
      <c r="H46">
        <f t="shared" si="0"/>
        <v>2033</v>
      </c>
      <c r="I46">
        <v>1</v>
      </c>
      <c r="J46">
        <f t="shared" si="2"/>
        <v>46.107899999999994</v>
      </c>
      <c r="K46">
        <f t="shared" si="3"/>
        <v>0</v>
      </c>
      <c r="L46">
        <f t="shared" si="4"/>
        <v>46.107899999999994</v>
      </c>
    </row>
    <row r="47" spans="2:12">
      <c r="B47" s="1">
        <v>48685</v>
      </c>
      <c r="C47" t="s">
        <v>15</v>
      </c>
      <c r="D47">
        <v>17.7</v>
      </c>
      <c r="E47">
        <v>5.9</v>
      </c>
      <c r="F47">
        <f t="shared" si="1"/>
        <v>1.0443</v>
      </c>
      <c r="G47">
        <f t="shared" ref="G47" si="42">D45+D46+D47</f>
        <v>50.099999999999994</v>
      </c>
      <c r="H47">
        <f t="shared" si="0"/>
        <v>2033</v>
      </c>
      <c r="I47">
        <v>1</v>
      </c>
      <c r="J47">
        <f t="shared" si="2"/>
        <v>47.152199999999993</v>
      </c>
      <c r="K47">
        <f t="shared" si="3"/>
        <v>0</v>
      </c>
      <c r="L47">
        <f t="shared" si="4"/>
        <v>47.152199999999993</v>
      </c>
    </row>
    <row r="48" spans="2:12">
      <c r="B48" s="1">
        <v>48686</v>
      </c>
      <c r="C48" t="s">
        <v>25</v>
      </c>
      <c r="D48">
        <v>24.7</v>
      </c>
      <c r="E48">
        <v>0</v>
      </c>
      <c r="F48">
        <f t="shared" si="1"/>
        <v>0</v>
      </c>
      <c r="G48">
        <f t="shared" ref="G48" si="43">D45+D46+D47+D48</f>
        <v>74.8</v>
      </c>
      <c r="H48">
        <f t="shared" si="0"/>
        <v>2033</v>
      </c>
      <c r="I48">
        <v>1</v>
      </c>
      <c r="J48">
        <f t="shared" si="2"/>
        <v>47.152199999999993</v>
      </c>
      <c r="K48">
        <f t="shared" si="3"/>
        <v>0</v>
      </c>
      <c r="L48">
        <f t="shared" si="4"/>
        <v>47.152199999999993</v>
      </c>
    </row>
    <row r="49" spans="2:12">
      <c r="B49" s="1">
        <v>48687</v>
      </c>
      <c r="C49" t="s">
        <v>47</v>
      </c>
      <c r="D49">
        <v>25.6</v>
      </c>
      <c r="E49">
        <v>1.9</v>
      </c>
      <c r="F49">
        <f t="shared" si="1"/>
        <v>0.4864</v>
      </c>
      <c r="G49">
        <f t="shared" ref="G49" si="44">D45+D46+D47+D48+D49</f>
        <v>100.4</v>
      </c>
      <c r="H49">
        <f t="shared" si="0"/>
        <v>2033</v>
      </c>
      <c r="I49">
        <v>1</v>
      </c>
      <c r="J49">
        <f t="shared" si="2"/>
        <v>47.638599999999997</v>
      </c>
      <c r="K49">
        <f t="shared" si="3"/>
        <v>0</v>
      </c>
      <c r="L49">
        <f t="shared" si="4"/>
        <v>47.638599999999997</v>
      </c>
    </row>
    <row r="50" spans="2:12">
      <c r="B50" s="1">
        <v>48688</v>
      </c>
      <c r="C50" t="s">
        <v>43</v>
      </c>
      <c r="D50">
        <v>18.399999999999999</v>
      </c>
      <c r="E50">
        <v>0</v>
      </c>
      <c r="F50">
        <f t="shared" si="1"/>
        <v>0</v>
      </c>
      <c r="G50">
        <f t="shared" ref="G50" si="45">D45+D46+D47+D48+D49+D50</f>
        <v>118.80000000000001</v>
      </c>
      <c r="H50">
        <f t="shared" si="0"/>
        <v>2033</v>
      </c>
      <c r="I50">
        <v>1</v>
      </c>
      <c r="J50">
        <f t="shared" si="2"/>
        <v>47.638599999999997</v>
      </c>
      <c r="K50">
        <f t="shared" si="3"/>
        <v>0</v>
      </c>
      <c r="L50">
        <f t="shared" si="4"/>
        <v>47.638599999999997</v>
      </c>
    </row>
    <row r="51" spans="2:12">
      <c r="B51" s="1">
        <v>48689</v>
      </c>
      <c r="C51" t="s">
        <v>35</v>
      </c>
      <c r="D51">
        <v>27</v>
      </c>
      <c r="E51">
        <v>0</v>
      </c>
      <c r="F51">
        <f t="shared" si="1"/>
        <v>0</v>
      </c>
      <c r="G51">
        <f t="shared" ref="G51" si="46">D45+D46+D47+D48+D49+D50+D51</f>
        <v>145.80000000000001</v>
      </c>
      <c r="H51">
        <f t="shared" si="0"/>
        <v>2033</v>
      </c>
      <c r="I51">
        <v>1</v>
      </c>
      <c r="J51">
        <f t="shared" si="2"/>
        <v>47.638599999999997</v>
      </c>
      <c r="K51">
        <f t="shared" si="3"/>
        <v>0</v>
      </c>
      <c r="L51">
        <f t="shared" si="4"/>
        <v>47.638599999999997</v>
      </c>
    </row>
    <row r="52" spans="2:12">
      <c r="B52" s="1">
        <v>48690</v>
      </c>
      <c r="C52" t="s">
        <v>24</v>
      </c>
      <c r="D52">
        <v>16</v>
      </c>
      <c r="E52">
        <v>0</v>
      </c>
      <c r="F52">
        <f t="shared" si="1"/>
        <v>0</v>
      </c>
      <c r="G52">
        <f t="shared" ref="G52:G115" si="47">D52</f>
        <v>16</v>
      </c>
      <c r="H52">
        <f t="shared" si="0"/>
        <v>2033</v>
      </c>
      <c r="I52">
        <v>1</v>
      </c>
      <c r="J52">
        <f t="shared" si="2"/>
        <v>47.638599999999997</v>
      </c>
      <c r="K52">
        <f t="shared" si="3"/>
        <v>0</v>
      </c>
      <c r="L52">
        <f t="shared" si="4"/>
        <v>47.638599999999997</v>
      </c>
    </row>
    <row r="53" spans="2:12">
      <c r="B53" s="1">
        <v>48691</v>
      </c>
      <c r="C53" t="s">
        <v>18</v>
      </c>
      <c r="D53">
        <v>18.600000000000001</v>
      </c>
      <c r="E53">
        <v>7.4</v>
      </c>
      <c r="F53">
        <f t="shared" si="1"/>
        <v>1.3764000000000001</v>
      </c>
      <c r="G53">
        <f t="shared" ref="G53:G116" si="48">D52+D53</f>
        <v>34.6</v>
      </c>
      <c r="H53">
        <f t="shared" si="0"/>
        <v>2033</v>
      </c>
      <c r="I53">
        <v>1</v>
      </c>
      <c r="J53">
        <f t="shared" si="2"/>
        <v>49.014999999999993</v>
      </c>
      <c r="K53">
        <f t="shared" si="3"/>
        <v>0</v>
      </c>
      <c r="L53">
        <f t="shared" si="4"/>
        <v>49.014999999999993</v>
      </c>
    </row>
    <row r="54" spans="2:12">
      <c r="B54" s="1">
        <v>48692</v>
      </c>
      <c r="C54" t="s">
        <v>24</v>
      </c>
      <c r="D54">
        <v>12.7</v>
      </c>
      <c r="E54">
        <v>30.8</v>
      </c>
      <c r="F54">
        <f t="shared" si="1"/>
        <v>3.9115999999999995</v>
      </c>
      <c r="G54">
        <f t="shared" ref="G54" si="49">D52+D53+D54</f>
        <v>47.3</v>
      </c>
      <c r="H54">
        <f t="shared" si="0"/>
        <v>2033</v>
      </c>
      <c r="I54">
        <v>1</v>
      </c>
      <c r="J54">
        <f t="shared" si="2"/>
        <v>52.926599999999993</v>
      </c>
      <c r="K54">
        <f t="shared" si="3"/>
        <v>0</v>
      </c>
      <c r="L54">
        <f t="shared" si="4"/>
        <v>52.926599999999993</v>
      </c>
    </row>
    <row r="55" spans="2:12">
      <c r="B55" s="1">
        <v>48693</v>
      </c>
      <c r="C55" t="s">
        <v>50</v>
      </c>
      <c r="D55">
        <v>14.5</v>
      </c>
      <c r="E55">
        <v>0</v>
      </c>
      <c r="F55">
        <f t="shared" si="1"/>
        <v>0</v>
      </c>
      <c r="G55">
        <f t="shared" ref="G55" si="50">D52+D53+D54+D55</f>
        <v>61.8</v>
      </c>
      <c r="H55">
        <f t="shared" si="0"/>
        <v>2033</v>
      </c>
      <c r="I55">
        <v>1</v>
      </c>
      <c r="J55">
        <f t="shared" si="2"/>
        <v>52.926599999999993</v>
      </c>
      <c r="K55">
        <f t="shared" si="3"/>
        <v>0</v>
      </c>
      <c r="L55">
        <f t="shared" si="4"/>
        <v>52.926599999999993</v>
      </c>
    </row>
    <row r="56" spans="2:12">
      <c r="B56" s="1">
        <v>48694</v>
      </c>
      <c r="C56" t="s">
        <v>37</v>
      </c>
      <c r="D56">
        <v>12.2</v>
      </c>
      <c r="E56">
        <v>3.5</v>
      </c>
      <c r="F56">
        <f t="shared" si="1"/>
        <v>0.42699999999999994</v>
      </c>
      <c r="G56">
        <f t="shared" ref="G56" si="51">D52+D53+D54+D55+D56</f>
        <v>74</v>
      </c>
      <c r="H56">
        <f t="shared" si="0"/>
        <v>2033</v>
      </c>
      <c r="I56">
        <v>1</v>
      </c>
      <c r="J56">
        <f t="shared" si="2"/>
        <v>53.353599999999993</v>
      </c>
      <c r="K56">
        <f t="shared" si="3"/>
        <v>0</v>
      </c>
      <c r="L56">
        <f t="shared" si="4"/>
        <v>53.353599999999993</v>
      </c>
    </row>
    <row r="57" spans="2:12">
      <c r="B57" s="1">
        <v>48695</v>
      </c>
      <c r="C57" t="s">
        <v>49</v>
      </c>
      <c r="D57">
        <v>19.899999999999999</v>
      </c>
      <c r="E57">
        <v>0</v>
      </c>
      <c r="F57">
        <f t="shared" si="1"/>
        <v>0</v>
      </c>
      <c r="G57">
        <f t="shared" ref="G57" si="52">D52+D53+D54+D55+D56+D57</f>
        <v>93.9</v>
      </c>
      <c r="H57">
        <f t="shared" si="0"/>
        <v>2033</v>
      </c>
      <c r="I57">
        <v>1</v>
      </c>
      <c r="J57">
        <f t="shared" si="2"/>
        <v>53.353599999999993</v>
      </c>
      <c r="K57">
        <f t="shared" si="3"/>
        <v>0</v>
      </c>
      <c r="L57">
        <f t="shared" si="4"/>
        <v>53.353599999999993</v>
      </c>
    </row>
    <row r="58" spans="2:12">
      <c r="B58" s="1">
        <v>48696</v>
      </c>
      <c r="C58" t="s">
        <v>36</v>
      </c>
      <c r="D58">
        <v>28.1</v>
      </c>
      <c r="E58">
        <v>5.3</v>
      </c>
      <c r="F58">
        <f t="shared" si="1"/>
        <v>1.4893000000000001</v>
      </c>
      <c r="G58">
        <f t="shared" ref="G58" si="53">D52+D53+D54+D55+D56+D57+D58</f>
        <v>122</v>
      </c>
      <c r="H58">
        <f t="shared" si="0"/>
        <v>2033</v>
      </c>
      <c r="I58">
        <v>1</v>
      </c>
      <c r="J58">
        <f t="shared" si="2"/>
        <v>54.842899999999993</v>
      </c>
      <c r="K58">
        <f t="shared" si="3"/>
        <v>0</v>
      </c>
      <c r="L58">
        <f t="shared" si="4"/>
        <v>54.842899999999993</v>
      </c>
    </row>
    <row r="59" spans="2:12">
      <c r="B59" s="1">
        <v>48697</v>
      </c>
      <c r="C59" t="s">
        <v>24</v>
      </c>
      <c r="D59">
        <v>27.7</v>
      </c>
      <c r="E59">
        <v>45.3</v>
      </c>
      <c r="F59">
        <f t="shared" si="1"/>
        <v>12.5481</v>
      </c>
      <c r="G59">
        <f t="shared" ref="G59:G122" si="54">D59</f>
        <v>27.7</v>
      </c>
      <c r="H59">
        <f t="shared" si="0"/>
        <v>2033</v>
      </c>
      <c r="I59">
        <v>1</v>
      </c>
      <c r="J59">
        <f t="shared" si="2"/>
        <v>67.390999999999991</v>
      </c>
      <c r="K59">
        <f t="shared" si="3"/>
        <v>0</v>
      </c>
      <c r="L59">
        <f t="shared" si="4"/>
        <v>67.390999999999991</v>
      </c>
    </row>
    <row r="60" spans="2:12">
      <c r="B60" s="1">
        <v>48698</v>
      </c>
      <c r="C60" t="s">
        <v>15</v>
      </c>
      <c r="D60">
        <v>14.6</v>
      </c>
      <c r="E60">
        <v>5.2</v>
      </c>
      <c r="F60">
        <f t="shared" si="1"/>
        <v>0.75919999999999999</v>
      </c>
      <c r="G60">
        <f t="shared" ref="G60:G123" si="55">D59+D60</f>
        <v>42.3</v>
      </c>
      <c r="H60">
        <f t="shared" si="0"/>
        <v>2033</v>
      </c>
      <c r="I60">
        <v>1</v>
      </c>
      <c r="J60">
        <f t="shared" si="2"/>
        <v>68.150199999999998</v>
      </c>
      <c r="K60">
        <f t="shared" si="3"/>
        <v>0</v>
      </c>
      <c r="L60">
        <f t="shared" si="4"/>
        <v>68.150199999999998</v>
      </c>
    </row>
    <row r="61" spans="2:12">
      <c r="B61" s="1">
        <v>48699</v>
      </c>
      <c r="C61" t="s">
        <v>47</v>
      </c>
      <c r="D61">
        <v>10.8</v>
      </c>
      <c r="E61">
        <v>0</v>
      </c>
      <c r="F61">
        <f t="shared" si="1"/>
        <v>0</v>
      </c>
      <c r="G61">
        <f t="shared" ref="G61" si="56">D59+D60+D61</f>
        <v>53.099999999999994</v>
      </c>
      <c r="H61">
        <f t="shared" si="0"/>
        <v>2033</v>
      </c>
      <c r="I61">
        <v>1</v>
      </c>
      <c r="J61">
        <f t="shared" si="2"/>
        <v>68.150199999999998</v>
      </c>
      <c r="K61">
        <f t="shared" si="3"/>
        <v>0</v>
      </c>
      <c r="L61">
        <f t="shared" si="4"/>
        <v>68.150199999999998</v>
      </c>
    </row>
    <row r="62" spans="2:12">
      <c r="B62" s="1">
        <v>48700</v>
      </c>
      <c r="C62" t="s">
        <v>38</v>
      </c>
      <c r="D62">
        <v>12.4</v>
      </c>
      <c r="E62">
        <v>3.2</v>
      </c>
      <c r="F62">
        <f t="shared" si="1"/>
        <v>0.39680000000000004</v>
      </c>
      <c r="G62">
        <f t="shared" ref="G62" si="57">D59+D60+D61+D62</f>
        <v>65.5</v>
      </c>
      <c r="H62">
        <f t="shared" si="0"/>
        <v>2033</v>
      </c>
      <c r="I62">
        <v>1</v>
      </c>
      <c r="J62">
        <f t="shared" si="2"/>
        <v>68.546999999999997</v>
      </c>
      <c r="K62">
        <f t="shared" si="3"/>
        <v>0</v>
      </c>
      <c r="L62">
        <f t="shared" si="4"/>
        <v>68.546999999999997</v>
      </c>
    </row>
    <row r="63" spans="2:12">
      <c r="B63" s="1">
        <v>48701</v>
      </c>
      <c r="C63" t="s">
        <v>24</v>
      </c>
      <c r="D63">
        <v>25.2</v>
      </c>
      <c r="E63">
        <v>0</v>
      </c>
      <c r="F63">
        <f t="shared" si="1"/>
        <v>0</v>
      </c>
      <c r="G63">
        <f t="shared" ref="G63" si="58">D59+D60+D61+D62+D63</f>
        <v>90.7</v>
      </c>
      <c r="H63">
        <f t="shared" si="0"/>
        <v>2033</v>
      </c>
      <c r="I63">
        <v>1</v>
      </c>
      <c r="J63">
        <f t="shared" si="2"/>
        <v>68.546999999999997</v>
      </c>
      <c r="K63">
        <f t="shared" si="3"/>
        <v>0</v>
      </c>
      <c r="L63">
        <f t="shared" si="4"/>
        <v>68.546999999999997</v>
      </c>
    </row>
    <row r="64" spans="2:12">
      <c r="B64" s="1">
        <v>48702</v>
      </c>
      <c r="C64" t="s">
        <v>24</v>
      </c>
      <c r="D64">
        <v>28.9</v>
      </c>
      <c r="E64">
        <v>0</v>
      </c>
      <c r="F64">
        <f t="shared" si="1"/>
        <v>0</v>
      </c>
      <c r="G64">
        <f t="shared" ref="G64" si="59">D59+D60+D61+D62+D63+D64</f>
        <v>119.6</v>
      </c>
      <c r="H64">
        <f t="shared" si="0"/>
        <v>2033</v>
      </c>
      <c r="I64">
        <v>1</v>
      </c>
      <c r="J64">
        <f t="shared" si="2"/>
        <v>68.546999999999997</v>
      </c>
      <c r="K64">
        <f t="shared" si="3"/>
        <v>0</v>
      </c>
      <c r="L64">
        <f t="shared" si="4"/>
        <v>68.546999999999997</v>
      </c>
    </row>
    <row r="65" spans="2:12">
      <c r="B65" s="1">
        <v>48703</v>
      </c>
      <c r="C65" t="s">
        <v>50</v>
      </c>
      <c r="D65">
        <v>13.2</v>
      </c>
      <c r="E65">
        <v>23.3</v>
      </c>
      <c r="F65">
        <f t="shared" si="1"/>
        <v>3.0756000000000001</v>
      </c>
      <c r="G65">
        <f t="shared" ref="G65" si="60">D59+D60+D61+D62+D63+D64+D65</f>
        <v>132.79999999999998</v>
      </c>
      <c r="H65">
        <f t="shared" si="0"/>
        <v>2033</v>
      </c>
      <c r="I65">
        <v>1</v>
      </c>
      <c r="J65">
        <f t="shared" si="2"/>
        <v>71.622599999999991</v>
      </c>
      <c r="K65">
        <f t="shared" si="3"/>
        <v>0</v>
      </c>
      <c r="L65">
        <f t="shared" si="4"/>
        <v>71.622599999999991</v>
      </c>
    </row>
    <row r="66" spans="2:12">
      <c r="B66" s="1">
        <v>48704</v>
      </c>
      <c r="C66" t="s">
        <v>24</v>
      </c>
      <c r="D66">
        <v>27.9</v>
      </c>
      <c r="E66">
        <v>0</v>
      </c>
      <c r="F66">
        <f t="shared" si="1"/>
        <v>0</v>
      </c>
      <c r="G66">
        <f t="shared" ref="G66:G129" si="61">D66</f>
        <v>27.9</v>
      </c>
      <c r="H66">
        <f t="shared" si="0"/>
        <v>2033</v>
      </c>
      <c r="I66">
        <v>1</v>
      </c>
      <c r="J66">
        <f t="shared" si="2"/>
        <v>71.622599999999991</v>
      </c>
      <c r="K66">
        <f t="shared" si="3"/>
        <v>0</v>
      </c>
      <c r="L66">
        <f t="shared" si="4"/>
        <v>71.622599999999991</v>
      </c>
    </row>
    <row r="67" spans="2:12">
      <c r="B67" s="1">
        <v>48705</v>
      </c>
      <c r="C67" t="s">
        <v>18</v>
      </c>
      <c r="D67">
        <v>10.9</v>
      </c>
      <c r="E67">
        <v>3.5</v>
      </c>
      <c r="F67">
        <f t="shared" si="1"/>
        <v>0.38150000000000001</v>
      </c>
      <c r="G67">
        <f t="shared" ref="G67:G130" si="62">D66+D67</f>
        <v>38.799999999999997</v>
      </c>
      <c r="H67">
        <f t="shared" si="0"/>
        <v>2033</v>
      </c>
      <c r="I67">
        <v>1</v>
      </c>
      <c r="J67">
        <f t="shared" si="2"/>
        <v>72.004099999999994</v>
      </c>
      <c r="K67">
        <f t="shared" si="3"/>
        <v>0</v>
      </c>
      <c r="L67">
        <f t="shared" si="4"/>
        <v>72.004099999999994</v>
      </c>
    </row>
    <row r="68" spans="2:12">
      <c r="B68" s="1">
        <v>48706</v>
      </c>
      <c r="C68" t="s">
        <v>32</v>
      </c>
      <c r="D68">
        <v>25.5</v>
      </c>
      <c r="E68">
        <v>20</v>
      </c>
      <c r="F68">
        <f t="shared" si="1"/>
        <v>5.0999999999999996</v>
      </c>
      <c r="G68">
        <f t="shared" ref="G68" si="63">D66+D67+D68</f>
        <v>64.3</v>
      </c>
      <c r="H68">
        <f t="shared" ref="H68:H131" si="64">YEAR(B68)</f>
        <v>2033</v>
      </c>
      <c r="I68">
        <v>1</v>
      </c>
      <c r="J68">
        <f t="shared" si="2"/>
        <v>77.104099999999988</v>
      </c>
      <c r="K68">
        <f t="shared" si="3"/>
        <v>0</v>
      </c>
      <c r="L68">
        <f t="shared" si="4"/>
        <v>77.104099999999988</v>
      </c>
    </row>
    <row r="69" spans="2:12">
      <c r="B69" s="1">
        <v>48707</v>
      </c>
      <c r="C69" t="s">
        <v>21</v>
      </c>
      <c r="D69">
        <v>26</v>
      </c>
      <c r="E69">
        <v>0</v>
      </c>
      <c r="F69">
        <f t="shared" ref="F69:F132" si="65">IF(E69&gt;=1,D69*E69/100,0)</f>
        <v>0</v>
      </c>
      <c r="G69">
        <f t="shared" ref="G69" si="66">D66+D67+D68+D69</f>
        <v>90.3</v>
      </c>
      <c r="H69">
        <f t="shared" si="64"/>
        <v>2033</v>
      </c>
      <c r="I69">
        <v>1</v>
      </c>
      <c r="J69">
        <f t="shared" ref="J69:J132" si="67">L68+F69</f>
        <v>77.104099999999988</v>
      </c>
      <c r="K69">
        <f t="shared" ref="K69:K132" si="68">IF(J69&gt;=100,1,0)</f>
        <v>0</v>
      </c>
      <c r="L69">
        <f t="shared" ref="L69:L132" si="69">IF(K69=1,J69-100,J69)</f>
        <v>77.104099999999988</v>
      </c>
    </row>
    <row r="70" spans="2:12">
      <c r="B70" s="1">
        <v>48708</v>
      </c>
      <c r="C70" t="s">
        <v>49</v>
      </c>
      <c r="D70">
        <v>25.8</v>
      </c>
      <c r="E70">
        <v>0.1</v>
      </c>
      <c r="F70">
        <f t="shared" si="65"/>
        <v>0</v>
      </c>
      <c r="G70">
        <f t="shared" ref="G70" si="70">D66+D67+D68+D69+D70</f>
        <v>116.1</v>
      </c>
      <c r="H70">
        <f t="shared" si="64"/>
        <v>2033</v>
      </c>
      <c r="I70">
        <v>1</v>
      </c>
      <c r="J70">
        <f t="shared" si="67"/>
        <v>77.104099999999988</v>
      </c>
      <c r="K70">
        <f t="shared" si="68"/>
        <v>0</v>
      </c>
      <c r="L70">
        <f t="shared" si="69"/>
        <v>77.104099999999988</v>
      </c>
    </row>
    <row r="71" spans="2:12">
      <c r="B71" s="1">
        <v>48709</v>
      </c>
      <c r="C71" t="s">
        <v>31</v>
      </c>
      <c r="D71">
        <v>17.5</v>
      </c>
      <c r="E71">
        <v>0.5</v>
      </c>
      <c r="F71">
        <f t="shared" si="65"/>
        <v>0</v>
      </c>
      <c r="G71">
        <f t="shared" ref="G71" si="71">D66+D67+D68+D69+D70+D71</f>
        <v>133.6</v>
      </c>
      <c r="H71">
        <f t="shared" si="64"/>
        <v>2033</v>
      </c>
      <c r="I71">
        <v>1</v>
      </c>
      <c r="J71">
        <f t="shared" si="67"/>
        <v>77.104099999999988</v>
      </c>
      <c r="K71">
        <f t="shared" si="68"/>
        <v>0</v>
      </c>
      <c r="L71">
        <f t="shared" si="69"/>
        <v>77.104099999999988</v>
      </c>
    </row>
    <row r="72" spans="2:12">
      <c r="B72" s="1">
        <v>48710</v>
      </c>
      <c r="C72" t="s">
        <v>24</v>
      </c>
      <c r="D72">
        <v>17.8</v>
      </c>
      <c r="E72">
        <v>3.3</v>
      </c>
      <c r="F72">
        <f t="shared" si="65"/>
        <v>0.58740000000000003</v>
      </c>
      <c r="G72">
        <f t="shared" ref="G72" si="72">D66+D67+D68+D69+D70+D71+D72</f>
        <v>151.4</v>
      </c>
      <c r="H72">
        <f t="shared" si="64"/>
        <v>2033</v>
      </c>
      <c r="I72">
        <v>1</v>
      </c>
      <c r="J72">
        <f t="shared" si="67"/>
        <v>77.691499999999991</v>
      </c>
      <c r="K72">
        <f t="shared" si="68"/>
        <v>0</v>
      </c>
      <c r="L72">
        <f t="shared" si="69"/>
        <v>77.691499999999991</v>
      </c>
    </row>
    <row r="73" spans="2:12">
      <c r="B73" s="1">
        <v>48711</v>
      </c>
      <c r="C73" t="s">
        <v>24</v>
      </c>
      <c r="D73">
        <v>17.5</v>
      </c>
      <c r="E73">
        <v>0</v>
      </c>
      <c r="F73">
        <f t="shared" si="65"/>
        <v>0</v>
      </c>
      <c r="G73">
        <f t="shared" ref="G73:G136" si="73">D73</f>
        <v>17.5</v>
      </c>
      <c r="H73">
        <f t="shared" si="64"/>
        <v>2033</v>
      </c>
      <c r="I73">
        <v>1</v>
      </c>
      <c r="J73">
        <f t="shared" si="67"/>
        <v>77.691499999999991</v>
      </c>
      <c r="K73">
        <f t="shared" si="68"/>
        <v>0</v>
      </c>
      <c r="L73">
        <f t="shared" si="69"/>
        <v>77.691499999999991</v>
      </c>
    </row>
    <row r="74" spans="2:12">
      <c r="B74" s="1">
        <v>48712</v>
      </c>
      <c r="C74" t="s">
        <v>27</v>
      </c>
      <c r="D74">
        <v>16.100000000000001</v>
      </c>
      <c r="E74">
        <v>0</v>
      </c>
      <c r="F74">
        <f t="shared" si="65"/>
        <v>0</v>
      </c>
      <c r="G74">
        <f t="shared" ref="G74:G137" si="74">D73+D74</f>
        <v>33.6</v>
      </c>
      <c r="H74">
        <f t="shared" si="64"/>
        <v>2033</v>
      </c>
      <c r="I74">
        <v>1</v>
      </c>
      <c r="J74">
        <f t="shared" si="67"/>
        <v>77.691499999999991</v>
      </c>
      <c r="K74">
        <f t="shared" si="68"/>
        <v>0</v>
      </c>
      <c r="L74">
        <f t="shared" si="69"/>
        <v>77.691499999999991</v>
      </c>
    </row>
    <row r="75" spans="2:12">
      <c r="B75" s="1">
        <v>48713</v>
      </c>
      <c r="C75" t="s">
        <v>15</v>
      </c>
      <c r="D75">
        <v>11.8</v>
      </c>
      <c r="E75">
        <v>7</v>
      </c>
      <c r="F75">
        <f t="shared" si="65"/>
        <v>0.82600000000000007</v>
      </c>
      <c r="G75">
        <f t="shared" ref="G75" si="75">D73+D74+D75</f>
        <v>45.400000000000006</v>
      </c>
      <c r="H75">
        <f t="shared" si="64"/>
        <v>2033</v>
      </c>
      <c r="I75">
        <v>1</v>
      </c>
      <c r="J75">
        <f t="shared" si="67"/>
        <v>78.517499999999984</v>
      </c>
      <c r="K75">
        <f t="shared" si="68"/>
        <v>0</v>
      </c>
      <c r="L75">
        <f t="shared" si="69"/>
        <v>78.517499999999984</v>
      </c>
    </row>
    <row r="76" spans="2:12">
      <c r="B76" s="1">
        <v>48714</v>
      </c>
      <c r="C76" t="s">
        <v>32</v>
      </c>
      <c r="D76">
        <v>26.2</v>
      </c>
      <c r="E76">
        <v>0</v>
      </c>
      <c r="F76">
        <f t="shared" si="65"/>
        <v>0</v>
      </c>
      <c r="G76">
        <f t="shared" ref="G76" si="76">D73+D74+D75+D76</f>
        <v>71.600000000000009</v>
      </c>
      <c r="H76">
        <f t="shared" si="64"/>
        <v>2033</v>
      </c>
      <c r="I76">
        <v>1</v>
      </c>
      <c r="J76">
        <f t="shared" si="67"/>
        <v>78.517499999999984</v>
      </c>
      <c r="K76">
        <f t="shared" si="68"/>
        <v>0</v>
      </c>
      <c r="L76">
        <f t="shared" si="69"/>
        <v>78.517499999999984</v>
      </c>
    </row>
    <row r="77" spans="2:12">
      <c r="B77" s="1">
        <v>48715</v>
      </c>
      <c r="C77" t="s">
        <v>17</v>
      </c>
      <c r="D77">
        <v>28.8</v>
      </c>
      <c r="E77">
        <v>2.9</v>
      </c>
      <c r="F77">
        <f t="shared" si="65"/>
        <v>0.83519999999999994</v>
      </c>
      <c r="G77">
        <f t="shared" ref="G77" si="77">D73+D74+D75+D76+D77</f>
        <v>100.4</v>
      </c>
      <c r="H77">
        <f t="shared" si="64"/>
        <v>2033</v>
      </c>
      <c r="I77">
        <v>1</v>
      </c>
      <c r="J77">
        <f t="shared" si="67"/>
        <v>79.352699999999984</v>
      </c>
      <c r="K77">
        <f t="shared" si="68"/>
        <v>0</v>
      </c>
      <c r="L77">
        <f t="shared" si="69"/>
        <v>79.352699999999984</v>
      </c>
    </row>
    <row r="78" spans="2:12">
      <c r="B78" s="1">
        <v>48716</v>
      </c>
      <c r="C78" t="s">
        <v>24</v>
      </c>
      <c r="D78">
        <v>18.7</v>
      </c>
      <c r="E78">
        <v>0</v>
      </c>
      <c r="F78">
        <f t="shared" si="65"/>
        <v>0</v>
      </c>
      <c r="G78">
        <f t="shared" ref="G78" si="78">D73+D74+D75+D76+D77+D78</f>
        <v>119.10000000000001</v>
      </c>
      <c r="H78">
        <f t="shared" si="64"/>
        <v>2033</v>
      </c>
      <c r="I78">
        <v>1</v>
      </c>
      <c r="J78">
        <f t="shared" si="67"/>
        <v>79.352699999999984</v>
      </c>
      <c r="K78">
        <f t="shared" si="68"/>
        <v>0</v>
      </c>
      <c r="L78">
        <f t="shared" si="69"/>
        <v>79.352699999999984</v>
      </c>
    </row>
    <row r="79" spans="2:12">
      <c r="B79" s="1">
        <v>48717</v>
      </c>
      <c r="C79" t="s">
        <v>47</v>
      </c>
      <c r="D79">
        <v>10.3</v>
      </c>
      <c r="E79">
        <v>9.1999999999999993</v>
      </c>
      <c r="F79">
        <f t="shared" si="65"/>
        <v>0.9476</v>
      </c>
      <c r="G79">
        <f t="shared" ref="G79" si="79">D73+D74+D75+D76+D77+D78+D79</f>
        <v>129.4</v>
      </c>
      <c r="H79">
        <f t="shared" si="64"/>
        <v>2033</v>
      </c>
      <c r="I79">
        <v>1</v>
      </c>
      <c r="J79">
        <f t="shared" si="67"/>
        <v>80.300299999999979</v>
      </c>
      <c r="K79">
        <f t="shared" si="68"/>
        <v>0</v>
      </c>
      <c r="L79">
        <f t="shared" si="69"/>
        <v>80.300299999999979</v>
      </c>
    </row>
    <row r="80" spans="2:12">
      <c r="B80" s="1">
        <v>48718</v>
      </c>
      <c r="C80" t="s">
        <v>17</v>
      </c>
      <c r="D80">
        <v>29.8</v>
      </c>
      <c r="E80">
        <v>3.4</v>
      </c>
      <c r="F80">
        <f t="shared" si="65"/>
        <v>1.0131999999999999</v>
      </c>
      <c r="G80">
        <f t="shared" ref="G80:G143" si="80">D80</f>
        <v>29.8</v>
      </c>
      <c r="H80">
        <f t="shared" si="64"/>
        <v>2033</v>
      </c>
      <c r="I80">
        <v>1</v>
      </c>
      <c r="J80">
        <f t="shared" si="67"/>
        <v>81.313499999999976</v>
      </c>
      <c r="K80">
        <f t="shared" si="68"/>
        <v>0</v>
      </c>
      <c r="L80">
        <f t="shared" si="69"/>
        <v>81.313499999999976</v>
      </c>
    </row>
    <row r="81" spans="2:12">
      <c r="B81" s="1">
        <v>48719</v>
      </c>
      <c r="C81" t="s">
        <v>24</v>
      </c>
      <c r="D81">
        <v>26.2</v>
      </c>
      <c r="E81">
        <v>32.299999999999997</v>
      </c>
      <c r="F81">
        <f t="shared" si="65"/>
        <v>8.4625999999999983</v>
      </c>
      <c r="G81">
        <f t="shared" ref="G81:G144" si="81">D80+D81</f>
        <v>56</v>
      </c>
      <c r="H81">
        <f t="shared" si="64"/>
        <v>2033</v>
      </c>
      <c r="I81">
        <v>1</v>
      </c>
      <c r="J81">
        <f t="shared" si="67"/>
        <v>89.776099999999971</v>
      </c>
      <c r="K81">
        <f t="shared" si="68"/>
        <v>0</v>
      </c>
      <c r="L81">
        <f t="shared" si="69"/>
        <v>89.776099999999971</v>
      </c>
    </row>
    <row r="82" spans="2:12">
      <c r="B82" s="1">
        <v>48720</v>
      </c>
      <c r="C82" t="s">
        <v>50</v>
      </c>
      <c r="D82">
        <v>13.8</v>
      </c>
      <c r="E82">
        <v>15.9</v>
      </c>
      <c r="F82">
        <f t="shared" si="65"/>
        <v>2.1942000000000004</v>
      </c>
      <c r="G82">
        <f t="shared" ref="G82" si="82">D80+D81+D82</f>
        <v>69.8</v>
      </c>
      <c r="H82">
        <f t="shared" si="64"/>
        <v>2033</v>
      </c>
      <c r="I82">
        <v>1</v>
      </c>
      <c r="J82">
        <f t="shared" si="67"/>
        <v>91.970299999999966</v>
      </c>
      <c r="K82">
        <f t="shared" si="68"/>
        <v>0</v>
      </c>
      <c r="L82">
        <f t="shared" si="69"/>
        <v>91.970299999999966</v>
      </c>
    </row>
    <row r="83" spans="2:12">
      <c r="B83" s="1">
        <v>48721</v>
      </c>
      <c r="C83" t="s">
        <v>50</v>
      </c>
      <c r="D83">
        <v>22.4</v>
      </c>
      <c r="E83">
        <v>24.5</v>
      </c>
      <c r="F83">
        <f t="shared" si="65"/>
        <v>5.4879999999999995</v>
      </c>
      <c r="G83">
        <f t="shared" ref="G83" si="83">D80+D81+D82+D83</f>
        <v>92.199999999999989</v>
      </c>
      <c r="H83">
        <f t="shared" si="64"/>
        <v>2033</v>
      </c>
      <c r="I83">
        <v>1</v>
      </c>
      <c r="J83">
        <f t="shared" si="67"/>
        <v>97.458299999999966</v>
      </c>
      <c r="K83">
        <f t="shared" si="68"/>
        <v>0</v>
      </c>
      <c r="L83">
        <f t="shared" si="69"/>
        <v>97.458299999999966</v>
      </c>
    </row>
    <row r="84" spans="2:12">
      <c r="B84" s="1">
        <v>48722</v>
      </c>
      <c r="C84" t="s">
        <v>50</v>
      </c>
      <c r="D84">
        <v>24.5</v>
      </c>
      <c r="E84">
        <v>0.9</v>
      </c>
      <c r="F84">
        <f t="shared" si="65"/>
        <v>0</v>
      </c>
      <c r="G84">
        <f t="shared" ref="G84" si="84">D80+D81+D82+D83+D84</f>
        <v>116.69999999999999</v>
      </c>
      <c r="H84">
        <f t="shared" si="64"/>
        <v>2033</v>
      </c>
      <c r="I84">
        <v>1</v>
      </c>
      <c r="J84">
        <f t="shared" si="67"/>
        <v>97.458299999999966</v>
      </c>
      <c r="K84">
        <f t="shared" si="68"/>
        <v>0</v>
      </c>
      <c r="L84">
        <f t="shared" si="69"/>
        <v>97.458299999999966</v>
      </c>
    </row>
    <row r="85" spans="2:12">
      <c r="B85" s="1">
        <v>48723</v>
      </c>
      <c r="C85" t="s">
        <v>23</v>
      </c>
      <c r="D85">
        <v>23.1</v>
      </c>
      <c r="E85">
        <v>0.3</v>
      </c>
      <c r="F85">
        <f t="shared" si="65"/>
        <v>0</v>
      </c>
      <c r="G85">
        <f t="shared" ref="G85" si="85">D80+D81+D82+D83+D84+D85</f>
        <v>139.79999999999998</v>
      </c>
      <c r="H85">
        <f t="shared" si="64"/>
        <v>2033</v>
      </c>
      <c r="I85">
        <v>1</v>
      </c>
      <c r="J85">
        <f t="shared" si="67"/>
        <v>97.458299999999966</v>
      </c>
      <c r="K85">
        <f t="shared" si="68"/>
        <v>0</v>
      </c>
      <c r="L85">
        <f t="shared" si="69"/>
        <v>97.458299999999966</v>
      </c>
    </row>
    <row r="86" spans="2:12">
      <c r="B86" s="1">
        <v>48724</v>
      </c>
      <c r="C86" t="s">
        <v>49</v>
      </c>
      <c r="D86">
        <v>29.8</v>
      </c>
      <c r="E86">
        <v>0</v>
      </c>
      <c r="F86">
        <f t="shared" si="65"/>
        <v>0</v>
      </c>
      <c r="G86">
        <f t="shared" ref="G86" si="86">D80+D81+D82+D83+D84+D85+D86</f>
        <v>169.6</v>
      </c>
      <c r="H86">
        <f t="shared" si="64"/>
        <v>2033</v>
      </c>
      <c r="I86">
        <v>1</v>
      </c>
      <c r="J86">
        <f t="shared" si="67"/>
        <v>97.458299999999966</v>
      </c>
      <c r="K86">
        <f t="shared" si="68"/>
        <v>0</v>
      </c>
      <c r="L86">
        <f t="shared" si="69"/>
        <v>97.458299999999966</v>
      </c>
    </row>
    <row r="87" spans="2:12">
      <c r="B87" s="1">
        <v>48725</v>
      </c>
      <c r="C87" t="s">
        <v>12</v>
      </c>
      <c r="D87">
        <v>11.2</v>
      </c>
      <c r="E87">
        <v>0</v>
      </c>
      <c r="F87">
        <f t="shared" si="65"/>
        <v>0</v>
      </c>
      <c r="G87">
        <f t="shared" ref="G87:G150" si="87">D87</f>
        <v>11.2</v>
      </c>
      <c r="H87">
        <f t="shared" si="64"/>
        <v>2033</v>
      </c>
      <c r="I87">
        <v>1</v>
      </c>
      <c r="J87">
        <f t="shared" si="67"/>
        <v>97.458299999999966</v>
      </c>
      <c r="K87">
        <f t="shared" si="68"/>
        <v>0</v>
      </c>
      <c r="L87">
        <f t="shared" si="69"/>
        <v>97.458299999999966</v>
      </c>
    </row>
    <row r="88" spans="2:12">
      <c r="B88" s="1">
        <v>48726</v>
      </c>
      <c r="C88" t="s">
        <v>50</v>
      </c>
      <c r="D88">
        <v>18.7</v>
      </c>
      <c r="E88">
        <v>0</v>
      </c>
      <c r="F88">
        <f t="shared" si="65"/>
        <v>0</v>
      </c>
      <c r="G88">
        <f t="shared" ref="G88:G151" si="88">D87+D88</f>
        <v>29.9</v>
      </c>
      <c r="H88">
        <f t="shared" si="64"/>
        <v>2033</v>
      </c>
      <c r="I88">
        <v>1</v>
      </c>
      <c r="J88">
        <f t="shared" si="67"/>
        <v>97.458299999999966</v>
      </c>
      <c r="K88">
        <f t="shared" si="68"/>
        <v>0</v>
      </c>
      <c r="L88">
        <f t="shared" si="69"/>
        <v>97.458299999999966</v>
      </c>
    </row>
    <row r="89" spans="2:12">
      <c r="B89" s="1">
        <v>48727</v>
      </c>
      <c r="C89" t="s">
        <v>47</v>
      </c>
      <c r="D89">
        <v>11.4</v>
      </c>
      <c r="E89">
        <v>8.1</v>
      </c>
      <c r="F89">
        <f t="shared" si="65"/>
        <v>0.9234</v>
      </c>
      <c r="G89">
        <f t="shared" ref="G89" si="89">D87+D88+D89</f>
        <v>41.3</v>
      </c>
      <c r="H89">
        <f t="shared" si="64"/>
        <v>2033</v>
      </c>
      <c r="I89">
        <v>1</v>
      </c>
      <c r="J89">
        <f t="shared" si="67"/>
        <v>98.381699999999967</v>
      </c>
      <c r="K89">
        <f t="shared" si="68"/>
        <v>0</v>
      </c>
      <c r="L89">
        <f t="shared" si="69"/>
        <v>98.381699999999967</v>
      </c>
    </row>
    <row r="90" spans="2:12">
      <c r="B90" s="1">
        <v>48728</v>
      </c>
      <c r="C90" t="s">
        <v>27</v>
      </c>
      <c r="D90">
        <v>21.3</v>
      </c>
      <c r="E90">
        <v>13.4</v>
      </c>
      <c r="F90">
        <f t="shared" si="65"/>
        <v>2.8542000000000001</v>
      </c>
      <c r="G90">
        <f t="shared" ref="G90" si="90">D87+D88+D89+D90</f>
        <v>62.599999999999994</v>
      </c>
      <c r="H90">
        <f t="shared" si="64"/>
        <v>2033</v>
      </c>
      <c r="I90">
        <v>1</v>
      </c>
      <c r="J90">
        <f t="shared" si="67"/>
        <v>101.23589999999997</v>
      </c>
      <c r="K90">
        <f t="shared" si="68"/>
        <v>1</v>
      </c>
      <c r="L90">
        <f t="shared" si="69"/>
        <v>1.2358999999999725</v>
      </c>
    </row>
    <row r="91" spans="2:12">
      <c r="B91" s="1">
        <v>48729</v>
      </c>
      <c r="C91" t="s">
        <v>15</v>
      </c>
      <c r="D91">
        <v>24.5</v>
      </c>
      <c r="E91">
        <v>2.6</v>
      </c>
      <c r="F91">
        <f t="shared" si="65"/>
        <v>0.63700000000000001</v>
      </c>
      <c r="G91">
        <f t="shared" ref="G91" si="91">D87+D88+D89+D90+D91</f>
        <v>87.1</v>
      </c>
      <c r="H91">
        <f t="shared" si="64"/>
        <v>2033</v>
      </c>
      <c r="I91">
        <v>1</v>
      </c>
      <c r="J91">
        <f t="shared" si="67"/>
        <v>1.8728999999999725</v>
      </c>
      <c r="K91">
        <f t="shared" si="68"/>
        <v>0</v>
      </c>
      <c r="L91">
        <f t="shared" si="69"/>
        <v>1.8728999999999725</v>
      </c>
    </row>
    <row r="92" spans="2:12">
      <c r="B92" s="1">
        <v>48730</v>
      </c>
      <c r="C92" t="s">
        <v>50</v>
      </c>
      <c r="D92">
        <v>20</v>
      </c>
      <c r="E92">
        <v>13.2</v>
      </c>
      <c r="F92">
        <f t="shared" si="65"/>
        <v>2.64</v>
      </c>
      <c r="G92">
        <f t="shared" ref="G92" si="92">D87+D88+D89+D90+D91+D92</f>
        <v>107.1</v>
      </c>
      <c r="H92">
        <f t="shared" si="64"/>
        <v>2033</v>
      </c>
      <c r="I92">
        <v>1</v>
      </c>
      <c r="J92">
        <f t="shared" si="67"/>
        <v>4.5128999999999726</v>
      </c>
      <c r="K92">
        <f t="shared" si="68"/>
        <v>0</v>
      </c>
      <c r="L92">
        <f t="shared" si="69"/>
        <v>4.5128999999999726</v>
      </c>
    </row>
    <row r="93" spans="2:12">
      <c r="B93" s="1">
        <v>48731</v>
      </c>
      <c r="C93" t="s">
        <v>24</v>
      </c>
      <c r="D93">
        <v>28.4</v>
      </c>
      <c r="E93">
        <v>12</v>
      </c>
      <c r="F93">
        <f t="shared" si="65"/>
        <v>3.4079999999999995</v>
      </c>
      <c r="G93">
        <f t="shared" ref="G93" si="93">D87+D88+D89+D90+D91+D92+D93</f>
        <v>135.5</v>
      </c>
      <c r="H93">
        <f t="shared" si="64"/>
        <v>2033</v>
      </c>
      <c r="I93">
        <v>1</v>
      </c>
      <c r="J93">
        <f t="shared" si="67"/>
        <v>7.9208999999999721</v>
      </c>
      <c r="K93">
        <f t="shared" si="68"/>
        <v>0</v>
      </c>
      <c r="L93">
        <f t="shared" si="69"/>
        <v>7.9208999999999721</v>
      </c>
    </row>
    <row r="94" spans="2:12">
      <c r="B94" s="1">
        <v>48732</v>
      </c>
      <c r="C94" t="s">
        <v>25</v>
      </c>
      <c r="D94">
        <v>14.8</v>
      </c>
      <c r="E94">
        <v>10.1</v>
      </c>
      <c r="F94">
        <f t="shared" si="65"/>
        <v>1.4947999999999999</v>
      </c>
      <c r="G94">
        <f t="shared" ref="G94:G157" si="94">D94</f>
        <v>14.8</v>
      </c>
      <c r="H94">
        <f t="shared" si="64"/>
        <v>2033</v>
      </c>
      <c r="I94">
        <v>1</v>
      </c>
      <c r="J94">
        <f t="shared" si="67"/>
        <v>9.4156999999999726</v>
      </c>
      <c r="K94">
        <f t="shared" si="68"/>
        <v>0</v>
      </c>
      <c r="L94">
        <f t="shared" si="69"/>
        <v>9.4156999999999726</v>
      </c>
    </row>
    <row r="95" spans="2:12">
      <c r="B95" s="1">
        <v>48733</v>
      </c>
      <c r="C95" t="s">
        <v>44</v>
      </c>
      <c r="D95">
        <v>27.9</v>
      </c>
      <c r="E95">
        <v>0.6</v>
      </c>
      <c r="F95">
        <f t="shared" si="65"/>
        <v>0</v>
      </c>
      <c r="G95">
        <f t="shared" ref="G95:G158" si="95">D94+D95</f>
        <v>42.7</v>
      </c>
      <c r="H95">
        <f t="shared" si="64"/>
        <v>2033</v>
      </c>
      <c r="I95">
        <v>1</v>
      </c>
      <c r="J95">
        <f t="shared" si="67"/>
        <v>9.4156999999999726</v>
      </c>
      <c r="K95">
        <f t="shared" si="68"/>
        <v>0</v>
      </c>
      <c r="L95">
        <f t="shared" si="69"/>
        <v>9.4156999999999726</v>
      </c>
    </row>
    <row r="96" spans="2:12">
      <c r="B96" s="1">
        <v>48734</v>
      </c>
      <c r="C96" t="s">
        <v>26</v>
      </c>
      <c r="D96">
        <v>19.899999999999999</v>
      </c>
      <c r="E96">
        <v>9.8000000000000007</v>
      </c>
      <c r="F96">
        <f t="shared" si="65"/>
        <v>1.9502000000000002</v>
      </c>
      <c r="G96">
        <f t="shared" ref="G96" si="96">D94+D95+D96</f>
        <v>62.6</v>
      </c>
      <c r="H96">
        <f t="shared" si="64"/>
        <v>2033</v>
      </c>
      <c r="I96">
        <v>1</v>
      </c>
      <c r="J96">
        <f t="shared" si="67"/>
        <v>11.365899999999973</v>
      </c>
      <c r="K96">
        <f t="shared" si="68"/>
        <v>0</v>
      </c>
      <c r="L96">
        <f t="shared" si="69"/>
        <v>11.365899999999973</v>
      </c>
    </row>
    <row r="97" spans="2:12">
      <c r="B97" s="1">
        <v>48735</v>
      </c>
      <c r="C97" t="s">
        <v>50</v>
      </c>
      <c r="D97">
        <v>22.5</v>
      </c>
      <c r="E97">
        <v>0</v>
      </c>
      <c r="F97">
        <f t="shared" si="65"/>
        <v>0</v>
      </c>
      <c r="G97">
        <f t="shared" ref="G97" si="97">D94+D95+D96+D97</f>
        <v>85.1</v>
      </c>
      <c r="H97">
        <f t="shared" si="64"/>
        <v>2033</v>
      </c>
      <c r="I97">
        <v>1</v>
      </c>
      <c r="J97">
        <f t="shared" si="67"/>
        <v>11.365899999999973</v>
      </c>
      <c r="K97">
        <f t="shared" si="68"/>
        <v>0</v>
      </c>
      <c r="L97">
        <f t="shared" si="69"/>
        <v>11.365899999999973</v>
      </c>
    </row>
    <row r="98" spans="2:12">
      <c r="B98" s="1">
        <v>48736</v>
      </c>
      <c r="C98" t="s">
        <v>19</v>
      </c>
      <c r="D98">
        <v>21.6</v>
      </c>
      <c r="E98">
        <v>4.9000000000000004</v>
      </c>
      <c r="F98">
        <f t="shared" si="65"/>
        <v>1.0584000000000002</v>
      </c>
      <c r="G98">
        <f t="shared" ref="G98" si="98">D94+D95+D96+D97+D98</f>
        <v>106.69999999999999</v>
      </c>
      <c r="H98">
        <f t="shared" si="64"/>
        <v>2033</v>
      </c>
      <c r="I98">
        <v>1</v>
      </c>
      <c r="J98">
        <f t="shared" si="67"/>
        <v>12.424299999999974</v>
      </c>
      <c r="K98">
        <f t="shared" si="68"/>
        <v>0</v>
      </c>
      <c r="L98">
        <f t="shared" si="69"/>
        <v>12.424299999999974</v>
      </c>
    </row>
    <row r="99" spans="2:12">
      <c r="B99" s="1">
        <v>48737</v>
      </c>
      <c r="C99" t="s">
        <v>24</v>
      </c>
      <c r="D99">
        <v>28.1</v>
      </c>
      <c r="E99">
        <v>0</v>
      </c>
      <c r="F99">
        <f t="shared" si="65"/>
        <v>0</v>
      </c>
      <c r="G99">
        <f t="shared" ref="G99" si="99">D94+D95+D96+D97+D98+D99</f>
        <v>134.79999999999998</v>
      </c>
      <c r="H99">
        <f t="shared" si="64"/>
        <v>2033</v>
      </c>
      <c r="I99">
        <v>1</v>
      </c>
      <c r="J99">
        <f t="shared" si="67"/>
        <v>12.424299999999974</v>
      </c>
      <c r="K99">
        <f t="shared" si="68"/>
        <v>0</v>
      </c>
      <c r="L99">
        <f t="shared" si="69"/>
        <v>12.424299999999974</v>
      </c>
    </row>
    <row r="100" spans="2:12">
      <c r="B100" s="1">
        <v>48738</v>
      </c>
      <c r="C100" t="s">
        <v>26</v>
      </c>
      <c r="D100">
        <v>21.5</v>
      </c>
      <c r="E100">
        <v>8.6</v>
      </c>
      <c r="F100">
        <f t="shared" si="65"/>
        <v>1.849</v>
      </c>
      <c r="G100">
        <f t="shared" ref="G100" si="100">D94+D95+D96+D97+D98+D99+D100</f>
        <v>156.29999999999998</v>
      </c>
      <c r="H100">
        <f t="shared" si="64"/>
        <v>2033</v>
      </c>
      <c r="I100">
        <v>1</v>
      </c>
      <c r="J100">
        <f t="shared" si="67"/>
        <v>14.273299999999974</v>
      </c>
      <c r="K100">
        <f t="shared" si="68"/>
        <v>0</v>
      </c>
      <c r="L100">
        <f t="shared" si="69"/>
        <v>14.273299999999974</v>
      </c>
    </row>
    <row r="101" spans="2:12">
      <c r="B101" s="1">
        <v>48739</v>
      </c>
      <c r="C101" t="s">
        <v>31</v>
      </c>
      <c r="D101">
        <v>22.7</v>
      </c>
      <c r="E101">
        <v>0.1</v>
      </c>
      <c r="F101">
        <f t="shared" si="65"/>
        <v>0</v>
      </c>
      <c r="G101">
        <f t="shared" ref="G101:G164" si="101">D101</f>
        <v>22.7</v>
      </c>
      <c r="H101">
        <f t="shared" si="64"/>
        <v>2033</v>
      </c>
      <c r="I101">
        <v>1</v>
      </c>
      <c r="J101">
        <f t="shared" si="67"/>
        <v>14.273299999999974</v>
      </c>
      <c r="K101">
        <f t="shared" si="68"/>
        <v>0</v>
      </c>
      <c r="L101">
        <f t="shared" si="69"/>
        <v>14.273299999999974</v>
      </c>
    </row>
    <row r="102" spans="2:12">
      <c r="B102" s="1">
        <v>48740</v>
      </c>
      <c r="C102" t="s">
        <v>24</v>
      </c>
      <c r="D102">
        <v>27.4</v>
      </c>
      <c r="E102">
        <v>21.8</v>
      </c>
      <c r="F102">
        <f t="shared" si="65"/>
        <v>5.9731999999999994</v>
      </c>
      <c r="G102">
        <f t="shared" ref="G102:G165" si="102">D101+D102</f>
        <v>50.099999999999994</v>
      </c>
      <c r="H102">
        <f t="shared" si="64"/>
        <v>2033</v>
      </c>
      <c r="I102">
        <v>1</v>
      </c>
      <c r="J102">
        <f t="shared" si="67"/>
        <v>20.246499999999973</v>
      </c>
      <c r="K102">
        <f t="shared" si="68"/>
        <v>0</v>
      </c>
      <c r="L102">
        <f t="shared" si="69"/>
        <v>20.246499999999973</v>
      </c>
    </row>
    <row r="103" spans="2:12">
      <c r="B103" s="1">
        <v>48741</v>
      </c>
      <c r="C103" t="s">
        <v>50</v>
      </c>
      <c r="D103">
        <v>18.3</v>
      </c>
      <c r="E103">
        <v>17.3</v>
      </c>
      <c r="F103">
        <f t="shared" si="65"/>
        <v>3.1659000000000002</v>
      </c>
      <c r="G103">
        <f t="shared" ref="G103" si="103">D101+D102+D103</f>
        <v>68.399999999999991</v>
      </c>
      <c r="H103">
        <f t="shared" si="64"/>
        <v>2033</v>
      </c>
      <c r="I103">
        <v>1</v>
      </c>
      <c r="J103">
        <f t="shared" si="67"/>
        <v>23.412399999999973</v>
      </c>
      <c r="K103">
        <f t="shared" si="68"/>
        <v>0</v>
      </c>
      <c r="L103">
        <f t="shared" si="69"/>
        <v>23.412399999999973</v>
      </c>
    </row>
    <row r="104" spans="2:12">
      <c r="B104" s="1">
        <v>48742</v>
      </c>
      <c r="C104" t="s">
        <v>50</v>
      </c>
      <c r="D104">
        <v>29</v>
      </c>
      <c r="E104">
        <v>27.3</v>
      </c>
      <c r="F104">
        <f t="shared" si="65"/>
        <v>7.9170000000000007</v>
      </c>
      <c r="G104">
        <f t="shared" ref="G104" si="104">D101+D102+D103+D104</f>
        <v>97.399999999999991</v>
      </c>
      <c r="H104">
        <f t="shared" si="64"/>
        <v>2033</v>
      </c>
      <c r="I104">
        <v>1</v>
      </c>
      <c r="J104">
        <f t="shared" si="67"/>
        <v>31.329399999999975</v>
      </c>
      <c r="K104">
        <f t="shared" si="68"/>
        <v>0</v>
      </c>
      <c r="L104">
        <f t="shared" si="69"/>
        <v>31.329399999999975</v>
      </c>
    </row>
    <row r="105" spans="2:12">
      <c r="B105" s="1">
        <v>48743</v>
      </c>
      <c r="C105" t="s">
        <v>47</v>
      </c>
      <c r="D105">
        <v>18.100000000000001</v>
      </c>
      <c r="E105">
        <v>0</v>
      </c>
      <c r="F105">
        <f t="shared" si="65"/>
        <v>0</v>
      </c>
      <c r="G105">
        <f t="shared" ref="G105" si="105">D101+D102+D103+D104+D105</f>
        <v>115.5</v>
      </c>
      <c r="H105">
        <f t="shared" si="64"/>
        <v>2033</v>
      </c>
      <c r="I105">
        <v>1</v>
      </c>
      <c r="J105">
        <f t="shared" si="67"/>
        <v>31.329399999999975</v>
      </c>
      <c r="K105">
        <f t="shared" si="68"/>
        <v>0</v>
      </c>
      <c r="L105">
        <f t="shared" si="69"/>
        <v>31.329399999999975</v>
      </c>
    </row>
    <row r="106" spans="2:12">
      <c r="B106" s="1">
        <v>48744</v>
      </c>
      <c r="C106" t="s">
        <v>40</v>
      </c>
      <c r="D106">
        <v>16.399999999999999</v>
      </c>
      <c r="E106">
        <v>1.1000000000000001</v>
      </c>
      <c r="F106">
        <f t="shared" si="65"/>
        <v>0.1804</v>
      </c>
      <c r="G106">
        <f t="shared" ref="G106" si="106">D101+D102+D103+D104+D105+D106</f>
        <v>131.9</v>
      </c>
      <c r="H106">
        <f t="shared" si="64"/>
        <v>2033</v>
      </c>
      <c r="I106">
        <v>1</v>
      </c>
      <c r="J106">
        <f t="shared" si="67"/>
        <v>31.509799999999974</v>
      </c>
      <c r="K106">
        <f t="shared" si="68"/>
        <v>0</v>
      </c>
      <c r="L106">
        <f t="shared" si="69"/>
        <v>31.509799999999974</v>
      </c>
    </row>
    <row r="107" spans="2:12">
      <c r="B107" s="1">
        <v>48745</v>
      </c>
      <c r="C107" t="s">
        <v>17</v>
      </c>
      <c r="D107">
        <v>21.8</v>
      </c>
      <c r="E107">
        <v>0</v>
      </c>
      <c r="F107">
        <f t="shared" si="65"/>
        <v>0</v>
      </c>
      <c r="G107">
        <f t="shared" ref="G107" si="107">D101+D102+D103+D104+D105+D106+D107</f>
        <v>153.70000000000002</v>
      </c>
      <c r="H107">
        <f t="shared" si="64"/>
        <v>2033</v>
      </c>
      <c r="I107">
        <v>1</v>
      </c>
      <c r="J107">
        <f t="shared" si="67"/>
        <v>31.509799999999974</v>
      </c>
      <c r="K107">
        <f t="shared" si="68"/>
        <v>0</v>
      </c>
      <c r="L107">
        <f t="shared" si="69"/>
        <v>31.509799999999974</v>
      </c>
    </row>
    <row r="108" spans="2:12">
      <c r="B108" s="1">
        <v>48746</v>
      </c>
      <c r="C108" t="s">
        <v>44</v>
      </c>
      <c r="D108">
        <v>27.2</v>
      </c>
      <c r="E108">
        <v>0</v>
      </c>
      <c r="F108">
        <f t="shared" si="65"/>
        <v>0</v>
      </c>
      <c r="G108">
        <f t="shared" ref="G108:G171" si="108">D108</f>
        <v>27.2</v>
      </c>
      <c r="H108">
        <f t="shared" si="64"/>
        <v>2033</v>
      </c>
      <c r="I108">
        <v>1</v>
      </c>
      <c r="J108">
        <f t="shared" si="67"/>
        <v>31.509799999999974</v>
      </c>
      <c r="K108">
        <f t="shared" si="68"/>
        <v>0</v>
      </c>
      <c r="L108">
        <f t="shared" si="69"/>
        <v>31.509799999999974</v>
      </c>
    </row>
    <row r="109" spans="2:12">
      <c r="B109" s="1">
        <v>48747</v>
      </c>
      <c r="C109" t="s">
        <v>43</v>
      </c>
      <c r="D109">
        <v>21.2</v>
      </c>
      <c r="E109">
        <v>0</v>
      </c>
      <c r="F109">
        <f t="shared" si="65"/>
        <v>0</v>
      </c>
      <c r="G109">
        <f t="shared" ref="G109:G172" si="109">D108+D109</f>
        <v>48.4</v>
      </c>
      <c r="H109">
        <f t="shared" si="64"/>
        <v>2033</v>
      </c>
      <c r="I109">
        <v>1</v>
      </c>
      <c r="J109">
        <f t="shared" si="67"/>
        <v>31.509799999999974</v>
      </c>
      <c r="K109">
        <f t="shared" si="68"/>
        <v>0</v>
      </c>
      <c r="L109">
        <f t="shared" si="69"/>
        <v>31.509799999999974</v>
      </c>
    </row>
    <row r="110" spans="2:12">
      <c r="B110" s="1">
        <v>48748</v>
      </c>
      <c r="C110" t="s">
        <v>50</v>
      </c>
      <c r="D110">
        <v>17.7</v>
      </c>
      <c r="E110">
        <v>13.9</v>
      </c>
      <c r="F110">
        <f t="shared" si="65"/>
        <v>2.4603000000000002</v>
      </c>
      <c r="G110">
        <f t="shared" ref="G110" si="110">D108+D109+D110</f>
        <v>66.099999999999994</v>
      </c>
      <c r="H110">
        <f t="shared" si="64"/>
        <v>2033</v>
      </c>
      <c r="I110">
        <v>1</v>
      </c>
      <c r="J110">
        <f t="shared" si="67"/>
        <v>33.970099999999974</v>
      </c>
      <c r="K110">
        <f t="shared" si="68"/>
        <v>0</v>
      </c>
      <c r="L110">
        <f t="shared" si="69"/>
        <v>33.970099999999974</v>
      </c>
    </row>
    <row r="111" spans="2:12">
      <c r="B111" s="1">
        <v>48749</v>
      </c>
      <c r="C111" t="s">
        <v>43</v>
      </c>
      <c r="D111">
        <v>10.6</v>
      </c>
      <c r="E111">
        <v>6.9</v>
      </c>
      <c r="F111">
        <f t="shared" si="65"/>
        <v>0.73140000000000005</v>
      </c>
      <c r="G111">
        <f t="shared" ref="G111" si="111">D108+D109+D110+D111</f>
        <v>76.699999999999989</v>
      </c>
      <c r="H111">
        <f t="shared" si="64"/>
        <v>2033</v>
      </c>
      <c r="I111">
        <v>1</v>
      </c>
      <c r="J111">
        <f t="shared" si="67"/>
        <v>34.701499999999974</v>
      </c>
      <c r="K111">
        <f t="shared" si="68"/>
        <v>0</v>
      </c>
      <c r="L111">
        <f t="shared" si="69"/>
        <v>34.701499999999974</v>
      </c>
    </row>
    <row r="112" spans="2:12">
      <c r="B112" s="1">
        <v>48750</v>
      </c>
      <c r="C112" t="s">
        <v>38</v>
      </c>
      <c r="D112">
        <v>10.4</v>
      </c>
      <c r="E112">
        <v>1.1000000000000001</v>
      </c>
      <c r="F112">
        <f t="shared" si="65"/>
        <v>0.11440000000000002</v>
      </c>
      <c r="G112">
        <f t="shared" ref="G112" si="112">D108+D109+D110+D111+D112</f>
        <v>87.1</v>
      </c>
      <c r="H112">
        <f t="shared" si="64"/>
        <v>2033</v>
      </c>
      <c r="I112">
        <v>1</v>
      </c>
      <c r="J112">
        <f t="shared" si="67"/>
        <v>34.815899999999978</v>
      </c>
      <c r="K112">
        <f t="shared" si="68"/>
        <v>0</v>
      </c>
      <c r="L112">
        <f t="shared" si="69"/>
        <v>34.815899999999978</v>
      </c>
    </row>
    <row r="113" spans="2:12">
      <c r="B113" s="1">
        <v>48751</v>
      </c>
      <c r="C113" t="s">
        <v>24</v>
      </c>
      <c r="D113">
        <v>15.8</v>
      </c>
      <c r="E113">
        <v>7.1</v>
      </c>
      <c r="F113">
        <f t="shared" si="65"/>
        <v>1.1217999999999999</v>
      </c>
      <c r="G113">
        <f t="shared" ref="G113" si="113">D108+D109+D110+D111+D112+D113</f>
        <v>102.89999999999999</v>
      </c>
      <c r="H113">
        <f t="shared" si="64"/>
        <v>2033</v>
      </c>
      <c r="I113">
        <v>1</v>
      </c>
      <c r="J113">
        <f t="shared" si="67"/>
        <v>35.937699999999978</v>
      </c>
      <c r="K113">
        <f t="shared" si="68"/>
        <v>0</v>
      </c>
      <c r="L113">
        <f t="shared" si="69"/>
        <v>35.937699999999978</v>
      </c>
    </row>
    <row r="114" spans="2:12">
      <c r="B114" s="1">
        <v>48752</v>
      </c>
      <c r="C114" t="s">
        <v>21</v>
      </c>
      <c r="D114">
        <v>19.899999999999999</v>
      </c>
      <c r="E114">
        <v>10.8</v>
      </c>
      <c r="F114">
        <f t="shared" si="65"/>
        <v>2.1492</v>
      </c>
      <c r="G114">
        <f t="shared" ref="G114" si="114">D108+D109+D110+D111+D112+D113+D114</f>
        <v>122.79999999999998</v>
      </c>
      <c r="H114">
        <f t="shared" si="64"/>
        <v>2033</v>
      </c>
      <c r="I114">
        <v>1</v>
      </c>
      <c r="J114">
        <f t="shared" si="67"/>
        <v>38.086899999999979</v>
      </c>
      <c r="K114">
        <f t="shared" si="68"/>
        <v>0</v>
      </c>
      <c r="L114">
        <f t="shared" si="69"/>
        <v>38.086899999999979</v>
      </c>
    </row>
    <row r="115" spans="2:12">
      <c r="B115" s="1">
        <v>48753</v>
      </c>
      <c r="C115" t="s">
        <v>25</v>
      </c>
      <c r="D115">
        <v>13</v>
      </c>
      <c r="E115">
        <v>0</v>
      </c>
      <c r="F115">
        <f t="shared" si="65"/>
        <v>0</v>
      </c>
      <c r="G115">
        <f t="shared" ref="G115:G178" si="115">D115</f>
        <v>13</v>
      </c>
      <c r="H115">
        <f t="shared" si="64"/>
        <v>2033</v>
      </c>
      <c r="I115">
        <v>1</v>
      </c>
      <c r="J115">
        <f t="shared" si="67"/>
        <v>38.086899999999979</v>
      </c>
      <c r="K115">
        <f t="shared" si="68"/>
        <v>0</v>
      </c>
      <c r="L115">
        <f t="shared" si="69"/>
        <v>38.086899999999979</v>
      </c>
    </row>
    <row r="116" spans="2:12">
      <c r="B116" s="1">
        <v>48754</v>
      </c>
      <c r="C116" t="s">
        <v>18</v>
      </c>
      <c r="D116">
        <v>28.1</v>
      </c>
      <c r="E116">
        <v>15</v>
      </c>
      <c r="F116">
        <f t="shared" si="65"/>
        <v>4.2149999999999999</v>
      </c>
      <c r="G116">
        <f t="shared" ref="G116:G179" si="116">D115+D116</f>
        <v>41.1</v>
      </c>
      <c r="H116">
        <f t="shared" si="64"/>
        <v>2033</v>
      </c>
      <c r="I116">
        <v>1</v>
      </c>
      <c r="J116">
        <f t="shared" si="67"/>
        <v>42.301899999999975</v>
      </c>
      <c r="K116">
        <f t="shared" si="68"/>
        <v>0</v>
      </c>
      <c r="L116">
        <f t="shared" si="69"/>
        <v>42.301899999999975</v>
      </c>
    </row>
    <row r="117" spans="2:12">
      <c r="B117" s="1">
        <v>48755</v>
      </c>
      <c r="C117" t="s">
        <v>26</v>
      </c>
      <c r="D117">
        <v>22.5</v>
      </c>
      <c r="E117">
        <v>8.6</v>
      </c>
      <c r="F117">
        <f t="shared" si="65"/>
        <v>1.9350000000000001</v>
      </c>
      <c r="G117">
        <f t="shared" ref="G117" si="117">D115+D116+D117</f>
        <v>63.6</v>
      </c>
      <c r="H117">
        <f t="shared" si="64"/>
        <v>2033</v>
      </c>
      <c r="I117">
        <v>1</v>
      </c>
      <c r="J117">
        <f t="shared" si="67"/>
        <v>44.236899999999977</v>
      </c>
      <c r="K117">
        <f t="shared" si="68"/>
        <v>0</v>
      </c>
      <c r="L117">
        <f t="shared" si="69"/>
        <v>44.236899999999977</v>
      </c>
    </row>
    <row r="118" spans="2:12">
      <c r="B118" s="1">
        <v>48756</v>
      </c>
      <c r="C118" t="s">
        <v>50</v>
      </c>
      <c r="D118">
        <v>14</v>
      </c>
      <c r="E118">
        <v>36.1</v>
      </c>
      <c r="F118">
        <f t="shared" si="65"/>
        <v>5.0540000000000003</v>
      </c>
      <c r="G118">
        <f t="shared" ref="G118" si="118">D115+D116+D117+D118</f>
        <v>77.599999999999994</v>
      </c>
      <c r="H118">
        <f t="shared" si="64"/>
        <v>2033</v>
      </c>
      <c r="I118">
        <v>1</v>
      </c>
      <c r="J118">
        <f t="shared" si="67"/>
        <v>49.290899999999979</v>
      </c>
      <c r="K118">
        <f t="shared" si="68"/>
        <v>0</v>
      </c>
      <c r="L118">
        <f t="shared" si="69"/>
        <v>49.290899999999979</v>
      </c>
    </row>
    <row r="119" spans="2:12">
      <c r="B119" s="1">
        <v>48757</v>
      </c>
      <c r="C119" t="s">
        <v>24</v>
      </c>
      <c r="D119">
        <v>10.6</v>
      </c>
      <c r="E119">
        <v>18.399999999999999</v>
      </c>
      <c r="F119">
        <f t="shared" si="65"/>
        <v>1.9503999999999999</v>
      </c>
      <c r="G119">
        <f t="shared" ref="G119" si="119">D115+D116+D117+D118+D119</f>
        <v>88.199999999999989</v>
      </c>
      <c r="H119">
        <f t="shared" si="64"/>
        <v>2033</v>
      </c>
      <c r="I119">
        <v>1</v>
      </c>
      <c r="J119">
        <f t="shared" si="67"/>
        <v>51.241299999999981</v>
      </c>
      <c r="K119">
        <f t="shared" si="68"/>
        <v>0</v>
      </c>
      <c r="L119">
        <f t="shared" si="69"/>
        <v>51.241299999999981</v>
      </c>
    </row>
    <row r="120" spans="2:12">
      <c r="B120" s="1">
        <v>48758</v>
      </c>
      <c r="C120" t="s">
        <v>35</v>
      </c>
      <c r="D120">
        <v>22.3</v>
      </c>
      <c r="E120">
        <v>0</v>
      </c>
      <c r="F120">
        <f t="shared" si="65"/>
        <v>0</v>
      </c>
      <c r="G120">
        <f t="shared" ref="G120" si="120">D115+D116+D117+D118+D119+D120</f>
        <v>110.49999999999999</v>
      </c>
      <c r="H120">
        <f t="shared" si="64"/>
        <v>2033</v>
      </c>
      <c r="I120">
        <v>1</v>
      </c>
      <c r="J120">
        <f t="shared" si="67"/>
        <v>51.241299999999981</v>
      </c>
      <c r="K120">
        <f t="shared" si="68"/>
        <v>0</v>
      </c>
      <c r="L120">
        <f t="shared" si="69"/>
        <v>51.241299999999981</v>
      </c>
    </row>
    <row r="121" spans="2:12">
      <c r="B121" s="1">
        <v>48759</v>
      </c>
      <c r="C121" t="s">
        <v>50</v>
      </c>
      <c r="D121">
        <v>14.5</v>
      </c>
      <c r="E121">
        <v>26</v>
      </c>
      <c r="F121">
        <f t="shared" si="65"/>
        <v>3.77</v>
      </c>
      <c r="G121">
        <f t="shared" ref="G121" si="121">D115+D116+D117+D118+D119+D120+D121</f>
        <v>124.99999999999999</v>
      </c>
      <c r="H121">
        <f t="shared" si="64"/>
        <v>2033</v>
      </c>
      <c r="I121">
        <v>1</v>
      </c>
      <c r="J121">
        <f t="shared" si="67"/>
        <v>55.011299999999984</v>
      </c>
      <c r="K121">
        <f t="shared" si="68"/>
        <v>0</v>
      </c>
      <c r="L121">
        <f t="shared" si="69"/>
        <v>55.011299999999984</v>
      </c>
    </row>
    <row r="122" spans="2:12">
      <c r="B122" s="1">
        <v>48760</v>
      </c>
      <c r="C122" t="s">
        <v>15</v>
      </c>
      <c r="D122">
        <v>21</v>
      </c>
      <c r="E122">
        <v>1.7</v>
      </c>
      <c r="F122">
        <f t="shared" si="65"/>
        <v>0.35699999999999998</v>
      </c>
      <c r="G122">
        <f t="shared" ref="G122:G185" si="122">D122</f>
        <v>21</v>
      </c>
      <c r="H122">
        <f t="shared" si="64"/>
        <v>2033</v>
      </c>
      <c r="I122">
        <v>1</v>
      </c>
      <c r="J122">
        <f t="shared" si="67"/>
        <v>55.368299999999984</v>
      </c>
      <c r="K122">
        <f t="shared" si="68"/>
        <v>0</v>
      </c>
      <c r="L122">
        <f t="shared" si="69"/>
        <v>55.368299999999984</v>
      </c>
    </row>
    <row r="123" spans="2:12">
      <c r="B123" s="1">
        <v>48761</v>
      </c>
      <c r="C123" t="s">
        <v>12</v>
      </c>
      <c r="D123">
        <v>17.7</v>
      </c>
      <c r="E123">
        <v>0.4</v>
      </c>
      <c r="F123">
        <f t="shared" si="65"/>
        <v>0</v>
      </c>
      <c r="G123">
        <f t="shared" ref="G123:G186" si="123">D122+D123</f>
        <v>38.700000000000003</v>
      </c>
      <c r="H123">
        <f t="shared" si="64"/>
        <v>2033</v>
      </c>
      <c r="I123">
        <v>1</v>
      </c>
      <c r="J123">
        <f t="shared" si="67"/>
        <v>55.368299999999984</v>
      </c>
      <c r="K123">
        <f t="shared" si="68"/>
        <v>0</v>
      </c>
      <c r="L123">
        <f t="shared" si="69"/>
        <v>55.368299999999984</v>
      </c>
    </row>
    <row r="124" spans="2:12">
      <c r="B124" s="1">
        <v>48762</v>
      </c>
      <c r="C124" t="s">
        <v>18</v>
      </c>
      <c r="D124">
        <v>24.3</v>
      </c>
      <c r="E124">
        <v>9.6999999999999993</v>
      </c>
      <c r="F124">
        <f t="shared" si="65"/>
        <v>2.3571</v>
      </c>
      <c r="G124">
        <f t="shared" ref="G124" si="124">D122+D123+D124</f>
        <v>63</v>
      </c>
      <c r="H124">
        <f t="shared" si="64"/>
        <v>2033</v>
      </c>
      <c r="I124">
        <v>1</v>
      </c>
      <c r="J124">
        <f t="shared" si="67"/>
        <v>57.725399999999986</v>
      </c>
      <c r="K124">
        <f t="shared" si="68"/>
        <v>0</v>
      </c>
      <c r="L124">
        <f t="shared" si="69"/>
        <v>57.725399999999986</v>
      </c>
    </row>
    <row r="125" spans="2:12">
      <c r="B125" s="1">
        <v>48763</v>
      </c>
      <c r="C125" t="s">
        <v>32</v>
      </c>
      <c r="D125">
        <v>18.8</v>
      </c>
      <c r="E125">
        <v>6.4</v>
      </c>
      <c r="F125">
        <f t="shared" si="65"/>
        <v>1.2032</v>
      </c>
      <c r="G125">
        <f t="shared" ref="G125" si="125">D122+D123+D124+D125</f>
        <v>81.8</v>
      </c>
      <c r="H125">
        <f t="shared" si="64"/>
        <v>2033</v>
      </c>
      <c r="I125">
        <v>1</v>
      </c>
      <c r="J125">
        <f t="shared" si="67"/>
        <v>58.928599999999989</v>
      </c>
      <c r="K125">
        <f t="shared" si="68"/>
        <v>0</v>
      </c>
      <c r="L125">
        <f t="shared" si="69"/>
        <v>58.928599999999989</v>
      </c>
    </row>
    <row r="126" spans="2:12">
      <c r="B126" s="1">
        <v>48764</v>
      </c>
      <c r="C126" t="s">
        <v>27</v>
      </c>
      <c r="D126">
        <v>15.9</v>
      </c>
      <c r="E126">
        <v>5.2</v>
      </c>
      <c r="F126">
        <f t="shared" si="65"/>
        <v>0.82680000000000009</v>
      </c>
      <c r="G126">
        <f t="shared" ref="G126" si="126">D122+D123+D124+D125+D126</f>
        <v>97.7</v>
      </c>
      <c r="H126">
        <f t="shared" si="64"/>
        <v>2033</v>
      </c>
      <c r="I126">
        <v>1</v>
      </c>
      <c r="J126">
        <f t="shared" si="67"/>
        <v>59.755399999999987</v>
      </c>
      <c r="K126">
        <f t="shared" si="68"/>
        <v>0</v>
      </c>
      <c r="L126">
        <f t="shared" si="69"/>
        <v>59.755399999999987</v>
      </c>
    </row>
    <row r="127" spans="2:12">
      <c r="B127" s="1">
        <v>48765</v>
      </c>
      <c r="C127" t="s">
        <v>18</v>
      </c>
      <c r="D127">
        <v>26.1</v>
      </c>
      <c r="E127">
        <v>0</v>
      </c>
      <c r="F127">
        <f t="shared" si="65"/>
        <v>0</v>
      </c>
      <c r="G127">
        <f t="shared" ref="G127" si="127">D122+D123+D124+D125+D126+D127</f>
        <v>123.80000000000001</v>
      </c>
      <c r="H127">
        <f t="shared" si="64"/>
        <v>2033</v>
      </c>
      <c r="I127">
        <v>1</v>
      </c>
      <c r="J127">
        <f t="shared" si="67"/>
        <v>59.755399999999987</v>
      </c>
      <c r="K127">
        <f t="shared" si="68"/>
        <v>0</v>
      </c>
      <c r="L127">
        <f t="shared" si="69"/>
        <v>59.755399999999987</v>
      </c>
    </row>
    <row r="128" spans="2:12">
      <c r="B128" s="1">
        <v>48766</v>
      </c>
      <c r="C128" t="s">
        <v>50</v>
      </c>
      <c r="D128">
        <v>29.4</v>
      </c>
      <c r="E128">
        <v>8.8000000000000007</v>
      </c>
      <c r="F128">
        <f t="shared" si="65"/>
        <v>2.5872000000000002</v>
      </c>
      <c r="G128">
        <f t="shared" ref="G128" si="128">D122+D123+D124+D125+D126+D127+D128</f>
        <v>153.20000000000002</v>
      </c>
      <c r="H128">
        <f t="shared" si="64"/>
        <v>2033</v>
      </c>
      <c r="I128">
        <v>1</v>
      </c>
      <c r="J128">
        <f t="shared" si="67"/>
        <v>62.34259999999999</v>
      </c>
      <c r="K128">
        <f t="shared" si="68"/>
        <v>0</v>
      </c>
      <c r="L128">
        <f t="shared" si="69"/>
        <v>62.34259999999999</v>
      </c>
    </row>
    <row r="129" spans="2:12">
      <c r="B129" s="1">
        <v>48767</v>
      </c>
      <c r="C129" t="s">
        <v>27</v>
      </c>
      <c r="D129">
        <v>10.5</v>
      </c>
      <c r="E129">
        <v>14.5</v>
      </c>
      <c r="F129">
        <f t="shared" si="65"/>
        <v>1.5225</v>
      </c>
      <c r="G129">
        <f t="shared" ref="G129:G192" si="129">D129</f>
        <v>10.5</v>
      </c>
      <c r="H129">
        <f t="shared" si="64"/>
        <v>2033</v>
      </c>
      <c r="I129">
        <v>1</v>
      </c>
      <c r="J129">
        <f t="shared" si="67"/>
        <v>63.865099999999991</v>
      </c>
      <c r="K129">
        <f t="shared" si="68"/>
        <v>0</v>
      </c>
      <c r="L129">
        <f t="shared" si="69"/>
        <v>63.865099999999991</v>
      </c>
    </row>
    <row r="130" spans="2:12">
      <c r="B130" s="1">
        <v>48768</v>
      </c>
      <c r="C130" t="s">
        <v>39</v>
      </c>
      <c r="D130">
        <v>18.100000000000001</v>
      </c>
      <c r="E130">
        <v>0</v>
      </c>
      <c r="F130">
        <f t="shared" si="65"/>
        <v>0</v>
      </c>
      <c r="G130">
        <f t="shared" ref="G130:G193" si="130">D129+D130</f>
        <v>28.6</v>
      </c>
      <c r="H130">
        <f t="shared" si="64"/>
        <v>2033</v>
      </c>
      <c r="I130">
        <v>1</v>
      </c>
      <c r="J130">
        <f t="shared" si="67"/>
        <v>63.865099999999991</v>
      </c>
      <c r="K130">
        <f t="shared" si="68"/>
        <v>0</v>
      </c>
      <c r="L130">
        <f t="shared" si="69"/>
        <v>63.865099999999991</v>
      </c>
    </row>
    <row r="131" spans="2:12">
      <c r="B131" s="1">
        <v>48769</v>
      </c>
      <c r="C131" t="s">
        <v>32</v>
      </c>
      <c r="D131">
        <v>20.6</v>
      </c>
      <c r="E131">
        <v>0</v>
      </c>
      <c r="F131">
        <f t="shared" si="65"/>
        <v>0</v>
      </c>
      <c r="G131">
        <f t="shared" ref="G131" si="131">D129+D130+D131</f>
        <v>49.2</v>
      </c>
      <c r="H131">
        <f t="shared" si="64"/>
        <v>2033</v>
      </c>
      <c r="I131">
        <v>1</v>
      </c>
      <c r="J131">
        <f t="shared" si="67"/>
        <v>63.865099999999991</v>
      </c>
      <c r="K131">
        <f t="shared" si="68"/>
        <v>0</v>
      </c>
      <c r="L131">
        <f t="shared" si="69"/>
        <v>63.865099999999991</v>
      </c>
    </row>
    <row r="132" spans="2:12">
      <c r="B132" s="1">
        <v>48770</v>
      </c>
      <c r="C132" t="s">
        <v>32</v>
      </c>
      <c r="D132">
        <v>17.100000000000001</v>
      </c>
      <c r="E132">
        <v>0</v>
      </c>
      <c r="F132">
        <f t="shared" si="65"/>
        <v>0</v>
      </c>
      <c r="G132">
        <f t="shared" ref="G132" si="132">D129+D130+D131+D132</f>
        <v>66.300000000000011</v>
      </c>
      <c r="H132">
        <f t="shared" ref="H132:H195" si="133">YEAR(B132)</f>
        <v>2033</v>
      </c>
      <c r="I132">
        <v>1</v>
      </c>
      <c r="J132">
        <f t="shared" si="67"/>
        <v>63.865099999999991</v>
      </c>
      <c r="K132">
        <f t="shared" si="68"/>
        <v>0</v>
      </c>
      <c r="L132">
        <f t="shared" si="69"/>
        <v>63.865099999999991</v>
      </c>
    </row>
    <row r="133" spans="2:12">
      <c r="B133" s="1">
        <v>48771</v>
      </c>
      <c r="C133" t="s">
        <v>43</v>
      </c>
      <c r="D133">
        <v>17</v>
      </c>
      <c r="E133">
        <v>0.3</v>
      </c>
      <c r="F133">
        <f t="shared" ref="F133:F196" si="134">IF(E133&gt;=1,D133*E133/100,0)</f>
        <v>0</v>
      </c>
      <c r="G133">
        <f t="shared" ref="G133" si="135">D129+D130+D131+D132+D133</f>
        <v>83.300000000000011</v>
      </c>
      <c r="H133">
        <f t="shared" si="133"/>
        <v>2033</v>
      </c>
      <c r="I133">
        <v>1</v>
      </c>
      <c r="J133">
        <f t="shared" ref="J133:J196" si="136">L132+F133</f>
        <v>63.865099999999991</v>
      </c>
      <c r="K133">
        <f t="shared" ref="K133:K196" si="137">IF(J133&gt;=100,1,0)</f>
        <v>0</v>
      </c>
      <c r="L133">
        <f t="shared" ref="L133:L196" si="138">IF(K133=1,J133-100,J133)</f>
        <v>63.865099999999991</v>
      </c>
    </row>
    <row r="134" spans="2:12">
      <c r="B134" s="1">
        <v>48772</v>
      </c>
      <c r="C134" t="s">
        <v>35</v>
      </c>
      <c r="D134">
        <v>14.7</v>
      </c>
      <c r="E134">
        <v>2.2999999999999998</v>
      </c>
      <c r="F134">
        <f t="shared" si="134"/>
        <v>0.33809999999999996</v>
      </c>
      <c r="G134">
        <f t="shared" ref="G134" si="139">D129+D130+D131+D132+D133+D134</f>
        <v>98.000000000000014</v>
      </c>
      <c r="H134">
        <f t="shared" si="133"/>
        <v>2033</v>
      </c>
      <c r="I134">
        <v>1</v>
      </c>
      <c r="J134">
        <f t="shared" si="136"/>
        <v>64.203199999999995</v>
      </c>
      <c r="K134">
        <f t="shared" si="137"/>
        <v>0</v>
      </c>
      <c r="L134">
        <f t="shared" si="138"/>
        <v>64.203199999999995</v>
      </c>
    </row>
    <row r="135" spans="2:12">
      <c r="B135" s="1">
        <v>48773</v>
      </c>
      <c r="C135" t="s">
        <v>32</v>
      </c>
      <c r="D135">
        <v>21.7</v>
      </c>
      <c r="E135">
        <v>0</v>
      </c>
      <c r="F135">
        <f t="shared" si="134"/>
        <v>0</v>
      </c>
      <c r="G135">
        <f t="shared" ref="G135" si="140">D129+D130+D131+D132+D133+D134+D135</f>
        <v>119.70000000000002</v>
      </c>
      <c r="H135">
        <f t="shared" si="133"/>
        <v>2033</v>
      </c>
      <c r="I135">
        <v>1</v>
      </c>
      <c r="J135">
        <f t="shared" si="136"/>
        <v>64.203199999999995</v>
      </c>
      <c r="K135">
        <f t="shared" si="137"/>
        <v>0</v>
      </c>
      <c r="L135">
        <f t="shared" si="138"/>
        <v>64.203199999999995</v>
      </c>
    </row>
    <row r="136" spans="2:12">
      <c r="B136" s="1">
        <v>48774</v>
      </c>
      <c r="C136" t="s">
        <v>33</v>
      </c>
      <c r="D136">
        <v>12.5</v>
      </c>
      <c r="E136">
        <v>0</v>
      </c>
      <c r="F136">
        <f t="shared" si="134"/>
        <v>0</v>
      </c>
      <c r="G136">
        <f t="shared" ref="G136:G199" si="141">D136</f>
        <v>12.5</v>
      </c>
      <c r="H136">
        <f t="shared" si="133"/>
        <v>2033</v>
      </c>
      <c r="I136">
        <v>1</v>
      </c>
      <c r="J136">
        <f t="shared" si="136"/>
        <v>64.203199999999995</v>
      </c>
      <c r="K136">
        <f t="shared" si="137"/>
        <v>0</v>
      </c>
      <c r="L136">
        <f t="shared" si="138"/>
        <v>64.203199999999995</v>
      </c>
    </row>
    <row r="137" spans="2:12">
      <c r="B137" s="1">
        <v>48775</v>
      </c>
      <c r="C137" t="s">
        <v>19</v>
      </c>
      <c r="D137">
        <v>17.8</v>
      </c>
      <c r="E137">
        <v>4.0999999999999996</v>
      </c>
      <c r="F137">
        <f t="shared" si="134"/>
        <v>0.72979999999999989</v>
      </c>
      <c r="G137">
        <f t="shared" ref="G137:G200" si="142">D136+D137</f>
        <v>30.3</v>
      </c>
      <c r="H137">
        <f t="shared" si="133"/>
        <v>2033</v>
      </c>
      <c r="I137">
        <v>1</v>
      </c>
      <c r="J137">
        <f t="shared" si="136"/>
        <v>64.932999999999993</v>
      </c>
      <c r="K137">
        <f t="shared" si="137"/>
        <v>0</v>
      </c>
      <c r="L137">
        <f t="shared" si="138"/>
        <v>64.932999999999993</v>
      </c>
    </row>
    <row r="138" spans="2:12">
      <c r="B138" s="1">
        <v>48776</v>
      </c>
      <c r="C138" t="s">
        <v>24</v>
      </c>
      <c r="D138">
        <v>28.9</v>
      </c>
      <c r="E138">
        <v>38.700000000000003</v>
      </c>
      <c r="F138">
        <f t="shared" si="134"/>
        <v>11.1843</v>
      </c>
      <c r="G138">
        <f t="shared" ref="G138" si="143">D136+D137+D138</f>
        <v>59.2</v>
      </c>
      <c r="H138">
        <f t="shared" si="133"/>
        <v>2033</v>
      </c>
      <c r="I138">
        <v>1</v>
      </c>
      <c r="J138">
        <f t="shared" si="136"/>
        <v>76.1173</v>
      </c>
      <c r="K138">
        <f t="shared" si="137"/>
        <v>0</v>
      </c>
      <c r="L138">
        <f t="shared" si="138"/>
        <v>76.1173</v>
      </c>
    </row>
    <row r="139" spans="2:12">
      <c r="B139" s="1">
        <v>48777</v>
      </c>
      <c r="C139" t="s">
        <v>25</v>
      </c>
      <c r="D139">
        <v>21</v>
      </c>
      <c r="E139">
        <v>3.5</v>
      </c>
      <c r="F139">
        <f t="shared" si="134"/>
        <v>0.73499999999999999</v>
      </c>
      <c r="G139">
        <f t="shared" ref="G139" si="144">D136+D137+D138+D139</f>
        <v>80.2</v>
      </c>
      <c r="H139">
        <f t="shared" si="133"/>
        <v>2033</v>
      </c>
      <c r="I139">
        <v>1</v>
      </c>
      <c r="J139">
        <f t="shared" si="136"/>
        <v>76.8523</v>
      </c>
      <c r="K139">
        <f t="shared" si="137"/>
        <v>0</v>
      </c>
      <c r="L139">
        <f t="shared" si="138"/>
        <v>76.8523</v>
      </c>
    </row>
    <row r="140" spans="2:12">
      <c r="B140" s="1">
        <v>48778</v>
      </c>
      <c r="C140" t="s">
        <v>46</v>
      </c>
      <c r="D140">
        <v>13</v>
      </c>
      <c r="E140">
        <v>0.1</v>
      </c>
      <c r="F140">
        <f t="shared" si="134"/>
        <v>0</v>
      </c>
      <c r="G140">
        <f t="shared" ref="G140" si="145">D136+D137+D138+D139+D140</f>
        <v>93.2</v>
      </c>
      <c r="H140">
        <f t="shared" si="133"/>
        <v>2033</v>
      </c>
      <c r="I140">
        <v>1</v>
      </c>
      <c r="J140">
        <f t="shared" si="136"/>
        <v>76.8523</v>
      </c>
      <c r="K140">
        <f t="shared" si="137"/>
        <v>0</v>
      </c>
      <c r="L140">
        <f t="shared" si="138"/>
        <v>76.8523</v>
      </c>
    </row>
    <row r="141" spans="2:12">
      <c r="B141" s="1">
        <v>48779</v>
      </c>
      <c r="C141" t="s">
        <v>24</v>
      </c>
      <c r="D141">
        <v>23.1</v>
      </c>
      <c r="E141">
        <v>0</v>
      </c>
      <c r="F141">
        <f t="shared" si="134"/>
        <v>0</v>
      </c>
      <c r="G141">
        <f t="shared" ref="G141" si="146">D136+D137+D138+D139+D140+D141</f>
        <v>116.30000000000001</v>
      </c>
      <c r="H141">
        <f t="shared" si="133"/>
        <v>2033</v>
      </c>
      <c r="I141">
        <v>1</v>
      </c>
      <c r="J141">
        <f t="shared" si="136"/>
        <v>76.8523</v>
      </c>
      <c r="K141">
        <f t="shared" si="137"/>
        <v>0</v>
      </c>
      <c r="L141">
        <f t="shared" si="138"/>
        <v>76.8523</v>
      </c>
    </row>
    <row r="142" spans="2:12">
      <c r="B142" s="1">
        <v>48780</v>
      </c>
      <c r="C142" t="s">
        <v>32</v>
      </c>
      <c r="D142">
        <v>28.5</v>
      </c>
      <c r="E142">
        <v>0</v>
      </c>
      <c r="F142">
        <f t="shared" si="134"/>
        <v>0</v>
      </c>
      <c r="G142">
        <f t="shared" ref="G142" si="147">D136+D137+D138+D139+D140+D141+D142</f>
        <v>144.80000000000001</v>
      </c>
      <c r="H142">
        <f t="shared" si="133"/>
        <v>2033</v>
      </c>
      <c r="I142">
        <v>1</v>
      </c>
      <c r="J142">
        <f t="shared" si="136"/>
        <v>76.8523</v>
      </c>
      <c r="K142">
        <f t="shared" si="137"/>
        <v>0</v>
      </c>
      <c r="L142">
        <f t="shared" si="138"/>
        <v>76.8523</v>
      </c>
    </row>
    <row r="143" spans="2:12">
      <c r="B143" s="1">
        <v>48781</v>
      </c>
      <c r="C143" t="s">
        <v>32</v>
      </c>
      <c r="D143">
        <v>12.8</v>
      </c>
      <c r="E143">
        <v>0</v>
      </c>
      <c r="F143">
        <f t="shared" si="134"/>
        <v>0</v>
      </c>
      <c r="G143">
        <f t="shared" ref="G143:G206" si="148">D143</f>
        <v>12.8</v>
      </c>
      <c r="H143">
        <f t="shared" si="133"/>
        <v>2033</v>
      </c>
      <c r="I143">
        <v>1</v>
      </c>
      <c r="J143">
        <f t="shared" si="136"/>
        <v>76.8523</v>
      </c>
      <c r="K143">
        <f t="shared" si="137"/>
        <v>0</v>
      </c>
      <c r="L143">
        <f t="shared" si="138"/>
        <v>76.8523</v>
      </c>
    </row>
    <row r="144" spans="2:12">
      <c r="B144" s="1">
        <v>48782</v>
      </c>
      <c r="C144" t="s">
        <v>41</v>
      </c>
      <c r="D144">
        <v>26.8</v>
      </c>
      <c r="E144">
        <v>0</v>
      </c>
      <c r="F144">
        <f t="shared" si="134"/>
        <v>0</v>
      </c>
      <c r="G144">
        <f t="shared" ref="G144:G207" si="149">D143+D144</f>
        <v>39.6</v>
      </c>
      <c r="H144">
        <f t="shared" si="133"/>
        <v>2033</v>
      </c>
      <c r="I144">
        <v>1</v>
      </c>
      <c r="J144">
        <f t="shared" si="136"/>
        <v>76.8523</v>
      </c>
      <c r="K144">
        <f t="shared" si="137"/>
        <v>0</v>
      </c>
      <c r="L144">
        <f t="shared" si="138"/>
        <v>76.8523</v>
      </c>
    </row>
    <row r="145" spans="2:12">
      <c r="B145" s="1">
        <v>48783</v>
      </c>
      <c r="C145" t="s">
        <v>24</v>
      </c>
      <c r="D145">
        <v>15.1</v>
      </c>
      <c r="E145">
        <v>24.8</v>
      </c>
      <c r="F145">
        <f t="shared" si="134"/>
        <v>3.7448000000000001</v>
      </c>
      <c r="G145">
        <f t="shared" ref="G145" si="150">D143+D144+D145</f>
        <v>54.7</v>
      </c>
      <c r="H145">
        <f t="shared" si="133"/>
        <v>2033</v>
      </c>
      <c r="I145">
        <v>1</v>
      </c>
      <c r="J145">
        <f t="shared" si="136"/>
        <v>80.597099999999998</v>
      </c>
      <c r="K145">
        <f t="shared" si="137"/>
        <v>0</v>
      </c>
      <c r="L145">
        <f t="shared" si="138"/>
        <v>80.597099999999998</v>
      </c>
    </row>
    <row r="146" spans="2:12">
      <c r="B146" s="1">
        <v>48784</v>
      </c>
      <c r="C146" t="s">
        <v>47</v>
      </c>
      <c r="D146">
        <v>14.4</v>
      </c>
      <c r="E146">
        <v>13.5</v>
      </c>
      <c r="F146">
        <f t="shared" si="134"/>
        <v>1.944</v>
      </c>
      <c r="G146">
        <f t="shared" ref="G146" si="151">D143+D144+D145+D146</f>
        <v>69.100000000000009</v>
      </c>
      <c r="H146">
        <f t="shared" si="133"/>
        <v>2033</v>
      </c>
      <c r="I146">
        <v>1</v>
      </c>
      <c r="J146">
        <f t="shared" si="136"/>
        <v>82.5411</v>
      </c>
      <c r="K146">
        <f t="shared" si="137"/>
        <v>0</v>
      </c>
      <c r="L146">
        <f t="shared" si="138"/>
        <v>82.5411</v>
      </c>
    </row>
    <row r="147" spans="2:12">
      <c r="B147" s="1">
        <v>48785</v>
      </c>
      <c r="C147" t="s">
        <v>25</v>
      </c>
      <c r="D147">
        <v>29.2</v>
      </c>
      <c r="E147">
        <v>15.7</v>
      </c>
      <c r="F147">
        <f t="shared" si="134"/>
        <v>4.5843999999999996</v>
      </c>
      <c r="G147">
        <f t="shared" ref="G147" si="152">D143+D144+D145+D146+D147</f>
        <v>98.300000000000011</v>
      </c>
      <c r="H147">
        <f t="shared" si="133"/>
        <v>2033</v>
      </c>
      <c r="I147">
        <v>1</v>
      </c>
      <c r="J147">
        <f t="shared" si="136"/>
        <v>87.125500000000002</v>
      </c>
      <c r="K147">
        <f t="shared" si="137"/>
        <v>0</v>
      </c>
      <c r="L147">
        <f t="shared" si="138"/>
        <v>87.125500000000002</v>
      </c>
    </row>
    <row r="148" spans="2:12">
      <c r="B148" s="1">
        <v>48786</v>
      </c>
      <c r="C148" t="s">
        <v>24</v>
      </c>
      <c r="D148">
        <v>28.9</v>
      </c>
      <c r="E148">
        <v>47.2</v>
      </c>
      <c r="F148">
        <f t="shared" si="134"/>
        <v>13.640799999999999</v>
      </c>
      <c r="G148">
        <f t="shared" ref="G148" si="153">D143+D144+D145+D146+D147+D148</f>
        <v>127.20000000000002</v>
      </c>
      <c r="H148">
        <f t="shared" si="133"/>
        <v>2033</v>
      </c>
      <c r="I148">
        <v>1</v>
      </c>
      <c r="J148">
        <f t="shared" si="136"/>
        <v>100.7663</v>
      </c>
      <c r="K148">
        <f t="shared" si="137"/>
        <v>1</v>
      </c>
      <c r="L148">
        <f t="shared" si="138"/>
        <v>0.76630000000000109</v>
      </c>
    </row>
    <row r="149" spans="2:12">
      <c r="B149" s="1">
        <v>48787</v>
      </c>
      <c r="C149" t="s">
        <v>40</v>
      </c>
      <c r="D149">
        <v>18.399999999999999</v>
      </c>
      <c r="E149">
        <v>3.9</v>
      </c>
      <c r="F149">
        <f t="shared" si="134"/>
        <v>0.7175999999999999</v>
      </c>
      <c r="G149">
        <f t="shared" ref="G149" si="154">D143+D144+D145+D146+D147+D148+D149</f>
        <v>145.60000000000002</v>
      </c>
      <c r="H149">
        <f t="shared" si="133"/>
        <v>2033</v>
      </c>
      <c r="I149">
        <v>1</v>
      </c>
      <c r="J149">
        <f t="shared" si="136"/>
        <v>1.4839000000000011</v>
      </c>
      <c r="K149">
        <f t="shared" si="137"/>
        <v>0</v>
      </c>
      <c r="L149">
        <f t="shared" si="138"/>
        <v>1.4839000000000011</v>
      </c>
    </row>
    <row r="150" spans="2:12">
      <c r="B150" s="1">
        <v>48788</v>
      </c>
      <c r="C150" t="s">
        <v>42</v>
      </c>
      <c r="D150">
        <v>26.2</v>
      </c>
      <c r="E150">
        <v>4</v>
      </c>
      <c r="F150">
        <f t="shared" si="134"/>
        <v>1.048</v>
      </c>
      <c r="G150">
        <f t="shared" ref="G150:G213" si="155">D150</f>
        <v>26.2</v>
      </c>
      <c r="H150">
        <f t="shared" si="133"/>
        <v>2033</v>
      </c>
      <c r="I150">
        <v>1</v>
      </c>
      <c r="J150">
        <f t="shared" si="136"/>
        <v>2.5319000000000011</v>
      </c>
      <c r="K150">
        <f t="shared" si="137"/>
        <v>0</v>
      </c>
      <c r="L150">
        <f t="shared" si="138"/>
        <v>2.5319000000000011</v>
      </c>
    </row>
    <row r="151" spans="2:12">
      <c r="B151" s="1">
        <v>48789</v>
      </c>
      <c r="C151" t="s">
        <v>24</v>
      </c>
      <c r="D151">
        <v>14.3</v>
      </c>
      <c r="E151">
        <v>45.1</v>
      </c>
      <c r="F151">
        <f t="shared" si="134"/>
        <v>6.4493000000000009</v>
      </c>
      <c r="G151">
        <f t="shared" ref="G151:G214" si="156">D150+D151</f>
        <v>40.5</v>
      </c>
      <c r="H151">
        <f t="shared" si="133"/>
        <v>2033</v>
      </c>
      <c r="I151">
        <v>1</v>
      </c>
      <c r="J151">
        <f t="shared" si="136"/>
        <v>8.9812000000000012</v>
      </c>
      <c r="K151">
        <f t="shared" si="137"/>
        <v>0</v>
      </c>
      <c r="L151">
        <f t="shared" si="138"/>
        <v>8.9812000000000012</v>
      </c>
    </row>
    <row r="152" spans="2:12">
      <c r="B152" s="1">
        <v>48790</v>
      </c>
      <c r="C152" t="s">
        <v>18</v>
      </c>
      <c r="D152">
        <v>14.5</v>
      </c>
      <c r="E152">
        <v>0</v>
      </c>
      <c r="F152">
        <f t="shared" si="134"/>
        <v>0</v>
      </c>
      <c r="G152">
        <f t="shared" ref="G152" si="157">D150+D151+D152</f>
        <v>55</v>
      </c>
      <c r="H152">
        <f t="shared" si="133"/>
        <v>2033</v>
      </c>
      <c r="I152">
        <v>1</v>
      </c>
      <c r="J152">
        <f t="shared" si="136"/>
        <v>8.9812000000000012</v>
      </c>
      <c r="K152">
        <f t="shared" si="137"/>
        <v>0</v>
      </c>
      <c r="L152">
        <f t="shared" si="138"/>
        <v>8.9812000000000012</v>
      </c>
    </row>
    <row r="153" spans="2:12">
      <c r="B153" s="1">
        <v>48791</v>
      </c>
      <c r="C153" t="s">
        <v>24</v>
      </c>
      <c r="D153">
        <v>18.600000000000001</v>
      </c>
      <c r="E153">
        <v>5.5</v>
      </c>
      <c r="F153">
        <f t="shared" si="134"/>
        <v>1.0230000000000001</v>
      </c>
      <c r="G153">
        <f t="shared" ref="G153" si="158">D150+D151+D152+D153</f>
        <v>73.599999999999994</v>
      </c>
      <c r="H153">
        <f t="shared" si="133"/>
        <v>2033</v>
      </c>
      <c r="I153">
        <v>1</v>
      </c>
      <c r="J153">
        <f t="shared" si="136"/>
        <v>10.004200000000001</v>
      </c>
      <c r="K153">
        <f t="shared" si="137"/>
        <v>0</v>
      </c>
      <c r="L153">
        <f t="shared" si="138"/>
        <v>10.004200000000001</v>
      </c>
    </row>
    <row r="154" spans="2:12">
      <c r="B154" s="1">
        <v>48792</v>
      </c>
      <c r="C154" t="s">
        <v>18</v>
      </c>
      <c r="D154">
        <v>26.3</v>
      </c>
      <c r="E154">
        <v>14.5</v>
      </c>
      <c r="F154">
        <f t="shared" si="134"/>
        <v>3.8135000000000003</v>
      </c>
      <c r="G154">
        <f t="shared" ref="G154" si="159">D150+D151+D152+D153+D154</f>
        <v>99.899999999999991</v>
      </c>
      <c r="H154">
        <f t="shared" si="133"/>
        <v>2033</v>
      </c>
      <c r="I154">
        <v>1</v>
      </c>
      <c r="J154">
        <f t="shared" si="136"/>
        <v>13.817700000000002</v>
      </c>
      <c r="K154">
        <f t="shared" si="137"/>
        <v>0</v>
      </c>
      <c r="L154">
        <f t="shared" si="138"/>
        <v>13.817700000000002</v>
      </c>
    </row>
    <row r="155" spans="2:12">
      <c r="B155" s="1">
        <v>48793</v>
      </c>
      <c r="C155" t="s">
        <v>45</v>
      </c>
      <c r="D155">
        <v>25.9</v>
      </c>
      <c r="E155">
        <v>0.7</v>
      </c>
      <c r="F155">
        <f t="shared" si="134"/>
        <v>0</v>
      </c>
      <c r="G155">
        <f t="shared" ref="G155" si="160">D150+D151+D152+D153+D154+D155</f>
        <v>125.79999999999998</v>
      </c>
      <c r="H155">
        <f t="shared" si="133"/>
        <v>2033</v>
      </c>
      <c r="I155">
        <v>1</v>
      </c>
      <c r="J155">
        <f t="shared" si="136"/>
        <v>13.817700000000002</v>
      </c>
      <c r="K155">
        <f t="shared" si="137"/>
        <v>0</v>
      </c>
      <c r="L155">
        <f t="shared" si="138"/>
        <v>13.817700000000002</v>
      </c>
    </row>
    <row r="156" spans="2:12">
      <c r="B156" s="1">
        <v>48794</v>
      </c>
      <c r="C156" t="s">
        <v>26</v>
      </c>
      <c r="D156">
        <v>29.8</v>
      </c>
      <c r="E156">
        <v>0</v>
      </c>
      <c r="F156">
        <f t="shared" si="134"/>
        <v>0</v>
      </c>
      <c r="G156">
        <f t="shared" ref="G156" si="161">D150+D151+D152+D153+D154+D155+D156</f>
        <v>155.6</v>
      </c>
      <c r="H156">
        <f t="shared" si="133"/>
        <v>2033</v>
      </c>
      <c r="I156">
        <v>1</v>
      </c>
      <c r="J156">
        <f t="shared" si="136"/>
        <v>13.817700000000002</v>
      </c>
      <c r="K156">
        <f t="shared" si="137"/>
        <v>0</v>
      </c>
      <c r="L156">
        <f t="shared" si="138"/>
        <v>13.817700000000002</v>
      </c>
    </row>
    <row r="157" spans="2:12">
      <c r="B157" s="1">
        <v>48795</v>
      </c>
      <c r="C157" t="s">
        <v>24</v>
      </c>
      <c r="D157">
        <v>18.3</v>
      </c>
      <c r="E157">
        <v>18.7</v>
      </c>
      <c r="F157">
        <f t="shared" si="134"/>
        <v>3.4220999999999999</v>
      </c>
      <c r="G157">
        <f t="shared" ref="G157:G220" si="162">D157</f>
        <v>18.3</v>
      </c>
      <c r="H157">
        <f t="shared" si="133"/>
        <v>2033</v>
      </c>
      <c r="I157">
        <v>1</v>
      </c>
      <c r="J157">
        <f t="shared" si="136"/>
        <v>17.239800000000002</v>
      </c>
      <c r="K157">
        <f t="shared" si="137"/>
        <v>0</v>
      </c>
      <c r="L157">
        <f t="shared" si="138"/>
        <v>17.239800000000002</v>
      </c>
    </row>
    <row r="158" spans="2:12">
      <c r="B158" s="1">
        <v>48796</v>
      </c>
      <c r="C158" t="s">
        <v>26</v>
      </c>
      <c r="D158">
        <v>24.5</v>
      </c>
      <c r="E158">
        <v>6.7</v>
      </c>
      <c r="F158">
        <f t="shared" si="134"/>
        <v>1.6415</v>
      </c>
      <c r="G158">
        <f t="shared" ref="G158:G221" si="163">D157+D158</f>
        <v>42.8</v>
      </c>
      <c r="H158">
        <f t="shared" si="133"/>
        <v>2033</v>
      </c>
      <c r="I158">
        <v>1</v>
      </c>
      <c r="J158">
        <f t="shared" si="136"/>
        <v>18.881300000000003</v>
      </c>
      <c r="K158">
        <f t="shared" si="137"/>
        <v>0</v>
      </c>
      <c r="L158">
        <f t="shared" si="138"/>
        <v>18.881300000000003</v>
      </c>
    </row>
    <row r="159" spans="2:12">
      <c r="B159" s="1">
        <v>48797</v>
      </c>
      <c r="C159" t="s">
        <v>50</v>
      </c>
      <c r="D159">
        <v>18.7</v>
      </c>
      <c r="E159">
        <v>0</v>
      </c>
      <c r="F159">
        <f t="shared" si="134"/>
        <v>0</v>
      </c>
      <c r="G159">
        <f t="shared" ref="G159" si="164">D157+D158+D159</f>
        <v>61.5</v>
      </c>
      <c r="H159">
        <f t="shared" si="133"/>
        <v>2033</v>
      </c>
      <c r="I159">
        <v>1</v>
      </c>
      <c r="J159">
        <f t="shared" si="136"/>
        <v>18.881300000000003</v>
      </c>
      <c r="K159">
        <f t="shared" si="137"/>
        <v>0</v>
      </c>
      <c r="L159">
        <f t="shared" si="138"/>
        <v>18.881300000000003</v>
      </c>
    </row>
    <row r="160" spans="2:12">
      <c r="B160" s="1">
        <v>48798</v>
      </c>
      <c r="C160" t="s">
        <v>50</v>
      </c>
      <c r="D160">
        <v>29.2</v>
      </c>
      <c r="E160">
        <v>34.9</v>
      </c>
      <c r="F160">
        <f t="shared" si="134"/>
        <v>10.190799999999999</v>
      </c>
      <c r="G160">
        <f t="shared" ref="G160" si="165">D157+D158+D159+D160</f>
        <v>90.7</v>
      </c>
      <c r="H160">
        <f t="shared" si="133"/>
        <v>2033</v>
      </c>
      <c r="I160">
        <v>1</v>
      </c>
      <c r="J160">
        <f t="shared" si="136"/>
        <v>29.072100000000002</v>
      </c>
      <c r="K160">
        <f t="shared" si="137"/>
        <v>0</v>
      </c>
      <c r="L160">
        <f t="shared" si="138"/>
        <v>29.072100000000002</v>
      </c>
    </row>
    <row r="161" spans="2:12">
      <c r="B161" s="1">
        <v>48799</v>
      </c>
      <c r="C161" t="s">
        <v>21</v>
      </c>
      <c r="D161">
        <v>21.4</v>
      </c>
      <c r="E161">
        <v>10.7</v>
      </c>
      <c r="F161">
        <f t="shared" si="134"/>
        <v>2.2897999999999996</v>
      </c>
      <c r="G161">
        <f t="shared" ref="G161" si="166">D157+D158+D159+D160+D161</f>
        <v>112.1</v>
      </c>
      <c r="H161">
        <f t="shared" si="133"/>
        <v>2033</v>
      </c>
      <c r="I161">
        <v>1</v>
      </c>
      <c r="J161">
        <f t="shared" si="136"/>
        <v>31.361900000000002</v>
      </c>
      <c r="K161">
        <f t="shared" si="137"/>
        <v>0</v>
      </c>
      <c r="L161">
        <f t="shared" si="138"/>
        <v>31.361900000000002</v>
      </c>
    </row>
    <row r="162" spans="2:12">
      <c r="B162" s="1">
        <v>48800</v>
      </c>
      <c r="C162" t="s">
        <v>32</v>
      </c>
      <c r="D162">
        <v>25.6</v>
      </c>
      <c r="E162">
        <v>3.1</v>
      </c>
      <c r="F162">
        <f t="shared" si="134"/>
        <v>0.79360000000000008</v>
      </c>
      <c r="G162">
        <f t="shared" ref="G162" si="167">D157+D158+D159+D160+D161+D162</f>
        <v>137.69999999999999</v>
      </c>
      <c r="H162">
        <f t="shared" si="133"/>
        <v>2033</v>
      </c>
      <c r="I162">
        <v>1</v>
      </c>
      <c r="J162">
        <f t="shared" si="136"/>
        <v>32.155500000000004</v>
      </c>
      <c r="K162">
        <f t="shared" si="137"/>
        <v>0</v>
      </c>
      <c r="L162">
        <f t="shared" si="138"/>
        <v>32.155500000000004</v>
      </c>
    </row>
    <row r="163" spans="2:12">
      <c r="B163" s="1">
        <v>48801</v>
      </c>
      <c r="C163" t="s">
        <v>32</v>
      </c>
      <c r="D163">
        <v>15.7</v>
      </c>
      <c r="E163">
        <v>5.0999999999999996</v>
      </c>
      <c r="F163">
        <f t="shared" si="134"/>
        <v>0.80069999999999997</v>
      </c>
      <c r="G163">
        <f t="shared" ref="G163" si="168">D157+D158+D159+D160+D161+D162+D163</f>
        <v>153.39999999999998</v>
      </c>
      <c r="H163">
        <f t="shared" si="133"/>
        <v>2033</v>
      </c>
      <c r="I163">
        <v>1</v>
      </c>
      <c r="J163">
        <f t="shared" si="136"/>
        <v>32.956200000000003</v>
      </c>
      <c r="K163">
        <f t="shared" si="137"/>
        <v>0</v>
      </c>
      <c r="L163">
        <f t="shared" si="138"/>
        <v>32.956200000000003</v>
      </c>
    </row>
    <row r="164" spans="2:12">
      <c r="B164" s="1">
        <v>48802</v>
      </c>
      <c r="C164" t="s">
        <v>17</v>
      </c>
      <c r="D164">
        <v>27.3</v>
      </c>
      <c r="E164">
        <v>11</v>
      </c>
      <c r="F164">
        <f t="shared" si="134"/>
        <v>3.0030000000000001</v>
      </c>
      <c r="G164">
        <f t="shared" ref="G164:G227" si="169">D164</f>
        <v>27.3</v>
      </c>
      <c r="H164">
        <f t="shared" si="133"/>
        <v>2033</v>
      </c>
      <c r="I164">
        <v>1</v>
      </c>
      <c r="J164">
        <f t="shared" si="136"/>
        <v>35.959200000000003</v>
      </c>
      <c r="K164">
        <f t="shared" si="137"/>
        <v>0</v>
      </c>
      <c r="L164">
        <f t="shared" si="138"/>
        <v>35.959200000000003</v>
      </c>
    </row>
    <row r="165" spans="2:12">
      <c r="B165" s="1">
        <v>48803</v>
      </c>
      <c r="C165" t="s">
        <v>49</v>
      </c>
      <c r="D165">
        <v>28.4</v>
      </c>
      <c r="E165">
        <v>2.7</v>
      </c>
      <c r="F165">
        <f t="shared" si="134"/>
        <v>0.76680000000000004</v>
      </c>
      <c r="G165">
        <f t="shared" ref="G165:G228" si="170">D164+D165</f>
        <v>55.7</v>
      </c>
      <c r="H165">
        <f t="shared" si="133"/>
        <v>2033</v>
      </c>
      <c r="I165">
        <v>1</v>
      </c>
      <c r="J165">
        <f t="shared" si="136"/>
        <v>36.726000000000006</v>
      </c>
      <c r="K165">
        <f t="shared" si="137"/>
        <v>0</v>
      </c>
      <c r="L165">
        <f t="shared" si="138"/>
        <v>36.726000000000006</v>
      </c>
    </row>
    <row r="166" spans="2:12">
      <c r="B166" s="1">
        <v>48804</v>
      </c>
      <c r="C166" t="s">
        <v>25</v>
      </c>
      <c r="D166">
        <v>22</v>
      </c>
      <c r="E166">
        <v>3.3</v>
      </c>
      <c r="F166">
        <f t="shared" si="134"/>
        <v>0.72599999999999998</v>
      </c>
      <c r="G166">
        <f t="shared" ref="G166" si="171">D164+D165+D166</f>
        <v>77.7</v>
      </c>
      <c r="H166">
        <f t="shared" si="133"/>
        <v>2033</v>
      </c>
      <c r="I166">
        <v>1</v>
      </c>
      <c r="J166">
        <f t="shared" si="136"/>
        <v>37.452000000000005</v>
      </c>
      <c r="K166">
        <f t="shared" si="137"/>
        <v>0</v>
      </c>
      <c r="L166">
        <f t="shared" si="138"/>
        <v>37.452000000000005</v>
      </c>
    </row>
    <row r="167" spans="2:12">
      <c r="B167" s="1">
        <v>48805</v>
      </c>
      <c r="C167" t="s">
        <v>19</v>
      </c>
      <c r="D167">
        <v>19.399999999999999</v>
      </c>
      <c r="E167">
        <v>0</v>
      </c>
      <c r="F167">
        <f t="shared" si="134"/>
        <v>0</v>
      </c>
      <c r="G167">
        <f t="shared" ref="G167" si="172">D164+D165+D166+D167</f>
        <v>97.1</v>
      </c>
      <c r="H167">
        <f t="shared" si="133"/>
        <v>2033</v>
      </c>
      <c r="I167">
        <v>1</v>
      </c>
      <c r="J167">
        <f t="shared" si="136"/>
        <v>37.452000000000005</v>
      </c>
      <c r="K167">
        <f t="shared" si="137"/>
        <v>0</v>
      </c>
      <c r="L167">
        <f t="shared" si="138"/>
        <v>37.452000000000005</v>
      </c>
    </row>
    <row r="168" spans="2:12">
      <c r="B168" s="1">
        <v>48806</v>
      </c>
      <c r="C168" t="s">
        <v>32</v>
      </c>
      <c r="D168">
        <v>22.7</v>
      </c>
      <c r="E168">
        <v>14.8</v>
      </c>
      <c r="F168">
        <f t="shared" si="134"/>
        <v>3.3595999999999999</v>
      </c>
      <c r="G168">
        <f t="shared" ref="G168" si="173">D164+D165+D166+D167+D168</f>
        <v>119.8</v>
      </c>
      <c r="H168">
        <f t="shared" si="133"/>
        <v>2033</v>
      </c>
      <c r="I168">
        <v>1</v>
      </c>
      <c r="J168">
        <f t="shared" si="136"/>
        <v>40.811600000000006</v>
      </c>
      <c r="K168">
        <f t="shared" si="137"/>
        <v>0</v>
      </c>
      <c r="L168">
        <f t="shared" si="138"/>
        <v>40.811600000000006</v>
      </c>
    </row>
    <row r="169" spans="2:12">
      <c r="B169" s="1">
        <v>48807</v>
      </c>
      <c r="C169" t="s">
        <v>18</v>
      </c>
      <c r="D169">
        <v>22.6</v>
      </c>
      <c r="E169">
        <v>16.5</v>
      </c>
      <c r="F169">
        <f t="shared" si="134"/>
        <v>3.7290000000000005</v>
      </c>
      <c r="G169">
        <f t="shared" ref="G169" si="174">D164+D165+D166+D167+D168+D169</f>
        <v>142.4</v>
      </c>
      <c r="H169">
        <f t="shared" si="133"/>
        <v>2033</v>
      </c>
      <c r="I169">
        <v>1</v>
      </c>
      <c r="J169">
        <f t="shared" si="136"/>
        <v>44.540600000000005</v>
      </c>
      <c r="K169">
        <f t="shared" si="137"/>
        <v>0</v>
      </c>
      <c r="L169">
        <f t="shared" si="138"/>
        <v>44.540600000000005</v>
      </c>
    </row>
    <row r="170" spans="2:12">
      <c r="B170" s="1">
        <v>48808</v>
      </c>
      <c r="C170" t="s">
        <v>42</v>
      </c>
      <c r="D170">
        <v>26.1</v>
      </c>
      <c r="E170">
        <v>0</v>
      </c>
      <c r="F170">
        <f t="shared" si="134"/>
        <v>0</v>
      </c>
      <c r="G170">
        <f t="shared" ref="G170" si="175">D164+D165+D166+D167+D168+D169+D170</f>
        <v>168.5</v>
      </c>
      <c r="H170">
        <f t="shared" si="133"/>
        <v>2033</v>
      </c>
      <c r="I170">
        <v>1</v>
      </c>
      <c r="J170">
        <f t="shared" si="136"/>
        <v>44.540600000000005</v>
      </c>
      <c r="K170">
        <f t="shared" si="137"/>
        <v>0</v>
      </c>
      <c r="L170">
        <f t="shared" si="138"/>
        <v>44.540600000000005</v>
      </c>
    </row>
    <row r="171" spans="2:12">
      <c r="B171" s="1">
        <v>48809</v>
      </c>
      <c r="C171" t="s">
        <v>32</v>
      </c>
      <c r="D171">
        <v>27.6</v>
      </c>
      <c r="E171">
        <v>6.7</v>
      </c>
      <c r="F171">
        <f t="shared" si="134"/>
        <v>1.8492000000000002</v>
      </c>
      <c r="G171">
        <f t="shared" ref="G171:G234" si="176">D171</f>
        <v>27.6</v>
      </c>
      <c r="H171">
        <f t="shared" si="133"/>
        <v>2033</v>
      </c>
      <c r="I171">
        <v>1</v>
      </c>
      <c r="J171">
        <f t="shared" si="136"/>
        <v>46.389800000000008</v>
      </c>
      <c r="K171">
        <f t="shared" si="137"/>
        <v>0</v>
      </c>
      <c r="L171">
        <f t="shared" si="138"/>
        <v>46.389800000000008</v>
      </c>
    </row>
    <row r="172" spans="2:12">
      <c r="B172" s="1">
        <v>48810</v>
      </c>
      <c r="C172" t="s">
        <v>26</v>
      </c>
      <c r="D172">
        <v>13.2</v>
      </c>
      <c r="E172">
        <v>0</v>
      </c>
      <c r="F172">
        <f t="shared" si="134"/>
        <v>0</v>
      </c>
      <c r="G172">
        <f t="shared" ref="G172:G235" si="177">D171+D172</f>
        <v>40.799999999999997</v>
      </c>
      <c r="H172">
        <f t="shared" si="133"/>
        <v>2033</v>
      </c>
      <c r="I172">
        <v>1</v>
      </c>
      <c r="J172">
        <f t="shared" si="136"/>
        <v>46.389800000000008</v>
      </c>
      <c r="K172">
        <f t="shared" si="137"/>
        <v>0</v>
      </c>
      <c r="L172">
        <f t="shared" si="138"/>
        <v>46.389800000000008</v>
      </c>
    </row>
    <row r="173" spans="2:12">
      <c r="B173" s="1">
        <v>48811</v>
      </c>
      <c r="C173" t="s">
        <v>46</v>
      </c>
      <c r="D173">
        <v>22</v>
      </c>
      <c r="E173">
        <v>0</v>
      </c>
      <c r="F173">
        <f t="shared" si="134"/>
        <v>0</v>
      </c>
      <c r="G173">
        <f t="shared" ref="G173" si="178">D171+D172+D173</f>
        <v>62.8</v>
      </c>
      <c r="H173">
        <f t="shared" si="133"/>
        <v>2033</v>
      </c>
      <c r="I173">
        <v>1</v>
      </c>
      <c r="J173">
        <f t="shared" si="136"/>
        <v>46.389800000000008</v>
      </c>
      <c r="K173">
        <f t="shared" si="137"/>
        <v>0</v>
      </c>
      <c r="L173">
        <f t="shared" si="138"/>
        <v>46.389800000000008</v>
      </c>
    </row>
    <row r="174" spans="2:12">
      <c r="B174" s="1">
        <v>48812</v>
      </c>
      <c r="C174" t="s">
        <v>21</v>
      </c>
      <c r="D174">
        <v>10.8</v>
      </c>
      <c r="E174">
        <v>7.6</v>
      </c>
      <c r="F174">
        <f t="shared" si="134"/>
        <v>0.82079999999999997</v>
      </c>
      <c r="G174">
        <f t="shared" ref="G174" si="179">D171+D172+D173+D174</f>
        <v>73.599999999999994</v>
      </c>
      <c r="H174">
        <f t="shared" si="133"/>
        <v>2033</v>
      </c>
      <c r="I174">
        <v>1</v>
      </c>
      <c r="J174">
        <f t="shared" si="136"/>
        <v>47.210600000000007</v>
      </c>
      <c r="K174">
        <f t="shared" si="137"/>
        <v>0</v>
      </c>
      <c r="L174">
        <f t="shared" si="138"/>
        <v>47.210600000000007</v>
      </c>
    </row>
    <row r="175" spans="2:12">
      <c r="B175" s="1">
        <v>48813</v>
      </c>
      <c r="C175" t="s">
        <v>24</v>
      </c>
      <c r="D175">
        <v>15.6</v>
      </c>
      <c r="E175">
        <v>38.4</v>
      </c>
      <c r="F175">
        <f t="shared" si="134"/>
        <v>5.9903999999999993</v>
      </c>
      <c r="G175">
        <f t="shared" ref="G175" si="180">D171+D172+D173+D174+D175</f>
        <v>89.199999999999989</v>
      </c>
      <c r="H175">
        <f t="shared" si="133"/>
        <v>2033</v>
      </c>
      <c r="I175">
        <v>1</v>
      </c>
      <c r="J175">
        <f t="shared" si="136"/>
        <v>53.201000000000008</v>
      </c>
      <c r="K175">
        <f t="shared" si="137"/>
        <v>0</v>
      </c>
      <c r="L175">
        <f t="shared" si="138"/>
        <v>53.201000000000008</v>
      </c>
    </row>
    <row r="176" spans="2:12">
      <c r="B176" s="1">
        <v>48814</v>
      </c>
      <c r="C176" t="s">
        <v>36</v>
      </c>
      <c r="D176">
        <v>11.7</v>
      </c>
      <c r="E176">
        <v>0.5</v>
      </c>
      <c r="F176">
        <f t="shared" si="134"/>
        <v>0</v>
      </c>
      <c r="G176">
        <f t="shared" ref="G176" si="181">D171+D172+D173+D174+D175+D176</f>
        <v>100.89999999999999</v>
      </c>
      <c r="H176">
        <f t="shared" si="133"/>
        <v>2033</v>
      </c>
      <c r="I176">
        <v>1</v>
      </c>
      <c r="J176">
        <f t="shared" si="136"/>
        <v>53.201000000000008</v>
      </c>
      <c r="K176">
        <f t="shared" si="137"/>
        <v>0</v>
      </c>
      <c r="L176">
        <f t="shared" si="138"/>
        <v>53.201000000000008</v>
      </c>
    </row>
    <row r="177" spans="2:12">
      <c r="B177" s="1">
        <v>48815</v>
      </c>
      <c r="C177" t="s">
        <v>24</v>
      </c>
      <c r="D177">
        <v>27.2</v>
      </c>
      <c r="E177">
        <v>8.3000000000000007</v>
      </c>
      <c r="F177">
        <f t="shared" si="134"/>
        <v>2.2576000000000001</v>
      </c>
      <c r="G177">
        <f t="shared" ref="G177" si="182">D171+D172+D173+D174+D175+D176+D177</f>
        <v>128.1</v>
      </c>
      <c r="H177">
        <f t="shared" si="133"/>
        <v>2033</v>
      </c>
      <c r="I177">
        <v>1</v>
      </c>
      <c r="J177">
        <f t="shared" si="136"/>
        <v>55.458600000000004</v>
      </c>
      <c r="K177">
        <f t="shared" si="137"/>
        <v>0</v>
      </c>
      <c r="L177">
        <f t="shared" si="138"/>
        <v>55.458600000000004</v>
      </c>
    </row>
    <row r="178" spans="2:12">
      <c r="B178" s="1">
        <v>48816</v>
      </c>
      <c r="C178" t="s">
        <v>24</v>
      </c>
      <c r="D178">
        <v>24.7</v>
      </c>
      <c r="E178">
        <v>28.9</v>
      </c>
      <c r="F178">
        <f t="shared" si="134"/>
        <v>7.1382999999999992</v>
      </c>
      <c r="G178">
        <f t="shared" ref="G178:G241" si="183">D178</f>
        <v>24.7</v>
      </c>
      <c r="H178">
        <f t="shared" si="133"/>
        <v>2033</v>
      </c>
      <c r="I178">
        <v>1</v>
      </c>
      <c r="J178">
        <f t="shared" si="136"/>
        <v>62.596900000000005</v>
      </c>
      <c r="K178">
        <f t="shared" si="137"/>
        <v>0</v>
      </c>
      <c r="L178">
        <f t="shared" si="138"/>
        <v>62.596900000000005</v>
      </c>
    </row>
    <row r="179" spans="2:12">
      <c r="B179" s="1">
        <v>48817</v>
      </c>
      <c r="C179" t="s">
        <v>25</v>
      </c>
      <c r="D179">
        <v>18.2</v>
      </c>
      <c r="E179">
        <v>12.5</v>
      </c>
      <c r="F179">
        <f t="shared" si="134"/>
        <v>2.2749999999999999</v>
      </c>
      <c r="G179">
        <f t="shared" ref="G179:G242" si="184">D178+D179</f>
        <v>42.9</v>
      </c>
      <c r="H179">
        <f t="shared" si="133"/>
        <v>2033</v>
      </c>
      <c r="I179">
        <v>1</v>
      </c>
      <c r="J179">
        <f t="shared" si="136"/>
        <v>64.871900000000011</v>
      </c>
      <c r="K179">
        <f t="shared" si="137"/>
        <v>0</v>
      </c>
      <c r="L179">
        <f t="shared" si="138"/>
        <v>64.871900000000011</v>
      </c>
    </row>
    <row r="180" spans="2:12">
      <c r="B180" s="1">
        <v>48818</v>
      </c>
      <c r="C180" t="s">
        <v>25</v>
      </c>
      <c r="D180">
        <v>14.6</v>
      </c>
      <c r="E180">
        <v>17.899999999999999</v>
      </c>
      <c r="F180">
        <f t="shared" si="134"/>
        <v>2.6133999999999999</v>
      </c>
      <c r="G180">
        <f t="shared" ref="G180" si="185">D178+D179+D180</f>
        <v>57.5</v>
      </c>
      <c r="H180">
        <f t="shared" si="133"/>
        <v>2033</v>
      </c>
      <c r="I180">
        <v>1</v>
      </c>
      <c r="J180">
        <f t="shared" si="136"/>
        <v>67.485300000000009</v>
      </c>
      <c r="K180">
        <f t="shared" si="137"/>
        <v>0</v>
      </c>
      <c r="L180">
        <f t="shared" si="138"/>
        <v>67.485300000000009</v>
      </c>
    </row>
    <row r="181" spans="2:12">
      <c r="B181" s="1">
        <v>48819</v>
      </c>
      <c r="C181" t="s">
        <v>25</v>
      </c>
      <c r="D181">
        <v>16.5</v>
      </c>
      <c r="E181">
        <v>13.9</v>
      </c>
      <c r="F181">
        <f t="shared" si="134"/>
        <v>2.2934999999999999</v>
      </c>
      <c r="G181">
        <f t="shared" ref="G181" si="186">D178+D179+D180+D181</f>
        <v>74</v>
      </c>
      <c r="H181">
        <f t="shared" si="133"/>
        <v>2033</v>
      </c>
      <c r="I181">
        <v>1</v>
      </c>
      <c r="J181">
        <f t="shared" si="136"/>
        <v>69.778800000000004</v>
      </c>
      <c r="K181">
        <f t="shared" si="137"/>
        <v>0</v>
      </c>
      <c r="L181">
        <f t="shared" si="138"/>
        <v>69.778800000000004</v>
      </c>
    </row>
    <row r="182" spans="2:12">
      <c r="B182" s="1">
        <v>48820</v>
      </c>
      <c r="C182" t="s">
        <v>47</v>
      </c>
      <c r="D182">
        <v>29.4</v>
      </c>
      <c r="E182">
        <v>0</v>
      </c>
      <c r="F182">
        <f t="shared" si="134"/>
        <v>0</v>
      </c>
      <c r="G182">
        <f t="shared" ref="G182" si="187">D178+D179+D180+D181+D182</f>
        <v>103.4</v>
      </c>
      <c r="H182">
        <f t="shared" si="133"/>
        <v>2033</v>
      </c>
      <c r="I182">
        <v>1</v>
      </c>
      <c r="J182">
        <f t="shared" si="136"/>
        <v>69.778800000000004</v>
      </c>
      <c r="K182">
        <f t="shared" si="137"/>
        <v>0</v>
      </c>
      <c r="L182">
        <f t="shared" si="138"/>
        <v>69.778800000000004</v>
      </c>
    </row>
    <row r="183" spans="2:12">
      <c r="B183" s="1">
        <v>48821</v>
      </c>
      <c r="C183" t="s">
        <v>24</v>
      </c>
      <c r="D183">
        <v>17.899999999999999</v>
      </c>
      <c r="E183">
        <v>0</v>
      </c>
      <c r="F183">
        <f t="shared" si="134"/>
        <v>0</v>
      </c>
      <c r="G183">
        <f t="shared" ref="G183" si="188">D178+D179+D180+D181+D182+D183</f>
        <v>121.30000000000001</v>
      </c>
      <c r="H183">
        <f t="shared" si="133"/>
        <v>2033</v>
      </c>
      <c r="I183">
        <v>1</v>
      </c>
      <c r="J183">
        <f t="shared" si="136"/>
        <v>69.778800000000004</v>
      </c>
      <c r="K183">
        <f t="shared" si="137"/>
        <v>0</v>
      </c>
      <c r="L183">
        <f t="shared" si="138"/>
        <v>69.778800000000004</v>
      </c>
    </row>
    <row r="184" spans="2:12">
      <c r="B184" s="1">
        <v>48822</v>
      </c>
      <c r="C184" t="s">
        <v>42</v>
      </c>
      <c r="D184">
        <v>29.8</v>
      </c>
      <c r="E184">
        <v>0</v>
      </c>
      <c r="F184">
        <f t="shared" si="134"/>
        <v>0</v>
      </c>
      <c r="G184">
        <f t="shared" ref="G184" si="189">D178+D179+D180+D181+D182+D183+D184</f>
        <v>151.10000000000002</v>
      </c>
      <c r="H184">
        <f t="shared" si="133"/>
        <v>2033</v>
      </c>
      <c r="I184">
        <v>1</v>
      </c>
      <c r="J184">
        <f t="shared" si="136"/>
        <v>69.778800000000004</v>
      </c>
      <c r="K184">
        <f t="shared" si="137"/>
        <v>0</v>
      </c>
      <c r="L184">
        <f t="shared" si="138"/>
        <v>69.778800000000004</v>
      </c>
    </row>
    <row r="185" spans="2:12">
      <c r="B185" s="1">
        <v>48823</v>
      </c>
      <c r="C185" t="s">
        <v>12</v>
      </c>
      <c r="D185">
        <v>18.7</v>
      </c>
      <c r="E185">
        <v>0</v>
      </c>
      <c r="F185">
        <f t="shared" si="134"/>
        <v>0</v>
      </c>
      <c r="G185">
        <f t="shared" ref="G185:G248" si="190">D185</f>
        <v>18.7</v>
      </c>
      <c r="H185">
        <f t="shared" si="133"/>
        <v>2033</v>
      </c>
      <c r="I185">
        <v>1</v>
      </c>
      <c r="J185">
        <f t="shared" si="136"/>
        <v>69.778800000000004</v>
      </c>
      <c r="K185">
        <f t="shared" si="137"/>
        <v>0</v>
      </c>
      <c r="L185">
        <f t="shared" si="138"/>
        <v>69.778800000000004</v>
      </c>
    </row>
    <row r="186" spans="2:12">
      <c r="B186" s="1">
        <v>48824</v>
      </c>
      <c r="C186" t="s">
        <v>26</v>
      </c>
      <c r="D186">
        <v>24.3</v>
      </c>
      <c r="E186">
        <v>7.8</v>
      </c>
      <c r="F186">
        <f t="shared" si="134"/>
        <v>1.8954</v>
      </c>
      <c r="G186">
        <f t="shared" ref="G186:G249" si="191">D185+D186</f>
        <v>43</v>
      </c>
      <c r="H186">
        <f t="shared" si="133"/>
        <v>2033</v>
      </c>
      <c r="I186">
        <v>1</v>
      </c>
      <c r="J186">
        <f t="shared" si="136"/>
        <v>71.674199999999999</v>
      </c>
      <c r="K186">
        <f t="shared" si="137"/>
        <v>0</v>
      </c>
      <c r="L186">
        <f t="shared" si="138"/>
        <v>71.674199999999999</v>
      </c>
    </row>
    <row r="187" spans="2:12">
      <c r="B187" s="1">
        <v>48825</v>
      </c>
      <c r="C187" t="s">
        <v>27</v>
      </c>
      <c r="D187">
        <v>29.3</v>
      </c>
      <c r="E187">
        <v>4.5999999999999996</v>
      </c>
      <c r="F187">
        <f t="shared" si="134"/>
        <v>1.3478000000000001</v>
      </c>
      <c r="G187">
        <f t="shared" ref="G187" si="192">D185+D186+D187</f>
        <v>72.3</v>
      </c>
      <c r="H187">
        <f t="shared" si="133"/>
        <v>2033</v>
      </c>
      <c r="I187">
        <v>1</v>
      </c>
      <c r="J187">
        <f t="shared" si="136"/>
        <v>73.022000000000006</v>
      </c>
      <c r="K187">
        <f t="shared" si="137"/>
        <v>0</v>
      </c>
      <c r="L187">
        <f t="shared" si="138"/>
        <v>73.022000000000006</v>
      </c>
    </row>
    <row r="188" spans="2:12">
      <c r="B188" s="1">
        <v>48826</v>
      </c>
      <c r="C188" t="s">
        <v>18</v>
      </c>
      <c r="D188">
        <v>18.399999999999999</v>
      </c>
      <c r="E188">
        <v>0</v>
      </c>
      <c r="F188">
        <f t="shared" si="134"/>
        <v>0</v>
      </c>
      <c r="G188">
        <f t="shared" ref="G188" si="193">D185+D186+D187+D188</f>
        <v>90.699999999999989</v>
      </c>
      <c r="H188">
        <f t="shared" si="133"/>
        <v>2033</v>
      </c>
      <c r="I188">
        <v>1</v>
      </c>
      <c r="J188">
        <f t="shared" si="136"/>
        <v>73.022000000000006</v>
      </c>
      <c r="K188">
        <f t="shared" si="137"/>
        <v>0</v>
      </c>
      <c r="L188">
        <f t="shared" si="138"/>
        <v>73.022000000000006</v>
      </c>
    </row>
    <row r="189" spans="2:12">
      <c r="B189" s="1">
        <v>48827</v>
      </c>
      <c r="C189" t="s">
        <v>18</v>
      </c>
      <c r="D189">
        <v>10.3</v>
      </c>
      <c r="E189">
        <v>16</v>
      </c>
      <c r="F189">
        <f t="shared" si="134"/>
        <v>1.6480000000000001</v>
      </c>
      <c r="G189">
        <f t="shared" ref="G189" si="194">D185+D186+D187+D188+D189</f>
        <v>100.99999999999999</v>
      </c>
      <c r="H189">
        <f t="shared" si="133"/>
        <v>2033</v>
      </c>
      <c r="I189">
        <v>1</v>
      </c>
      <c r="J189">
        <f t="shared" si="136"/>
        <v>74.67</v>
      </c>
      <c r="K189">
        <f t="shared" si="137"/>
        <v>0</v>
      </c>
      <c r="L189">
        <f t="shared" si="138"/>
        <v>74.67</v>
      </c>
    </row>
    <row r="190" spans="2:12">
      <c r="B190" s="1">
        <v>48828</v>
      </c>
      <c r="C190" t="s">
        <v>24</v>
      </c>
      <c r="D190">
        <v>27.5</v>
      </c>
      <c r="E190">
        <v>0</v>
      </c>
      <c r="F190">
        <f t="shared" si="134"/>
        <v>0</v>
      </c>
      <c r="G190">
        <f t="shared" ref="G190" si="195">D185+D186+D187+D188+D189+D190</f>
        <v>128.5</v>
      </c>
      <c r="H190">
        <f t="shared" si="133"/>
        <v>2033</v>
      </c>
      <c r="I190">
        <v>1</v>
      </c>
      <c r="J190">
        <f t="shared" si="136"/>
        <v>74.67</v>
      </c>
      <c r="K190">
        <f t="shared" si="137"/>
        <v>0</v>
      </c>
      <c r="L190">
        <f t="shared" si="138"/>
        <v>74.67</v>
      </c>
    </row>
    <row r="191" spans="2:12">
      <c r="B191" s="1">
        <v>48829</v>
      </c>
      <c r="C191" t="s">
        <v>18</v>
      </c>
      <c r="D191">
        <v>20.6</v>
      </c>
      <c r="E191">
        <v>15.7</v>
      </c>
      <c r="F191">
        <f t="shared" si="134"/>
        <v>3.2342</v>
      </c>
      <c r="G191">
        <f t="shared" ref="G191" si="196">D185+D186+D187+D188+D189+D190+D191</f>
        <v>149.1</v>
      </c>
      <c r="H191">
        <f t="shared" si="133"/>
        <v>2033</v>
      </c>
      <c r="I191">
        <v>1</v>
      </c>
      <c r="J191">
        <f t="shared" si="136"/>
        <v>77.904200000000003</v>
      </c>
      <c r="K191">
        <f t="shared" si="137"/>
        <v>0</v>
      </c>
      <c r="L191">
        <f t="shared" si="138"/>
        <v>77.904200000000003</v>
      </c>
    </row>
    <row r="192" spans="2:12">
      <c r="B192" s="1">
        <v>48830</v>
      </c>
      <c r="C192" t="s">
        <v>25</v>
      </c>
      <c r="D192">
        <v>21.3</v>
      </c>
      <c r="E192">
        <v>0</v>
      </c>
      <c r="F192">
        <f t="shared" si="134"/>
        <v>0</v>
      </c>
      <c r="G192">
        <f t="shared" ref="G192:G255" si="197">D192</f>
        <v>21.3</v>
      </c>
      <c r="H192">
        <f t="shared" si="133"/>
        <v>2033</v>
      </c>
      <c r="I192">
        <v>1</v>
      </c>
      <c r="J192">
        <f t="shared" si="136"/>
        <v>77.904200000000003</v>
      </c>
      <c r="K192">
        <f t="shared" si="137"/>
        <v>0</v>
      </c>
      <c r="L192">
        <f t="shared" si="138"/>
        <v>77.904200000000003</v>
      </c>
    </row>
    <row r="193" spans="2:12">
      <c r="B193" s="1">
        <v>48831</v>
      </c>
      <c r="C193" t="s">
        <v>50</v>
      </c>
      <c r="D193">
        <v>26.2</v>
      </c>
      <c r="E193">
        <v>0</v>
      </c>
      <c r="F193">
        <f t="shared" si="134"/>
        <v>0</v>
      </c>
      <c r="G193">
        <f t="shared" ref="G193:G256" si="198">D192+D193</f>
        <v>47.5</v>
      </c>
      <c r="H193">
        <f t="shared" si="133"/>
        <v>2033</v>
      </c>
      <c r="I193">
        <v>1</v>
      </c>
      <c r="J193">
        <f t="shared" si="136"/>
        <v>77.904200000000003</v>
      </c>
      <c r="K193">
        <f t="shared" si="137"/>
        <v>0</v>
      </c>
      <c r="L193">
        <f t="shared" si="138"/>
        <v>77.904200000000003</v>
      </c>
    </row>
    <row r="194" spans="2:12">
      <c r="B194" s="1">
        <v>48832</v>
      </c>
      <c r="C194" t="s">
        <v>24</v>
      </c>
      <c r="D194">
        <v>23.9</v>
      </c>
      <c r="E194">
        <v>0</v>
      </c>
      <c r="F194">
        <f t="shared" si="134"/>
        <v>0</v>
      </c>
      <c r="G194">
        <f t="shared" ref="G194" si="199">D192+D193+D194</f>
        <v>71.400000000000006</v>
      </c>
      <c r="H194">
        <f t="shared" si="133"/>
        <v>2033</v>
      </c>
      <c r="I194">
        <v>1</v>
      </c>
      <c r="J194">
        <f t="shared" si="136"/>
        <v>77.904200000000003</v>
      </c>
      <c r="K194">
        <f t="shared" si="137"/>
        <v>0</v>
      </c>
      <c r="L194">
        <f t="shared" si="138"/>
        <v>77.904200000000003</v>
      </c>
    </row>
    <row r="195" spans="2:12">
      <c r="B195" s="1">
        <v>48833</v>
      </c>
      <c r="C195" t="s">
        <v>38</v>
      </c>
      <c r="D195">
        <v>26.6</v>
      </c>
      <c r="E195">
        <v>1.6</v>
      </c>
      <c r="F195">
        <f t="shared" si="134"/>
        <v>0.42560000000000003</v>
      </c>
      <c r="G195">
        <f t="shared" ref="G195" si="200">D192+D193+D194+D195</f>
        <v>98</v>
      </c>
      <c r="H195">
        <f t="shared" si="133"/>
        <v>2033</v>
      </c>
      <c r="I195">
        <v>1</v>
      </c>
      <c r="J195">
        <f t="shared" si="136"/>
        <v>78.329800000000006</v>
      </c>
      <c r="K195">
        <f t="shared" si="137"/>
        <v>0</v>
      </c>
      <c r="L195">
        <f t="shared" si="138"/>
        <v>78.329800000000006</v>
      </c>
    </row>
    <row r="196" spans="2:12">
      <c r="B196" s="1">
        <v>48834</v>
      </c>
      <c r="C196" t="s">
        <v>24</v>
      </c>
      <c r="D196">
        <v>18.600000000000001</v>
      </c>
      <c r="E196">
        <v>20.399999999999999</v>
      </c>
      <c r="F196">
        <f t="shared" si="134"/>
        <v>3.7944</v>
      </c>
      <c r="G196">
        <f t="shared" ref="G196" si="201">D192+D193+D194+D195+D196</f>
        <v>116.6</v>
      </c>
      <c r="H196">
        <f t="shared" ref="H196:H259" si="202">YEAR(B196)</f>
        <v>2033</v>
      </c>
      <c r="I196">
        <v>1</v>
      </c>
      <c r="J196">
        <f t="shared" si="136"/>
        <v>82.124200000000002</v>
      </c>
      <c r="K196">
        <f t="shared" si="137"/>
        <v>0</v>
      </c>
      <c r="L196">
        <f t="shared" si="138"/>
        <v>82.124200000000002</v>
      </c>
    </row>
    <row r="197" spans="2:12">
      <c r="B197" s="1">
        <v>48835</v>
      </c>
      <c r="C197" t="s">
        <v>47</v>
      </c>
      <c r="D197">
        <v>22.3</v>
      </c>
      <c r="E197">
        <v>1.7</v>
      </c>
      <c r="F197">
        <f t="shared" ref="F197:F260" si="203">IF(E197&gt;=1,D197*E197/100,0)</f>
        <v>0.37910000000000005</v>
      </c>
      <c r="G197">
        <f t="shared" ref="G197" si="204">D192+D193+D194+D195+D196+D197</f>
        <v>138.9</v>
      </c>
      <c r="H197">
        <f t="shared" si="202"/>
        <v>2033</v>
      </c>
      <c r="I197">
        <v>1</v>
      </c>
      <c r="J197">
        <f t="shared" ref="J197:J260" si="205">L196+F197</f>
        <v>82.503299999999996</v>
      </c>
      <c r="K197">
        <f t="shared" ref="K197:K260" si="206">IF(J197&gt;=100,1,0)</f>
        <v>0</v>
      </c>
      <c r="L197">
        <f t="shared" ref="L197:L260" si="207">IF(K197=1,J197-100,J197)</f>
        <v>82.503299999999996</v>
      </c>
    </row>
    <row r="198" spans="2:12">
      <c r="B198" s="1">
        <v>48836</v>
      </c>
      <c r="C198" t="s">
        <v>42</v>
      </c>
      <c r="D198">
        <v>18.399999999999999</v>
      </c>
      <c r="E198">
        <v>3.9</v>
      </c>
      <c r="F198">
        <f t="shared" si="203"/>
        <v>0.7175999999999999</v>
      </c>
      <c r="G198">
        <f t="shared" ref="G198" si="208">D192+D193+D194+D195+D196+D197+D198</f>
        <v>157.30000000000001</v>
      </c>
      <c r="H198">
        <f t="shared" si="202"/>
        <v>2033</v>
      </c>
      <c r="I198">
        <v>1</v>
      </c>
      <c r="J198">
        <f t="shared" si="205"/>
        <v>83.2209</v>
      </c>
      <c r="K198">
        <f t="shared" si="206"/>
        <v>0</v>
      </c>
      <c r="L198">
        <f t="shared" si="207"/>
        <v>83.2209</v>
      </c>
    </row>
    <row r="199" spans="2:12">
      <c r="B199" s="1">
        <v>48837</v>
      </c>
      <c r="C199" t="s">
        <v>38</v>
      </c>
      <c r="D199">
        <v>28</v>
      </c>
      <c r="E199">
        <v>4.4000000000000004</v>
      </c>
      <c r="F199">
        <f t="shared" si="203"/>
        <v>1.2320000000000002</v>
      </c>
      <c r="G199">
        <f t="shared" ref="G199:G262" si="209">D199</f>
        <v>28</v>
      </c>
      <c r="H199">
        <f t="shared" si="202"/>
        <v>2033</v>
      </c>
      <c r="I199">
        <v>1</v>
      </c>
      <c r="J199">
        <f t="shared" si="205"/>
        <v>84.4529</v>
      </c>
      <c r="K199">
        <f t="shared" si="206"/>
        <v>0</v>
      </c>
      <c r="L199">
        <f t="shared" si="207"/>
        <v>84.4529</v>
      </c>
    </row>
    <row r="200" spans="2:12">
      <c r="B200" s="1">
        <v>48838</v>
      </c>
      <c r="C200" t="s">
        <v>24</v>
      </c>
      <c r="D200">
        <v>10.9</v>
      </c>
      <c r="E200">
        <v>32.9</v>
      </c>
      <c r="F200">
        <f t="shared" si="203"/>
        <v>3.5861000000000001</v>
      </c>
      <c r="G200">
        <f t="shared" ref="G200:G263" si="210">D199+D200</f>
        <v>38.9</v>
      </c>
      <c r="H200">
        <f t="shared" si="202"/>
        <v>2033</v>
      </c>
      <c r="I200">
        <v>1</v>
      </c>
      <c r="J200">
        <f t="shared" si="205"/>
        <v>88.039000000000001</v>
      </c>
      <c r="K200">
        <f t="shared" si="206"/>
        <v>0</v>
      </c>
      <c r="L200">
        <f t="shared" si="207"/>
        <v>88.039000000000001</v>
      </c>
    </row>
    <row r="201" spans="2:12">
      <c r="B201" s="1">
        <v>48839</v>
      </c>
      <c r="C201" t="s">
        <v>50</v>
      </c>
      <c r="D201">
        <v>25.1</v>
      </c>
      <c r="E201">
        <v>33.299999999999997</v>
      </c>
      <c r="F201">
        <f t="shared" si="203"/>
        <v>8.3582999999999998</v>
      </c>
      <c r="G201">
        <f t="shared" ref="G201" si="211">D199+D200+D201</f>
        <v>64</v>
      </c>
      <c r="H201">
        <f t="shared" si="202"/>
        <v>2033</v>
      </c>
      <c r="I201">
        <v>1</v>
      </c>
      <c r="J201">
        <f t="shared" si="205"/>
        <v>96.397300000000001</v>
      </c>
      <c r="K201">
        <f t="shared" si="206"/>
        <v>0</v>
      </c>
      <c r="L201">
        <f t="shared" si="207"/>
        <v>96.397300000000001</v>
      </c>
    </row>
    <row r="202" spans="2:12">
      <c r="B202" s="1">
        <v>48840</v>
      </c>
      <c r="C202" t="s">
        <v>23</v>
      </c>
      <c r="D202">
        <v>10.7</v>
      </c>
      <c r="E202">
        <v>0.3</v>
      </c>
      <c r="F202">
        <f t="shared" si="203"/>
        <v>0</v>
      </c>
      <c r="G202">
        <f t="shared" ref="G202" si="212">D199+D200+D201+D202</f>
        <v>74.7</v>
      </c>
      <c r="H202">
        <f t="shared" si="202"/>
        <v>2033</v>
      </c>
      <c r="I202">
        <v>1</v>
      </c>
      <c r="J202">
        <f t="shared" si="205"/>
        <v>96.397300000000001</v>
      </c>
      <c r="K202">
        <f t="shared" si="206"/>
        <v>0</v>
      </c>
      <c r="L202">
        <f t="shared" si="207"/>
        <v>96.397300000000001</v>
      </c>
    </row>
    <row r="203" spans="2:12">
      <c r="B203" s="1">
        <v>48841</v>
      </c>
      <c r="C203" t="s">
        <v>24</v>
      </c>
      <c r="D203">
        <v>26.1</v>
      </c>
      <c r="E203">
        <v>31</v>
      </c>
      <c r="F203">
        <f t="shared" si="203"/>
        <v>8.0910000000000011</v>
      </c>
      <c r="G203">
        <f t="shared" ref="G203" si="213">D199+D200+D201+D202+D203</f>
        <v>100.80000000000001</v>
      </c>
      <c r="H203">
        <f t="shared" si="202"/>
        <v>2033</v>
      </c>
      <c r="I203">
        <v>1</v>
      </c>
      <c r="J203">
        <f t="shared" si="205"/>
        <v>104.48830000000001</v>
      </c>
      <c r="K203">
        <f t="shared" si="206"/>
        <v>1</v>
      </c>
      <c r="L203">
        <f t="shared" si="207"/>
        <v>4.4883000000000095</v>
      </c>
    </row>
    <row r="204" spans="2:12">
      <c r="B204" s="1">
        <v>48842</v>
      </c>
      <c r="C204" t="s">
        <v>25</v>
      </c>
      <c r="D204">
        <v>15.2</v>
      </c>
      <c r="E204">
        <v>12.7</v>
      </c>
      <c r="F204">
        <f t="shared" si="203"/>
        <v>1.9303999999999999</v>
      </c>
      <c r="G204">
        <f t="shared" ref="G204" si="214">D199+D200+D201+D202+D203+D204</f>
        <v>116.00000000000001</v>
      </c>
      <c r="H204">
        <f t="shared" si="202"/>
        <v>2033</v>
      </c>
      <c r="I204">
        <v>1</v>
      </c>
      <c r="J204">
        <f t="shared" si="205"/>
        <v>6.4187000000000092</v>
      </c>
      <c r="K204">
        <f t="shared" si="206"/>
        <v>0</v>
      </c>
      <c r="L204">
        <f t="shared" si="207"/>
        <v>6.4187000000000092</v>
      </c>
    </row>
    <row r="205" spans="2:12">
      <c r="B205" s="1">
        <v>48843</v>
      </c>
      <c r="C205" t="s">
        <v>31</v>
      </c>
      <c r="D205">
        <v>28.8</v>
      </c>
      <c r="E205">
        <v>4.3</v>
      </c>
      <c r="F205">
        <f t="shared" si="203"/>
        <v>1.2383999999999999</v>
      </c>
      <c r="G205">
        <f t="shared" ref="G205" si="215">D199+D200+D201+D202+D203+D204+D205</f>
        <v>144.80000000000001</v>
      </c>
      <c r="H205">
        <f t="shared" si="202"/>
        <v>2033</v>
      </c>
      <c r="I205">
        <v>1</v>
      </c>
      <c r="J205">
        <f t="shared" si="205"/>
        <v>7.6571000000000087</v>
      </c>
      <c r="K205">
        <f t="shared" si="206"/>
        <v>0</v>
      </c>
      <c r="L205">
        <f t="shared" si="207"/>
        <v>7.6571000000000087</v>
      </c>
    </row>
    <row r="206" spans="2:12">
      <c r="B206" s="1">
        <v>48844</v>
      </c>
      <c r="C206" t="s">
        <v>36</v>
      </c>
      <c r="D206">
        <v>10.3</v>
      </c>
      <c r="E206">
        <v>0</v>
      </c>
      <c r="F206">
        <f t="shared" si="203"/>
        <v>0</v>
      </c>
      <c r="G206">
        <f t="shared" ref="G206:G269" si="216">D206</f>
        <v>10.3</v>
      </c>
      <c r="H206">
        <f t="shared" si="202"/>
        <v>2033</v>
      </c>
      <c r="I206">
        <v>1</v>
      </c>
      <c r="J206">
        <f t="shared" si="205"/>
        <v>7.6571000000000087</v>
      </c>
      <c r="K206">
        <f t="shared" si="206"/>
        <v>0</v>
      </c>
      <c r="L206">
        <f t="shared" si="207"/>
        <v>7.6571000000000087</v>
      </c>
    </row>
    <row r="207" spans="2:12">
      <c r="B207" s="1">
        <v>48845</v>
      </c>
      <c r="C207" t="s">
        <v>17</v>
      </c>
      <c r="D207">
        <v>14.9</v>
      </c>
      <c r="E207">
        <v>0.1</v>
      </c>
      <c r="F207">
        <f t="shared" si="203"/>
        <v>0</v>
      </c>
      <c r="G207">
        <f t="shared" ref="G207:G270" si="217">D206+D207</f>
        <v>25.200000000000003</v>
      </c>
      <c r="H207">
        <f t="shared" si="202"/>
        <v>2033</v>
      </c>
      <c r="I207">
        <v>1</v>
      </c>
      <c r="J207">
        <f t="shared" si="205"/>
        <v>7.6571000000000087</v>
      </c>
      <c r="K207">
        <f t="shared" si="206"/>
        <v>0</v>
      </c>
      <c r="L207">
        <f t="shared" si="207"/>
        <v>7.6571000000000087</v>
      </c>
    </row>
    <row r="208" spans="2:12">
      <c r="B208" s="1">
        <v>48846</v>
      </c>
      <c r="C208" t="s">
        <v>24</v>
      </c>
      <c r="D208">
        <v>11.3</v>
      </c>
      <c r="E208">
        <v>0</v>
      </c>
      <c r="F208">
        <f t="shared" si="203"/>
        <v>0</v>
      </c>
      <c r="G208">
        <f t="shared" ref="G208" si="218">D206+D207+D208</f>
        <v>36.5</v>
      </c>
      <c r="H208">
        <f t="shared" si="202"/>
        <v>2033</v>
      </c>
      <c r="I208">
        <v>1</v>
      </c>
      <c r="J208">
        <f t="shared" si="205"/>
        <v>7.6571000000000087</v>
      </c>
      <c r="K208">
        <f t="shared" si="206"/>
        <v>0</v>
      </c>
      <c r="L208">
        <f t="shared" si="207"/>
        <v>7.6571000000000087</v>
      </c>
    </row>
    <row r="209" spans="2:12">
      <c r="B209" s="1">
        <v>48847</v>
      </c>
      <c r="C209" t="s">
        <v>24</v>
      </c>
      <c r="D209">
        <v>20.8</v>
      </c>
      <c r="E209">
        <v>34.9</v>
      </c>
      <c r="F209">
        <f t="shared" si="203"/>
        <v>7.2591999999999999</v>
      </c>
      <c r="G209">
        <f t="shared" ref="G209" si="219">D206+D207+D208+D209</f>
        <v>57.3</v>
      </c>
      <c r="H209">
        <f t="shared" si="202"/>
        <v>2033</v>
      </c>
      <c r="I209">
        <v>1</v>
      </c>
      <c r="J209">
        <f t="shared" si="205"/>
        <v>14.916300000000009</v>
      </c>
      <c r="K209">
        <f t="shared" si="206"/>
        <v>0</v>
      </c>
      <c r="L209">
        <f t="shared" si="207"/>
        <v>14.916300000000009</v>
      </c>
    </row>
    <row r="210" spans="2:12">
      <c r="B210" s="1">
        <v>48848</v>
      </c>
      <c r="C210" t="s">
        <v>50</v>
      </c>
      <c r="D210">
        <v>18.2</v>
      </c>
      <c r="E210">
        <v>0</v>
      </c>
      <c r="F210">
        <f t="shared" si="203"/>
        <v>0</v>
      </c>
      <c r="G210">
        <f t="shared" ref="G210" si="220">D206+D207+D208+D209+D210</f>
        <v>75.5</v>
      </c>
      <c r="H210">
        <f t="shared" si="202"/>
        <v>2033</v>
      </c>
      <c r="I210">
        <v>1</v>
      </c>
      <c r="J210">
        <f t="shared" si="205"/>
        <v>14.916300000000009</v>
      </c>
      <c r="K210">
        <f t="shared" si="206"/>
        <v>0</v>
      </c>
      <c r="L210">
        <f t="shared" si="207"/>
        <v>14.916300000000009</v>
      </c>
    </row>
    <row r="211" spans="2:12">
      <c r="B211" s="1">
        <v>48849</v>
      </c>
      <c r="C211" t="s">
        <v>42</v>
      </c>
      <c r="D211">
        <v>12.7</v>
      </c>
      <c r="E211">
        <v>5.3</v>
      </c>
      <c r="F211">
        <f t="shared" si="203"/>
        <v>0.67309999999999992</v>
      </c>
      <c r="G211">
        <f t="shared" ref="G211" si="221">D206+D207+D208+D209+D210+D211</f>
        <v>88.2</v>
      </c>
      <c r="H211">
        <f t="shared" si="202"/>
        <v>2033</v>
      </c>
      <c r="I211">
        <v>1</v>
      </c>
      <c r="J211">
        <f t="shared" si="205"/>
        <v>15.589400000000008</v>
      </c>
      <c r="K211">
        <f t="shared" si="206"/>
        <v>0</v>
      </c>
      <c r="L211">
        <f t="shared" si="207"/>
        <v>15.589400000000008</v>
      </c>
    </row>
    <row r="212" spans="2:12">
      <c r="B212" s="1">
        <v>48850</v>
      </c>
      <c r="C212" t="s">
        <v>31</v>
      </c>
      <c r="D212">
        <v>21.4</v>
      </c>
      <c r="E212">
        <v>8.3000000000000007</v>
      </c>
      <c r="F212">
        <f t="shared" si="203"/>
        <v>1.7762</v>
      </c>
      <c r="G212">
        <f t="shared" ref="G212" si="222">D206+D207+D208+D209+D210+D211+D212</f>
        <v>109.6</v>
      </c>
      <c r="H212">
        <f t="shared" si="202"/>
        <v>2033</v>
      </c>
      <c r="I212">
        <v>1</v>
      </c>
      <c r="J212">
        <f t="shared" si="205"/>
        <v>17.365600000000008</v>
      </c>
      <c r="K212">
        <f t="shared" si="206"/>
        <v>0</v>
      </c>
      <c r="L212">
        <f t="shared" si="207"/>
        <v>17.365600000000008</v>
      </c>
    </row>
    <row r="213" spans="2:12">
      <c r="B213" s="1">
        <v>48851</v>
      </c>
      <c r="C213" t="s">
        <v>17</v>
      </c>
      <c r="D213">
        <v>21.3</v>
      </c>
      <c r="E213">
        <v>11.8</v>
      </c>
      <c r="F213">
        <f t="shared" si="203"/>
        <v>2.5134000000000003</v>
      </c>
      <c r="G213">
        <f t="shared" ref="G213:G276" si="223">D213</f>
        <v>21.3</v>
      </c>
      <c r="H213">
        <f t="shared" si="202"/>
        <v>2033</v>
      </c>
      <c r="I213">
        <v>1</v>
      </c>
      <c r="J213">
        <f t="shared" si="205"/>
        <v>19.879000000000008</v>
      </c>
      <c r="K213">
        <f t="shared" si="206"/>
        <v>0</v>
      </c>
      <c r="L213">
        <f t="shared" si="207"/>
        <v>19.879000000000008</v>
      </c>
    </row>
    <row r="214" spans="2:12">
      <c r="B214" s="1">
        <v>48852</v>
      </c>
      <c r="C214" t="s">
        <v>42</v>
      </c>
      <c r="D214">
        <v>20.7</v>
      </c>
      <c r="E214">
        <v>3.9</v>
      </c>
      <c r="F214">
        <f t="shared" si="203"/>
        <v>0.80729999999999991</v>
      </c>
      <c r="G214">
        <f t="shared" ref="G214:G277" si="224">D213+D214</f>
        <v>42</v>
      </c>
      <c r="H214">
        <f t="shared" si="202"/>
        <v>2033</v>
      </c>
      <c r="I214">
        <v>1</v>
      </c>
      <c r="J214">
        <f t="shared" si="205"/>
        <v>20.68630000000001</v>
      </c>
      <c r="K214">
        <f t="shared" si="206"/>
        <v>0</v>
      </c>
      <c r="L214">
        <f t="shared" si="207"/>
        <v>20.68630000000001</v>
      </c>
    </row>
    <row r="215" spans="2:12">
      <c r="B215" s="1">
        <v>48853</v>
      </c>
      <c r="C215" t="s">
        <v>40</v>
      </c>
      <c r="D215">
        <v>19.7</v>
      </c>
      <c r="E215">
        <v>0</v>
      </c>
      <c r="F215">
        <f t="shared" si="203"/>
        <v>0</v>
      </c>
      <c r="G215">
        <f t="shared" ref="G215" si="225">D213+D214+D215</f>
        <v>61.7</v>
      </c>
      <c r="H215">
        <f t="shared" si="202"/>
        <v>2033</v>
      </c>
      <c r="I215">
        <v>1</v>
      </c>
      <c r="J215">
        <f t="shared" si="205"/>
        <v>20.68630000000001</v>
      </c>
      <c r="K215">
        <f t="shared" si="206"/>
        <v>0</v>
      </c>
      <c r="L215">
        <f t="shared" si="207"/>
        <v>20.68630000000001</v>
      </c>
    </row>
    <row r="216" spans="2:12">
      <c r="B216" s="1">
        <v>48854</v>
      </c>
      <c r="C216" t="s">
        <v>25</v>
      </c>
      <c r="D216">
        <v>27.2</v>
      </c>
      <c r="E216">
        <v>17.600000000000001</v>
      </c>
      <c r="F216">
        <f t="shared" si="203"/>
        <v>4.7872000000000003</v>
      </c>
      <c r="G216">
        <f t="shared" ref="G216" si="226">D213+D214+D215+D216</f>
        <v>88.9</v>
      </c>
      <c r="H216">
        <f t="shared" si="202"/>
        <v>2033</v>
      </c>
      <c r="I216">
        <v>1</v>
      </c>
      <c r="J216">
        <f t="shared" si="205"/>
        <v>25.473500000000008</v>
      </c>
      <c r="K216">
        <f t="shared" si="206"/>
        <v>0</v>
      </c>
      <c r="L216">
        <f t="shared" si="207"/>
        <v>25.473500000000008</v>
      </c>
    </row>
    <row r="217" spans="2:12">
      <c r="B217" s="1">
        <v>48855</v>
      </c>
      <c r="C217" t="s">
        <v>49</v>
      </c>
      <c r="D217">
        <v>16.600000000000001</v>
      </c>
      <c r="E217">
        <v>1.7</v>
      </c>
      <c r="F217">
        <f t="shared" si="203"/>
        <v>0.28220000000000001</v>
      </c>
      <c r="G217">
        <f t="shared" ref="G217" si="227">D213+D214+D215+D216+D217</f>
        <v>105.5</v>
      </c>
      <c r="H217">
        <f t="shared" si="202"/>
        <v>2033</v>
      </c>
      <c r="I217">
        <v>1</v>
      </c>
      <c r="J217">
        <f t="shared" si="205"/>
        <v>25.755700000000008</v>
      </c>
      <c r="K217">
        <f t="shared" si="206"/>
        <v>0</v>
      </c>
      <c r="L217">
        <f t="shared" si="207"/>
        <v>25.755700000000008</v>
      </c>
    </row>
    <row r="218" spans="2:12">
      <c r="B218" s="1">
        <v>48856</v>
      </c>
      <c r="C218" t="s">
        <v>25</v>
      </c>
      <c r="D218">
        <v>22.3</v>
      </c>
      <c r="E218">
        <v>0</v>
      </c>
      <c r="F218">
        <f t="shared" si="203"/>
        <v>0</v>
      </c>
      <c r="G218">
        <f t="shared" ref="G218" si="228">D213+D214+D215+D216+D217+D218</f>
        <v>127.8</v>
      </c>
      <c r="H218">
        <f t="shared" si="202"/>
        <v>2033</v>
      </c>
      <c r="I218">
        <v>1</v>
      </c>
      <c r="J218">
        <f t="shared" si="205"/>
        <v>25.755700000000008</v>
      </c>
      <c r="K218">
        <f t="shared" si="206"/>
        <v>0</v>
      </c>
      <c r="L218">
        <f t="shared" si="207"/>
        <v>25.755700000000008</v>
      </c>
    </row>
    <row r="219" spans="2:12">
      <c r="B219" s="1">
        <v>48857</v>
      </c>
      <c r="C219" t="s">
        <v>24</v>
      </c>
      <c r="D219">
        <v>18</v>
      </c>
      <c r="E219">
        <v>40.799999999999997</v>
      </c>
      <c r="F219">
        <f t="shared" si="203"/>
        <v>7.3439999999999994</v>
      </c>
      <c r="G219">
        <f t="shared" ref="G219" si="229">D213+D214+D215+D216+D217+D218+D219</f>
        <v>145.80000000000001</v>
      </c>
      <c r="H219">
        <f t="shared" si="202"/>
        <v>2033</v>
      </c>
      <c r="I219">
        <v>1</v>
      </c>
      <c r="J219">
        <f t="shared" si="205"/>
        <v>33.099700000000006</v>
      </c>
      <c r="K219">
        <f t="shared" si="206"/>
        <v>0</v>
      </c>
      <c r="L219">
        <f t="shared" si="207"/>
        <v>33.099700000000006</v>
      </c>
    </row>
    <row r="220" spans="2:12">
      <c r="B220" s="1">
        <v>48858</v>
      </c>
      <c r="C220" t="s">
        <v>37</v>
      </c>
      <c r="D220">
        <v>21.8</v>
      </c>
      <c r="E220">
        <v>0</v>
      </c>
      <c r="F220">
        <f t="shared" si="203"/>
        <v>0</v>
      </c>
      <c r="G220">
        <f t="shared" ref="G220:G283" si="230">D220</f>
        <v>21.8</v>
      </c>
      <c r="H220">
        <f t="shared" si="202"/>
        <v>2033</v>
      </c>
      <c r="I220">
        <v>1</v>
      </c>
      <c r="J220">
        <f t="shared" si="205"/>
        <v>33.099700000000006</v>
      </c>
      <c r="K220">
        <f t="shared" si="206"/>
        <v>0</v>
      </c>
      <c r="L220">
        <f t="shared" si="207"/>
        <v>33.099700000000006</v>
      </c>
    </row>
    <row r="221" spans="2:12">
      <c r="B221" s="1">
        <v>48859</v>
      </c>
      <c r="C221" t="s">
        <v>17</v>
      </c>
      <c r="D221">
        <v>22.2</v>
      </c>
      <c r="E221">
        <v>11.2</v>
      </c>
      <c r="F221">
        <f t="shared" si="203"/>
        <v>2.4863999999999997</v>
      </c>
      <c r="G221">
        <f t="shared" ref="G221:G284" si="231">D220+D221</f>
        <v>44</v>
      </c>
      <c r="H221">
        <f t="shared" si="202"/>
        <v>2033</v>
      </c>
      <c r="I221">
        <v>1</v>
      </c>
      <c r="J221">
        <f t="shared" si="205"/>
        <v>35.586100000000002</v>
      </c>
      <c r="K221">
        <f t="shared" si="206"/>
        <v>0</v>
      </c>
      <c r="L221">
        <f t="shared" si="207"/>
        <v>35.586100000000002</v>
      </c>
    </row>
    <row r="222" spans="2:12">
      <c r="B222" s="1">
        <v>48860</v>
      </c>
      <c r="C222" t="s">
        <v>17</v>
      </c>
      <c r="D222">
        <v>20</v>
      </c>
      <c r="E222">
        <v>0</v>
      </c>
      <c r="F222">
        <f t="shared" si="203"/>
        <v>0</v>
      </c>
      <c r="G222">
        <f t="shared" ref="G222" si="232">D220+D221+D222</f>
        <v>64</v>
      </c>
      <c r="H222">
        <f t="shared" si="202"/>
        <v>2033</v>
      </c>
      <c r="I222">
        <v>1</v>
      </c>
      <c r="J222">
        <f t="shared" si="205"/>
        <v>35.586100000000002</v>
      </c>
      <c r="K222">
        <f t="shared" si="206"/>
        <v>0</v>
      </c>
      <c r="L222">
        <f t="shared" si="207"/>
        <v>35.586100000000002</v>
      </c>
    </row>
    <row r="223" spans="2:12">
      <c r="B223" s="1">
        <v>48861</v>
      </c>
      <c r="C223" t="s">
        <v>45</v>
      </c>
      <c r="D223">
        <v>29.4</v>
      </c>
      <c r="E223">
        <v>0.7</v>
      </c>
      <c r="F223">
        <f t="shared" si="203"/>
        <v>0</v>
      </c>
      <c r="G223">
        <f t="shared" ref="G223" si="233">D220+D221+D222+D223</f>
        <v>93.4</v>
      </c>
      <c r="H223">
        <f t="shared" si="202"/>
        <v>2033</v>
      </c>
      <c r="I223">
        <v>1</v>
      </c>
      <c r="J223">
        <f t="shared" si="205"/>
        <v>35.586100000000002</v>
      </c>
      <c r="K223">
        <f t="shared" si="206"/>
        <v>0</v>
      </c>
      <c r="L223">
        <f t="shared" si="207"/>
        <v>35.586100000000002</v>
      </c>
    </row>
    <row r="224" spans="2:12">
      <c r="B224" s="1">
        <v>48862</v>
      </c>
      <c r="C224" t="s">
        <v>24</v>
      </c>
      <c r="D224">
        <v>23.6</v>
      </c>
      <c r="E224">
        <v>0</v>
      </c>
      <c r="F224">
        <f t="shared" si="203"/>
        <v>0</v>
      </c>
      <c r="G224">
        <f t="shared" ref="G224" si="234">D220+D221+D222+D223+D224</f>
        <v>117</v>
      </c>
      <c r="H224">
        <f t="shared" si="202"/>
        <v>2033</v>
      </c>
      <c r="I224">
        <v>1</v>
      </c>
      <c r="J224">
        <f t="shared" si="205"/>
        <v>35.586100000000002</v>
      </c>
      <c r="K224">
        <f t="shared" si="206"/>
        <v>0</v>
      </c>
      <c r="L224">
        <f t="shared" si="207"/>
        <v>35.586100000000002</v>
      </c>
    </row>
    <row r="225" spans="2:12">
      <c r="B225" s="1">
        <v>48863</v>
      </c>
      <c r="C225" t="s">
        <v>18</v>
      </c>
      <c r="D225">
        <v>16.3</v>
      </c>
      <c r="E225">
        <v>22</v>
      </c>
      <c r="F225">
        <f t="shared" si="203"/>
        <v>3.5860000000000003</v>
      </c>
      <c r="G225">
        <f t="shared" ref="G225" si="235">D220+D221+D222+D223+D224+D225</f>
        <v>133.30000000000001</v>
      </c>
      <c r="H225">
        <f t="shared" si="202"/>
        <v>2033</v>
      </c>
      <c r="I225">
        <v>1</v>
      </c>
      <c r="J225">
        <f t="shared" si="205"/>
        <v>39.1721</v>
      </c>
      <c r="K225">
        <f t="shared" si="206"/>
        <v>0</v>
      </c>
      <c r="L225">
        <f t="shared" si="207"/>
        <v>39.1721</v>
      </c>
    </row>
    <row r="226" spans="2:12">
      <c r="B226" s="1">
        <v>48864</v>
      </c>
      <c r="C226" t="s">
        <v>32</v>
      </c>
      <c r="D226">
        <v>15</v>
      </c>
      <c r="E226">
        <v>0</v>
      </c>
      <c r="F226">
        <f t="shared" si="203"/>
        <v>0</v>
      </c>
      <c r="G226">
        <f t="shared" ref="G226" si="236">D220+D221+D222+D223+D224+D225+D226</f>
        <v>148.30000000000001</v>
      </c>
      <c r="H226">
        <f t="shared" si="202"/>
        <v>2033</v>
      </c>
      <c r="I226">
        <v>1</v>
      </c>
      <c r="J226">
        <f t="shared" si="205"/>
        <v>39.1721</v>
      </c>
      <c r="K226">
        <f t="shared" si="206"/>
        <v>0</v>
      </c>
      <c r="L226">
        <f t="shared" si="207"/>
        <v>39.1721</v>
      </c>
    </row>
    <row r="227" spans="2:12">
      <c r="B227" s="1">
        <v>48865</v>
      </c>
      <c r="C227" t="s">
        <v>31</v>
      </c>
      <c r="D227">
        <v>10.8</v>
      </c>
      <c r="E227">
        <v>0</v>
      </c>
      <c r="F227">
        <f t="shared" si="203"/>
        <v>0</v>
      </c>
      <c r="G227">
        <f t="shared" ref="G227:G290" si="237">D227</f>
        <v>10.8</v>
      </c>
      <c r="H227">
        <f t="shared" si="202"/>
        <v>2033</v>
      </c>
      <c r="I227">
        <v>1</v>
      </c>
      <c r="J227">
        <f t="shared" si="205"/>
        <v>39.1721</v>
      </c>
      <c r="K227">
        <f t="shared" si="206"/>
        <v>0</v>
      </c>
      <c r="L227">
        <f t="shared" si="207"/>
        <v>39.1721</v>
      </c>
    </row>
    <row r="228" spans="2:12">
      <c r="B228" s="1">
        <v>48866</v>
      </c>
      <c r="C228" t="s">
        <v>50</v>
      </c>
      <c r="D228">
        <v>10.5</v>
      </c>
      <c r="E228">
        <v>0</v>
      </c>
      <c r="F228">
        <f t="shared" si="203"/>
        <v>0</v>
      </c>
      <c r="G228">
        <f t="shared" ref="G228:G291" si="238">D227+D228</f>
        <v>21.3</v>
      </c>
      <c r="H228">
        <f t="shared" si="202"/>
        <v>2033</v>
      </c>
      <c r="I228">
        <v>1</v>
      </c>
      <c r="J228">
        <f t="shared" si="205"/>
        <v>39.1721</v>
      </c>
      <c r="K228">
        <f t="shared" si="206"/>
        <v>0</v>
      </c>
      <c r="L228">
        <f t="shared" si="207"/>
        <v>39.1721</v>
      </c>
    </row>
    <row r="229" spans="2:12">
      <c r="B229" s="1">
        <v>48867</v>
      </c>
      <c r="C229" t="s">
        <v>15</v>
      </c>
      <c r="D229">
        <v>20.3</v>
      </c>
      <c r="E229">
        <v>0</v>
      </c>
      <c r="F229">
        <f t="shared" si="203"/>
        <v>0</v>
      </c>
      <c r="G229">
        <f t="shared" ref="G229" si="239">D227+D228+D229</f>
        <v>41.6</v>
      </c>
      <c r="H229">
        <f t="shared" si="202"/>
        <v>2033</v>
      </c>
      <c r="I229">
        <v>1</v>
      </c>
      <c r="J229">
        <f t="shared" si="205"/>
        <v>39.1721</v>
      </c>
      <c r="K229">
        <f t="shared" si="206"/>
        <v>0</v>
      </c>
      <c r="L229">
        <f t="shared" si="207"/>
        <v>39.1721</v>
      </c>
    </row>
    <row r="230" spans="2:12">
      <c r="B230" s="1">
        <v>48868</v>
      </c>
      <c r="C230" t="s">
        <v>24</v>
      </c>
      <c r="D230">
        <v>13.1</v>
      </c>
      <c r="E230">
        <v>50.4</v>
      </c>
      <c r="F230">
        <f t="shared" si="203"/>
        <v>6.6024000000000003</v>
      </c>
      <c r="G230">
        <f t="shared" ref="G230" si="240">D227+D228+D229+D230</f>
        <v>54.7</v>
      </c>
      <c r="H230">
        <f t="shared" si="202"/>
        <v>2033</v>
      </c>
      <c r="I230">
        <v>1</v>
      </c>
      <c r="J230">
        <f t="shared" si="205"/>
        <v>45.774500000000003</v>
      </c>
      <c r="K230">
        <f t="shared" si="206"/>
        <v>0</v>
      </c>
      <c r="L230">
        <f t="shared" si="207"/>
        <v>45.774500000000003</v>
      </c>
    </row>
    <row r="231" spans="2:12">
      <c r="B231" s="1">
        <v>48869</v>
      </c>
      <c r="C231" t="s">
        <v>26</v>
      </c>
      <c r="D231">
        <v>24.8</v>
      </c>
      <c r="E231">
        <v>7.9</v>
      </c>
      <c r="F231">
        <f t="shared" si="203"/>
        <v>1.9592000000000001</v>
      </c>
      <c r="G231">
        <f t="shared" ref="G231" si="241">D227+D228+D229+D230+D231</f>
        <v>79.5</v>
      </c>
      <c r="H231">
        <f t="shared" si="202"/>
        <v>2033</v>
      </c>
      <c r="I231">
        <v>1</v>
      </c>
      <c r="J231">
        <f t="shared" si="205"/>
        <v>47.733700000000006</v>
      </c>
      <c r="K231">
        <f t="shared" si="206"/>
        <v>0</v>
      </c>
      <c r="L231">
        <f t="shared" si="207"/>
        <v>47.733700000000006</v>
      </c>
    </row>
    <row r="232" spans="2:12">
      <c r="B232" s="1">
        <v>48870</v>
      </c>
      <c r="C232" t="s">
        <v>25</v>
      </c>
      <c r="D232">
        <v>23.6</v>
      </c>
      <c r="E232">
        <v>0.8</v>
      </c>
      <c r="F232">
        <f t="shared" si="203"/>
        <v>0</v>
      </c>
      <c r="G232">
        <f t="shared" ref="G232" si="242">D227+D228+D229+D230+D231+D232</f>
        <v>103.1</v>
      </c>
      <c r="H232">
        <f t="shared" si="202"/>
        <v>2033</v>
      </c>
      <c r="I232">
        <v>1</v>
      </c>
      <c r="J232">
        <f t="shared" si="205"/>
        <v>47.733700000000006</v>
      </c>
      <c r="K232">
        <f t="shared" si="206"/>
        <v>0</v>
      </c>
      <c r="L232">
        <f t="shared" si="207"/>
        <v>47.733700000000006</v>
      </c>
    </row>
    <row r="233" spans="2:12">
      <c r="B233" s="1">
        <v>48871</v>
      </c>
      <c r="C233" t="s">
        <v>42</v>
      </c>
      <c r="D233">
        <v>17.899999999999999</v>
      </c>
      <c r="E233">
        <v>0</v>
      </c>
      <c r="F233">
        <f t="shared" si="203"/>
        <v>0</v>
      </c>
      <c r="G233">
        <f t="shared" ref="G233" si="243">D227+D228+D229+D230+D231+D232+D233</f>
        <v>121</v>
      </c>
      <c r="H233">
        <f t="shared" si="202"/>
        <v>2033</v>
      </c>
      <c r="I233">
        <v>1</v>
      </c>
      <c r="J233">
        <f t="shared" si="205"/>
        <v>47.733700000000006</v>
      </c>
      <c r="K233">
        <f t="shared" si="206"/>
        <v>0</v>
      </c>
      <c r="L233">
        <f t="shared" si="207"/>
        <v>47.733700000000006</v>
      </c>
    </row>
    <row r="234" spans="2:12">
      <c r="B234" s="1">
        <v>48872</v>
      </c>
      <c r="C234" t="s">
        <v>26</v>
      </c>
      <c r="D234">
        <v>23.2</v>
      </c>
      <c r="E234">
        <v>3</v>
      </c>
      <c r="F234">
        <f t="shared" si="203"/>
        <v>0.69599999999999995</v>
      </c>
      <c r="G234">
        <f t="shared" ref="G234:G297" si="244">D234</f>
        <v>23.2</v>
      </c>
      <c r="H234">
        <f t="shared" si="202"/>
        <v>2033</v>
      </c>
      <c r="I234">
        <v>1</v>
      </c>
      <c r="J234">
        <f t="shared" si="205"/>
        <v>48.429700000000004</v>
      </c>
      <c r="K234">
        <f t="shared" si="206"/>
        <v>0</v>
      </c>
      <c r="L234">
        <f t="shared" si="207"/>
        <v>48.429700000000004</v>
      </c>
    </row>
    <row r="235" spans="2:12">
      <c r="B235" s="1">
        <v>48873</v>
      </c>
      <c r="C235" t="s">
        <v>19</v>
      </c>
      <c r="D235">
        <v>21.8</v>
      </c>
      <c r="E235">
        <v>2</v>
      </c>
      <c r="F235">
        <f t="shared" si="203"/>
        <v>0.436</v>
      </c>
      <c r="G235">
        <f t="shared" ref="G235:G298" si="245">D234+D235</f>
        <v>45</v>
      </c>
      <c r="H235">
        <f t="shared" si="202"/>
        <v>2033</v>
      </c>
      <c r="I235">
        <v>1</v>
      </c>
      <c r="J235">
        <f t="shared" si="205"/>
        <v>48.865700000000004</v>
      </c>
      <c r="K235">
        <f t="shared" si="206"/>
        <v>0</v>
      </c>
      <c r="L235">
        <f t="shared" si="207"/>
        <v>48.865700000000004</v>
      </c>
    </row>
    <row r="236" spans="2:12">
      <c r="B236" s="1">
        <v>48874</v>
      </c>
      <c r="C236" t="s">
        <v>36</v>
      </c>
      <c r="D236">
        <v>22.2</v>
      </c>
      <c r="E236">
        <v>3.1</v>
      </c>
      <c r="F236">
        <f t="shared" si="203"/>
        <v>0.68819999999999992</v>
      </c>
      <c r="G236">
        <f t="shared" ref="G236" si="246">D234+D235+D236</f>
        <v>67.2</v>
      </c>
      <c r="H236">
        <f t="shared" si="202"/>
        <v>2033</v>
      </c>
      <c r="I236">
        <v>1</v>
      </c>
      <c r="J236">
        <f t="shared" si="205"/>
        <v>49.553900000000006</v>
      </c>
      <c r="K236">
        <f t="shared" si="206"/>
        <v>0</v>
      </c>
      <c r="L236">
        <f t="shared" si="207"/>
        <v>49.553900000000006</v>
      </c>
    </row>
    <row r="237" spans="2:12">
      <c r="B237" s="1">
        <v>48875</v>
      </c>
      <c r="C237" t="s">
        <v>32</v>
      </c>
      <c r="D237">
        <v>29</v>
      </c>
      <c r="E237">
        <v>16.399999999999999</v>
      </c>
      <c r="F237">
        <f t="shared" si="203"/>
        <v>4.7559999999999993</v>
      </c>
      <c r="G237">
        <f t="shared" ref="G237" si="247">D234+D235+D236+D237</f>
        <v>96.2</v>
      </c>
      <c r="H237">
        <f t="shared" si="202"/>
        <v>2033</v>
      </c>
      <c r="I237">
        <v>1</v>
      </c>
      <c r="J237">
        <f t="shared" si="205"/>
        <v>54.309900000000006</v>
      </c>
      <c r="K237">
        <f t="shared" si="206"/>
        <v>0</v>
      </c>
      <c r="L237">
        <f t="shared" si="207"/>
        <v>54.309900000000006</v>
      </c>
    </row>
    <row r="238" spans="2:12">
      <c r="B238" s="1">
        <v>48876</v>
      </c>
      <c r="C238" t="s">
        <v>37</v>
      </c>
      <c r="D238">
        <v>24.6</v>
      </c>
      <c r="E238">
        <v>1.7</v>
      </c>
      <c r="F238">
        <f t="shared" si="203"/>
        <v>0.41820000000000002</v>
      </c>
      <c r="G238">
        <f t="shared" ref="G238" si="248">D234+D235+D236+D237+D238</f>
        <v>120.80000000000001</v>
      </c>
      <c r="H238">
        <f t="shared" si="202"/>
        <v>2033</v>
      </c>
      <c r="I238">
        <v>1</v>
      </c>
      <c r="J238">
        <f t="shared" si="205"/>
        <v>54.728100000000005</v>
      </c>
      <c r="K238">
        <f t="shared" si="206"/>
        <v>0</v>
      </c>
      <c r="L238">
        <f t="shared" si="207"/>
        <v>54.728100000000005</v>
      </c>
    </row>
    <row r="239" spans="2:12">
      <c r="B239" s="1">
        <v>48877</v>
      </c>
      <c r="C239" t="s">
        <v>26</v>
      </c>
      <c r="D239">
        <v>23.4</v>
      </c>
      <c r="E239">
        <v>0.6</v>
      </c>
      <c r="F239">
        <f t="shared" si="203"/>
        <v>0</v>
      </c>
      <c r="G239">
        <f t="shared" ref="G239" si="249">D234+D235+D236+D237+D238+D239</f>
        <v>144.20000000000002</v>
      </c>
      <c r="H239">
        <f t="shared" si="202"/>
        <v>2033</v>
      </c>
      <c r="I239">
        <v>1</v>
      </c>
      <c r="J239">
        <f t="shared" si="205"/>
        <v>54.728100000000005</v>
      </c>
      <c r="K239">
        <f t="shared" si="206"/>
        <v>0</v>
      </c>
      <c r="L239">
        <f t="shared" si="207"/>
        <v>54.728100000000005</v>
      </c>
    </row>
    <row r="240" spans="2:12">
      <c r="B240" s="1">
        <v>48878</v>
      </c>
      <c r="C240" t="s">
        <v>32</v>
      </c>
      <c r="D240">
        <v>21</v>
      </c>
      <c r="E240">
        <v>0</v>
      </c>
      <c r="F240">
        <f t="shared" si="203"/>
        <v>0</v>
      </c>
      <c r="G240">
        <f t="shared" ref="G240" si="250">D234+D235+D236+D237+D238+D239+D240</f>
        <v>165.20000000000002</v>
      </c>
      <c r="H240">
        <f t="shared" si="202"/>
        <v>2033</v>
      </c>
      <c r="I240">
        <v>1</v>
      </c>
      <c r="J240">
        <f t="shared" si="205"/>
        <v>54.728100000000005</v>
      </c>
      <c r="K240">
        <f t="shared" si="206"/>
        <v>0</v>
      </c>
      <c r="L240">
        <f t="shared" si="207"/>
        <v>54.728100000000005</v>
      </c>
    </row>
    <row r="241" spans="2:12">
      <c r="B241" s="1">
        <v>48879</v>
      </c>
      <c r="C241" t="s">
        <v>15</v>
      </c>
      <c r="D241">
        <v>22</v>
      </c>
      <c r="E241">
        <v>0</v>
      </c>
      <c r="F241">
        <f t="shared" si="203"/>
        <v>0</v>
      </c>
      <c r="G241">
        <f t="shared" ref="G241:G304" si="251">D241</f>
        <v>22</v>
      </c>
      <c r="H241">
        <f t="shared" si="202"/>
        <v>2033</v>
      </c>
      <c r="I241">
        <v>1</v>
      </c>
      <c r="J241">
        <f t="shared" si="205"/>
        <v>54.728100000000005</v>
      </c>
      <c r="K241">
        <f t="shared" si="206"/>
        <v>0</v>
      </c>
      <c r="L241">
        <f t="shared" si="207"/>
        <v>54.728100000000005</v>
      </c>
    </row>
    <row r="242" spans="2:12">
      <c r="B242" s="1">
        <v>48880</v>
      </c>
      <c r="C242" t="s">
        <v>21</v>
      </c>
      <c r="D242">
        <v>29.9</v>
      </c>
      <c r="E242">
        <v>8</v>
      </c>
      <c r="F242">
        <f t="shared" si="203"/>
        <v>2.3919999999999999</v>
      </c>
      <c r="G242">
        <f t="shared" ref="G242:G305" si="252">D241+D242</f>
        <v>51.9</v>
      </c>
      <c r="H242">
        <f t="shared" si="202"/>
        <v>2033</v>
      </c>
      <c r="I242">
        <v>1</v>
      </c>
      <c r="J242">
        <f t="shared" si="205"/>
        <v>57.120100000000008</v>
      </c>
      <c r="K242">
        <f t="shared" si="206"/>
        <v>0</v>
      </c>
      <c r="L242">
        <f t="shared" si="207"/>
        <v>57.120100000000008</v>
      </c>
    </row>
    <row r="243" spans="2:12">
      <c r="B243" s="1">
        <v>48881</v>
      </c>
      <c r="C243" t="s">
        <v>18</v>
      </c>
      <c r="D243">
        <v>27.2</v>
      </c>
      <c r="E243">
        <v>19.2</v>
      </c>
      <c r="F243">
        <f t="shared" si="203"/>
        <v>5.2224000000000004</v>
      </c>
      <c r="G243">
        <f t="shared" ref="G243" si="253">D241+D242+D243</f>
        <v>79.099999999999994</v>
      </c>
      <c r="H243">
        <f t="shared" si="202"/>
        <v>2033</v>
      </c>
      <c r="I243">
        <v>1</v>
      </c>
      <c r="J243">
        <f t="shared" si="205"/>
        <v>62.342500000000008</v>
      </c>
      <c r="K243">
        <f t="shared" si="206"/>
        <v>0</v>
      </c>
      <c r="L243">
        <f t="shared" si="207"/>
        <v>62.342500000000008</v>
      </c>
    </row>
    <row r="244" spans="2:12">
      <c r="B244" s="1">
        <v>48882</v>
      </c>
      <c r="C244" t="s">
        <v>50</v>
      </c>
      <c r="D244">
        <v>10.9</v>
      </c>
      <c r="E244">
        <v>9</v>
      </c>
      <c r="F244">
        <f t="shared" si="203"/>
        <v>0.98100000000000009</v>
      </c>
      <c r="G244">
        <f t="shared" ref="G244" si="254">D241+D242+D243+D244</f>
        <v>90</v>
      </c>
      <c r="H244">
        <f t="shared" si="202"/>
        <v>2033</v>
      </c>
      <c r="I244">
        <v>1</v>
      </c>
      <c r="J244">
        <f t="shared" si="205"/>
        <v>63.32350000000001</v>
      </c>
      <c r="K244">
        <f t="shared" si="206"/>
        <v>0</v>
      </c>
      <c r="L244">
        <f t="shared" si="207"/>
        <v>63.32350000000001</v>
      </c>
    </row>
    <row r="245" spans="2:12">
      <c r="B245" s="1">
        <v>48883</v>
      </c>
      <c r="C245" t="s">
        <v>21</v>
      </c>
      <c r="D245">
        <v>22.6</v>
      </c>
      <c r="E245">
        <v>5.9</v>
      </c>
      <c r="F245">
        <f t="shared" si="203"/>
        <v>1.3334000000000001</v>
      </c>
      <c r="G245">
        <f t="shared" ref="G245" si="255">D241+D242+D243+D244+D245</f>
        <v>112.6</v>
      </c>
      <c r="H245">
        <f t="shared" si="202"/>
        <v>2033</v>
      </c>
      <c r="I245">
        <v>1</v>
      </c>
      <c r="J245">
        <f t="shared" si="205"/>
        <v>64.656900000000007</v>
      </c>
      <c r="K245">
        <f t="shared" si="206"/>
        <v>0</v>
      </c>
      <c r="L245">
        <f t="shared" si="207"/>
        <v>64.656900000000007</v>
      </c>
    </row>
    <row r="246" spans="2:12">
      <c r="B246" s="1">
        <v>48884</v>
      </c>
      <c r="C246" t="s">
        <v>35</v>
      </c>
      <c r="D246">
        <v>12</v>
      </c>
      <c r="E246">
        <v>3.9</v>
      </c>
      <c r="F246">
        <f t="shared" si="203"/>
        <v>0.46799999999999997</v>
      </c>
      <c r="G246">
        <f t="shared" ref="G246" si="256">D241+D242+D243+D244+D245+D246</f>
        <v>124.6</v>
      </c>
      <c r="H246">
        <f t="shared" si="202"/>
        <v>2033</v>
      </c>
      <c r="I246">
        <v>1</v>
      </c>
      <c r="J246">
        <f t="shared" si="205"/>
        <v>65.124900000000011</v>
      </c>
      <c r="K246">
        <f t="shared" si="206"/>
        <v>0</v>
      </c>
      <c r="L246">
        <f t="shared" si="207"/>
        <v>65.124900000000011</v>
      </c>
    </row>
    <row r="247" spans="2:12">
      <c r="B247" s="1">
        <v>48885</v>
      </c>
      <c r="C247" t="s">
        <v>32</v>
      </c>
      <c r="D247">
        <v>19.5</v>
      </c>
      <c r="E247">
        <v>14.2</v>
      </c>
      <c r="F247">
        <f t="shared" si="203"/>
        <v>2.7689999999999997</v>
      </c>
      <c r="G247">
        <f t="shared" ref="G247" si="257">D241+D242+D243+D244+D245+D246+D247</f>
        <v>144.1</v>
      </c>
      <c r="H247">
        <f t="shared" si="202"/>
        <v>2033</v>
      </c>
      <c r="I247">
        <v>1</v>
      </c>
      <c r="J247">
        <f t="shared" si="205"/>
        <v>67.893900000000016</v>
      </c>
      <c r="K247">
        <f t="shared" si="206"/>
        <v>0</v>
      </c>
      <c r="L247">
        <f t="shared" si="207"/>
        <v>67.893900000000016</v>
      </c>
    </row>
    <row r="248" spans="2:12">
      <c r="B248" s="1">
        <v>48886</v>
      </c>
      <c r="C248" t="s">
        <v>24</v>
      </c>
      <c r="D248">
        <v>27</v>
      </c>
      <c r="E248">
        <v>10.9</v>
      </c>
      <c r="F248">
        <f t="shared" si="203"/>
        <v>2.9430000000000001</v>
      </c>
      <c r="G248">
        <f t="shared" ref="G248:G311" si="258">D248</f>
        <v>27</v>
      </c>
      <c r="H248">
        <f t="shared" si="202"/>
        <v>2033</v>
      </c>
      <c r="I248">
        <v>1</v>
      </c>
      <c r="J248">
        <f t="shared" si="205"/>
        <v>70.836900000000014</v>
      </c>
      <c r="K248">
        <f t="shared" si="206"/>
        <v>0</v>
      </c>
      <c r="L248">
        <f t="shared" si="207"/>
        <v>70.836900000000014</v>
      </c>
    </row>
    <row r="249" spans="2:12">
      <c r="B249" s="1">
        <v>48887</v>
      </c>
      <c r="C249" t="s">
        <v>43</v>
      </c>
      <c r="D249">
        <v>10.7</v>
      </c>
      <c r="E249">
        <v>5.6</v>
      </c>
      <c r="F249">
        <f t="shared" si="203"/>
        <v>0.59919999999999995</v>
      </c>
      <c r="G249">
        <f t="shared" ref="G249:G312" si="259">D248+D249</f>
        <v>37.700000000000003</v>
      </c>
      <c r="H249">
        <f t="shared" si="202"/>
        <v>2033</v>
      </c>
      <c r="I249">
        <v>1</v>
      </c>
      <c r="J249">
        <f t="shared" si="205"/>
        <v>71.43610000000001</v>
      </c>
      <c r="K249">
        <f t="shared" si="206"/>
        <v>0</v>
      </c>
      <c r="L249">
        <f t="shared" si="207"/>
        <v>71.43610000000001</v>
      </c>
    </row>
    <row r="250" spans="2:12">
      <c r="B250" s="1">
        <v>48888</v>
      </c>
      <c r="C250" t="s">
        <v>50</v>
      </c>
      <c r="D250">
        <v>29.1</v>
      </c>
      <c r="E250">
        <v>0</v>
      </c>
      <c r="F250">
        <f t="shared" si="203"/>
        <v>0</v>
      </c>
      <c r="G250">
        <f t="shared" ref="G250" si="260">D248+D249+D250</f>
        <v>66.800000000000011</v>
      </c>
      <c r="H250">
        <f t="shared" si="202"/>
        <v>2033</v>
      </c>
      <c r="I250">
        <v>1</v>
      </c>
      <c r="J250">
        <f t="shared" si="205"/>
        <v>71.43610000000001</v>
      </c>
      <c r="K250">
        <f t="shared" si="206"/>
        <v>0</v>
      </c>
      <c r="L250">
        <f t="shared" si="207"/>
        <v>71.43610000000001</v>
      </c>
    </row>
    <row r="251" spans="2:12">
      <c r="B251" s="1">
        <v>48889</v>
      </c>
      <c r="C251" t="s">
        <v>38</v>
      </c>
      <c r="D251">
        <v>25.3</v>
      </c>
      <c r="E251">
        <v>0</v>
      </c>
      <c r="F251">
        <f t="shared" si="203"/>
        <v>0</v>
      </c>
      <c r="G251">
        <f t="shared" ref="G251" si="261">D248+D249+D250+D251</f>
        <v>92.100000000000009</v>
      </c>
      <c r="H251">
        <f t="shared" si="202"/>
        <v>2033</v>
      </c>
      <c r="I251">
        <v>1</v>
      </c>
      <c r="J251">
        <f t="shared" si="205"/>
        <v>71.43610000000001</v>
      </c>
      <c r="K251">
        <f t="shared" si="206"/>
        <v>0</v>
      </c>
      <c r="L251">
        <f t="shared" si="207"/>
        <v>71.43610000000001</v>
      </c>
    </row>
    <row r="252" spans="2:12">
      <c r="B252" s="1">
        <v>48890</v>
      </c>
      <c r="C252" t="s">
        <v>17</v>
      </c>
      <c r="D252">
        <v>13.3</v>
      </c>
      <c r="E252">
        <v>4.4000000000000004</v>
      </c>
      <c r="F252">
        <f t="shared" si="203"/>
        <v>0.58520000000000005</v>
      </c>
      <c r="G252">
        <f t="shared" ref="G252" si="262">D248+D249+D250+D251+D252</f>
        <v>105.4</v>
      </c>
      <c r="H252">
        <f t="shared" si="202"/>
        <v>2033</v>
      </c>
      <c r="I252">
        <v>1</v>
      </c>
      <c r="J252">
        <f t="shared" si="205"/>
        <v>72.021300000000011</v>
      </c>
      <c r="K252">
        <f t="shared" si="206"/>
        <v>0</v>
      </c>
      <c r="L252">
        <f t="shared" si="207"/>
        <v>72.021300000000011</v>
      </c>
    </row>
    <row r="253" spans="2:12">
      <c r="B253" s="1">
        <v>48891</v>
      </c>
      <c r="C253" t="s">
        <v>18</v>
      </c>
      <c r="D253">
        <v>16.899999999999999</v>
      </c>
      <c r="E253">
        <v>0</v>
      </c>
      <c r="F253">
        <f t="shared" si="203"/>
        <v>0</v>
      </c>
      <c r="G253">
        <f t="shared" ref="G253" si="263">D248+D249+D250+D251+D252+D253</f>
        <v>122.30000000000001</v>
      </c>
      <c r="H253">
        <f t="shared" si="202"/>
        <v>2033</v>
      </c>
      <c r="I253">
        <v>1</v>
      </c>
      <c r="J253">
        <f t="shared" si="205"/>
        <v>72.021300000000011</v>
      </c>
      <c r="K253">
        <f t="shared" si="206"/>
        <v>0</v>
      </c>
      <c r="L253">
        <f t="shared" si="207"/>
        <v>72.021300000000011</v>
      </c>
    </row>
    <row r="254" spans="2:12">
      <c r="B254" s="1">
        <v>48892</v>
      </c>
      <c r="C254" t="s">
        <v>32</v>
      </c>
      <c r="D254">
        <v>26.4</v>
      </c>
      <c r="E254">
        <v>6.8</v>
      </c>
      <c r="F254">
        <f t="shared" si="203"/>
        <v>1.7951999999999999</v>
      </c>
      <c r="G254">
        <f t="shared" ref="G254" si="264">D248+D249+D250+D251+D252+D253+D254</f>
        <v>148.70000000000002</v>
      </c>
      <c r="H254">
        <f t="shared" si="202"/>
        <v>2033</v>
      </c>
      <c r="I254">
        <v>1</v>
      </c>
      <c r="J254">
        <f t="shared" si="205"/>
        <v>73.816500000000005</v>
      </c>
      <c r="K254">
        <f t="shared" si="206"/>
        <v>0</v>
      </c>
      <c r="L254">
        <f t="shared" si="207"/>
        <v>73.816500000000005</v>
      </c>
    </row>
    <row r="255" spans="2:12">
      <c r="B255" s="1">
        <v>48893</v>
      </c>
      <c r="C255" t="s">
        <v>31</v>
      </c>
      <c r="D255">
        <v>29.7</v>
      </c>
      <c r="E255">
        <v>0</v>
      </c>
      <c r="F255">
        <f t="shared" si="203"/>
        <v>0</v>
      </c>
      <c r="G255">
        <f t="shared" ref="G255:G318" si="265">D255</f>
        <v>29.7</v>
      </c>
      <c r="H255">
        <f t="shared" si="202"/>
        <v>2033</v>
      </c>
      <c r="I255">
        <v>1</v>
      </c>
      <c r="J255">
        <f t="shared" si="205"/>
        <v>73.816500000000005</v>
      </c>
      <c r="K255">
        <f t="shared" si="206"/>
        <v>0</v>
      </c>
      <c r="L255">
        <f t="shared" si="207"/>
        <v>73.816500000000005</v>
      </c>
    </row>
    <row r="256" spans="2:12">
      <c r="B256" s="1">
        <v>48894</v>
      </c>
      <c r="C256" t="s">
        <v>18</v>
      </c>
      <c r="D256">
        <v>17.600000000000001</v>
      </c>
      <c r="E256">
        <v>8.6999999999999993</v>
      </c>
      <c r="F256">
        <f t="shared" si="203"/>
        <v>1.5312000000000001</v>
      </c>
      <c r="G256">
        <f t="shared" ref="G256:G319" si="266">D255+D256</f>
        <v>47.3</v>
      </c>
      <c r="H256">
        <f t="shared" si="202"/>
        <v>2033</v>
      </c>
      <c r="I256">
        <v>1</v>
      </c>
      <c r="J256">
        <f t="shared" si="205"/>
        <v>75.347700000000003</v>
      </c>
      <c r="K256">
        <f t="shared" si="206"/>
        <v>0</v>
      </c>
      <c r="L256">
        <f t="shared" si="207"/>
        <v>75.347700000000003</v>
      </c>
    </row>
    <row r="257" spans="2:12">
      <c r="B257" s="1">
        <v>48895</v>
      </c>
      <c r="C257" t="s">
        <v>42</v>
      </c>
      <c r="D257">
        <v>13.2</v>
      </c>
      <c r="E257">
        <v>3.3</v>
      </c>
      <c r="F257">
        <f t="shared" si="203"/>
        <v>0.43559999999999993</v>
      </c>
      <c r="G257">
        <f t="shared" ref="G257" si="267">D255+D256+D257</f>
        <v>60.5</v>
      </c>
      <c r="H257">
        <f t="shared" si="202"/>
        <v>2033</v>
      </c>
      <c r="I257">
        <v>1</v>
      </c>
      <c r="J257">
        <f t="shared" si="205"/>
        <v>75.783299999999997</v>
      </c>
      <c r="K257">
        <f t="shared" si="206"/>
        <v>0</v>
      </c>
      <c r="L257">
        <f t="shared" si="207"/>
        <v>75.783299999999997</v>
      </c>
    </row>
    <row r="258" spans="2:12">
      <c r="B258" s="1">
        <v>48896</v>
      </c>
      <c r="C258" t="s">
        <v>32</v>
      </c>
      <c r="D258">
        <v>21.2</v>
      </c>
      <c r="E258">
        <v>0</v>
      </c>
      <c r="F258">
        <f t="shared" si="203"/>
        <v>0</v>
      </c>
      <c r="G258">
        <f t="shared" ref="G258" si="268">D255+D256+D257+D258</f>
        <v>81.7</v>
      </c>
      <c r="H258">
        <f t="shared" si="202"/>
        <v>2033</v>
      </c>
      <c r="I258">
        <v>1</v>
      </c>
      <c r="J258">
        <f t="shared" si="205"/>
        <v>75.783299999999997</v>
      </c>
      <c r="K258">
        <f t="shared" si="206"/>
        <v>0</v>
      </c>
      <c r="L258">
        <f t="shared" si="207"/>
        <v>75.783299999999997</v>
      </c>
    </row>
    <row r="259" spans="2:12">
      <c r="B259" s="1">
        <v>48897</v>
      </c>
      <c r="C259" t="s">
        <v>32</v>
      </c>
      <c r="D259">
        <v>23</v>
      </c>
      <c r="E259">
        <v>7.7</v>
      </c>
      <c r="F259">
        <f t="shared" si="203"/>
        <v>1.7709999999999999</v>
      </c>
      <c r="G259">
        <f t="shared" ref="G259" si="269">D255+D256+D257+D258+D259</f>
        <v>104.7</v>
      </c>
      <c r="H259">
        <f t="shared" si="202"/>
        <v>2033</v>
      </c>
      <c r="I259">
        <v>1</v>
      </c>
      <c r="J259">
        <f t="shared" si="205"/>
        <v>77.554299999999998</v>
      </c>
      <c r="K259">
        <f t="shared" si="206"/>
        <v>0</v>
      </c>
      <c r="L259">
        <f t="shared" si="207"/>
        <v>77.554299999999998</v>
      </c>
    </row>
    <row r="260" spans="2:12">
      <c r="B260" s="1">
        <v>48898</v>
      </c>
      <c r="C260" t="s">
        <v>25</v>
      </c>
      <c r="D260">
        <v>23</v>
      </c>
      <c r="E260">
        <v>0</v>
      </c>
      <c r="F260">
        <f t="shared" si="203"/>
        <v>0</v>
      </c>
      <c r="G260">
        <f t="shared" ref="G260" si="270">D255+D256+D257+D258+D259+D260</f>
        <v>127.7</v>
      </c>
      <c r="H260">
        <f t="shared" ref="H260:H323" si="271">YEAR(B260)</f>
        <v>2033</v>
      </c>
      <c r="I260">
        <v>1</v>
      </c>
      <c r="J260">
        <f t="shared" si="205"/>
        <v>77.554299999999998</v>
      </c>
      <c r="K260">
        <f t="shared" si="206"/>
        <v>0</v>
      </c>
      <c r="L260">
        <f t="shared" si="207"/>
        <v>77.554299999999998</v>
      </c>
    </row>
    <row r="261" spans="2:12">
      <c r="B261" s="1">
        <v>48899</v>
      </c>
      <c r="C261" t="s">
        <v>25</v>
      </c>
      <c r="D261">
        <v>23.4</v>
      </c>
      <c r="E261">
        <v>0</v>
      </c>
      <c r="F261">
        <f t="shared" ref="F261:F324" si="272">IF(E261&gt;=1,D261*E261/100,0)</f>
        <v>0</v>
      </c>
      <c r="G261">
        <f t="shared" ref="G261" si="273">D255+D256+D257+D258+D259+D260+D261</f>
        <v>151.1</v>
      </c>
      <c r="H261">
        <f t="shared" si="271"/>
        <v>2033</v>
      </c>
      <c r="I261">
        <v>1</v>
      </c>
      <c r="J261">
        <f t="shared" ref="J261:J324" si="274">L260+F261</f>
        <v>77.554299999999998</v>
      </c>
      <c r="K261">
        <f t="shared" ref="K261:K324" si="275">IF(J261&gt;=100,1,0)</f>
        <v>0</v>
      </c>
      <c r="L261">
        <f t="shared" ref="L261:L324" si="276">IF(K261=1,J261-100,J261)</f>
        <v>77.554299999999998</v>
      </c>
    </row>
    <row r="262" spans="2:12">
      <c r="B262" s="1">
        <v>48900</v>
      </c>
      <c r="C262" t="s">
        <v>18</v>
      </c>
      <c r="D262">
        <v>28.7</v>
      </c>
      <c r="E262">
        <v>3.3</v>
      </c>
      <c r="F262">
        <f t="shared" si="272"/>
        <v>0.94709999999999994</v>
      </c>
      <c r="G262">
        <f t="shared" ref="G262:G325" si="277">D262</f>
        <v>28.7</v>
      </c>
      <c r="H262">
        <f t="shared" si="271"/>
        <v>2033</v>
      </c>
      <c r="I262">
        <v>1</v>
      </c>
      <c r="J262">
        <f t="shared" si="274"/>
        <v>78.501400000000004</v>
      </c>
      <c r="K262">
        <f t="shared" si="275"/>
        <v>0</v>
      </c>
      <c r="L262">
        <f t="shared" si="276"/>
        <v>78.501400000000004</v>
      </c>
    </row>
    <row r="263" spans="2:12">
      <c r="B263" s="1">
        <v>48901</v>
      </c>
      <c r="C263" t="s">
        <v>36</v>
      </c>
      <c r="D263">
        <v>23.6</v>
      </c>
      <c r="E263">
        <v>4.3</v>
      </c>
      <c r="F263">
        <f t="shared" si="272"/>
        <v>1.0148000000000001</v>
      </c>
      <c r="G263">
        <f t="shared" ref="G263:G326" si="278">D262+D263</f>
        <v>52.3</v>
      </c>
      <c r="H263">
        <f t="shared" si="271"/>
        <v>2033</v>
      </c>
      <c r="I263">
        <v>1</v>
      </c>
      <c r="J263">
        <f t="shared" si="274"/>
        <v>79.516199999999998</v>
      </c>
      <c r="K263">
        <f t="shared" si="275"/>
        <v>0</v>
      </c>
      <c r="L263">
        <f t="shared" si="276"/>
        <v>79.516199999999998</v>
      </c>
    </row>
    <row r="264" spans="2:12">
      <c r="B264" s="1">
        <v>48902</v>
      </c>
      <c r="C264" t="s">
        <v>17</v>
      </c>
      <c r="D264">
        <v>10.199999999999999</v>
      </c>
      <c r="E264">
        <v>8.6999999999999993</v>
      </c>
      <c r="F264">
        <f t="shared" si="272"/>
        <v>0.88739999999999986</v>
      </c>
      <c r="G264">
        <f t="shared" ref="G264" si="279">D262+D263+D264</f>
        <v>62.5</v>
      </c>
      <c r="H264">
        <f t="shared" si="271"/>
        <v>2033</v>
      </c>
      <c r="I264">
        <v>1</v>
      </c>
      <c r="J264">
        <f t="shared" si="274"/>
        <v>80.403599999999997</v>
      </c>
      <c r="K264">
        <f t="shared" si="275"/>
        <v>0</v>
      </c>
      <c r="L264">
        <f t="shared" si="276"/>
        <v>80.403599999999997</v>
      </c>
    </row>
    <row r="265" spans="2:12">
      <c r="B265" s="1">
        <v>48903</v>
      </c>
      <c r="C265" t="s">
        <v>21</v>
      </c>
      <c r="D265">
        <v>13.8</v>
      </c>
      <c r="E265">
        <v>0</v>
      </c>
      <c r="F265">
        <f t="shared" si="272"/>
        <v>0</v>
      </c>
      <c r="G265">
        <f t="shared" ref="G265" si="280">D262+D263+D264+D265</f>
        <v>76.3</v>
      </c>
      <c r="H265">
        <f t="shared" si="271"/>
        <v>2033</v>
      </c>
      <c r="I265">
        <v>1</v>
      </c>
      <c r="J265">
        <f t="shared" si="274"/>
        <v>80.403599999999997</v>
      </c>
      <c r="K265">
        <f t="shared" si="275"/>
        <v>0</v>
      </c>
      <c r="L265">
        <f t="shared" si="276"/>
        <v>80.403599999999997</v>
      </c>
    </row>
    <row r="266" spans="2:12">
      <c r="B266" s="1">
        <v>48904</v>
      </c>
      <c r="C266" t="s">
        <v>19</v>
      </c>
      <c r="D266">
        <v>27.7</v>
      </c>
      <c r="E266">
        <v>0</v>
      </c>
      <c r="F266">
        <f t="shared" si="272"/>
        <v>0</v>
      </c>
      <c r="G266">
        <f t="shared" ref="G266" si="281">D262+D263+D264+D265+D266</f>
        <v>104</v>
      </c>
      <c r="H266">
        <f t="shared" si="271"/>
        <v>2033</v>
      </c>
      <c r="I266">
        <v>1</v>
      </c>
      <c r="J266">
        <f t="shared" si="274"/>
        <v>80.403599999999997</v>
      </c>
      <c r="K266">
        <f t="shared" si="275"/>
        <v>0</v>
      </c>
      <c r="L266">
        <f t="shared" si="276"/>
        <v>80.403599999999997</v>
      </c>
    </row>
    <row r="267" spans="2:12">
      <c r="B267" s="1">
        <v>48905</v>
      </c>
      <c r="C267" t="s">
        <v>18</v>
      </c>
      <c r="D267">
        <v>13.3</v>
      </c>
      <c r="E267">
        <v>7.2</v>
      </c>
      <c r="F267">
        <f t="shared" si="272"/>
        <v>0.95760000000000001</v>
      </c>
      <c r="G267">
        <f t="shared" ref="G267" si="282">D262+D263+D264+D265+D266+D267</f>
        <v>117.3</v>
      </c>
      <c r="H267">
        <f t="shared" si="271"/>
        <v>2033</v>
      </c>
      <c r="I267">
        <v>1</v>
      </c>
      <c r="J267">
        <f t="shared" si="274"/>
        <v>81.361199999999997</v>
      </c>
      <c r="K267">
        <f t="shared" si="275"/>
        <v>0</v>
      </c>
      <c r="L267">
        <f t="shared" si="276"/>
        <v>81.361199999999997</v>
      </c>
    </row>
    <row r="268" spans="2:12">
      <c r="B268" s="1">
        <v>48906</v>
      </c>
      <c r="C268" t="s">
        <v>25</v>
      </c>
      <c r="D268">
        <v>26</v>
      </c>
      <c r="E268">
        <v>0.7</v>
      </c>
      <c r="F268">
        <f t="shared" si="272"/>
        <v>0</v>
      </c>
      <c r="G268">
        <f t="shared" ref="G268" si="283">D262+D263+D264+D265+D266+D267+D268</f>
        <v>143.30000000000001</v>
      </c>
      <c r="H268">
        <f t="shared" si="271"/>
        <v>2033</v>
      </c>
      <c r="I268">
        <v>1</v>
      </c>
      <c r="J268">
        <f t="shared" si="274"/>
        <v>81.361199999999997</v>
      </c>
      <c r="K268">
        <f t="shared" si="275"/>
        <v>0</v>
      </c>
      <c r="L268">
        <f t="shared" si="276"/>
        <v>81.361199999999997</v>
      </c>
    </row>
    <row r="269" spans="2:12">
      <c r="B269" s="1">
        <v>48907</v>
      </c>
      <c r="C269" t="s">
        <v>17</v>
      </c>
      <c r="D269">
        <v>16.3</v>
      </c>
      <c r="E269">
        <v>11</v>
      </c>
      <c r="F269">
        <f t="shared" si="272"/>
        <v>1.7930000000000001</v>
      </c>
      <c r="G269">
        <f t="shared" ref="G269:G332" si="284">D269</f>
        <v>16.3</v>
      </c>
      <c r="H269">
        <f t="shared" si="271"/>
        <v>2033</v>
      </c>
      <c r="I269">
        <v>1</v>
      </c>
      <c r="J269">
        <f t="shared" si="274"/>
        <v>83.154200000000003</v>
      </c>
      <c r="K269">
        <f t="shared" si="275"/>
        <v>0</v>
      </c>
      <c r="L269">
        <f t="shared" si="276"/>
        <v>83.154200000000003</v>
      </c>
    </row>
    <row r="270" spans="2:12">
      <c r="B270" s="1">
        <v>48908</v>
      </c>
      <c r="C270" t="s">
        <v>32</v>
      </c>
      <c r="D270">
        <v>23.5</v>
      </c>
      <c r="E270">
        <v>15.5</v>
      </c>
      <c r="F270">
        <f t="shared" si="272"/>
        <v>3.6425000000000001</v>
      </c>
      <c r="G270">
        <f t="shared" ref="G270:G333" si="285">D269+D270</f>
        <v>39.799999999999997</v>
      </c>
      <c r="H270">
        <f t="shared" si="271"/>
        <v>2033</v>
      </c>
      <c r="I270">
        <v>1</v>
      </c>
      <c r="J270">
        <f t="shared" si="274"/>
        <v>86.796700000000001</v>
      </c>
      <c r="K270">
        <f t="shared" si="275"/>
        <v>0</v>
      </c>
      <c r="L270">
        <f t="shared" si="276"/>
        <v>86.796700000000001</v>
      </c>
    </row>
    <row r="271" spans="2:12">
      <c r="B271" s="1">
        <v>48909</v>
      </c>
      <c r="C271" t="s">
        <v>38</v>
      </c>
      <c r="D271">
        <v>15.7</v>
      </c>
      <c r="E271">
        <v>0</v>
      </c>
      <c r="F271">
        <f t="shared" si="272"/>
        <v>0</v>
      </c>
      <c r="G271">
        <f t="shared" ref="G271" si="286">D269+D270+D271</f>
        <v>55.5</v>
      </c>
      <c r="H271">
        <f t="shared" si="271"/>
        <v>2033</v>
      </c>
      <c r="I271">
        <v>1</v>
      </c>
      <c r="J271">
        <f t="shared" si="274"/>
        <v>86.796700000000001</v>
      </c>
      <c r="K271">
        <f t="shared" si="275"/>
        <v>0</v>
      </c>
      <c r="L271">
        <f t="shared" si="276"/>
        <v>86.796700000000001</v>
      </c>
    </row>
    <row r="272" spans="2:12">
      <c r="B272" s="1">
        <v>48910</v>
      </c>
      <c r="C272" t="s">
        <v>36</v>
      </c>
      <c r="D272">
        <v>26</v>
      </c>
      <c r="E272">
        <v>6.4</v>
      </c>
      <c r="F272">
        <f t="shared" si="272"/>
        <v>1.6640000000000001</v>
      </c>
      <c r="G272">
        <f t="shared" ref="G272" si="287">D269+D270+D271+D272</f>
        <v>81.5</v>
      </c>
      <c r="H272">
        <f t="shared" si="271"/>
        <v>2033</v>
      </c>
      <c r="I272">
        <v>1</v>
      </c>
      <c r="J272">
        <f t="shared" si="274"/>
        <v>88.460700000000003</v>
      </c>
      <c r="K272">
        <f t="shared" si="275"/>
        <v>0</v>
      </c>
      <c r="L272">
        <f t="shared" si="276"/>
        <v>88.460700000000003</v>
      </c>
    </row>
    <row r="273" spans="2:12">
      <c r="B273" s="1">
        <v>48911</v>
      </c>
      <c r="C273" t="s">
        <v>50</v>
      </c>
      <c r="D273">
        <v>22.7</v>
      </c>
      <c r="E273">
        <v>0</v>
      </c>
      <c r="F273">
        <f t="shared" si="272"/>
        <v>0</v>
      </c>
      <c r="G273">
        <f t="shared" ref="G273" si="288">D269+D270+D271+D272+D273</f>
        <v>104.2</v>
      </c>
      <c r="H273">
        <f t="shared" si="271"/>
        <v>2033</v>
      </c>
      <c r="I273">
        <v>1</v>
      </c>
      <c r="J273">
        <f t="shared" si="274"/>
        <v>88.460700000000003</v>
      </c>
      <c r="K273">
        <f t="shared" si="275"/>
        <v>0</v>
      </c>
      <c r="L273">
        <f t="shared" si="276"/>
        <v>88.460700000000003</v>
      </c>
    </row>
    <row r="274" spans="2:12">
      <c r="B274" s="1">
        <v>48912</v>
      </c>
      <c r="C274" t="s">
        <v>21</v>
      </c>
      <c r="D274">
        <v>26.2</v>
      </c>
      <c r="E274">
        <v>5.7</v>
      </c>
      <c r="F274">
        <f t="shared" si="272"/>
        <v>1.4934000000000001</v>
      </c>
      <c r="G274">
        <f t="shared" ref="G274" si="289">D269+D270+D271+D272+D273+D274</f>
        <v>130.4</v>
      </c>
      <c r="H274">
        <f t="shared" si="271"/>
        <v>2033</v>
      </c>
      <c r="I274">
        <v>1</v>
      </c>
      <c r="J274">
        <f t="shared" si="274"/>
        <v>89.954099999999997</v>
      </c>
      <c r="K274">
        <f t="shared" si="275"/>
        <v>0</v>
      </c>
      <c r="L274">
        <f t="shared" si="276"/>
        <v>89.954099999999997</v>
      </c>
    </row>
    <row r="275" spans="2:12">
      <c r="B275" s="1">
        <v>48913</v>
      </c>
      <c r="C275" t="s">
        <v>43</v>
      </c>
      <c r="D275">
        <v>14.1</v>
      </c>
      <c r="E275">
        <v>0</v>
      </c>
      <c r="F275">
        <f t="shared" si="272"/>
        <v>0</v>
      </c>
      <c r="G275">
        <f t="shared" ref="G275" si="290">D269+D270+D271+D272+D273+D274+D275</f>
        <v>144.5</v>
      </c>
      <c r="H275">
        <f t="shared" si="271"/>
        <v>2033</v>
      </c>
      <c r="I275">
        <v>1</v>
      </c>
      <c r="J275">
        <f t="shared" si="274"/>
        <v>89.954099999999997</v>
      </c>
      <c r="K275">
        <f t="shared" si="275"/>
        <v>0</v>
      </c>
      <c r="L275">
        <f t="shared" si="276"/>
        <v>89.954099999999997</v>
      </c>
    </row>
    <row r="276" spans="2:12">
      <c r="B276" s="1">
        <v>48914</v>
      </c>
      <c r="C276" t="s">
        <v>25</v>
      </c>
      <c r="D276">
        <v>23.6</v>
      </c>
      <c r="E276">
        <v>19.7</v>
      </c>
      <c r="F276">
        <f t="shared" si="272"/>
        <v>4.6492000000000004</v>
      </c>
      <c r="G276">
        <f t="shared" ref="G276:G339" si="291">D276</f>
        <v>23.6</v>
      </c>
      <c r="H276">
        <f t="shared" si="271"/>
        <v>2033</v>
      </c>
      <c r="I276">
        <v>1</v>
      </c>
      <c r="J276">
        <f t="shared" si="274"/>
        <v>94.60329999999999</v>
      </c>
      <c r="K276">
        <f t="shared" si="275"/>
        <v>0</v>
      </c>
      <c r="L276">
        <f t="shared" si="276"/>
        <v>94.60329999999999</v>
      </c>
    </row>
    <row r="277" spans="2:12">
      <c r="B277" s="1">
        <v>48915</v>
      </c>
      <c r="C277" t="s">
        <v>50</v>
      </c>
      <c r="D277">
        <v>25.2</v>
      </c>
      <c r="E277">
        <v>37.200000000000003</v>
      </c>
      <c r="F277">
        <f t="shared" si="272"/>
        <v>9.3744000000000014</v>
      </c>
      <c r="G277">
        <f t="shared" ref="G277:G340" si="292">D276+D277</f>
        <v>48.8</v>
      </c>
      <c r="H277">
        <f t="shared" si="271"/>
        <v>2033</v>
      </c>
      <c r="I277">
        <v>1</v>
      </c>
      <c r="J277">
        <f t="shared" si="274"/>
        <v>103.9777</v>
      </c>
      <c r="K277">
        <f t="shared" si="275"/>
        <v>1</v>
      </c>
      <c r="L277">
        <f t="shared" si="276"/>
        <v>3.9776999999999987</v>
      </c>
    </row>
    <row r="278" spans="2:12">
      <c r="B278" s="1">
        <v>48916</v>
      </c>
      <c r="C278" t="s">
        <v>27</v>
      </c>
      <c r="D278">
        <v>23</v>
      </c>
      <c r="E278">
        <v>0</v>
      </c>
      <c r="F278">
        <f t="shared" si="272"/>
        <v>0</v>
      </c>
      <c r="G278">
        <f t="shared" ref="G278" si="293">D276+D277+D278</f>
        <v>71.8</v>
      </c>
      <c r="H278">
        <f t="shared" si="271"/>
        <v>2033</v>
      </c>
      <c r="I278">
        <v>1</v>
      </c>
      <c r="J278">
        <f t="shared" si="274"/>
        <v>3.9776999999999987</v>
      </c>
      <c r="K278">
        <f t="shared" si="275"/>
        <v>0</v>
      </c>
      <c r="L278">
        <f t="shared" si="276"/>
        <v>3.9776999999999987</v>
      </c>
    </row>
    <row r="279" spans="2:12">
      <c r="B279" s="1">
        <v>48917</v>
      </c>
      <c r="C279" t="s">
        <v>17</v>
      </c>
      <c r="D279">
        <v>29.7</v>
      </c>
      <c r="E279">
        <v>6.8</v>
      </c>
      <c r="F279">
        <f t="shared" si="272"/>
        <v>2.0195999999999996</v>
      </c>
      <c r="G279">
        <f t="shared" ref="G279" si="294">D276+D277+D278+D279</f>
        <v>101.5</v>
      </c>
      <c r="H279">
        <f t="shared" si="271"/>
        <v>2033</v>
      </c>
      <c r="I279">
        <v>1</v>
      </c>
      <c r="J279">
        <f t="shared" si="274"/>
        <v>5.9972999999999983</v>
      </c>
      <c r="K279">
        <f t="shared" si="275"/>
        <v>0</v>
      </c>
      <c r="L279">
        <f t="shared" si="276"/>
        <v>5.9972999999999983</v>
      </c>
    </row>
    <row r="280" spans="2:12">
      <c r="B280" s="1">
        <v>48918</v>
      </c>
      <c r="C280" t="s">
        <v>21</v>
      </c>
      <c r="D280">
        <v>17.2</v>
      </c>
      <c r="E280">
        <v>3.5</v>
      </c>
      <c r="F280">
        <f t="shared" si="272"/>
        <v>0.60199999999999998</v>
      </c>
      <c r="G280">
        <f t="shared" ref="G280" si="295">D276+D277+D278+D279+D280</f>
        <v>118.7</v>
      </c>
      <c r="H280">
        <f t="shared" si="271"/>
        <v>2033</v>
      </c>
      <c r="I280">
        <v>1</v>
      </c>
      <c r="J280">
        <f t="shared" si="274"/>
        <v>6.5992999999999986</v>
      </c>
      <c r="K280">
        <f t="shared" si="275"/>
        <v>0</v>
      </c>
      <c r="L280">
        <f t="shared" si="276"/>
        <v>6.5992999999999986</v>
      </c>
    </row>
    <row r="281" spans="2:12">
      <c r="B281" s="1">
        <v>48919</v>
      </c>
      <c r="C281" t="s">
        <v>21</v>
      </c>
      <c r="D281">
        <v>21.7</v>
      </c>
      <c r="E281">
        <v>2.5</v>
      </c>
      <c r="F281">
        <f t="shared" si="272"/>
        <v>0.54249999999999998</v>
      </c>
      <c r="G281">
        <f t="shared" ref="G281" si="296">D276+D277+D278+D279+D280+D281</f>
        <v>140.4</v>
      </c>
      <c r="H281">
        <f t="shared" si="271"/>
        <v>2033</v>
      </c>
      <c r="I281">
        <v>1</v>
      </c>
      <c r="J281">
        <f t="shared" si="274"/>
        <v>7.1417999999999981</v>
      </c>
      <c r="K281">
        <f t="shared" si="275"/>
        <v>0</v>
      </c>
      <c r="L281">
        <f t="shared" si="276"/>
        <v>7.1417999999999981</v>
      </c>
    </row>
    <row r="282" spans="2:12">
      <c r="B282" s="1">
        <v>48920</v>
      </c>
      <c r="C282" t="s">
        <v>25</v>
      </c>
      <c r="D282">
        <v>25.8</v>
      </c>
      <c r="E282">
        <v>3.8</v>
      </c>
      <c r="F282">
        <f t="shared" si="272"/>
        <v>0.98039999999999994</v>
      </c>
      <c r="G282">
        <f t="shared" ref="G282" si="297">D276+D277+D278+D279+D280+D281+D282</f>
        <v>166.20000000000002</v>
      </c>
      <c r="H282">
        <f t="shared" si="271"/>
        <v>2033</v>
      </c>
      <c r="I282">
        <v>1</v>
      </c>
      <c r="J282">
        <f t="shared" si="274"/>
        <v>8.1221999999999976</v>
      </c>
      <c r="K282">
        <f t="shared" si="275"/>
        <v>0</v>
      </c>
      <c r="L282">
        <f t="shared" si="276"/>
        <v>8.1221999999999976</v>
      </c>
    </row>
    <row r="283" spans="2:12">
      <c r="B283" s="1">
        <v>48921</v>
      </c>
      <c r="C283" t="s">
        <v>36</v>
      </c>
      <c r="D283">
        <v>12.9</v>
      </c>
      <c r="E283">
        <v>1.6</v>
      </c>
      <c r="F283">
        <f t="shared" si="272"/>
        <v>0.2064</v>
      </c>
      <c r="G283">
        <f t="shared" ref="G283:G346" si="298">D283</f>
        <v>12.9</v>
      </c>
      <c r="H283">
        <f t="shared" si="271"/>
        <v>2033</v>
      </c>
      <c r="I283">
        <v>1</v>
      </c>
      <c r="J283">
        <f t="shared" si="274"/>
        <v>8.328599999999998</v>
      </c>
      <c r="K283">
        <f t="shared" si="275"/>
        <v>0</v>
      </c>
      <c r="L283">
        <f t="shared" si="276"/>
        <v>8.328599999999998</v>
      </c>
    </row>
    <row r="284" spans="2:12">
      <c r="B284" s="1">
        <v>48922</v>
      </c>
      <c r="C284" t="s">
        <v>33</v>
      </c>
      <c r="D284">
        <v>18.2</v>
      </c>
      <c r="E284">
        <v>0</v>
      </c>
      <c r="F284">
        <f t="shared" si="272"/>
        <v>0</v>
      </c>
      <c r="G284">
        <f t="shared" ref="G284:G347" si="299">D283+D284</f>
        <v>31.1</v>
      </c>
      <c r="H284">
        <f t="shared" si="271"/>
        <v>2033</v>
      </c>
      <c r="I284">
        <v>1</v>
      </c>
      <c r="J284">
        <f t="shared" si="274"/>
        <v>8.328599999999998</v>
      </c>
      <c r="K284">
        <f t="shared" si="275"/>
        <v>0</v>
      </c>
      <c r="L284">
        <f t="shared" si="276"/>
        <v>8.328599999999998</v>
      </c>
    </row>
    <row r="285" spans="2:12">
      <c r="B285" s="1">
        <v>48923</v>
      </c>
      <c r="C285" t="s">
        <v>24</v>
      </c>
      <c r="D285">
        <v>20</v>
      </c>
      <c r="E285">
        <v>25.7</v>
      </c>
      <c r="F285">
        <f t="shared" si="272"/>
        <v>5.14</v>
      </c>
      <c r="G285">
        <f t="shared" ref="G285" si="300">D283+D284+D285</f>
        <v>51.1</v>
      </c>
      <c r="H285">
        <f t="shared" si="271"/>
        <v>2033</v>
      </c>
      <c r="I285">
        <v>1</v>
      </c>
      <c r="J285">
        <f t="shared" si="274"/>
        <v>13.468599999999999</v>
      </c>
      <c r="K285">
        <f t="shared" si="275"/>
        <v>0</v>
      </c>
      <c r="L285">
        <f t="shared" si="276"/>
        <v>13.468599999999999</v>
      </c>
    </row>
    <row r="286" spans="2:12">
      <c r="B286" s="1">
        <v>48924</v>
      </c>
      <c r="C286" t="s">
        <v>50</v>
      </c>
      <c r="D286">
        <v>17.100000000000001</v>
      </c>
      <c r="E286">
        <v>33</v>
      </c>
      <c r="F286">
        <f t="shared" si="272"/>
        <v>5.6430000000000007</v>
      </c>
      <c r="G286">
        <f t="shared" ref="G286" si="301">D283+D284+D285+D286</f>
        <v>68.2</v>
      </c>
      <c r="H286">
        <f t="shared" si="271"/>
        <v>2033</v>
      </c>
      <c r="I286">
        <v>1</v>
      </c>
      <c r="J286">
        <f t="shared" si="274"/>
        <v>19.111599999999999</v>
      </c>
      <c r="K286">
        <f t="shared" si="275"/>
        <v>0</v>
      </c>
      <c r="L286">
        <f t="shared" si="276"/>
        <v>19.111599999999999</v>
      </c>
    </row>
    <row r="287" spans="2:12">
      <c r="B287" s="1">
        <v>48925</v>
      </c>
      <c r="C287" t="s">
        <v>15</v>
      </c>
      <c r="D287">
        <v>23.2</v>
      </c>
      <c r="E287">
        <v>2.2999999999999998</v>
      </c>
      <c r="F287">
        <f t="shared" si="272"/>
        <v>0.53359999999999996</v>
      </c>
      <c r="G287">
        <f t="shared" ref="G287" si="302">D283+D284+D285+D286+D287</f>
        <v>91.4</v>
      </c>
      <c r="H287">
        <f t="shared" si="271"/>
        <v>2033</v>
      </c>
      <c r="I287">
        <v>1</v>
      </c>
      <c r="J287">
        <f t="shared" si="274"/>
        <v>19.645199999999999</v>
      </c>
      <c r="K287">
        <f t="shared" si="275"/>
        <v>0</v>
      </c>
      <c r="L287">
        <f t="shared" si="276"/>
        <v>19.645199999999999</v>
      </c>
    </row>
    <row r="288" spans="2:12">
      <c r="B288" s="1">
        <v>48926</v>
      </c>
      <c r="C288" t="s">
        <v>32</v>
      </c>
      <c r="D288">
        <v>23.1</v>
      </c>
      <c r="E288">
        <v>2.2000000000000002</v>
      </c>
      <c r="F288">
        <f t="shared" si="272"/>
        <v>0.5082000000000001</v>
      </c>
      <c r="G288">
        <f t="shared" ref="G288" si="303">D283+D284+D285+D286+D287+D288</f>
        <v>114.5</v>
      </c>
      <c r="H288">
        <f t="shared" si="271"/>
        <v>2033</v>
      </c>
      <c r="I288">
        <v>1</v>
      </c>
      <c r="J288">
        <f t="shared" si="274"/>
        <v>20.153399999999998</v>
      </c>
      <c r="K288">
        <f t="shared" si="275"/>
        <v>0</v>
      </c>
      <c r="L288">
        <f t="shared" si="276"/>
        <v>20.153399999999998</v>
      </c>
    </row>
    <row r="289" spans="2:12">
      <c r="B289" s="1">
        <v>48927</v>
      </c>
      <c r="C289" t="s">
        <v>24</v>
      </c>
      <c r="D289">
        <v>22.4</v>
      </c>
      <c r="E289">
        <v>33.5</v>
      </c>
      <c r="F289">
        <f t="shared" si="272"/>
        <v>7.5039999999999996</v>
      </c>
      <c r="G289">
        <f t="shared" ref="G289" si="304">D283+D284+D285+D286+D287+D288+D289</f>
        <v>136.9</v>
      </c>
      <c r="H289">
        <f t="shared" si="271"/>
        <v>2033</v>
      </c>
      <c r="I289">
        <v>1</v>
      </c>
      <c r="J289">
        <f t="shared" si="274"/>
        <v>27.657399999999996</v>
      </c>
      <c r="K289">
        <f t="shared" si="275"/>
        <v>0</v>
      </c>
      <c r="L289">
        <f t="shared" si="276"/>
        <v>27.657399999999996</v>
      </c>
    </row>
    <row r="290" spans="2:12">
      <c r="B290" s="1">
        <v>48928</v>
      </c>
      <c r="C290" t="s">
        <v>48</v>
      </c>
      <c r="D290">
        <v>25.4</v>
      </c>
      <c r="E290">
        <v>0.9</v>
      </c>
      <c r="F290">
        <f t="shared" si="272"/>
        <v>0</v>
      </c>
      <c r="G290">
        <f t="shared" ref="G290:G353" si="305">D290</f>
        <v>25.4</v>
      </c>
      <c r="H290">
        <f t="shared" si="271"/>
        <v>2033</v>
      </c>
      <c r="I290">
        <v>1</v>
      </c>
      <c r="J290">
        <f t="shared" si="274"/>
        <v>27.657399999999996</v>
      </c>
      <c r="K290">
        <f t="shared" si="275"/>
        <v>0</v>
      </c>
      <c r="L290">
        <f t="shared" si="276"/>
        <v>27.657399999999996</v>
      </c>
    </row>
    <row r="291" spans="2:12">
      <c r="B291" s="1">
        <v>48929</v>
      </c>
      <c r="C291" t="s">
        <v>24</v>
      </c>
      <c r="D291">
        <v>15.4</v>
      </c>
      <c r="E291">
        <v>1.6</v>
      </c>
      <c r="F291">
        <f t="shared" si="272"/>
        <v>0.24640000000000001</v>
      </c>
      <c r="G291">
        <f t="shared" ref="G291:G354" si="306">D290+D291</f>
        <v>40.799999999999997</v>
      </c>
      <c r="H291">
        <f t="shared" si="271"/>
        <v>2033</v>
      </c>
      <c r="I291">
        <v>1</v>
      </c>
      <c r="J291">
        <f t="shared" si="274"/>
        <v>27.903799999999997</v>
      </c>
      <c r="K291">
        <f t="shared" si="275"/>
        <v>0</v>
      </c>
      <c r="L291">
        <f t="shared" si="276"/>
        <v>27.903799999999997</v>
      </c>
    </row>
    <row r="292" spans="2:12">
      <c r="B292" s="1">
        <v>48930</v>
      </c>
      <c r="C292" t="s">
        <v>49</v>
      </c>
      <c r="D292">
        <v>23.5</v>
      </c>
      <c r="E292">
        <v>0.6</v>
      </c>
      <c r="F292">
        <f t="shared" si="272"/>
        <v>0</v>
      </c>
      <c r="G292">
        <f t="shared" ref="G292" si="307">D290+D291+D292</f>
        <v>64.3</v>
      </c>
      <c r="H292">
        <f t="shared" si="271"/>
        <v>2033</v>
      </c>
      <c r="I292">
        <v>1</v>
      </c>
      <c r="J292">
        <f t="shared" si="274"/>
        <v>27.903799999999997</v>
      </c>
      <c r="K292">
        <f t="shared" si="275"/>
        <v>0</v>
      </c>
      <c r="L292">
        <f t="shared" si="276"/>
        <v>27.903799999999997</v>
      </c>
    </row>
    <row r="293" spans="2:12">
      <c r="B293" s="1">
        <v>48931</v>
      </c>
      <c r="C293" t="s">
        <v>32</v>
      </c>
      <c r="D293">
        <v>10.3</v>
      </c>
      <c r="E293">
        <v>15.4</v>
      </c>
      <c r="F293">
        <f t="shared" si="272"/>
        <v>1.5862000000000001</v>
      </c>
      <c r="G293">
        <f t="shared" ref="G293" si="308">D290+D291+D292+D293</f>
        <v>74.599999999999994</v>
      </c>
      <c r="H293">
        <f t="shared" si="271"/>
        <v>2033</v>
      </c>
      <c r="I293">
        <v>1</v>
      </c>
      <c r="J293">
        <f t="shared" si="274"/>
        <v>29.49</v>
      </c>
      <c r="K293">
        <f t="shared" si="275"/>
        <v>0</v>
      </c>
      <c r="L293">
        <f t="shared" si="276"/>
        <v>29.49</v>
      </c>
    </row>
    <row r="294" spans="2:12">
      <c r="B294" s="1">
        <v>48932</v>
      </c>
      <c r="C294" t="s">
        <v>24</v>
      </c>
      <c r="D294">
        <v>15.5</v>
      </c>
      <c r="E294">
        <v>20.2</v>
      </c>
      <c r="F294">
        <f t="shared" si="272"/>
        <v>3.1309999999999998</v>
      </c>
      <c r="G294">
        <f t="shared" ref="G294" si="309">D290+D291+D292+D293+D294</f>
        <v>90.1</v>
      </c>
      <c r="H294">
        <f t="shared" si="271"/>
        <v>2033</v>
      </c>
      <c r="I294">
        <v>1</v>
      </c>
      <c r="J294">
        <f t="shared" si="274"/>
        <v>32.620999999999995</v>
      </c>
      <c r="K294">
        <f t="shared" si="275"/>
        <v>0</v>
      </c>
      <c r="L294">
        <f t="shared" si="276"/>
        <v>32.620999999999995</v>
      </c>
    </row>
    <row r="295" spans="2:12">
      <c r="B295" s="1">
        <v>48933</v>
      </c>
      <c r="C295" t="s">
        <v>37</v>
      </c>
      <c r="D295">
        <v>20.7</v>
      </c>
      <c r="E295">
        <v>3</v>
      </c>
      <c r="F295">
        <f t="shared" si="272"/>
        <v>0.621</v>
      </c>
      <c r="G295">
        <f t="shared" ref="G295" si="310">D290+D291+D292+D293+D294+D295</f>
        <v>110.8</v>
      </c>
      <c r="H295">
        <f t="shared" si="271"/>
        <v>2033</v>
      </c>
      <c r="I295">
        <v>1</v>
      </c>
      <c r="J295">
        <f t="shared" si="274"/>
        <v>33.241999999999997</v>
      </c>
      <c r="K295">
        <f t="shared" si="275"/>
        <v>0</v>
      </c>
      <c r="L295">
        <f t="shared" si="276"/>
        <v>33.241999999999997</v>
      </c>
    </row>
    <row r="296" spans="2:12">
      <c r="B296" s="1">
        <v>48934</v>
      </c>
      <c r="C296" t="s">
        <v>27</v>
      </c>
      <c r="D296">
        <v>12.7</v>
      </c>
      <c r="E296">
        <v>14.4</v>
      </c>
      <c r="F296">
        <f t="shared" si="272"/>
        <v>1.8288</v>
      </c>
      <c r="G296">
        <f t="shared" ref="G296" si="311">D290+D291+D292+D293+D294+D295+D296</f>
        <v>123.5</v>
      </c>
      <c r="H296">
        <f t="shared" si="271"/>
        <v>2033</v>
      </c>
      <c r="I296">
        <v>1</v>
      </c>
      <c r="J296">
        <f t="shared" si="274"/>
        <v>35.070799999999998</v>
      </c>
      <c r="K296">
        <f t="shared" si="275"/>
        <v>0</v>
      </c>
      <c r="L296">
        <f t="shared" si="276"/>
        <v>35.070799999999998</v>
      </c>
    </row>
    <row r="297" spans="2:12">
      <c r="B297" s="1">
        <v>48935</v>
      </c>
      <c r="C297" t="s">
        <v>35</v>
      </c>
      <c r="D297">
        <v>22.8</v>
      </c>
      <c r="E297">
        <v>3.3</v>
      </c>
      <c r="F297">
        <f t="shared" si="272"/>
        <v>0.75239999999999996</v>
      </c>
      <c r="G297">
        <f t="shared" ref="G297:G360" si="312">D297</f>
        <v>22.8</v>
      </c>
      <c r="H297">
        <f t="shared" si="271"/>
        <v>2033</v>
      </c>
      <c r="I297">
        <v>1</v>
      </c>
      <c r="J297">
        <f t="shared" si="274"/>
        <v>35.8232</v>
      </c>
      <c r="K297">
        <f t="shared" si="275"/>
        <v>0</v>
      </c>
      <c r="L297">
        <f t="shared" si="276"/>
        <v>35.8232</v>
      </c>
    </row>
    <row r="298" spans="2:12">
      <c r="B298" s="1">
        <v>48936</v>
      </c>
      <c r="C298" t="s">
        <v>39</v>
      </c>
      <c r="D298">
        <v>20.5</v>
      </c>
      <c r="E298">
        <v>0</v>
      </c>
      <c r="F298">
        <f t="shared" si="272"/>
        <v>0</v>
      </c>
      <c r="G298">
        <f t="shared" ref="G298:G361" si="313">D297+D298</f>
        <v>43.3</v>
      </c>
      <c r="H298">
        <f t="shared" si="271"/>
        <v>2033</v>
      </c>
      <c r="I298">
        <v>1</v>
      </c>
      <c r="J298">
        <f t="shared" si="274"/>
        <v>35.8232</v>
      </c>
      <c r="K298">
        <f t="shared" si="275"/>
        <v>0</v>
      </c>
      <c r="L298">
        <f t="shared" si="276"/>
        <v>35.8232</v>
      </c>
    </row>
    <row r="299" spans="2:12">
      <c r="B299" s="1">
        <v>48937</v>
      </c>
      <c r="C299" t="s">
        <v>43</v>
      </c>
      <c r="D299">
        <v>13.1</v>
      </c>
      <c r="E299">
        <v>5.9</v>
      </c>
      <c r="F299">
        <f t="shared" si="272"/>
        <v>0.77290000000000003</v>
      </c>
      <c r="G299">
        <f t="shared" ref="G299" si="314">D297+D298+D299</f>
        <v>56.4</v>
      </c>
      <c r="H299">
        <f t="shared" si="271"/>
        <v>2033</v>
      </c>
      <c r="I299">
        <v>1</v>
      </c>
      <c r="J299">
        <f t="shared" si="274"/>
        <v>36.5961</v>
      </c>
      <c r="K299">
        <f t="shared" si="275"/>
        <v>0</v>
      </c>
      <c r="L299">
        <f t="shared" si="276"/>
        <v>36.5961</v>
      </c>
    </row>
    <row r="300" spans="2:12">
      <c r="B300" s="1">
        <v>48938</v>
      </c>
      <c r="C300" t="s">
        <v>46</v>
      </c>
      <c r="D300">
        <v>29</v>
      </c>
      <c r="E300">
        <v>1</v>
      </c>
      <c r="F300">
        <f t="shared" si="272"/>
        <v>0.28999999999999998</v>
      </c>
      <c r="G300">
        <f t="shared" ref="G300" si="315">D297+D298+D299+D300</f>
        <v>85.4</v>
      </c>
      <c r="H300">
        <f t="shared" si="271"/>
        <v>2033</v>
      </c>
      <c r="I300">
        <v>1</v>
      </c>
      <c r="J300">
        <f t="shared" si="274"/>
        <v>36.886099999999999</v>
      </c>
      <c r="K300">
        <f t="shared" si="275"/>
        <v>0</v>
      </c>
      <c r="L300">
        <f t="shared" si="276"/>
        <v>36.886099999999999</v>
      </c>
    </row>
    <row r="301" spans="2:12">
      <c r="B301" s="1">
        <v>48939</v>
      </c>
      <c r="C301" t="s">
        <v>50</v>
      </c>
      <c r="D301">
        <v>15.4</v>
      </c>
      <c r="E301">
        <v>0</v>
      </c>
      <c r="F301">
        <f t="shared" si="272"/>
        <v>0</v>
      </c>
      <c r="G301">
        <f t="shared" ref="G301" si="316">D297+D298+D299+D300+D301</f>
        <v>100.80000000000001</v>
      </c>
      <c r="H301">
        <f t="shared" si="271"/>
        <v>2033</v>
      </c>
      <c r="I301">
        <v>1</v>
      </c>
      <c r="J301">
        <f t="shared" si="274"/>
        <v>36.886099999999999</v>
      </c>
      <c r="K301">
        <f t="shared" si="275"/>
        <v>0</v>
      </c>
      <c r="L301">
        <f t="shared" si="276"/>
        <v>36.886099999999999</v>
      </c>
    </row>
    <row r="302" spans="2:12">
      <c r="B302" s="1">
        <v>48940</v>
      </c>
      <c r="C302" t="s">
        <v>24</v>
      </c>
      <c r="D302">
        <v>20.3</v>
      </c>
      <c r="E302">
        <v>10.7</v>
      </c>
      <c r="F302">
        <f t="shared" si="272"/>
        <v>2.1720999999999999</v>
      </c>
      <c r="G302">
        <f t="shared" ref="G302" si="317">D297+D298+D299+D300+D301+D302</f>
        <v>121.10000000000001</v>
      </c>
      <c r="H302">
        <f t="shared" si="271"/>
        <v>2033</v>
      </c>
      <c r="I302">
        <v>1</v>
      </c>
      <c r="J302">
        <f t="shared" si="274"/>
        <v>39.058199999999999</v>
      </c>
      <c r="K302">
        <f t="shared" si="275"/>
        <v>0</v>
      </c>
      <c r="L302">
        <f t="shared" si="276"/>
        <v>39.058199999999999</v>
      </c>
    </row>
    <row r="303" spans="2:12">
      <c r="B303" s="1">
        <v>48941</v>
      </c>
      <c r="C303" t="s">
        <v>24</v>
      </c>
      <c r="D303">
        <v>15</v>
      </c>
      <c r="E303">
        <v>0</v>
      </c>
      <c r="F303">
        <f t="shared" si="272"/>
        <v>0</v>
      </c>
      <c r="G303">
        <f t="shared" ref="G303" si="318">D297+D298+D299+D300+D301+D302+D303</f>
        <v>136.10000000000002</v>
      </c>
      <c r="H303">
        <f t="shared" si="271"/>
        <v>2033</v>
      </c>
      <c r="I303">
        <v>1</v>
      </c>
      <c r="J303">
        <f t="shared" si="274"/>
        <v>39.058199999999999</v>
      </c>
      <c r="K303">
        <f t="shared" si="275"/>
        <v>0</v>
      </c>
      <c r="L303">
        <f t="shared" si="276"/>
        <v>39.058199999999999</v>
      </c>
    </row>
    <row r="304" spans="2:12">
      <c r="B304" s="1">
        <v>48942</v>
      </c>
      <c r="C304" t="s">
        <v>47</v>
      </c>
      <c r="D304">
        <v>16.600000000000001</v>
      </c>
      <c r="E304">
        <v>0</v>
      </c>
      <c r="F304">
        <f t="shared" si="272"/>
        <v>0</v>
      </c>
      <c r="G304">
        <f t="shared" ref="G304:G367" si="319">D304</f>
        <v>16.600000000000001</v>
      </c>
      <c r="H304">
        <f t="shared" si="271"/>
        <v>2033</v>
      </c>
      <c r="I304">
        <v>1</v>
      </c>
      <c r="J304">
        <f t="shared" si="274"/>
        <v>39.058199999999999</v>
      </c>
      <c r="K304">
        <f t="shared" si="275"/>
        <v>0</v>
      </c>
      <c r="L304">
        <f t="shared" si="276"/>
        <v>39.058199999999999</v>
      </c>
    </row>
    <row r="305" spans="2:12">
      <c r="B305" s="1">
        <v>48943</v>
      </c>
      <c r="C305" t="s">
        <v>25</v>
      </c>
      <c r="D305">
        <v>28.6</v>
      </c>
      <c r="E305">
        <v>0</v>
      </c>
      <c r="F305">
        <f t="shared" si="272"/>
        <v>0</v>
      </c>
      <c r="G305">
        <f t="shared" ref="G305:G368" si="320">D304+D305</f>
        <v>45.2</v>
      </c>
      <c r="H305">
        <f t="shared" si="271"/>
        <v>2033</v>
      </c>
      <c r="I305">
        <v>1</v>
      </c>
      <c r="J305">
        <f t="shared" si="274"/>
        <v>39.058199999999999</v>
      </c>
      <c r="K305">
        <f t="shared" si="275"/>
        <v>0</v>
      </c>
      <c r="L305">
        <f t="shared" si="276"/>
        <v>39.058199999999999</v>
      </c>
    </row>
    <row r="306" spans="2:12">
      <c r="B306" s="1">
        <v>48944</v>
      </c>
      <c r="C306" t="s">
        <v>42</v>
      </c>
      <c r="D306">
        <v>11.4</v>
      </c>
      <c r="E306">
        <v>3.6</v>
      </c>
      <c r="F306">
        <f t="shared" si="272"/>
        <v>0.41039999999999999</v>
      </c>
      <c r="G306">
        <f t="shared" ref="G306" si="321">D304+D305+D306</f>
        <v>56.6</v>
      </c>
      <c r="H306">
        <f t="shared" si="271"/>
        <v>2033</v>
      </c>
      <c r="I306">
        <v>1</v>
      </c>
      <c r="J306">
        <f t="shared" si="274"/>
        <v>39.468600000000002</v>
      </c>
      <c r="K306">
        <f t="shared" si="275"/>
        <v>0</v>
      </c>
      <c r="L306">
        <f t="shared" si="276"/>
        <v>39.468600000000002</v>
      </c>
    </row>
    <row r="307" spans="2:12">
      <c r="B307" s="1">
        <v>48945</v>
      </c>
      <c r="C307" t="s">
        <v>21</v>
      </c>
      <c r="D307">
        <v>15.5</v>
      </c>
      <c r="E307">
        <v>1</v>
      </c>
      <c r="F307">
        <f t="shared" si="272"/>
        <v>0.155</v>
      </c>
      <c r="G307">
        <f t="shared" ref="G307" si="322">D304+D305+D306+D307</f>
        <v>72.099999999999994</v>
      </c>
      <c r="H307">
        <f t="shared" si="271"/>
        <v>2034</v>
      </c>
      <c r="I307">
        <v>1</v>
      </c>
      <c r="J307">
        <f t="shared" si="274"/>
        <v>39.623600000000003</v>
      </c>
      <c r="K307">
        <f t="shared" si="275"/>
        <v>0</v>
      </c>
      <c r="L307">
        <f t="shared" si="276"/>
        <v>39.623600000000003</v>
      </c>
    </row>
    <row r="308" spans="2:12">
      <c r="B308" s="1">
        <v>48946</v>
      </c>
      <c r="C308" t="s">
        <v>17</v>
      </c>
      <c r="D308">
        <v>18.3</v>
      </c>
      <c r="E308">
        <v>0.7</v>
      </c>
      <c r="F308">
        <f t="shared" si="272"/>
        <v>0</v>
      </c>
      <c r="G308">
        <f t="shared" ref="G308" si="323">D304+D305+D306+D307+D308</f>
        <v>90.399999999999991</v>
      </c>
      <c r="H308">
        <f t="shared" si="271"/>
        <v>2034</v>
      </c>
      <c r="I308">
        <v>1</v>
      </c>
      <c r="J308">
        <f t="shared" si="274"/>
        <v>39.623600000000003</v>
      </c>
      <c r="K308">
        <f t="shared" si="275"/>
        <v>0</v>
      </c>
      <c r="L308">
        <f t="shared" si="276"/>
        <v>39.623600000000003</v>
      </c>
    </row>
    <row r="309" spans="2:12">
      <c r="B309" s="1">
        <v>48947</v>
      </c>
      <c r="C309" t="s">
        <v>50</v>
      </c>
      <c r="D309">
        <v>14.9</v>
      </c>
      <c r="E309">
        <v>6.1</v>
      </c>
      <c r="F309">
        <f t="shared" si="272"/>
        <v>0.90890000000000004</v>
      </c>
      <c r="G309">
        <f t="shared" ref="G309" si="324">D304+D305+D306+D307+D308+D309</f>
        <v>105.3</v>
      </c>
      <c r="H309">
        <f t="shared" si="271"/>
        <v>2034</v>
      </c>
      <c r="I309">
        <v>1</v>
      </c>
      <c r="J309">
        <f t="shared" si="274"/>
        <v>40.532500000000006</v>
      </c>
      <c r="K309">
        <f t="shared" si="275"/>
        <v>0</v>
      </c>
      <c r="L309">
        <f t="shared" si="276"/>
        <v>40.532500000000006</v>
      </c>
    </row>
    <row r="310" spans="2:12">
      <c r="B310" s="1">
        <v>48948</v>
      </c>
      <c r="C310" t="s">
        <v>25</v>
      </c>
      <c r="D310">
        <v>29.7</v>
      </c>
      <c r="E310">
        <v>13.3</v>
      </c>
      <c r="F310">
        <f t="shared" si="272"/>
        <v>3.9500999999999999</v>
      </c>
      <c r="G310">
        <f t="shared" ref="G310" si="325">D304+D305+D306+D307+D308+D309+D310</f>
        <v>135</v>
      </c>
      <c r="H310">
        <f t="shared" si="271"/>
        <v>2034</v>
      </c>
      <c r="I310">
        <v>1</v>
      </c>
      <c r="J310">
        <f t="shared" si="274"/>
        <v>44.482600000000005</v>
      </c>
      <c r="K310">
        <f t="shared" si="275"/>
        <v>0</v>
      </c>
      <c r="L310">
        <f t="shared" si="276"/>
        <v>44.482600000000005</v>
      </c>
    </row>
    <row r="311" spans="2:12">
      <c r="B311" s="1">
        <v>48949</v>
      </c>
      <c r="C311" t="s">
        <v>18</v>
      </c>
      <c r="D311">
        <v>28.9</v>
      </c>
      <c r="E311">
        <v>13.8</v>
      </c>
      <c r="F311">
        <f t="shared" si="272"/>
        <v>3.9882</v>
      </c>
      <c r="G311">
        <f t="shared" ref="G311:G374" si="326">D311</f>
        <v>28.9</v>
      </c>
      <c r="H311">
        <f t="shared" si="271"/>
        <v>2034</v>
      </c>
      <c r="I311">
        <v>1</v>
      </c>
      <c r="J311">
        <f t="shared" si="274"/>
        <v>48.470800000000004</v>
      </c>
      <c r="K311">
        <f t="shared" si="275"/>
        <v>0</v>
      </c>
      <c r="L311">
        <f t="shared" si="276"/>
        <v>48.470800000000004</v>
      </c>
    </row>
    <row r="312" spans="2:12">
      <c r="B312" s="1">
        <v>48950</v>
      </c>
      <c r="C312" t="s">
        <v>42</v>
      </c>
      <c r="D312">
        <v>24.3</v>
      </c>
      <c r="E312">
        <v>0</v>
      </c>
      <c r="F312">
        <f t="shared" si="272"/>
        <v>0</v>
      </c>
      <c r="G312">
        <f t="shared" ref="G312:G375" si="327">D311+D312</f>
        <v>53.2</v>
      </c>
      <c r="H312">
        <f t="shared" si="271"/>
        <v>2034</v>
      </c>
      <c r="I312">
        <v>1</v>
      </c>
      <c r="J312">
        <f t="shared" si="274"/>
        <v>48.470800000000004</v>
      </c>
      <c r="K312">
        <f t="shared" si="275"/>
        <v>0</v>
      </c>
      <c r="L312">
        <f t="shared" si="276"/>
        <v>48.470800000000004</v>
      </c>
    </row>
    <row r="313" spans="2:12">
      <c r="B313" s="1">
        <v>48951</v>
      </c>
      <c r="C313" t="s">
        <v>24</v>
      </c>
      <c r="D313">
        <v>24</v>
      </c>
      <c r="E313">
        <v>19.7</v>
      </c>
      <c r="F313">
        <f t="shared" si="272"/>
        <v>4.7279999999999998</v>
      </c>
      <c r="G313">
        <f t="shared" ref="G313" si="328">D311+D312+D313</f>
        <v>77.2</v>
      </c>
      <c r="H313">
        <f t="shared" si="271"/>
        <v>2034</v>
      </c>
      <c r="I313">
        <v>1</v>
      </c>
      <c r="J313">
        <f t="shared" si="274"/>
        <v>53.198800000000006</v>
      </c>
      <c r="K313">
        <f t="shared" si="275"/>
        <v>0</v>
      </c>
      <c r="L313">
        <f t="shared" si="276"/>
        <v>53.198800000000006</v>
      </c>
    </row>
    <row r="314" spans="2:12">
      <c r="B314" s="1">
        <v>48952</v>
      </c>
      <c r="C314" t="s">
        <v>32</v>
      </c>
      <c r="D314">
        <v>11.8</v>
      </c>
      <c r="E314">
        <v>13.3</v>
      </c>
      <c r="F314">
        <f t="shared" si="272"/>
        <v>1.5694000000000004</v>
      </c>
      <c r="G314">
        <f t="shared" ref="G314" si="329">D311+D312+D313+D314</f>
        <v>89</v>
      </c>
      <c r="H314">
        <f t="shared" si="271"/>
        <v>2034</v>
      </c>
      <c r="I314">
        <v>1</v>
      </c>
      <c r="J314">
        <f t="shared" si="274"/>
        <v>54.768200000000007</v>
      </c>
      <c r="K314">
        <f t="shared" si="275"/>
        <v>0</v>
      </c>
      <c r="L314">
        <f t="shared" si="276"/>
        <v>54.768200000000007</v>
      </c>
    </row>
    <row r="315" spans="2:12">
      <c r="B315" s="1">
        <v>48953</v>
      </c>
      <c r="C315" t="s">
        <v>24</v>
      </c>
      <c r="D315">
        <v>26.5</v>
      </c>
      <c r="E315">
        <v>19.7</v>
      </c>
      <c r="F315">
        <f t="shared" si="272"/>
        <v>5.2204999999999995</v>
      </c>
      <c r="G315">
        <f t="shared" ref="G315" si="330">D311+D312+D313+D314+D315</f>
        <v>115.5</v>
      </c>
      <c r="H315">
        <f t="shared" si="271"/>
        <v>2034</v>
      </c>
      <c r="I315">
        <v>1</v>
      </c>
      <c r="J315">
        <f t="shared" si="274"/>
        <v>59.988700000000009</v>
      </c>
      <c r="K315">
        <f t="shared" si="275"/>
        <v>0</v>
      </c>
      <c r="L315">
        <f t="shared" si="276"/>
        <v>59.988700000000009</v>
      </c>
    </row>
    <row r="316" spans="2:12">
      <c r="B316" s="1">
        <v>48954</v>
      </c>
      <c r="C316" t="s">
        <v>36</v>
      </c>
      <c r="D316">
        <v>12.4</v>
      </c>
      <c r="E316">
        <v>5.0999999999999996</v>
      </c>
      <c r="F316">
        <f t="shared" si="272"/>
        <v>0.63239999999999996</v>
      </c>
      <c r="G316">
        <f t="shared" ref="G316" si="331">D311+D312+D313+D314+D315+D316</f>
        <v>127.9</v>
      </c>
      <c r="H316">
        <f t="shared" si="271"/>
        <v>2034</v>
      </c>
      <c r="I316">
        <v>1</v>
      </c>
      <c r="J316">
        <f t="shared" si="274"/>
        <v>60.621100000000006</v>
      </c>
      <c r="K316">
        <f t="shared" si="275"/>
        <v>0</v>
      </c>
      <c r="L316">
        <f t="shared" si="276"/>
        <v>60.621100000000006</v>
      </c>
    </row>
    <row r="317" spans="2:12">
      <c r="B317" s="1">
        <v>48955</v>
      </c>
      <c r="C317" t="s">
        <v>24</v>
      </c>
      <c r="D317">
        <v>21.9</v>
      </c>
      <c r="E317">
        <v>6.6</v>
      </c>
      <c r="F317">
        <f t="shared" si="272"/>
        <v>1.4454</v>
      </c>
      <c r="G317">
        <f t="shared" ref="G317" si="332">D311+D312+D313+D314+D315+D316+D317</f>
        <v>149.80000000000001</v>
      </c>
      <c r="H317">
        <f t="shared" si="271"/>
        <v>2034</v>
      </c>
      <c r="I317">
        <v>1</v>
      </c>
      <c r="J317">
        <f t="shared" si="274"/>
        <v>62.066500000000005</v>
      </c>
      <c r="K317">
        <f t="shared" si="275"/>
        <v>0</v>
      </c>
      <c r="L317">
        <f t="shared" si="276"/>
        <v>62.066500000000005</v>
      </c>
    </row>
    <row r="318" spans="2:12">
      <c r="B318" s="1">
        <v>48956</v>
      </c>
      <c r="C318" t="s">
        <v>24</v>
      </c>
      <c r="D318">
        <v>20.3</v>
      </c>
      <c r="E318">
        <v>0</v>
      </c>
      <c r="F318">
        <f t="shared" si="272"/>
        <v>0</v>
      </c>
      <c r="G318">
        <f t="shared" ref="G318:G381" si="333">D318</f>
        <v>20.3</v>
      </c>
      <c r="H318">
        <f t="shared" si="271"/>
        <v>2034</v>
      </c>
      <c r="I318">
        <v>1</v>
      </c>
      <c r="J318">
        <f t="shared" si="274"/>
        <v>62.066500000000005</v>
      </c>
      <c r="K318">
        <f t="shared" si="275"/>
        <v>0</v>
      </c>
      <c r="L318">
        <f t="shared" si="276"/>
        <v>62.066500000000005</v>
      </c>
    </row>
    <row r="319" spans="2:12">
      <c r="B319" s="1">
        <v>48957</v>
      </c>
      <c r="C319" t="s">
        <v>45</v>
      </c>
      <c r="D319">
        <v>27.7</v>
      </c>
      <c r="E319">
        <v>0.3</v>
      </c>
      <c r="F319">
        <f t="shared" si="272"/>
        <v>0</v>
      </c>
      <c r="G319">
        <f t="shared" ref="G319:G382" si="334">D318+D319</f>
        <v>48</v>
      </c>
      <c r="H319">
        <f t="shared" si="271"/>
        <v>2034</v>
      </c>
      <c r="I319">
        <v>1</v>
      </c>
      <c r="J319">
        <f t="shared" si="274"/>
        <v>62.066500000000005</v>
      </c>
      <c r="K319">
        <f t="shared" si="275"/>
        <v>0</v>
      </c>
      <c r="L319">
        <f t="shared" si="276"/>
        <v>62.066500000000005</v>
      </c>
    </row>
    <row r="320" spans="2:12">
      <c r="B320" s="1">
        <v>48958</v>
      </c>
      <c r="C320" t="s">
        <v>50</v>
      </c>
      <c r="D320">
        <v>28.5</v>
      </c>
      <c r="E320">
        <v>30</v>
      </c>
      <c r="F320">
        <f t="shared" si="272"/>
        <v>8.5500000000000007</v>
      </c>
      <c r="G320">
        <f t="shared" ref="G320" si="335">D318+D319+D320</f>
        <v>76.5</v>
      </c>
      <c r="H320">
        <f t="shared" si="271"/>
        <v>2034</v>
      </c>
      <c r="I320">
        <v>1</v>
      </c>
      <c r="J320">
        <f t="shared" si="274"/>
        <v>70.616500000000002</v>
      </c>
      <c r="K320">
        <f t="shared" si="275"/>
        <v>0</v>
      </c>
      <c r="L320">
        <f t="shared" si="276"/>
        <v>70.616500000000002</v>
      </c>
    </row>
    <row r="321" spans="2:12">
      <c r="B321" s="1">
        <v>48959</v>
      </c>
      <c r="C321" t="s">
        <v>46</v>
      </c>
      <c r="D321">
        <v>28.7</v>
      </c>
      <c r="E321">
        <v>1.9</v>
      </c>
      <c r="F321">
        <f t="shared" si="272"/>
        <v>0.5452999999999999</v>
      </c>
      <c r="G321">
        <f t="shared" ref="G321" si="336">D318+D319+D320+D321</f>
        <v>105.2</v>
      </c>
      <c r="H321">
        <f t="shared" si="271"/>
        <v>2034</v>
      </c>
      <c r="I321">
        <v>1</v>
      </c>
      <c r="J321">
        <f t="shared" si="274"/>
        <v>71.161799999999999</v>
      </c>
      <c r="K321">
        <f t="shared" si="275"/>
        <v>0</v>
      </c>
      <c r="L321">
        <f t="shared" si="276"/>
        <v>71.161799999999999</v>
      </c>
    </row>
    <row r="322" spans="2:12">
      <c r="B322" s="1">
        <v>48960</v>
      </c>
      <c r="C322" t="s">
        <v>12</v>
      </c>
      <c r="D322">
        <v>10.9</v>
      </c>
      <c r="E322">
        <v>0</v>
      </c>
      <c r="F322">
        <f t="shared" si="272"/>
        <v>0</v>
      </c>
      <c r="G322">
        <f t="shared" ref="G322" si="337">D318+D319+D320+D321+D322</f>
        <v>116.10000000000001</v>
      </c>
      <c r="H322">
        <f t="shared" si="271"/>
        <v>2034</v>
      </c>
      <c r="I322">
        <v>1</v>
      </c>
      <c r="J322">
        <f t="shared" si="274"/>
        <v>71.161799999999999</v>
      </c>
      <c r="K322">
        <f t="shared" si="275"/>
        <v>0</v>
      </c>
      <c r="L322">
        <f t="shared" si="276"/>
        <v>71.161799999999999</v>
      </c>
    </row>
    <row r="323" spans="2:12">
      <c r="B323" s="1">
        <v>48961</v>
      </c>
      <c r="C323" t="s">
        <v>21</v>
      </c>
      <c r="D323">
        <v>13.7</v>
      </c>
      <c r="E323">
        <v>0</v>
      </c>
      <c r="F323">
        <f t="shared" si="272"/>
        <v>0</v>
      </c>
      <c r="G323">
        <f t="shared" ref="G323" si="338">D318+D319+D320+D321+D322+D323</f>
        <v>129.80000000000001</v>
      </c>
      <c r="H323">
        <f t="shared" si="271"/>
        <v>2034</v>
      </c>
      <c r="I323">
        <v>1</v>
      </c>
      <c r="J323">
        <f t="shared" si="274"/>
        <v>71.161799999999999</v>
      </c>
      <c r="K323">
        <f t="shared" si="275"/>
        <v>0</v>
      </c>
      <c r="L323">
        <f t="shared" si="276"/>
        <v>71.161799999999999</v>
      </c>
    </row>
    <row r="324" spans="2:12">
      <c r="B324" s="1">
        <v>48962</v>
      </c>
      <c r="C324" t="s">
        <v>25</v>
      </c>
      <c r="D324">
        <v>28.2</v>
      </c>
      <c r="E324">
        <v>0</v>
      </c>
      <c r="F324">
        <f t="shared" si="272"/>
        <v>0</v>
      </c>
      <c r="G324">
        <f t="shared" ref="G324" si="339">D318+D319+D320+D321+D322+D323+D324</f>
        <v>158</v>
      </c>
      <c r="H324">
        <f t="shared" ref="H324:H387" si="340">YEAR(B324)</f>
        <v>2034</v>
      </c>
      <c r="I324">
        <v>1</v>
      </c>
      <c r="J324">
        <f t="shared" si="274"/>
        <v>71.161799999999999</v>
      </c>
      <c r="K324">
        <f t="shared" si="275"/>
        <v>0</v>
      </c>
      <c r="L324">
        <f t="shared" si="276"/>
        <v>71.161799999999999</v>
      </c>
    </row>
    <row r="325" spans="2:12">
      <c r="B325" s="1">
        <v>48963</v>
      </c>
      <c r="C325" t="s">
        <v>50</v>
      </c>
      <c r="D325">
        <v>20.100000000000001</v>
      </c>
      <c r="E325">
        <v>0</v>
      </c>
      <c r="F325">
        <f t="shared" ref="F325:F388" si="341">IF(E325&gt;=1,D325*E325/100,0)</f>
        <v>0</v>
      </c>
      <c r="G325">
        <f t="shared" ref="G325:G388" si="342">D325</f>
        <v>20.100000000000001</v>
      </c>
      <c r="H325">
        <f t="shared" si="340"/>
        <v>2034</v>
      </c>
      <c r="I325">
        <v>1</v>
      </c>
      <c r="J325">
        <f t="shared" ref="J325:J388" si="343">L324+F325</f>
        <v>71.161799999999999</v>
      </c>
      <c r="K325">
        <f t="shared" ref="K325:K388" si="344">IF(J325&gt;=100,1,0)</f>
        <v>0</v>
      </c>
      <c r="L325">
        <f t="shared" ref="L325:L388" si="345">IF(K325=1,J325-100,J325)</f>
        <v>71.161799999999999</v>
      </c>
    </row>
    <row r="326" spans="2:12">
      <c r="B326" s="1">
        <v>48964</v>
      </c>
      <c r="C326" t="s">
        <v>25</v>
      </c>
      <c r="D326">
        <v>20.6</v>
      </c>
      <c r="E326">
        <v>0</v>
      </c>
      <c r="F326">
        <f t="shared" si="341"/>
        <v>0</v>
      </c>
      <c r="G326">
        <f t="shared" ref="G326:G389" si="346">D325+D326</f>
        <v>40.700000000000003</v>
      </c>
      <c r="H326">
        <f t="shared" si="340"/>
        <v>2034</v>
      </c>
      <c r="I326">
        <v>1</v>
      </c>
      <c r="J326">
        <f t="shared" si="343"/>
        <v>71.161799999999999</v>
      </c>
      <c r="K326">
        <f t="shared" si="344"/>
        <v>0</v>
      </c>
      <c r="L326">
        <f t="shared" si="345"/>
        <v>71.161799999999999</v>
      </c>
    </row>
    <row r="327" spans="2:12">
      <c r="B327" s="1">
        <v>48965</v>
      </c>
      <c r="C327" t="s">
        <v>27</v>
      </c>
      <c r="D327">
        <v>15.5</v>
      </c>
      <c r="E327">
        <v>16.8</v>
      </c>
      <c r="F327">
        <f t="shared" si="341"/>
        <v>2.6040000000000005</v>
      </c>
      <c r="G327">
        <f t="shared" ref="G327" si="347">D325+D326+D327</f>
        <v>56.2</v>
      </c>
      <c r="H327">
        <f t="shared" si="340"/>
        <v>2034</v>
      </c>
      <c r="I327">
        <v>1</v>
      </c>
      <c r="J327">
        <f t="shared" si="343"/>
        <v>73.765799999999999</v>
      </c>
      <c r="K327">
        <f t="shared" si="344"/>
        <v>0</v>
      </c>
      <c r="L327">
        <f t="shared" si="345"/>
        <v>73.765799999999999</v>
      </c>
    </row>
    <row r="328" spans="2:12">
      <c r="B328" s="1">
        <v>48966</v>
      </c>
      <c r="C328" t="s">
        <v>26</v>
      </c>
      <c r="D328">
        <v>22.2</v>
      </c>
      <c r="E328">
        <v>2.4</v>
      </c>
      <c r="F328">
        <f t="shared" si="341"/>
        <v>0.53279999999999994</v>
      </c>
      <c r="G328">
        <f t="shared" ref="G328" si="348">D325+D326+D327+D328</f>
        <v>78.400000000000006</v>
      </c>
      <c r="H328">
        <f t="shared" si="340"/>
        <v>2034</v>
      </c>
      <c r="I328">
        <v>1</v>
      </c>
      <c r="J328">
        <f t="shared" si="343"/>
        <v>74.298599999999993</v>
      </c>
      <c r="K328">
        <f t="shared" si="344"/>
        <v>0</v>
      </c>
      <c r="L328">
        <f t="shared" si="345"/>
        <v>74.298599999999993</v>
      </c>
    </row>
    <row r="329" spans="2:12">
      <c r="B329" s="1">
        <v>48967</v>
      </c>
      <c r="C329" t="s">
        <v>27</v>
      </c>
      <c r="D329">
        <v>15</v>
      </c>
      <c r="E329">
        <v>4.0999999999999996</v>
      </c>
      <c r="F329">
        <f t="shared" si="341"/>
        <v>0.61499999999999988</v>
      </c>
      <c r="G329">
        <f t="shared" ref="G329" si="349">D325+D326+D327+D328+D329</f>
        <v>93.4</v>
      </c>
      <c r="H329">
        <f t="shared" si="340"/>
        <v>2034</v>
      </c>
      <c r="I329">
        <v>1</v>
      </c>
      <c r="J329">
        <f t="shared" si="343"/>
        <v>74.913599999999988</v>
      </c>
      <c r="K329">
        <f t="shared" si="344"/>
        <v>0</v>
      </c>
      <c r="L329">
        <f t="shared" si="345"/>
        <v>74.913599999999988</v>
      </c>
    </row>
    <row r="330" spans="2:12">
      <c r="B330" s="1">
        <v>48968</v>
      </c>
      <c r="C330" t="s">
        <v>50</v>
      </c>
      <c r="D330">
        <v>18.399999999999999</v>
      </c>
      <c r="E330">
        <v>30.4</v>
      </c>
      <c r="F330">
        <f t="shared" si="341"/>
        <v>5.5935999999999986</v>
      </c>
      <c r="G330">
        <f t="shared" ref="G330" si="350">D325+D326+D327+D328+D329+D330</f>
        <v>111.80000000000001</v>
      </c>
      <c r="H330">
        <f t="shared" si="340"/>
        <v>2034</v>
      </c>
      <c r="I330">
        <v>1</v>
      </c>
      <c r="J330">
        <f t="shared" si="343"/>
        <v>80.507199999999983</v>
      </c>
      <c r="K330">
        <f t="shared" si="344"/>
        <v>0</v>
      </c>
      <c r="L330">
        <f t="shared" si="345"/>
        <v>80.507199999999983</v>
      </c>
    </row>
    <row r="331" spans="2:12">
      <c r="B331" s="1">
        <v>48969</v>
      </c>
      <c r="C331" t="s">
        <v>45</v>
      </c>
      <c r="D331">
        <v>29.3</v>
      </c>
      <c r="E331">
        <v>0.4</v>
      </c>
      <c r="F331">
        <f t="shared" si="341"/>
        <v>0</v>
      </c>
      <c r="G331">
        <f t="shared" ref="G331" si="351">D325+D326+D327+D328+D329+D330+D331</f>
        <v>141.10000000000002</v>
      </c>
      <c r="H331">
        <f t="shared" si="340"/>
        <v>2034</v>
      </c>
      <c r="I331">
        <v>1</v>
      </c>
      <c r="J331">
        <f t="shared" si="343"/>
        <v>80.507199999999983</v>
      </c>
      <c r="K331">
        <f t="shared" si="344"/>
        <v>0</v>
      </c>
      <c r="L331">
        <f t="shared" si="345"/>
        <v>80.507199999999983</v>
      </c>
    </row>
    <row r="332" spans="2:12">
      <c r="B332" s="1">
        <v>48970</v>
      </c>
      <c r="C332" t="s">
        <v>35</v>
      </c>
      <c r="D332">
        <v>23.9</v>
      </c>
      <c r="E332">
        <v>3.3</v>
      </c>
      <c r="F332">
        <f t="shared" si="341"/>
        <v>0.78869999999999996</v>
      </c>
      <c r="G332">
        <f t="shared" ref="G332:G395" si="352">D332</f>
        <v>23.9</v>
      </c>
      <c r="H332">
        <f t="shared" si="340"/>
        <v>2034</v>
      </c>
      <c r="I332">
        <v>1</v>
      </c>
      <c r="J332">
        <f t="shared" si="343"/>
        <v>81.295899999999989</v>
      </c>
      <c r="K332">
        <f t="shared" si="344"/>
        <v>0</v>
      </c>
      <c r="L332">
        <f t="shared" si="345"/>
        <v>81.295899999999989</v>
      </c>
    </row>
    <row r="333" spans="2:12">
      <c r="B333" s="1">
        <v>48971</v>
      </c>
      <c r="C333" t="s">
        <v>40</v>
      </c>
      <c r="D333">
        <v>29.8</v>
      </c>
      <c r="E333">
        <v>3.3</v>
      </c>
      <c r="F333">
        <f t="shared" si="341"/>
        <v>0.98340000000000005</v>
      </c>
      <c r="G333">
        <f t="shared" ref="G333:G396" si="353">D332+D333</f>
        <v>53.7</v>
      </c>
      <c r="H333">
        <f t="shared" si="340"/>
        <v>2034</v>
      </c>
      <c r="I333">
        <v>1</v>
      </c>
      <c r="J333">
        <f t="shared" si="343"/>
        <v>82.279299999999992</v>
      </c>
      <c r="K333">
        <f t="shared" si="344"/>
        <v>0</v>
      </c>
      <c r="L333">
        <f t="shared" si="345"/>
        <v>82.279299999999992</v>
      </c>
    </row>
    <row r="334" spans="2:12">
      <c r="B334" s="1">
        <v>48972</v>
      </c>
      <c r="C334" t="s">
        <v>24</v>
      </c>
      <c r="D334">
        <v>29.1</v>
      </c>
      <c r="E334">
        <v>23</v>
      </c>
      <c r="F334">
        <f t="shared" si="341"/>
        <v>6.6930000000000005</v>
      </c>
      <c r="G334">
        <f t="shared" ref="G334" si="354">D332+D333+D334</f>
        <v>82.800000000000011</v>
      </c>
      <c r="H334">
        <f t="shared" si="340"/>
        <v>2034</v>
      </c>
      <c r="I334">
        <v>1</v>
      </c>
      <c r="J334">
        <f t="shared" si="343"/>
        <v>88.97229999999999</v>
      </c>
      <c r="K334">
        <f t="shared" si="344"/>
        <v>0</v>
      </c>
      <c r="L334">
        <f t="shared" si="345"/>
        <v>88.97229999999999</v>
      </c>
    </row>
    <row r="335" spans="2:12">
      <c r="B335" s="1">
        <v>48973</v>
      </c>
      <c r="C335" t="s">
        <v>25</v>
      </c>
      <c r="D335">
        <v>22.5</v>
      </c>
      <c r="E335">
        <v>17.2</v>
      </c>
      <c r="F335">
        <f t="shared" si="341"/>
        <v>3.87</v>
      </c>
      <c r="G335">
        <f t="shared" ref="G335" si="355">D332+D333+D334+D335</f>
        <v>105.30000000000001</v>
      </c>
      <c r="H335">
        <f t="shared" si="340"/>
        <v>2034</v>
      </c>
      <c r="I335">
        <v>1</v>
      </c>
      <c r="J335">
        <f t="shared" si="343"/>
        <v>92.842299999999994</v>
      </c>
      <c r="K335">
        <f t="shared" si="344"/>
        <v>0</v>
      </c>
      <c r="L335">
        <f t="shared" si="345"/>
        <v>92.842299999999994</v>
      </c>
    </row>
    <row r="336" spans="2:12">
      <c r="B336" s="1">
        <v>48974</v>
      </c>
      <c r="C336" t="s">
        <v>50</v>
      </c>
      <c r="D336">
        <v>15.3</v>
      </c>
      <c r="E336">
        <v>21.5</v>
      </c>
      <c r="F336">
        <f t="shared" si="341"/>
        <v>3.2894999999999999</v>
      </c>
      <c r="G336">
        <f t="shared" ref="G336" si="356">D332+D333+D334+D335+D336</f>
        <v>120.60000000000001</v>
      </c>
      <c r="H336">
        <f t="shared" si="340"/>
        <v>2034</v>
      </c>
      <c r="I336">
        <v>1</v>
      </c>
      <c r="J336">
        <f t="shared" si="343"/>
        <v>96.131799999999998</v>
      </c>
      <c r="K336">
        <f t="shared" si="344"/>
        <v>0</v>
      </c>
      <c r="L336">
        <f t="shared" si="345"/>
        <v>96.131799999999998</v>
      </c>
    </row>
    <row r="337" spans="2:12">
      <c r="B337" s="1">
        <v>48975</v>
      </c>
      <c r="C337" t="s">
        <v>24</v>
      </c>
      <c r="D337">
        <v>13.8</v>
      </c>
      <c r="E337">
        <v>40.4</v>
      </c>
      <c r="F337">
        <f t="shared" si="341"/>
        <v>5.5751999999999997</v>
      </c>
      <c r="G337">
        <f t="shared" ref="G337" si="357">D332+D333+D334+D335+D336+D337</f>
        <v>134.4</v>
      </c>
      <c r="H337">
        <f t="shared" si="340"/>
        <v>2034</v>
      </c>
      <c r="I337">
        <v>1</v>
      </c>
      <c r="J337">
        <f t="shared" si="343"/>
        <v>101.70699999999999</v>
      </c>
      <c r="K337">
        <f t="shared" si="344"/>
        <v>1</v>
      </c>
      <c r="L337">
        <f t="shared" si="345"/>
        <v>1.7069999999999936</v>
      </c>
    </row>
    <row r="338" spans="2:12">
      <c r="B338" s="1">
        <v>48976</v>
      </c>
      <c r="C338" t="s">
        <v>18</v>
      </c>
      <c r="D338">
        <v>12.3</v>
      </c>
      <c r="E338">
        <v>0</v>
      </c>
      <c r="F338">
        <f t="shared" si="341"/>
        <v>0</v>
      </c>
      <c r="G338">
        <f t="shared" ref="G338" si="358">D332+D333+D334+D335+D336+D337+D338</f>
        <v>146.70000000000002</v>
      </c>
      <c r="H338">
        <f t="shared" si="340"/>
        <v>2034</v>
      </c>
      <c r="I338">
        <v>1</v>
      </c>
      <c r="J338">
        <f t="shared" si="343"/>
        <v>1.7069999999999936</v>
      </c>
      <c r="K338">
        <f t="shared" si="344"/>
        <v>0</v>
      </c>
      <c r="L338">
        <f t="shared" si="345"/>
        <v>1.7069999999999936</v>
      </c>
    </row>
    <row r="339" spans="2:12">
      <c r="B339" s="1">
        <v>48977</v>
      </c>
      <c r="C339" t="s">
        <v>15</v>
      </c>
      <c r="D339">
        <v>18.5</v>
      </c>
      <c r="E339">
        <v>4.2</v>
      </c>
      <c r="F339">
        <f t="shared" si="341"/>
        <v>0.77700000000000002</v>
      </c>
      <c r="G339">
        <f t="shared" ref="G339:G402" si="359">D339</f>
        <v>18.5</v>
      </c>
      <c r="H339">
        <f t="shared" si="340"/>
        <v>2034</v>
      </c>
      <c r="I339">
        <v>1</v>
      </c>
      <c r="J339">
        <f t="shared" si="343"/>
        <v>2.4839999999999938</v>
      </c>
      <c r="K339">
        <f t="shared" si="344"/>
        <v>0</v>
      </c>
      <c r="L339">
        <f t="shared" si="345"/>
        <v>2.4839999999999938</v>
      </c>
    </row>
    <row r="340" spans="2:12">
      <c r="B340" s="1">
        <v>48978</v>
      </c>
      <c r="C340" t="s">
        <v>40</v>
      </c>
      <c r="D340">
        <v>10.3</v>
      </c>
      <c r="E340">
        <v>3.2</v>
      </c>
      <c r="F340">
        <f t="shared" si="341"/>
        <v>0.3296</v>
      </c>
      <c r="G340">
        <f t="shared" ref="G340:G403" si="360">D339+D340</f>
        <v>28.8</v>
      </c>
      <c r="H340">
        <f t="shared" si="340"/>
        <v>2034</v>
      </c>
      <c r="I340">
        <v>1</v>
      </c>
      <c r="J340">
        <f t="shared" si="343"/>
        <v>2.8135999999999939</v>
      </c>
      <c r="K340">
        <f t="shared" si="344"/>
        <v>0</v>
      </c>
      <c r="L340">
        <f t="shared" si="345"/>
        <v>2.8135999999999939</v>
      </c>
    </row>
    <row r="341" spans="2:12">
      <c r="B341" s="1">
        <v>48979</v>
      </c>
      <c r="C341" t="s">
        <v>50</v>
      </c>
      <c r="D341">
        <v>24.9</v>
      </c>
      <c r="E341">
        <v>12.1</v>
      </c>
      <c r="F341">
        <f t="shared" si="341"/>
        <v>3.0128999999999997</v>
      </c>
      <c r="G341">
        <f t="shared" ref="G341" si="361">D339+D340+D341</f>
        <v>53.7</v>
      </c>
      <c r="H341">
        <f t="shared" si="340"/>
        <v>2034</v>
      </c>
      <c r="I341">
        <v>1</v>
      </c>
      <c r="J341">
        <f t="shared" si="343"/>
        <v>5.826499999999994</v>
      </c>
      <c r="K341">
        <f t="shared" si="344"/>
        <v>0</v>
      </c>
      <c r="L341">
        <f t="shared" si="345"/>
        <v>5.826499999999994</v>
      </c>
    </row>
    <row r="342" spans="2:12">
      <c r="B342" s="1">
        <v>48980</v>
      </c>
      <c r="C342" t="s">
        <v>24</v>
      </c>
      <c r="D342">
        <v>26.4</v>
      </c>
      <c r="E342">
        <v>0</v>
      </c>
      <c r="F342">
        <f t="shared" si="341"/>
        <v>0</v>
      </c>
      <c r="G342">
        <f t="shared" ref="G342" si="362">D339+D340+D341+D342</f>
        <v>80.099999999999994</v>
      </c>
      <c r="H342">
        <f t="shared" si="340"/>
        <v>2034</v>
      </c>
      <c r="I342">
        <v>1</v>
      </c>
      <c r="J342">
        <f t="shared" si="343"/>
        <v>5.826499999999994</v>
      </c>
      <c r="K342">
        <f t="shared" si="344"/>
        <v>0</v>
      </c>
      <c r="L342">
        <f t="shared" si="345"/>
        <v>5.826499999999994</v>
      </c>
    </row>
    <row r="343" spans="2:12">
      <c r="B343" s="1">
        <v>48981</v>
      </c>
      <c r="C343" t="s">
        <v>18</v>
      </c>
      <c r="D343">
        <v>11.8</v>
      </c>
      <c r="E343">
        <v>0</v>
      </c>
      <c r="F343">
        <f t="shared" si="341"/>
        <v>0</v>
      </c>
      <c r="G343">
        <f t="shared" ref="G343" si="363">D339+D340+D341+D342+D343</f>
        <v>91.899999999999991</v>
      </c>
      <c r="H343">
        <f t="shared" si="340"/>
        <v>2034</v>
      </c>
      <c r="I343">
        <v>1</v>
      </c>
      <c r="J343">
        <f t="shared" si="343"/>
        <v>5.826499999999994</v>
      </c>
      <c r="K343">
        <f t="shared" si="344"/>
        <v>0</v>
      </c>
      <c r="L343">
        <f t="shared" si="345"/>
        <v>5.826499999999994</v>
      </c>
    </row>
    <row r="344" spans="2:12">
      <c r="B344" s="1">
        <v>48982</v>
      </c>
      <c r="C344" t="s">
        <v>17</v>
      </c>
      <c r="D344">
        <v>11</v>
      </c>
      <c r="E344">
        <v>7.5</v>
      </c>
      <c r="F344">
        <f t="shared" si="341"/>
        <v>0.82499999999999996</v>
      </c>
      <c r="G344">
        <f t="shared" ref="G344" si="364">D339+D340+D341+D342+D343+D344</f>
        <v>102.89999999999999</v>
      </c>
      <c r="H344">
        <f t="shared" si="340"/>
        <v>2034</v>
      </c>
      <c r="I344">
        <v>1</v>
      </c>
      <c r="J344">
        <f t="shared" si="343"/>
        <v>6.6514999999999942</v>
      </c>
      <c r="K344">
        <f t="shared" si="344"/>
        <v>0</v>
      </c>
      <c r="L344">
        <f t="shared" si="345"/>
        <v>6.6514999999999942</v>
      </c>
    </row>
    <row r="345" spans="2:12">
      <c r="B345" s="1">
        <v>48983</v>
      </c>
      <c r="C345" t="s">
        <v>24</v>
      </c>
      <c r="D345">
        <v>15.4</v>
      </c>
      <c r="E345">
        <v>5.2</v>
      </c>
      <c r="F345">
        <f t="shared" si="341"/>
        <v>0.80079999999999996</v>
      </c>
      <c r="G345">
        <f t="shared" ref="G345" si="365">D339+D340+D341+D342+D343+D344+D345</f>
        <v>118.3</v>
      </c>
      <c r="H345">
        <f t="shared" si="340"/>
        <v>2034</v>
      </c>
      <c r="I345">
        <v>1</v>
      </c>
      <c r="J345">
        <f t="shared" si="343"/>
        <v>7.4522999999999939</v>
      </c>
      <c r="K345">
        <f t="shared" si="344"/>
        <v>0</v>
      </c>
      <c r="L345">
        <f t="shared" si="345"/>
        <v>7.4522999999999939</v>
      </c>
    </row>
    <row r="346" spans="2:12">
      <c r="B346" s="1">
        <v>48984</v>
      </c>
      <c r="C346" t="s">
        <v>38</v>
      </c>
      <c r="D346">
        <v>25.7</v>
      </c>
      <c r="E346">
        <v>5.8</v>
      </c>
      <c r="F346">
        <f t="shared" si="341"/>
        <v>1.4905999999999999</v>
      </c>
      <c r="G346">
        <f t="shared" ref="G346:G409" si="366">D346</f>
        <v>25.7</v>
      </c>
      <c r="H346">
        <f t="shared" si="340"/>
        <v>2034</v>
      </c>
      <c r="I346">
        <v>1</v>
      </c>
      <c r="J346">
        <f t="shared" si="343"/>
        <v>8.9428999999999945</v>
      </c>
      <c r="K346">
        <f t="shared" si="344"/>
        <v>0</v>
      </c>
      <c r="L346">
        <f t="shared" si="345"/>
        <v>8.9428999999999945</v>
      </c>
    </row>
    <row r="347" spans="2:12">
      <c r="B347" s="1">
        <v>48985</v>
      </c>
      <c r="C347" t="s">
        <v>27</v>
      </c>
      <c r="D347">
        <v>14.8</v>
      </c>
      <c r="E347">
        <v>0</v>
      </c>
      <c r="F347">
        <f t="shared" si="341"/>
        <v>0</v>
      </c>
      <c r="G347">
        <f t="shared" ref="G347:G410" si="367">D346+D347</f>
        <v>40.5</v>
      </c>
      <c r="H347">
        <f t="shared" si="340"/>
        <v>2034</v>
      </c>
      <c r="I347">
        <v>1</v>
      </c>
      <c r="J347">
        <f t="shared" si="343"/>
        <v>8.9428999999999945</v>
      </c>
      <c r="K347">
        <f t="shared" si="344"/>
        <v>0</v>
      </c>
      <c r="L347">
        <f t="shared" si="345"/>
        <v>8.9428999999999945</v>
      </c>
    </row>
    <row r="348" spans="2:12">
      <c r="B348" s="1">
        <v>48986</v>
      </c>
      <c r="C348" t="s">
        <v>41</v>
      </c>
      <c r="D348">
        <v>21.5</v>
      </c>
      <c r="E348">
        <v>0.8</v>
      </c>
      <c r="F348">
        <f t="shared" si="341"/>
        <v>0</v>
      </c>
      <c r="G348">
        <f t="shared" ref="G348" si="368">D346+D347+D348</f>
        <v>62</v>
      </c>
      <c r="H348">
        <f t="shared" si="340"/>
        <v>2034</v>
      </c>
      <c r="I348">
        <v>1</v>
      </c>
      <c r="J348">
        <f t="shared" si="343"/>
        <v>8.9428999999999945</v>
      </c>
      <c r="K348">
        <f t="shared" si="344"/>
        <v>0</v>
      </c>
      <c r="L348">
        <f t="shared" si="345"/>
        <v>8.9428999999999945</v>
      </c>
    </row>
    <row r="349" spans="2:12">
      <c r="B349" s="1">
        <v>48987</v>
      </c>
      <c r="C349" t="s">
        <v>50</v>
      </c>
      <c r="D349">
        <v>26.2</v>
      </c>
      <c r="E349">
        <v>8.9</v>
      </c>
      <c r="F349">
        <f t="shared" si="341"/>
        <v>2.3317999999999999</v>
      </c>
      <c r="G349">
        <f t="shared" ref="G349" si="369">D346+D347+D348+D349</f>
        <v>88.2</v>
      </c>
      <c r="H349">
        <f t="shared" si="340"/>
        <v>2034</v>
      </c>
      <c r="I349">
        <v>1</v>
      </c>
      <c r="J349">
        <f t="shared" si="343"/>
        <v>11.274699999999994</v>
      </c>
      <c r="K349">
        <f t="shared" si="344"/>
        <v>0</v>
      </c>
      <c r="L349">
        <f t="shared" si="345"/>
        <v>11.274699999999994</v>
      </c>
    </row>
    <row r="350" spans="2:12">
      <c r="B350" s="1">
        <v>48988</v>
      </c>
      <c r="C350" t="s">
        <v>12</v>
      </c>
      <c r="D350">
        <v>20.6</v>
      </c>
      <c r="E350">
        <v>0.1</v>
      </c>
      <c r="F350">
        <f t="shared" si="341"/>
        <v>0</v>
      </c>
      <c r="G350">
        <f t="shared" ref="G350" si="370">D346+D347+D348+D349+D350</f>
        <v>108.80000000000001</v>
      </c>
      <c r="H350">
        <f t="shared" si="340"/>
        <v>2034</v>
      </c>
      <c r="I350">
        <v>1</v>
      </c>
      <c r="J350">
        <f t="shared" si="343"/>
        <v>11.274699999999994</v>
      </c>
      <c r="K350">
        <f t="shared" si="344"/>
        <v>0</v>
      </c>
      <c r="L350">
        <f t="shared" si="345"/>
        <v>11.274699999999994</v>
      </c>
    </row>
    <row r="351" spans="2:12">
      <c r="B351" s="1">
        <v>48989</v>
      </c>
      <c r="C351" t="s">
        <v>24</v>
      </c>
      <c r="D351">
        <v>14.1</v>
      </c>
      <c r="E351">
        <v>20.9</v>
      </c>
      <c r="F351">
        <f t="shared" si="341"/>
        <v>2.9468999999999999</v>
      </c>
      <c r="G351">
        <f t="shared" ref="G351" si="371">D346+D347+D348+D349+D350+D351</f>
        <v>122.9</v>
      </c>
      <c r="H351">
        <f t="shared" si="340"/>
        <v>2034</v>
      </c>
      <c r="I351">
        <v>1</v>
      </c>
      <c r="J351">
        <f t="shared" si="343"/>
        <v>14.221599999999993</v>
      </c>
      <c r="K351">
        <f t="shared" si="344"/>
        <v>0</v>
      </c>
      <c r="L351">
        <f t="shared" si="345"/>
        <v>14.221599999999993</v>
      </c>
    </row>
    <row r="352" spans="2:12">
      <c r="B352" s="1">
        <v>48990</v>
      </c>
      <c r="C352" t="s">
        <v>37</v>
      </c>
      <c r="D352">
        <v>20.8</v>
      </c>
      <c r="E352">
        <v>0.7</v>
      </c>
      <c r="F352">
        <f t="shared" si="341"/>
        <v>0</v>
      </c>
      <c r="G352">
        <f t="shared" ref="G352" si="372">D346+D347+D348+D349+D350+D351+D352</f>
        <v>143.70000000000002</v>
      </c>
      <c r="H352">
        <f t="shared" si="340"/>
        <v>2034</v>
      </c>
      <c r="I352">
        <v>1</v>
      </c>
      <c r="J352">
        <f t="shared" si="343"/>
        <v>14.221599999999993</v>
      </c>
      <c r="K352">
        <f t="shared" si="344"/>
        <v>0</v>
      </c>
      <c r="L352">
        <f t="shared" si="345"/>
        <v>14.221599999999993</v>
      </c>
    </row>
    <row r="353" spans="2:12">
      <c r="B353" s="1">
        <v>48991</v>
      </c>
      <c r="C353" t="s">
        <v>47</v>
      </c>
      <c r="D353">
        <v>17.600000000000001</v>
      </c>
      <c r="E353">
        <v>10.5</v>
      </c>
      <c r="F353">
        <f t="shared" si="341"/>
        <v>1.8480000000000001</v>
      </c>
      <c r="G353">
        <f t="shared" ref="G353:G416" si="373">D353</f>
        <v>17.600000000000001</v>
      </c>
      <c r="H353">
        <f t="shared" si="340"/>
        <v>2034</v>
      </c>
      <c r="I353">
        <v>1</v>
      </c>
      <c r="J353">
        <f t="shared" si="343"/>
        <v>16.069599999999994</v>
      </c>
      <c r="K353">
        <f t="shared" si="344"/>
        <v>0</v>
      </c>
      <c r="L353">
        <f t="shared" si="345"/>
        <v>16.069599999999994</v>
      </c>
    </row>
    <row r="354" spans="2:12">
      <c r="B354" s="1">
        <v>48992</v>
      </c>
      <c r="C354" t="s">
        <v>24</v>
      </c>
      <c r="D354">
        <v>16.8</v>
      </c>
      <c r="E354">
        <v>38.9</v>
      </c>
      <c r="F354">
        <f t="shared" si="341"/>
        <v>6.5351999999999997</v>
      </c>
      <c r="G354">
        <f t="shared" ref="G354:G417" si="374">D353+D354</f>
        <v>34.400000000000006</v>
      </c>
      <c r="H354">
        <f t="shared" si="340"/>
        <v>2034</v>
      </c>
      <c r="I354">
        <v>1</v>
      </c>
      <c r="J354">
        <f t="shared" si="343"/>
        <v>22.604799999999994</v>
      </c>
      <c r="K354">
        <f t="shared" si="344"/>
        <v>0</v>
      </c>
      <c r="L354">
        <f t="shared" si="345"/>
        <v>22.604799999999994</v>
      </c>
    </row>
    <row r="355" spans="2:12">
      <c r="B355" s="1">
        <v>48993</v>
      </c>
      <c r="C355" t="s">
        <v>12</v>
      </c>
      <c r="D355">
        <v>23.1</v>
      </c>
      <c r="E355">
        <v>0</v>
      </c>
      <c r="F355">
        <f t="shared" si="341"/>
        <v>0</v>
      </c>
      <c r="G355">
        <f t="shared" ref="G355" si="375">D353+D354+D355</f>
        <v>57.500000000000007</v>
      </c>
      <c r="H355">
        <f t="shared" si="340"/>
        <v>2034</v>
      </c>
      <c r="I355">
        <v>1</v>
      </c>
      <c r="J355">
        <f t="shared" si="343"/>
        <v>22.604799999999994</v>
      </c>
      <c r="K355">
        <f t="shared" si="344"/>
        <v>0</v>
      </c>
      <c r="L355">
        <f t="shared" si="345"/>
        <v>22.604799999999994</v>
      </c>
    </row>
    <row r="356" spans="2:12">
      <c r="B356" s="1">
        <v>48994</v>
      </c>
      <c r="C356" t="s">
        <v>38</v>
      </c>
      <c r="D356">
        <v>16.3</v>
      </c>
      <c r="E356">
        <v>3.4</v>
      </c>
      <c r="F356">
        <f t="shared" si="341"/>
        <v>0.55420000000000003</v>
      </c>
      <c r="G356">
        <f t="shared" ref="G356" si="376">D353+D354+D355+D356</f>
        <v>73.800000000000011</v>
      </c>
      <c r="H356">
        <f t="shared" si="340"/>
        <v>2034</v>
      </c>
      <c r="I356">
        <v>1</v>
      </c>
      <c r="J356">
        <f t="shared" si="343"/>
        <v>23.158999999999995</v>
      </c>
      <c r="K356">
        <f t="shared" si="344"/>
        <v>0</v>
      </c>
      <c r="L356">
        <f t="shared" si="345"/>
        <v>23.158999999999995</v>
      </c>
    </row>
    <row r="357" spans="2:12">
      <c r="B357" s="1">
        <v>48995</v>
      </c>
      <c r="C357" t="s">
        <v>18</v>
      </c>
      <c r="D357">
        <v>15.7</v>
      </c>
      <c r="E357">
        <v>10.9</v>
      </c>
      <c r="F357">
        <f t="shared" si="341"/>
        <v>1.7113</v>
      </c>
      <c r="G357">
        <f t="shared" ref="G357" si="377">D353+D354+D355+D356+D357</f>
        <v>89.500000000000014</v>
      </c>
      <c r="H357">
        <f t="shared" si="340"/>
        <v>2034</v>
      </c>
      <c r="I357">
        <v>1</v>
      </c>
      <c r="J357">
        <f t="shared" si="343"/>
        <v>24.870299999999997</v>
      </c>
      <c r="K357">
        <f t="shared" si="344"/>
        <v>0</v>
      </c>
      <c r="L357">
        <f t="shared" si="345"/>
        <v>24.870299999999997</v>
      </c>
    </row>
    <row r="358" spans="2:12">
      <c r="B358" s="1">
        <v>48996</v>
      </c>
      <c r="C358" t="s">
        <v>47</v>
      </c>
      <c r="D358">
        <v>29.3</v>
      </c>
      <c r="E358">
        <v>2.1</v>
      </c>
      <c r="F358">
        <f t="shared" si="341"/>
        <v>0.61529999999999996</v>
      </c>
      <c r="G358">
        <f t="shared" ref="G358" si="378">D353+D354+D355+D356+D357+D358</f>
        <v>118.80000000000001</v>
      </c>
      <c r="H358">
        <f t="shared" si="340"/>
        <v>2034</v>
      </c>
      <c r="I358">
        <v>1</v>
      </c>
      <c r="J358">
        <f t="shared" si="343"/>
        <v>25.485599999999998</v>
      </c>
      <c r="K358">
        <f t="shared" si="344"/>
        <v>0</v>
      </c>
      <c r="L358">
        <f t="shared" si="345"/>
        <v>25.485599999999998</v>
      </c>
    </row>
    <row r="359" spans="2:12">
      <c r="B359" s="1">
        <v>48997</v>
      </c>
      <c r="C359" t="s">
        <v>43</v>
      </c>
      <c r="D359">
        <v>24</v>
      </c>
      <c r="E359">
        <v>7.3</v>
      </c>
      <c r="F359">
        <f t="shared" si="341"/>
        <v>1.7519999999999998</v>
      </c>
      <c r="G359">
        <f t="shared" ref="G359" si="379">D353+D354+D355+D356+D357+D358+D359</f>
        <v>142.80000000000001</v>
      </c>
      <c r="H359">
        <f t="shared" si="340"/>
        <v>2034</v>
      </c>
      <c r="I359">
        <v>1</v>
      </c>
      <c r="J359">
        <f t="shared" si="343"/>
        <v>27.237599999999997</v>
      </c>
      <c r="K359">
        <f t="shared" si="344"/>
        <v>0</v>
      </c>
      <c r="L359">
        <f t="shared" si="345"/>
        <v>27.237599999999997</v>
      </c>
    </row>
    <row r="360" spans="2:12">
      <c r="B360" s="1">
        <v>48998</v>
      </c>
      <c r="C360" t="s">
        <v>17</v>
      </c>
      <c r="D360">
        <v>27</v>
      </c>
      <c r="E360">
        <v>0.6</v>
      </c>
      <c r="F360">
        <f t="shared" si="341"/>
        <v>0</v>
      </c>
      <c r="G360">
        <f t="shared" ref="G360:G423" si="380">D360</f>
        <v>27</v>
      </c>
      <c r="H360">
        <f t="shared" si="340"/>
        <v>2034</v>
      </c>
      <c r="I360">
        <v>1</v>
      </c>
      <c r="J360">
        <f t="shared" si="343"/>
        <v>27.237599999999997</v>
      </c>
      <c r="K360">
        <f t="shared" si="344"/>
        <v>0</v>
      </c>
      <c r="L360">
        <f t="shared" si="345"/>
        <v>27.237599999999997</v>
      </c>
    </row>
    <row r="361" spans="2:12">
      <c r="B361" s="1">
        <v>48999</v>
      </c>
      <c r="C361" t="s">
        <v>24</v>
      </c>
      <c r="D361">
        <v>26.3</v>
      </c>
      <c r="E361">
        <v>1.2</v>
      </c>
      <c r="F361">
        <f t="shared" si="341"/>
        <v>0.31559999999999999</v>
      </c>
      <c r="G361">
        <f t="shared" ref="G361:G424" si="381">D360+D361</f>
        <v>53.3</v>
      </c>
      <c r="H361">
        <f t="shared" si="340"/>
        <v>2034</v>
      </c>
      <c r="I361">
        <v>1</v>
      </c>
      <c r="J361">
        <f t="shared" si="343"/>
        <v>27.553199999999997</v>
      </c>
      <c r="K361">
        <f t="shared" si="344"/>
        <v>0</v>
      </c>
      <c r="L361">
        <f t="shared" si="345"/>
        <v>27.553199999999997</v>
      </c>
    </row>
    <row r="362" spans="2:12">
      <c r="B362" s="1">
        <v>49000</v>
      </c>
      <c r="C362" t="s">
        <v>32</v>
      </c>
      <c r="D362">
        <v>26.3</v>
      </c>
      <c r="E362">
        <v>8.1999999999999993</v>
      </c>
      <c r="F362">
        <f t="shared" si="341"/>
        <v>2.1566000000000001</v>
      </c>
      <c r="G362">
        <f t="shared" ref="G362" si="382">D360+D361+D362</f>
        <v>79.599999999999994</v>
      </c>
      <c r="H362">
        <f t="shared" si="340"/>
        <v>2034</v>
      </c>
      <c r="I362">
        <v>1</v>
      </c>
      <c r="J362">
        <f t="shared" si="343"/>
        <v>29.709799999999998</v>
      </c>
      <c r="K362">
        <f t="shared" si="344"/>
        <v>0</v>
      </c>
      <c r="L362">
        <f t="shared" si="345"/>
        <v>29.709799999999998</v>
      </c>
    </row>
    <row r="363" spans="2:12">
      <c r="B363" s="1">
        <v>49001</v>
      </c>
      <c r="C363" t="s">
        <v>17</v>
      </c>
      <c r="D363">
        <v>25.2</v>
      </c>
      <c r="E363">
        <v>4.7</v>
      </c>
      <c r="F363">
        <f t="shared" si="341"/>
        <v>1.1843999999999999</v>
      </c>
      <c r="G363">
        <f t="shared" ref="G363" si="383">D360+D361+D362+D363</f>
        <v>104.8</v>
      </c>
      <c r="H363">
        <f t="shared" si="340"/>
        <v>2034</v>
      </c>
      <c r="I363">
        <v>1</v>
      </c>
      <c r="J363">
        <f t="shared" si="343"/>
        <v>30.894199999999998</v>
      </c>
      <c r="K363">
        <f t="shared" si="344"/>
        <v>0</v>
      </c>
      <c r="L363">
        <f t="shared" si="345"/>
        <v>30.894199999999998</v>
      </c>
    </row>
    <row r="364" spans="2:12">
      <c r="B364" s="1">
        <v>49002</v>
      </c>
      <c r="C364" t="s">
        <v>24</v>
      </c>
      <c r="D364">
        <v>22.1</v>
      </c>
      <c r="E364">
        <v>0</v>
      </c>
      <c r="F364">
        <f t="shared" si="341"/>
        <v>0</v>
      </c>
      <c r="G364">
        <f t="shared" ref="G364" si="384">D360+D361+D362+D363+D364</f>
        <v>126.9</v>
      </c>
      <c r="H364">
        <f t="shared" si="340"/>
        <v>2034</v>
      </c>
      <c r="I364">
        <v>1</v>
      </c>
      <c r="J364">
        <f t="shared" si="343"/>
        <v>30.894199999999998</v>
      </c>
      <c r="K364">
        <f t="shared" si="344"/>
        <v>0</v>
      </c>
      <c r="L364">
        <f t="shared" si="345"/>
        <v>30.894199999999998</v>
      </c>
    </row>
    <row r="365" spans="2:12">
      <c r="B365" s="1">
        <v>49003</v>
      </c>
      <c r="C365" t="s">
        <v>24</v>
      </c>
      <c r="D365">
        <v>11.9</v>
      </c>
      <c r="E365">
        <v>41.6</v>
      </c>
      <c r="F365">
        <f t="shared" si="341"/>
        <v>4.9504000000000001</v>
      </c>
      <c r="G365">
        <f t="shared" ref="G365" si="385">D360+D361+D362+D363+D364+D365</f>
        <v>138.80000000000001</v>
      </c>
      <c r="H365">
        <f t="shared" si="340"/>
        <v>2034</v>
      </c>
      <c r="I365">
        <v>1</v>
      </c>
      <c r="J365">
        <f t="shared" si="343"/>
        <v>35.8446</v>
      </c>
      <c r="K365">
        <f t="shared" si="344"/>
        <v>0</v>
      </c>
      <c r="L365">
        <f t="shared" si="345"/>
        <v>35.8446</v>
      </c>
    </row>
    <row r="366" spans="2:12">
      <c r="B366" s="1">
        <v>49004</v>
      </c>
      <c r="C366" t="s">
        <v>27</v>
      </c>
      <c r="D366">
        <v>19.600000000000001</v>
      </c>
      <c r="E366">
        <v>0</v>
      </c>
      <c r="F366">
        <f t="shared" si="341"/>
        <v>0</v>
      </c>
      <c r="G366">
        <f t="shared" ref="G366" si="386">D360+D361+D362+D363+D364+D365+D366</f>
        <v>158.4</v>
      </c>
      <c r="H366">
        <f t="shared" si="340"/>
        <v>2034</v>
      </c>
      <c r="I366">
        <v>1</v>
      </c>
      <c r="J366">
        <f t="shared" si="343"/>
        <v>35.8446</v>
      </c>
      <c r="K366">
        <f t="shared" si="344"/>
        <v>0</v>
      </c>
      <c r="L366">
        <f t="shared" si="345"/>
        <v>35.8446</v>
      </c>
    </row>
    <row r="367" spans="2:12">
      <c r="B367" s="1">
        <v>49005</v>
      </c>
      <c r="C367" t="s">
        <v>38</v>
      </c>
      <c r="D367">
        <v>15.9</v>
      </c>
      <c r="E367">
        <v>0</v>
      </c>
      <c r="F367">
        <f t="shared" si="341"/>
        <v>0</v>
      </c>
      <c r="G367">
        <f t="shared" ref="G367:G430" si="387">D367</f>
        <v>15.9</v>
      </c>
      <c r="H367">
        <f t="shared" si="340"/>
        <v>2034</v>
      </c>
      <c r="I367">
        <v>1</v>
      </c>
      <c r="J367">
        <f t="shared" si="343"/>
        <v>35.8446</v>
      </c>
      <c r="K367">
        <f t="shared" si="344"/>
        <v>0</v>
      </c>
      <c r="L367">
        <f t="shared" si="345"/>
        <v>35.8446</v>
      </c>
    </row>
    <row r="368" spans="2:12">
      <c r="B368" s="1">
        <v>49006</v>
      </c>
      <c r="C368" t="s">
        <v>26</v>
      </c>
      <c r="D368">
        <v>24.3</v>
      </c>
      <c r="E368">
        <v>1.7</v>
      </c>
      <c r="F368">
        <f t="shared" si="341"/>
        <v>0.41310000000000002</v>
      </c>
      <c r="G368">
        <f t="shared" ref="G368:G431" si="388">D367+D368</f>
        <v>40.200000000000003</v>
      </c>
      <c r="H368">
        <f t="shared" si="340"/>
        <v>2034</v>
      </c>
      <c r="I368">
        <v>1</v>
      </c>
      <c r="J368">
        <f t="shared" si="343"/>
        <v>36.2577</v>
      </c>
      <c r="K368">
        <f t="shared" si="344"/>
        <v>0</v>
      </c>
      <c r="L368">
        <f t="shared" si="345"/>
        <v>36.2577</v>
      </c>
    </row>
    <row r="369" spans="2:12">
      <c r="B369" s="1">
        <v>49007</v>
      </c>
      <c r="C369" t="s">
        <v>31</v>
      </c>
      <c r="D369">
        <v>20</v>
      </c>
      <c r="E369">
        <v>0</v>
      </c>
      <c r="F369">
        <f t="shared" si="341"/>
        <v>0</v>
      </c>
      <c r="G369">
        <f t="shared" ref="G369" si="389">D367+D368+D369</f>
        <v>60.2</v>
      </c>
      <c r="H369">
        <f t="shared" si="340"/>
        <v>2034</v>
      </c>
      <c r="I369">
        <v>1</v>
      </c>
      <c r="J369">
        <f t="shared" si="343"/>
        <v>36.2577</v>
      </c>
      <c r="K369">
        <f t="shared" si="344"/>
        <v>0</v>
      </c>
      <c r="L369">
        <f t="shared" si="345"/>
        <v>36.2577</v>
      </c>
    </row>
    <row r="370" spans="2:12">
      <c r="B370" s="1">
        <v>49008</v>
      </c>
      <c r="C370" t="s">
        <v>24</v>
      </c>
      <c r="D370">
        <v>14.2</v>
      </c>
      <c r="E370">
        <v>32.200000000000003</v>
      </c>
      <c r="F370">
        <f t="shared" si="341"/>
        <v>4.5724</v>
      </c>
      <c r="G370">
        <f t="shared" ref="G370" si="390">D367+D368+D369+D370</f>
        <v>74.400000000000006</v>
      </c>
      <c r="H370">
        <f t="shared" si="340"/>
        <v>2034</v>
      </c>
      <c r="I370">
        <v>1</v>
      </c>
      <c r="J370">
        <f t="shared" si="343"/>
        <v>40.830100000000002</v>
      </c>
      <c r="K370">
        <f t="shared" si="344"/>
        <v>0</v>
      </c>
      <c r="L370">
        <f t="shared" si="345"/>
        <v>40.830100000000002</v>
      </c>
    </row>
    <row r="371" spans="2:12">
      <c r="B371" s="1">
        <v>49009</v>
      </c>
      <c r="C371" t="s">
        <v>18</v>
      </c>
      <c r="D371">
        <v>20.5</v>
      </c>
      <c r="E371">
        <v>18.3</v>
      </c>
      <c r="F371">
        <f t="shared" si="341"/>
        <v>3.7515000000000005</v>
      </c>
      <c r="G371">
        <f t="shared" ref="G371" si="391">D367+D368+D369+D370+D371</f>
        <v>94.9</v>
      </c>
      <c r="H371">
        <f t="shared" si="340"/>
        <v>2034</v>
      </c>
      <c r="I371">
        <v>1</v>
      </c>
      <c r="J371">
        <f t="shared" si="343"/>
        <v>44.581600000000002</v>
      </c>
      <c r="K371">
        <f t="shared" si="344"/>
        <v>0</v>
      </c>
      <c r="L371">
        <f t="shared" si="345"/>
        <v>44.581600000000002</v>
      </c>
    </row>
    <row r="372" spans="2:12">
      <c r="B372" s="1">
        <v>49010</v>
      </c>
      <c r="C372" t="s">
        <v>24</v>
      </c>
      <c r="D372">
        <v>22.4</v>
      </c>
      <c r="E372">
        <v>0</v>
      </c>
      <c r="F372">
        <f t="shared" si="341"/>
        <v>0</v>
      </c>
      <c r="G372">
        <f t="shared" ref="G372" si="392">D367+D368+D369+D370+D371+D372</f>
        <v>117.30000000000001</v>
      </c>
      <c r="H372">
        <f t="shared" si="340"/>
        <v>2034</v>
      </c>
      <c r="I372">
        <v>1</v>
      </c>
      <c r="J372">
        <f t="shared" si="343"/>
        <v>44.581600000000002</v>
      </c>
      <c r="K372">
        <f t="shared" si="344"/>
        <v>0</v>
      </c>
      <c r="L372">
        <f t="shared" si="345"/>
        <v>44.581600000000002</v>
      </c>
    </row>
    <row r="373" spans="2:12">
      <c r="B373" s="1">
        <v>49011</v>
      </c>
      <c r="C373" t="s">
        <v>43</v>
      </c>
      <c r="D373">
        <v>19.100000000000001</v>
      </c>
      <c r="E373">
        <v>0</v>
      </c>
      <c r="F373">
        <f t="shared" si="341"/>
        <v>0</v>
      </c>
      <c r="G373">
        <f t="shared" ref="G373" si="393">D367+D368+D369+D370+D371+D372+D373</f>
        <v>136.4</v>
      </c>
      <c r="H373">
        <f t="shared" si="340"/>
        <v>2034</v>
      </c>
      <c r="I373">
        <v>1</v>
      </c>
      <c r="J373">
        <f t="shared" si="343"/>
        <v>44.581600000000002</v>
      </c>
      <c r="K373">
        <f t="shared" si="344"/>
        <v>0</v>
      </c>
      <c r="L373">
        <f t="shared" si="345"/>
        <v>44.581600000000002</v>
      </c>
    </row>
    <row r="374" spans="2:12">
      <c r="B374" s="1">
        <v>49012</v>
      </c>
      <c r="C374" t="s">
        <v>32</v>
      </c>
      <c r="D374">
        <v>20.399999999999999</v>
      </c>
      <c r="E374">
        <v>4.3</v>
      </c>
      <c r="F374">
        <f t="shared" si="341"/>
        <v>0.87719999999999987</v>
      </c>
      <c r="G374">
        <f t="shared" ref="G374:G437" si="394">D374</f>
        <v>20.399999999999999</v>
      </c>
      <c r="H374">
        <f t="shared" si="340"/>
        <v>2034</v>
      </c>
      <c r="I374">
        <v>1</v>
      </c>
      <c r="J374">
        <f t="shared" si="343"/>
        <v>45.458800000000004</v>
      </c>
      <c r="K374">
        <f t="shared" si="344"/>
        <v>0</v>
      </c>
      <c r="L374">
        <f t="shared" si="345"/>
        <v>45.458800000000004</v>
      </c>
    </row>
    <row r="375" spans="2:12">
      <c r="B375" s="1">
        <v>49013</v>
      </c>
      <c r="C375" t="s">
        <v>50</v>
      </c>
      <c r="D375">
        <v>29.8</v>
      </c>
      <c r="E375">
        <v>0</v>
      </c>
      <c r="F375">
        <f t="shared" si="341"/>
        <v>0</v>
      </c>
      <c r="G375">
        <f t="shared" ref="G375:G438" si="395">D374+D375</f>
        <v>50.2</v>
      </c>
      <c r="H375">
        <f t="shared" si="340"/>
        <v>2034</v>
      </c>
      <c r="I375">
        <v>1</v>
      </c>
      <c r="J375">
        <f t="shared" si="343"/>
        <v>45.458800000000004</v>
      </c>
      <c r="K375">
        <f t="shared" si="344"/>
        <v>0</v>
      </c>
      <c r="L375">
        <f t="shared" si="345"/>
        <v>45.458800000000004</v>
      </c>
    </row>
    <row r="376" spans="2:12">
      <c r="B376" s="1">
        <v>49014</v>
      </c>
      <c r="C376" t="s">
        <v>48</v>
      </c>
      <c r="D376">
        <v>13.7</v>
      </c>
      <c r="E376">
        <v>0.7</v>
      </c>
      <c r="F376">
        <f t="shared" si="341"/>
        <v>0</v>
      </c>
      <c r="G376">
        <f t="shared" ref="G376" si="396">D374+D375+D376</f>
        <v>63.900000000000006</v>
      </c>
      <c r="H376">
        <f t="shared" si="340"/>
        <v>2034</v>
      </c>
      <c r="I376">
        <v>1</v>
      </c>
      <c r="J376">
        <f t="shared" si="343"/>
        <v>45.458800000000004</v>
      </c>
      <c r="K376">
        <f t="shared" si="344"/>
        <v>0</v>
      </c>
      <c r="L376">
        <f t="shared" si="345"/>
        <v>45.458800000000004</v>
      </c>
    </row>
    <row r="377" spans="2:12">
      <c r="B377" s="1">
        <v>49015</v>
      </c>
      <c r="C377" t="s">
        <v>19</v>
      </c>
      <c r="D377">
        <v>20.2</v>
      </c>
      <c r="E377">
        <v>3.7</v>
      </c>
      <c r="F377">
        <f t="shared" si="341"/>
        <v>0.74739999999999995</v>
      </c>
      <c r="G377">
        <f t="shared" ref="G377" si="397">D374+D375+D376+D377</f>
        <v>84.100000000000009</v>
      </c>
      <c r="H377">
        <f t="shared" si="340"/>
        <v>2034</v>
      </c>
      <c r="I377">
        <v>1</v>
      </c>
      <c r="J377">
        <f t="shared" si="343"/>
        <v>46.206200000000003</v>
      </c>
      <c r="K377">
        <f t="shared" si="344"/>
        <v>0</v>
      </c>
      <c r="L377">
        <f t="shared" si="345"/>
        <v>46.206200000000003</v>
      </c>
    </row>
    <row r="378" spans="2:12">
      <c r="B378" s="1">
        <v>49016</v>
      </c>
      <c r="C378" t="s">
        <v>25</v>
      </c>
      <c r="D378">
        <v>18.2</v>
      </c>
      <c r="E378">
        <v>1.6</v>
      </c>
      <c r="F378">
        <f t="shared" si="341"/>
        <v>0.29120000000000001</v>
      </c>
      <c r="G378">
        <f t="shared" ref="G378" si="398">D374+D375+D376+D377+D378</f>
        <v>102.30000000000001</v>
      </c>
      <c r="H378">
        <f t="shared" si="340"/>
        <v>2034</v>
      </c>
      <c r="I378">
        <v>1</v>
      </c>
      <c r="J378">
        <f t="shared" si="343"/>
        <v>46.497400000000006</v>
      </c>
      <c r="K378">
        <f t="shared" si="344"/>
        <v>0</v>
      </c>
      <c r="L378">
        <f t="shared" si="345"/>
        <v>46.497400000000006</v>
      </c>
    </row>
    <row r="379" spans="2:12">
      <c r="B379" s="1">
        <v>49017</v>
      </c>
      <c r="C379" t="s">
        <v>27</v>
      </c>
      <c r="D379">
        <v>14.2</v>
      </c>
      <c r="E379">
        <v>2</v>
      </c>
      <c r="F379">
        <f t="shared" si="341"/>
        <v>0.28399999999999997</v>
      </c>
      <c r="G379">
        <f t="shared" ref="G379" si="399">D374+D375+D376+D377+D378+D379</f>
        <v>116.50000000000001</v>
      </c>
      <c r="H379">
        <f t="shared" si="340"/>
        <v>2034</v>
      </c>
      <c r="I379">
        <v>1</v>
      </c>
      <c r="J379">
        <f t="shared" si="343"/>
        <v>46.781400000000005</v>
      </c>
      <c r="K379">
        <f t="shared" si="344"/>
        <v>0</v>
      </c>
      <c r="L379">
        <f t="shared" si="345"/>
        <v>46.781400000000005</v>
      </c>
    </row>
    <row r="380" spans="2:12">
      <c r="B380" s="1">
        <v>49018</v>
      </c>
      <c r="C380" t="s">
        <v>32</v>
      </c>
      <c r="D380">
        <v>11.2</v>
      </c>
      <c r="E380">
        <v>14.3</v>
      </c>
      <c r="F380">
        <f t="shared" si="341"/>
        <v>1.6015999999999999</v>
      </c>
      <c r="G380">
        <f t="shared" ref="G380" si="400">D374+D375+D376+D377+D378+D379+D380</f>
        <v>127.70000000000002</v>
      </c>
      <c r="H380">
        <f t="shared" si="340"/>
        <v>2034</v>
      </c>
      <c r="I380">
        <v>1</v>
      </c>
      <c r="J380">
        <f t="shared" si="343"/>
        <v>48.383000000000003</v>
      </c>
      <c r="K380">
        <f t="shared" si="344"/>
        <v>0</v>
      </c>
      <c r="L380">
        <f t="shared" si="345"/>
        <v>48.383000000000003</v>
      </c>
    </row>
    <row r="381" spans="2:12">
      <c r="B381" s="1">
        <v>49019</v>
      </c>
      <c r="C381" t="s">
        <v>45</v>
      </c>
      <c r="D381">
        <v>13.9</v>
      </c>
      <c r="E381">
        <v>0.2</v>
      </c>
      <c r="F381">
        <f t="shared" si="341"/>
        <v>0</v>
      </c>
      <c r="G381">
        <f t="shared" ref="G381:G444" si="401">D381</f>
        <v>13.9</v>
      </c>
      <c r="H381">
        <f t="shared" si="340"/>
        <v>2034</v>
      </c>
      <c r="I381">
        <v>1</v>
      </c>
      <c r="J381">
        <f t="shared" si="343"/>
        <v>48.383000000000003</v>
      </c>
      <c r="K381">
        <f t="shared" si="344"/>
        <v>0</v>
      </c>
      <c r="L381">
        <f t="shared" si="345"/>
        <v>48.383000000000003</v>
      </c>
    </row>
    <row r="382" spans="2:12">
      <c r="B382" s="1">
        <v>49020</v>
      </c>
      <c r="C382" t="s">
        <v>25</v>
      </c>
      <c r="D382">
        <v>22.6</v>
      </c>
      <c r="E382">
        <v>15.1</v>
      </c>
      <c r="F382">
        <f t="shared" si="341"/>
        <v>3.4125999999999999</v>
      </c>
      <c r="G382">
        <f t="shared" ref="G382:G445" si="402">D381+D382</f>
        <v>36.5</v>
      </c>
      <c r="H382">
        <f t="shared" si="340"/>
        <v>2034</v>
      </c>
      <c r="I382">
        <v>1</v>
      </c>
      <c r="J382">
        <f t="shared" si="343"/>
        <v>51.7956</v>
      </c>
      <c r="K382">
        <f t="shared" si="344"/>
        <v>0</v>
      </c>
      <c r="L382">
        <f t="shared" si="345"/>
        <v>51.7956</v>
      </c>
    </row>
    <row r="383" spans="2:12">
      <c r="B383" s="1">
        <v>49021</v>
      </c>
      <c r="C383" t="s">
        <v>32</v>
      </c>
      <c r="D383">
        <v>29.8</v>
      </c>
      <c r="E383">
        <v>0</v>
      </c>
      <c r="F383">
        <f t="shared" si="341"/>
        <v>0</v>
      </c>
      <c r="G383">
        <f t="shared" ref="G383" si="403">D381+D382+D383</f>
        <v>66.3</v>
      </c>
      <c r="H383">
        <f t="shared" si="340"/>
        <v>2034</v>
      </c>
      <c r="I383">
        <v>1</v>
      </c>
      <c r="J383">
        <f t="shared" si="343"/>
        <v>51.7956</v>
      </c>
      <c r="K383">
        <f t="shared" si="344"/>
        <v>0</v>
      </c>
      <c r="L383">
        <f t="shared" si="345"/>
        <v>51.7956</v>
      </c>
    </row>
    <row r="384" spans="2:12">
      <c r="B384" s="1">
        <v>49022</v>
      </c>
      <c r="C384" t="s">
        <v>40</v>
      </c>
      <c r="D384">
        <v>12.7</v>
      </c>
      <c r="E384">
        <v>2.6</v>
      </c>
      <c r="F384">
        <f t="shared" si="341"/>
        <v>0.33019999999999994</v>
      </c>
      <c r="G384">
        <f t="shared" ref="G384" si="404">D381+D382+D383+D384</f>
        <v>79</v>
      </c>
      <c r="H384">
        <f t="shared" si="340"/>
        <v>2034</v>
      </c>
      <c r="I384">
        <v>1</v>
      </c>
      <c r="J384">
        <f t="shared" si="343"/>
        <v>52.125799999999998</v>
      </c>
      <c r="K384">
        <f t="shared" si="344"/>
        <v>0</v>
      </c>
      <c r="L384">
        <f t="shared" si="345"/>
        <v>52.125799999999998</v>
      </c>
    </row>
    <row r="385" spans="2:12">
      <c r="B385" s="1">
        <v>49023</v>
      </c>
      <c r="C385" t="s">
        <v>38</v>
      </c>
      <c r="D385">
        <v>14.4</v>
      </c>
      <c r="E385">
        <v>0</v>
      </c>
      <c r="F385">
        <f t="shared" si="341"/>
        <v>0</v>
      </c>
      <c r="G385">
        <f t="shared" ref="G385" si="405">D381+D382+D383+D384+D385</f>
        <v>93.4</v>
      </c>
      <c r="H385">
        <f t="shared" si="340"/>
        <v>2034</v>
      </c>
      <c r="I385">
        <v>1</v>
      </c>
      <c r="J385">
        <f t="shared" si="343"/>
        <v>52.125799999999998</v>
      </c>
      <c r="K385">
        <f t="shared" si="344"/>
        <v>0</v>
      </c>
      <c r="L385">
        <f t="shared" si="345"/>
        <v>52.125799999999998</v>
      </c>
    </row>
    <row r="386" spans="2:12">
      <c r="B386" s="1">
        <v>49024</v>
      </c>
      <c r="C386" t="s">
        <v>48</v>
      </c>
      <c r="D386">
        <v>18.399999999999999</v>
      </c>
      <c r="E386">
        <v>0.2</v>
      </c>
      <c r="F386">
        <f t="shared" si="341"/>
        <v>0</v>
      </c>
      <c r="G386">
        <f t="shared" ref="G386" si="406">D381+D382+D383+D384+D385+D386</f>
        <v>111.80000000000001</v>
      </c>
      <c r="H386">
        <f t="shared" si="340"/>
        <v>2034</v>
      </c>
      <c r="I386">
        <v>1</v>
      </c>
      <c r="J386">
        <f t="shared" si="343"/>
        <v>52.125799999999998</v>
      </c>
      <c r="K386">
        <f t="shared" si="344"/>
        <v>0</v>
      </c>
      <c r="L386">
        <f t="shared" si="345"/>
        <v>52.125799999999998</v>
      </c>
    </row>
    <row r="387" spans="2:12">
      <c r="B387" s="1">
        <v>49025</v>
      </c>
      <c r="C387" t="s">
        <v>21</v>
      </c>
      <c r="D387">
        <v>27.2</v>
      </c>
      <c r="E387">
        <v>9.6</v>
      </c>
      <c r="F387">
        <f t="shared" si="341"/>
        <v>2.6112000000000002</v>
      </c>
      <c r="G387">
        <f t="shared" ref="G387" si="407">D381+D382+D383+D384+D385+D386+D387</f>
        <v>139</v>
      </c>
      <c r="H387">
        <f t="shared" si="340"/>
        <v>2034</v>
      </c>
      <c r="I387">
        <v>1</v>
      </c>
      <c r="J387">
        <f t="shared" si="343"/>
        <v>54.736999999999995</v>
      </c>
      <c r="K387">
        <f t="shared" si="344"/>
        <v>0</v>
      </c>
      <c r="L387">
        <f t="shared" si="345"/>
        <v>54.736999999999995</v>
      </c>
    </row>
    <row r="388" spans="2:12">
      <c r="B388" s="1">
        <v>49026</v>
      </c>
      <c r="C388" t="s">
        <v>43</v>
      </c>
      <c r="D388">
        <v>12.5</v>
      </c>
      <c r="E388">
        <v>8.8000000000000007</v>
      </c>
      <c r="F388">
        <f t="shared" si="341"/>
        <v>1.1000000000000001</v>
      </c>
      <c r="G388">
        <f t="shared" ref="G388:G451" si="408">D388</f>
        <v>12.5</v>
      </c>
      <c r="H388">
        <f t="shared" ref="H388:H451" si="409">YEAR(B388)</f>
        <v>2034</v>
      </c>
      <c r="I388">
        <v>1</v>
      </c>
      <c r="J388">
        <f t="shared" si="343"/>
        <v>55.836999999999996</v>
      </c>
      <c r="K388">
        <f t="shared" si="344"/>
        <v>0</v>
      </c>
      <c r="L388">
        <f t="shared" si="345"/>
        <v>55.836999999999996</v>
      </c>
    </row>
    <row r="389" spans="2:12">
      <c r="B389" s="1">
        <v>49027</v>
      </c>
      <c r="C389" t="s">
        <v>36</v>
      </c>
      <c r="D389">
        <v>22.6</v>
      </c>
      <c r="E389">
        <v>3.5</v>
      </c>
      <c r="F389">
        <f t="shared" ref="F389:F452" si="410">IF(E389&gt;=1,D389*E389/100,0)</f>
        <v>0.79100000000000004</v>
      </c>
      <c r="G389">
        <f t="shared" ref="G389:G452" si="411">D388+D389</f>
        <v>35.1</v>
      </c>
      <c r="H389">
        <f t="shared" si="409"/>
        <v>2034</v>
      </c>
      <c r="I389">
        <v>1</v>
      </c>
      <c r="J389">
        <f t="shared" ref="J389:J452" si="412">L388+F389</f>
        <v>56.627999999999993</v>
      </c>
      <c r="K389">
        <f t="shared" ref="K389:K452" si="413">IF(J389&gt;=100,1,0)</f>
        <v>0</v>
      </c>
      <c r="L389">
        <f t="shared" ref="L389:L452" si="414">IF(K389=1,J389-100,J389)</f>
        <v>56.627999999999993</v>
      </c>
    </row>
    <row r="390" spans="2:12">
      <c r="B390" s="1">
        <v>49028</v>
      </c>
      <c r="C390" t="s">
        <v>18</v>
      </c>
      <c r="D390">
        <v>21.8</v>
      </c>
      <c r="E390">
        <v>6.5</v>
      </c>
      <c r="F390">
        <f t="shared" si="410"/>
        <v>1.4170000000000003</v>
      </c>
      <c r="G390">
        <f t="shared" ref="G390" si="415">D388+D389+D390</f>
        <v>56.900000000000006</v>
      </c>
      <c r="H390">
        <f t="shared" si="409"/>
        <v>2034</v>
      </c>
      <c r="I390">
        <v>1</v>
      </c>
      <c r="J390">
        <f t="shared" si="412"/>
        <v>58.044999999999995</v>
      </c>
      <c r="K390">
        <f t="shared" si="413"/>
        <v>0</v>
      </c>
      <c r="L390">
        <f t="shared" si="414"/>
        <v>58.044999999999995</v>
      </c>
    </row>
    <row r="391" spans="2:12">
      <c r="B391" s="1">
        <v>49029</v>
      </c>
      <c r="C391" t="s">
        <v>35</v>
      </c>
      <c r="D391">
        <v>17.2</v>
      </c>
      <c r="E391">
        <v>0</v>
      </c>
      <c r="F391">
        <f t="shared" si="410"/>
        <v>0</v>
      </c>
      <c r="G391">
        <f t="shared" ref="G391" si="416">D388+D389+D390+D391</f>
        <v>74.100000000000009</v>
      </c>
      <c r="H391">
        <f t="shared" si="409"/>
        <v>2034</v>
      </c>
      <c r="I391">
        <v>1</v>
      </c>
      <c r="J391">
        <f t="shared" si="412"/>
        <v>58.044999999999995</v>
      </c>
      <c r="K391">
        <f t="shared" si="413"/>
        <v>0</v>
      </c>
      <c r="L391">
        <f t="shared" si="414"/>
        <v>58.044999999999995</v>
      </c>
    </row>
    <row r="392" spans="2:12">
      <c r="B392" s="1">
        <v>49030</v>
      </c>
      <c r="C392" t="s">
        <v>27</v>
      </c>
      <c r="D392">
        <v>13.4</v>
      </c>
      <c r="E392">
        <v>14.1</v>
      </c>
      <c r="F392">
        <f t="shared" si="410"/>
        <v>1.8894</v>
      </c>
      <c r="G392">
        <f t="shared" ref="G392" si="417">D388+D389+D390+D391+D392</f>
        <v>87.500000000000014</v>
      </c>
      <c r="H392">
        <f t="shared" si="409"/>
        <v>2034</v>
      </c>
      <c r="I392">
        <v>1</v>
      </c>
      <c r="J392">
        <f t="shared" si="412"/>
        <v>59.934399999999997</v>
      </c>
      <c r="K392">
        <f t="shared" si="413"/>
        <v>0</v>
      </c>
      <c r="L392">
        <f t="shared" si="414"/>
        <v>59.934399999999997</v>
      </c>
    </row>
    <row r="393" spans="2:12">
      <c r="B393" s="1">
        <v>49031</v>
      </c>
      <c r="C393" t="s">
        <v>21</v>
      </c>
      <c r="D393">
        <v>13.8</v>
      </c>
      <c r="E393">
        <v>9.9</v>
      </c>
      <c r="F393">
        <f t="shared" si="410"/>
        <v>1.3662000000000001</v>
      </c>
      <c r="G393">
        <f t="shared" ref="G393" si="418">D388+D389+D390+D391+D392+D393</f>
        <v>101.30000000000001</v>
      </c>
      <c r="H393">
        <f t="shared" si="409"/>
        <v>2034</v>
      </c>
      <c r="I393">
        <v>1</v>
      </c>
      <c r="J393">
        <f t="shared" si="412"/>
        <v>61.300599999999996</v>
      </c>
      <c r="K393">
        <f t="shared" si="413"/>
        <v>0</v>
      </c>
      <c r="L393">
        <f t="shared" si="414"/>
        <v>61.300599999999996</v>
      </c>
    </row>
    <row r="394" spans="2:12">
      <c r="B394" s="1">
        <v>49032</v>
      </c>
      <c r="C394" t="s">
        <v>37</v>
      </c>
      <c r="D394">
        <v>10.6</v>
      </c>
      <c r="E394">
        <v>1.2</v>
      </c>
      <c r="F394">
        <f t="shared" si="410"/>
        <v>0.12719999999999998</v>
      </c>
      <c r="G394">
        <f t="shared" ref="G394" si="419">D388+D389+D390+D391+D392+D393+D394</f>
        <v>111.9</v>
      </c>
      <c r="H394">
        <f t="shared" si="409"/>
        <v>2034</v>
      </c>
      <c r="I394">
        <v>1</v>
      </c>
      <c r="J394">
        <f t="shared" si="412"/>
        <v>61.427799999999998</v>
      </c>
      <c r="K394">
        <f t="shared" si="413"/>
        <v>0</v>
      </c>
      <c r="L394">
        <f t="shared" si="414"/>
        <v>61.427799999999998</v>
      </c>
    </row>
    <row r="395" spans="2:12">
      <c r="B395" s="1">
        <v>49033</v>
      </c>
      <c r="C395" t="s">
        <v>33</v>
      </c>
      <c r="D395">
        <v>28.8</v>
      </c>
      <c r="E395">
        <v>0.1</v>
      </c>
      <c r="F395">
        <f t="shared" si="410"/>
        <v>0</v>
      </c>
      <c r="G395">
        <f t="shared" ref="G395:G458" si="420">D395</f>
        <v>28.8</v>
      </c>
      <c r="H395">
        <f t="shared" si="409"/>
        <v>2034</v>
      </c>
      <c r="I395">
        <v>1</v>
      </c>
      <c r="J395">
        <f t="shared" si="412"/>
        <v>61.427799999999998</v>
      </c>
      <c r="K395">
        <f t="shared" si="413"/>
        <v>0</v>
      </c>
      <c r="L395">
        <f t="shared" si="414"/>
        <v>61.427799999999998</v>
      </c>
    </row>
    <row r="396" spans="2:12">
      <c r="B396" s="1">
        <v>49034</v>
      </c>
      <c r="C396" t="s">
        <v>23</v>
      </c>
      <c r="D396">
        <v>16.899999999999999</v>
      </c>
      <c r="E396">
        <v>0.7</v>
      </c>
      <c r="F396">
        <f t="shared" si="410"/>
        <v>0</v>
      </c>
      <c r="G396">
        <f t="shared" ref="G396:G459" si="421">D395+D396</f>
        <v>45.7</v>
      </c>
      <c r="H396">
        <f t="shared" si="409"/>
        <v>2034</v>
      </c>
      <c r="I396">
        <v>1</v>
      </c>
      <c r="J396">
        <f t="shared" si="412"/>
        <v>61.427799999999998</v>
      </c>
      <c r="K396">
        <f t="shared" si="413"/>
        <v>0</v>
      </c>
      <c r="L396">
        <f t="shared" si="414"/>
        <v>61.427799999999998</v>
      </c>
    </row>
    <row r="397" spans="2:12">
      <c r="B397" s="1">
        <v>49035</v>
      </c>
      <c r="C397" t="s">
        <v>47</v>
      </c>
      <c r="D397">
        <v>11.2</v>
      </c>
      <c r="E397">
        <v>4.8</v>
      </c>
      <c r="F397">
        <f t="shared" si="410"/>
        <v>0.53759999999999997</v>
      </c>
      <c r="G397">
        <f t="shared" ref="G397" si="422">D395+D396+D397</f>
        <v>56.900000000000006</v>
      </c>
      <c r="H397">
        <f t="shared" si="409"/>
        <v>2034</v>
      </c>
      <c r="I397">
        <v>1</v>
      </c>
      <c r="J397">
        <f t="shared" si="412"/>
        <v>61.965399999999995</v>
      </c>
      <c r="K397">
        <f t="shared" si="413"/>
        <v>0</v>
      </c>
      <c r="L397">
        <f t="shared" si="414"/>
        <v>61.965399999999995</v>
      </c>
    </row>
    <row r="398" spans="2:12">
      <c r="B398" s="1">
        <v>49036</v>
      </c>
      <c r="C398" t="s">
        <v>24</v>
      </c>
      <c r="D398">
        <v>13.9</v>
      </c>
      <c r="E398">
        <v>23</v>
      </c>
      <c r="F398">
        <f t="shared" si="410"/>
        <v>3.1970000000000001</v>
      </c>
      <c r="G398">
        <f t="shared" ref="G398" si="423">D395+D396+D397+D398</f>
        <v>70.800000000000011</v>
      </c>
      <c r="H398">
        <f t="shared" si="409"/>
        <v>2034</v>
      </c>
      <c r="I398">
        <v>1</v>
      </c>
      <c r="J398">
        <f t="shared" si="412"/>
        <v>65.162399999999991</v>
      </c>
      <c r="K398">
        <f t="shared" si="413"/>
        <v>0</v>
      </c>
      <c r="L398">
        <f t="shared" si="414"/>
        <v>65.162399999999991</v>
      </c>
    </row>
    <row r="399" spans="2:12">
      <c r="B399" s="1">
        <v>49037</v>
      </c>
      <c r="C399" t="s">
        <v>25</v>
      </c>
      <c r="D399">
        <v>25.3</v>
      </c>
      <c r="E399">
        <v>21.9</v>
      </c>
      <c r="F399">
        <f t="shared" si="410"/>
        <v>5.5406999999999993</v>
      </c>
      <c r="G399">
        <f t="shared" ref="G399" si="424">D395+D396+D397+D398+D399</f>
        <v>96.100000000000009</v>
      </c>
      <c r="H399">
        <f t="shared" si="409"/>
        <v>2034</v>
      </c>
      <c r="I399">
        <v>1</v>
      </c>
      <c r="J399">
        <f t="shared" si="412"/>
        <v>70.703099999999992</v>
      </c>
      <c r="K399">
        <f t="shared" si="413"/>
        <v>0</v>
      </c>
      <c r="L399">
        <f t="shared" si="414"/>
        <v>70.703099999999992</v>
      </c>
    </row>
    <row r="400" spans="2:12">
      <c r="B400" s="1">
        <v>49038</v>
      </c>
      <c r="C400" t="s">
        <v>24</v>
      </c>
      <c r="D400">
        <v>14.7</v>
      </c>
      <c r="E400">
        <v>0</v>
      </c>
      <c r="F400">
        <f t="shared" si="410"/>
        <v>0</v>
      </c>
      <c r="G400">
        <f t="shared" ref="G400" si="425">D395+D396+D397+D398+D399+D400</f>
        <v>110.80000000000001</v>
      </c>
      <c r="H400">
        <f t="shared" si="409"/>
        <v>2034</v>
      </c>
      <c r="I400">
        <v>1</v>
      </c>
      <c r="J400">
        <f t="shared" si="412"/>
        <v>70.703099999999992</v>
      </c>
      <c r="K400">
        <f t="shared" si="413"/>
        <v>0</v>
      </c>
      <c r="L400">
        <f t="shared" si="414"/>
        <v>70.703099999999992</v>
      </c>
    </row>
    <row r="401" spans="2:12">
      <c r="B401" s="1">
        <v>49039</v>
      </c>
      <c r="C401" t="s">
        <v>26</v>
      </c>
      <c r="D401">
        <v>20.3</v>
      </c>
      <c r="E401">
        <v>5.3</v>
      </c>
      <c r="F401">
        <f t="shared" si="410"/>
        <v>1.0759000000000001</v>
      </c>
      <c r="G401">
        <f t="shared" ref="G401" si="426">D395+D396+D397+D398+D399+D400+D401</f>
        <v>131.10000000000002</v>
      </c>
      <c r="H401">
        <f t="shared" si="409"/>
        <v>2034</v>
      </c>
      <c r="I401">
        <v>1</v>
      </c>
      <c r="J401">
        <f t="shared" si="412"/>
        <v>71.778999999999996</v>
      </c>
      <c r="K401">
        <f t="shared" si="413"/>
        <v>0</v>
      </c>
      <c r="L401">
        <f t="shared" si="414"/>
        <v>71.778999999999996</v>
      </c>
    </row>
    <row r="402" spans="2:12">
      <c r="B402" s="1">
        <v>49040</v>
      </c>
      <c r="C402" t="s">
        <v>32</v>
      </c>
      <c r="D402">
        <v>25</v>
      </c>
      <c r="E402">
        <v>3.8</v>
      </c>
      <c r="F402">
        <f t="shared" si="410"/>
        <v>0.95</v>
      </c>
      <c r="G402">
        <f t="shared" ref="G402:G465" si="427">D402</f>
        <v>25</v>
      </c>
      <c r="H402">
        <f t="shared" si="409"/>
        <v>2034</v>
      </c>
      <c r="I402">
        <v>1</v>
      </c>
      <c r="J402">
        <f t="shared" si="412"/>
        <v>72.728999999999999</v>
      </c>
      <c r="K402">
        <f t="shared" si="413"/>
        <v>0</v>
      </c>
      <c r="L402">
        <f t="shared" si="414"/>
        <v>72.728999999999999</v>
      </c>
    </row>
    <row r="403" spans="2:12">
      <c r="B403" s="1">
        <v>49041</v>
      </c>
      <c r="C403" t="s">
        <v>47</v>
      </c>
      <c r="D403">
        <v>19.600000000000001</v>
      </c>
      <c r="E403">
        <v>0.6</v>
      </c>
      <c r="F403">
        <f t="shared" si="410"/>
        <v>0</v>
      </c>
      <c r="G403">
        <f t="shared" ref="G403:G466" si="428">D402+D403</f>
        <v>44.6</v>
      </c>
      <c r="H403">
        <f t="shared" si="409"/>
        <v>2034</v>
      </c>
      <c r="I403">
        <v>1</v>
      </c>
      <c r="J403">
        <f t="shared" si="412"/>
        <v>72.728999999999999</v>
      </c>
      <c r="K403">
        <f t="shared" si="413"/>
        <v>0</v>
      </c>
      <c r="L403">
        <f t="shared" si="414"/>
        <v>72.728999999999999</v>
      </c>
    </row>
    <row r="404" spans="2:12">
      <c r="B404" s="1">
        <v>49042</v>
      </c>
      <c r="C404" t="s">
        <v>26</v>
      </c>
      <c r="D404">
        <v>10.8</v>
      </c>
      <c r="E404">
        <v>0</v>
      </c>
      <c r="F404">
        <f t="shared" si="410"/>
        <v>0</v>
      </c>
      <c r="G404">
        <f t="shared" ref="G404" si="429">D402+D403+D404</f>
        <v>55.400000000000006</v>
      </c>
      <c r="H404">
        <f t="shared" si="409"/>
        <v>2034</v>
      </c>
      <c r="I404">
        <v>1</v>
      </c>
      <c r="J404">
        <f t="shared" si="412"/>
        <v>72.728999999999999</v>
      </c>
      <c r="K404">
        <f t="shared" si="413"/>
        <v>0</v>
      </c>
      <c r="L404">
        <f t="shared" si="414"/>
        <v>72.728999999999999</v>
      </c>
    </row>
    <row r="405" spans="2:12">
      <c r="B405" s="1">
        <v>49043</v>
      </c>
      <c r="C405" t="s">
        <v>46</v>
      </c>
      <c r="D405">
        <v>17.100000000000001</v>
      </c>
      <c r="E405">
        <v>0.7</v>
      </c>
      <c r="F405">
        <f t="shared" si="410"/>
        <v>0</v>
      </c>
      <c r="G405">
        <f t="shared" ref="G405" si="430">D402+D403+D404+D405</f>
        <v>72.5</v>
      </c>
      <c r="H405">
        <f t="shared" si="409"/>
        <v>2034</v>
      </c>
      <c r="I405">
        <v>1</v>
      </c>
      <c r="J405">
        <f t="shared" si="412"/>
        <v>72.728999999999999</v>
      </c>
      <c r="K405">
        <f t="shared" si="413"/>
        <v>0</v>
      </c>
      <c r="L405">
        <f t="shared" si="414"/>
        <v>72.728999999999999</v>
      </c>
    </row>
    <row r="406" spans="2:12">
      <c r="B406" s="1">
        <v>49044</v>
      </c>
      <c r="C406" t="s">
        <v>31</v>
      </c>
      <c r="D406">
        <v>15.1</v>
      </c>
      <c r="E406">
        <v>0</v>
      </c>
      <c r="F406">
        <f t="shared" si="410"/>
        <v>0</v>
      </c>
      <c r="G406">
        <f t="shared" ref="G406" si="431">D402+D403+D404+D405+D406</f>
        <v>87.6</v>
      </c>
      <c r="H406">
        <f t="shared" si="409"/>
        <v>2034</v>
      </c>
      <c r="I406">
        <v>1</v>
      </c>
      <c r="J406">
        <f t="shared" si="412"/>
        <v>72.728999999999999</v>
      </c>
      <c r="K406">
        <f t="shared" si="413"/>
        <v>0</v>
      </c>
      <c r="L406">
        <f t="shared" si="414"/>
        <v>72.728999999999999</v>
      </c>
    </row>
    <row r="407" spans="2:12">
      <c r="B407" s="1">
        <v>49045</v>
      </c>
      <c r="C407" t="s">
        <v>47</v>
      </c>
      <c r="D407">
        <v>26.4</v>
      </c>
      <c r="E407">
        <v>1.9</v>
      </c>
      <c r="F407">
        <f t="shared" si="410"/>
        <v>0.50159999999999993</v>
      </c>
      <c r="G407">
        <f t="shared" ref="G407" si="432">D402+D403+D404+D405+D406+D407</f>
        <v>114</v>
      </c>
      <c r="H407">
        <f t="shared" si="409"/>
        <v>2034</v>
      </c>
      <c r="I407">
        <v>1</v>
      </c>
      <c r="J407">
        <f t="shared" si="412"/>
        <v>73.230599999999995</v>
      </c>
      <c r="K407">
        <f t="shared" si="413"/>
        <v>0</v>
      </c>
      <c r="L407">
        <f t="shared" si="414"/>
        <v>73.230599999999995</v>
      </c>
    </row>
    <row r="408" spans="2:12">
      <c r="B408" s="1">
        <v>49046</v>
      </c>
      <c r="C408" t="s">
        <v>24</v>
      </c>
      <c r="D408">
        <v>11.6</v>
      </c>
      <c r="E408">
        <v>14.4</v>
      </c>
      <c r="F408">
        <f t="shared" si="410"/>
        <v>1.6703999999999999</v>
      </c>
      <c r="G408">
        <f t="shared" ref="G408" si="433">D402+D403+D404+D405+D406+D407+D408</f>
        <v>125.6</v>
      </c>
      <c r="H408">
        <f t="shared" si="409"/>
        <v>2034</v>
      </c>
      <c r="I408">
        <v>1</v>
      </c>
      <c r="J408">
        <f t="shared" si="412"/>
        <v>74.900999999999996</v>
      </c>
      <c r="K408">
        <f t="shared" si="413"/>
        <v>0</v>
      </c>
      <c r="L408">
        <f t="shared" si="414"/>
        <v>74.900999999999996</v>
      </c>
    </row>
    <row r="409" spans="2:12">
      <c r="B409" s="1">
        <v>49047</v>
      </c>
      <c r="C409" t="s">
        <v>24</v>
      </c>
      <c r="D409">
        <v>16.600000000000001</v>
      </c>
      <c r="E409">
        <v>40.6</v>
      </c>
      <c r="F409">
        <f t="shared" si="410"/>
        <v>6.7396000000000003</v>
      </c>
      <c r="G409">
        <f t="shared" ref="G409:G472" si="434">D409</f>
        <v>16.600000000000001</v>
      </c>
      <c r="H409">
        <f t="shared" si="409"/>
        <v>2034</v>
      </c>
      <c r="I409">
        <v>1</v>
      </c>
      <c r="J409">
        <f t="shared" si="412"/>
        <v>81.640599999999992</v>
      </c>
      <c r="K409">
        <f t="shared" si="413"/>
        <v>0</v>
      </c>
      <c r="L409">
        <f t="shared" si="414"/>
        <v>81.640599999999992</v>
      </c>
    </row>
    <row r="410" spans="2:12">
      <c r="B410" s="1">
        <v>49048</v>
      </c>
      <c r="C410" t="s">
        <v>50</v>
      </c>
      <c r="D410">
        <v>19.5</v>
      </c>
      <c r="E410">
        <v>24.9</v>
      </c>
      <c r="F410">
        <f t="shared" si="410"/>
        <v>4.8554999999999993</v>
      </c>
      <c r="G410">
        <f t="shared" ref="G410:G473" si="435">D409+D410</f>
        <v>36.1</v>
      </c>
      <c r="H410">
        <f t="shared" si="409"/>
        <v>2034</v>
      </c>
      <c r="I410">
        <v>1</v>
      </c>
      <c r="J410">
        <f t="shared" si="412"/>
        <v>86.496099999999984</v>
      </c>
      <c r="K410">
        <f t="shared" si="413"/>
        <v>0</v>
      </c>
      <c r="L410">
        <f t="shared" si="414"/>
        <v>86.496099999999984</v>
      </c>
    </row>
    <row r="411" spans="2:12">
      <c r="B411" s="1">
        <v>49049</v>
      </c>
      <c r="C411" t="s">
        <v>42</v>
      </c>
      <c r="D411">
        <v>24.9</v>
      </c>
      <c r="E411">
        <v>6.5</v>
      </c>
      <c r="F411">
        <f t="shared" si="410"/>
        <v>1.6185</v>
      </c>
      <c r="G411">
        <f t="shared" ref="G411" si="436">D409+D410+D411</f>
        <v>61</v>
      </c>
      <c r="H411">
        <f t="shared" si="409"/>
        <v>2034</v>
      </c>
      <c r="I411">
        <v>1</v>
      </c>
      <c r="J411">
        <f t="shared" si="412"/>
        <v>88.114599999999982</v>
      </c>
      <c r="K411">
        <f t="shared" si="413"/>
        <v>0</v>
      </c>
      <c r="L411">
        <f t="shared" si="414"/>
        <v>88.114599999999982</v>
      </c>
    </row>
    <row r="412" spans="2:12">
      <c r="B412" s="1">
        <v>49050</v>
      </c>
      <c r="C412" t="s">
        <v>35</v>
      </c>
      <c r="D412">
        <v>19.3</v>
      </c>
      <c r="E412">
        <v>0.8</v>
      </c>
      <c r="F412">
        <f t="shared" si="410"/>
        <v>0</v>
      </c>
      <c r="G412">
        <f t="shared" ref="G412" si="437">D409+D410+D411+D412</f>
        <v>80.3</v>
      </c>
      <c r="H412">
        <f t="shared" si="409"/>
        <v>2034</v>
      </c>
      <c r="I412">
        <v>1</v>
      </c>
      <c r="J412">
        <f t="shared" si="412"/>
        <v>88.114599999999982</v>
      </c>
      <c r="K412">
        <f t="shared" si="413"/>
        <v>0</v>
      </c>
      <c r="L412">
        <f t="shared" si="414"/>
        <v>88.114599999999982</v>
      </c>
    </row>
    <row r="413" spans="2:12">
      <c r="B413" s="1">
        <v>49051</v>
      </c>
      <c r="C413" t="s">
        <v>42</v>
      </c>
      <c r="D413">
        <v>26.2</v>
      </c>
      <c r="E413">
        <v>2.8</v>
      </c>
      <c r="F413">
        <f t="shared" si="410"/>
        <v>0.73360000000000003</v>
      </c>
      <c r="G413">
        <f t="shared" ref="G413" si="438">D409+D410+D411+D412+D413</f>
        <v>106.5</v>
      </c>
      <c r="H413">
        <f t="shared" si="409"/>
        <v>2034</v>
      </c>
      <c r="I413">
        <v>1</v>
      </c>
      <c r="J413">
        <f t="shared" si="412"/>
        <v>88.848199999999977</v>
      </c>
      <c r="K413">
        <f t="shared" si="413"/>
        <v>0</v>
      </c>
      <c r="L413">
        <f t="shared" si="414"/>
        <v>88.848199999999977</v>
      </c>
    </row>
    <row r="414" spans="2:12">
      <c r="B414" s="1">
        <v>49052</v>
      </c>
      <c r="C414" t="s">
        <v>18</v>
      </c>
      <c r="D414">
        <v>28.1</v>
      </c>
      <c r="E414">
        <v>0.6</v>
      </c>
      <c r="F414">
        <f t="shared" si="410"/>
        <v>0</v>
      </c>
      <c r="G414">
        <f t="shared" ref="G414" si="439">D409+D410+D411+D412+D413+D414</f>
        <v>134.6</v>
      </c>
      <c r="H414">
        <f t="shared" si="409"/>
        <v>2034</v>
      </c>
      <c r="I414">
        <v>1</v>
      </c>
      <c r="J414">
        <f t="shared" si="412"/>
        <v>88.848199999999977</v>
      </c>
      <c r="K414">
        <f t="shared" si="413"/>
        <v>0</v>
      </c>
      <c r="L414">
        <f t="shared" si="414"/>
        <v>88.848199999999977</v>
      </c>
    </row>
    <row r="415" spans="2:12">
      <c r="B415" s="1">
        <v>49053</v>
      </c>
      <c r="C415" t="s">
        <v>31</v>
      </c>
      <c r="D415">
        <v>17</v>
      </c>
      <c r="E415">
        <v>4.8</v>
      </c>
      <c r="F415">
        <f t="shared" si="410"/>
        <v>0.81599999999999995</v>
      </c>
      <c r="G415">
        <f t="shared" ref="G415" si="440">D409+D410+D411+D412+D413+D414+D415</f>
        <v>151.6</v>
      </c>
      <c r="H415">
        <f t="shared" si="409"/>
        <v>2034</v>
      </c>
      <c r="I415">
        <v>1</v>
      </c>
      <c r="J415">
        <f t="shared" si="412"/>
        <v>89.66419999999998</v>
      </c>
      <c r="K415">
        <f t="shared" si="413"/>
        <v>0</v>
      </c>
      <c r="L415">
        <f t="shared" si="414"/>
        <v>89.66419999999998</v>
      </c>
    </row>
    <row r="416" spans="2:12">
      <c r="B416" s="1">
        <v>49054</v>
      </c>
      <c r="C416" t="s">
        <v>42</v>
      </c>
      <c r="D416">
        <v>28.5</v>
      </c>
      <c r="E416">
        <v>7.1</v>
      </c>
      <c r="F416">
        <f t="shared" si="410"/>
        <v>2.0234999999999999</v>
      </c>
      <c r="G416">
        <f t="shared" ref="G416:G479" si="441">D416</f>
        <v>28.5</v>
      </c>
      <c r="H416">
        <f t="shared" si="409"/>
        <v>2034</v>
      </c>
      <c r="I416">
        <v>1</v>
      </c>
      <c r="J416">
        <f t="shared" si="412"/>
        <v>91.687699999999978</v>
      </c>
      <c r="K416">
        <f t="shared" si="413"/>
        <v>0</v>
      </c>
      <c r="L416">
        <f t="shared" si="414"/>
        <v>91.687699999999978</v>
      </c>
    </row>
    <row r="417" spans="2:12">
      <c r="B417" s="1">
        <v>49055</v>
      </c>
      <c r="C417" t="s">
        <v>15</v>
      </c>
      <c r="D417">
        <v>14.2</v>
      </c>
      <c r="E417">
        <v>2.1</v>
      </c>
      <c r="F417">
        <f t="shared" si="410"/>
        <v>0.29820000000000002</v>
      </c>
      <c r="G417">
        <f t="shared" ref="G417:G480" si="442">D416+D417</f>
        <v>42.7</v>
      </c>
      <c r="H417">
        <f t="shared" si="409"/>
        <v>2034</v>
      </c>
      <c r="I417">
        <v>1</v>
      </c>
      <c r="J417">
        <f t="shared" si="412"/>
        <v>91.985899999999972</v>
      </c>
      <c r="K417">
        <f t="shared" si="413"/>
        <v>0</v>
      </c>
      <c r="L417">
        <f t="shared" si="414"/>
        <v>91.985899999999972</v>
      </c>
    </row>
    <row r="418" spans="2:12">
      <c r="B418" s="1">
        <v>49056</v>
      </c>
      <c r="C418" t="s">
        <v>18</v>
      </c>
      <c r="D418">
        <v>24.9</v>
      </c>
      <c r="E418">
        <v>8.3000000000000007</v>
      </c>
      <c r="F418">
        <f t="shared" si="410"/>
        <v>2.0667</v>
      </c>
      <c r="G418">
        <f t="shared" ref="G418" si="443">D416+D417+D418</f>
        <v>67.599999999999994</v>
      </c>
      <c r="H418">
        <f t="shared" si="409"/>
        <v>2034</v>
      </c>
      <c r="I418">
        <v>1</v>
      </c>
      <c r="J418">
        <f t="shared" si="412"/>
        <v>94.05259999999997</v>
      </c>
      <c r="K418">
        <f t="shared" si="413"/>
        <v>0</v>
      </c>
      <c r="L418">
        <f t="shared" si="414"/>
        <v>94.05259999999997</v>
      </c>
    </row>
    <row r="419" spans="2:12">
      <c r="B419" s="1">
        <v>49057</v>
      </c>
      <c r="C419" t="s">
        <v>42</v>
      </c>
      <c r="D419">
        <v>19.100000000000001</v>
      </c>
      <c r="E419">
        <v>3.4</v>
      </c>
      <c r="F419">
        <f t="shared" si="410"/>
        <v>0.64939999999999998</v>
      </c>
      <c r="G419">
        <f t="shared" ref="G419" si="444">D416+D417+D418+D419</f>
        <v>86.699999999999989</v>
      </c>
      <c r="H419">
        <f t="shared" si="409"/>
        <v>2034</v>
      </c>
      <c r="I419">
        <v>1</v>
      </c>
      <c r="J419">
        <f t="shared" si="412"/>
        <v>94.70199999999997</v>
      </c>
      <c r="K419">
        <f t="shared" si="413"/>
        <v>0</v>
      </c>
      <c r="L419">
        <f t="shared" si="414"/>
        <v>94.70199999999997</v>
      </c>
    </row>
    <row r="420" spans="2:12">
      <c r="B420" s="1">
        <v>49058</v>
      </c>
      <c r="C420" t="s">
        <v>24</v>
      </c>
      <c r="D420">
        <v>14.9</v>
      </c>
      <c r="E420">
        <v>23.1</v>
      </c>
      <c r="F420">
        <f t="shared" si="410"/>
        <v>3.4419000000000004</v>
      </c>
      <c r="G420">
        <f t="shared" ref="G420" si="445">D416+D417+D418+D419+D420</f>
        <v>101.6</v>
      </c>
      <c r="H420">
        <f t="shared" si="409"/>
        <v>2034</v>
      </c>
      <c r="I420">
        <v>1</v>
      </c>
      <c r="J420">
        <f t="shared" si="412"/>
        <v>98.143899999999974</v>
      </c>
      <c r="K420">
        <f t="shared" si="413"/>
        <v>0</v>
      </c>
      <c r="L420">
        <f t="shared" si="414"/>
        <v>98.143899999999974</v>
      </c>
    </row>
    <row r="421" spans="2:12">
      <c r="B421" s="1">
        <v>49059</v>
      </c>
      <c r="C421" t="s">
        <v>38</v>
      </c>
      <c r="D421">
        <v>16.899999999999999</v>
      </c>
      <c r="E421">
        <v>6.8</v>
      </c>
      <c r="F421">
        <f t="shared" si="410"/>
        <v>1.1491999999999998</v>
      </c>
      <c r="G421">
        <f t="shared" ref="G421" si="446">D416+D417+D418+D419+D420+D421</f>
        <v>118.5</v>
      </c>
      <c r="H421">
        <f t="shared" si="409"/>
        <v>2034</v>
      </c>
      <c r="I421">
        <v>1</v>
      </c>
      <c r="J421">
        <f t="shared" si="412"/>
        <v>99.293099999999967</v>
      </c>
      <c r="K421">
        <f t="shared" si="413"/>
        <v>0</v>
      </c>
      <c r="L421">
        <f t="shared" si="414"/>
        <v>99.293099999999967</v>
      </c>
    </row>
    <row r="422" spans="2:12">
      <c r="B422" s="1">
        <v>49060</v>
      </c>
      <c r="C422" t="s">
        <v>26</v>
      </c>
      <c r="D422">
        <v>15.9</v>
      </c>
      <c r="E422">
        <v>6.8</v>
      </c>
      <c r="F422">
        <f t="shared" si="410"/>
        <v>1.0811999999999999</v>
      </c>
      <c r="G422">
        <f t="shared" ref="G422" si="447">D416+D417+D418+D419+D420+D421+D422</f>
        <v>134.4</v>
      </c>
      <c r="H422">
        <f t="shared" si="409"/>
        <v>2034</v>
      </c>
      <c r="I422">
        <v>1</v>
      </c>
      <c r="J422">
        <f t="shared" si="412"/>
        <v>100.37429999999996</v>
      </c>
      <c r="K422">
        <f t="shared" si="413"/>
        <v>1</v>
      </c>
      <c r="L422">
        <f t="shared" si="414"/>
        <v>0.37429999999996255</v>
      </c>
    </row>
    <row r="423" spans="2:12">
      <c r="B423" s="1">
        <v>49061</v>
      </c>
      <c r="C423" t="s">
        <v>44</v>
      </c>
      <c r="D423">
        <v>26.3</v>
      </c>
      <c r="E423">
        <v>0.7</v>
      </c>
      <c r="F423">
        <f t="shared" si="410"/>
        <v>0</v>
      </c>
      <c r="G423">
        <f t="shared" ref="G423:G486" si="448">D423</f>
        <v>26.3</v>
      </c>
      <c r="H423">
        <f t="shared" si="409"/>
        <v>2034</v>
      </c>
      <c r="I423">
        <v>1</v>
      </c>
      <c r="J423">
        <f t="shared" si="412"/>
        <v>0.37429999999996255</v>
      </c>
      <c r="K423">
        <f t="shared" si="413"/>
        <v>0</v>
      </c>
      <c r="L423">
        <f t="shared" si="414"/>
        <v>0.37429999999996255</v>
      </c>
    </row>
    <row r="424" spans="2:12">
      <c r="B424" s="1">
        <v>49062</v>
      </c>
      <c r="C424" t="s">
        <v>24</v>
      </c>
      <c r="D424">
        <v>12.2</v>
      </c>
      <c r="E424">
        <v>0</v>
      </c>
      <c r="F424">
        <f t="shared" si="410"/>
        <v>0</v>
      </c>
      <c r="G424">
        <f t="shared" ref="G424:G487" si="449">D423+D424</f>
        <v>38.5</v>
      </c>
      <c r="H424">
        <f t="shared" si="409"/>
        <v>2034</v>
      </c>
      <c r="I424">
        <v>1</v>
      </c>
      <c r="J424">
        <f t="shared" si="412"/>
        <v>0.37429999999996255</v>
      </c>
      <c r="K424">
        <f t="shared" si="413"/>
        <v>0</v>
      </c>
      <c r="L424">
        <f t="shared" si="414"/>
        <v>0.37429999999996255</v>
      </c>
    </row>
    <row r="425" spans="2:12">
      <c r="B425" s="1">
        <v>49063</v>
      </c>
      <c r="C425" t="s">
        <v>18</v>
      </c>
      <c r="D425">
        <v>27.5</v>
      </c>
      <c r="E425">
        <v>0</v>
      </c>
      <c r="F425">
        <f t="shared" si="410"/>
        <v>0</v>
      </c>
      <c r="G425">
        <f t="shared" ref="G425" si="450">D423+D424+D425</f>
        <v>66</v>
      </c>
      <c r="H425">
        <f t="shared" si="409"/>
        <v>2034</v>
      </c>
      <c r="I425">
        <v>1</v>
      </c>
      <c r="J425">
        <f t="shared" si="412"/>
        <v>0.37429999999996255</v>
      </c>
      <c r="K425">
        <f t="shared" si="413"/>
        <v>0</v>
      </c>
      <c r="L425">
        <f t="shared" si="414"/>
        <v>0.37429999999996255</v>
      </c>
    </row>
    <row r="426" spans="2:12">
      <c r="B426" s="1">
        <v>49064</v>
      </c>
      <c r="C426" t="s">
        <v>46</v>
      </c>
      <c r="D426">
        <v>23</v>
      </c>
      <c r="E426">
        <v>0</v>
      </c>
      <c r="F426">
        <f t="shared" si="410"/>
        <v>0</v>
      </c>
      <c r="G426">
        <f t="shared" ref="G426" si="451">D423+D424+D425+D426</f>
        <v>89</v>
      </c>
      <c r="H426">
        <f t="shared" si="409"/>
        <v>2034</v>
      </c>
      <c r="I426">
        <v>1</v>
      </c>
      <c r="J426">
        <f t="shared" si="412"/>
        <v>0.37429999999996255</v>
      </c>
      <c r="K426">
        <f t="shared" si="413"/>
        <v>0</v>
      </c>
      <c r="L426">
        <f t="shared" si="414"/>
        <v>0.37429999999996255</v>
      </c>
    </row>
    <row r="427" spans="2:12">
      <c r="B427" s="1">
        <v>49065</v>
      </c>
      <c r="C427" t="s">
        <v>50</v>
      </c>
      <c r="D427">
        <v>17.899999999999999</v>
      </c>
      <c r="E427">
        <v>36.799999999999997</v>
      </c>
      <c r="F427">
        <f t="shared" si="410"/>
        <v>6.5871999999999993</v>
      </c>
      <c r="G427">
        <f t="shared" ref="G427" si="452">D423+D424+D425+D426+D427</f>
        <v>106.9</v>
      </c>
      <c r="H427">
        <f t="shared" si="409"/>
        <v>2034</v>
      </c>
      <c r="I427">
        <v>1</v>
      </c>
      <c r="J427">
        <f t="shared" si="412"/>
        <v>6.9614999999999618</v>
      </c>
      <c r="K427">
        <f t="shared" si="413"/>
        <v>0</v>
      </c>
      <c r="L427">
        <f t="shared" si="414"/>
        <v>6.9614999999999618</v>
      </c>
    </row>
    <row r="428" spans="2:12">
      <c r="B428" s="1">
        <v>49066</v>
      </c>
      <c r="C428" t="s">
        <v>50</v>
      </c>
      <c r="D428">
        <v>27.3</v>
      </c>
      <c r="E428">
        <v>0</v>
      </c>
      <c r="F428">
        <f t="shared" si="410"/>
        <v>0</v>
      </c>
      <c r="G428">
        <f t="shared" ref="G428" si="453">D423+D424+D425+D426+D427+D428</f>
        <v>134.20000000000002</v>
      </c>
      <c r="H428">
        <f t="shared" si="409"/>
        <v>2034</v>
      </c>
      <c r="I428">
        <v>1</v>
      </c>
      <c r="J428">
        <f t="shared" si="412"/>
        <v>6.9614999999999618</v>
      </c>
      <c r="K428">
        <f t="shared" si="413"/>
        <v>0</v>
      </c>
      <c r="L428">
        <f t="shared" si="414"/>
        <v>6.9614999999999618</v>
      </c>
    </row>
    <row r="429" spans="2:12">
      <c r="B429" s="1">
        <v>49067</v>
      </c>
      <c r="C429" t="s">
        <v>12</v>
      </c>
      <c r="D429">
        <v>19.3</v>
      </c>
      <c r="E429">
        <v>0.4</v>
      </c>
      <c r="F429">
        <f t="shared" si="410"/>
        <v>0</v>
      </c>
      <c r="G429">
        <f t="shared" ref="G429" si="454">D423+D424+D425+D426+D427+D428+D429</f>
        <v>153.50000000000003</v>
      </c>
      <c r="H429">
        <f t="shared" si="409"/>
        <v>2034</v>
      </c>
      <c r="I429">
        <v>1</v>
      </c>
      <c r="J429">
        <f t="shared" si="412"/>
        <v>6.9614999999999618</v>
      </c>
      <c r="K429">
        <f t="shared" si="413"/>
        <v>0</v>
      </c>
      <c r="L429">
        <f t="shared" si="414"/>
        <v>6.9614999999999618</v>
      </c>
    </row>
    <row r="430" spans="2:12">
      <c r="B430" s="1">
        <v>49068</v>
      </c>
      <c r="C430" t="s">
        <v>31</v>
      </c>
      <c r="D430">
        <v>25.5</v>
      </c>
      <c r="E430">
        <v>0</v>
      </c>
      <c r="F430">
        <f t="shared" si="410"/>
        <v>0</v>
      </c>
      <c r="G430">
        <f t="shared" ref="G430:G493" si="455">D430</f>
        <v>25.5</v>
      </c>
      <c r="H430">
        <f t="shared" si="409"/>
        <v>2034</v>
      </c>
      <c r="I430">
        <v>1</v>
      </c>
      <c r="J430">
        <f t="shared" si="412"/>
        <v>6.9614999999999618</v>
      </c>
      <c r="K430">
        <f t="shared" si="413"/>
        <v>0</v>
      </c>
      <c r="L430">
        <f t="shared" si="414"/>
        <v>6.9614999999999618</v>
      </c>
    </row>
    <row r="431" spans="2:12">
      <c r="B431" s="1">
        <v>49069</v>
      </c>
      <c r="C431" t="s">
        <v>17</v>
      </c>
      <c r="D431">
        <v>13.7</v>
      </c>
      <c r="E431">
        <v>11.7</v>
      </c>
      <c r="F431">
        <f t="shared" si="410"/>
        <v>1.6029</v>
      </c>
      <c r="G431">
        <f t="shared" ref="G431:G494" si="456">D430+D431</f>
        <v>39.200000000000003</v>
      </c>
      <c r="H431">
        <f t="shared" si="409"/>
        <v>2034</v>
      </c>
      <c r="I431">
        <v>1</v>
      </c>
      <c r="J431">
        <f t="shared" si="412"/>
        <v>8.5643999999999618</v>
      </c>
      <c r="K431">
        <f t="shared" si="413"/>
        <v>0</v>
      </c>
      <c r="L431">
        <f t="shared" si="414"/>
        <v>8.5643999999999618</v>
      </c>
    </row>
    <row r="432" spans="2:12">
      <c r="B432" s="1">
        <v>49070</v>
      </c>
      <c r="C432" t="s">
        <v>50</v>
      </c>
      <c r="D432">
        <v>18.399999999999999</v>
      </c>
      <c r="E432">
        <v>0</v>
      </c>
      <c r="F432">
        <f t="shared" si="410"/>
        <v>0</v>
      </c>
      <c r="G432">
        <f t="shared" ref="G432" si="457">D430+D431+D432</f>
        <v>57.6</v>
      </c>
      <c r="H432">
        <f t="shared" si="409"/>
        <v>2034</v>
      </c>
      <c r="I432">
        <v>1</v>
      </c>
      <c r="J432">
        <f t="shared" si="412"/>
        <v>8.5643999999999618</v>
      </c>
      <c r="K432">
        <f t="shared" si="413"/>
        <v>0</v>
      </c>
      <c r="L432">
        <f t="shared" si="414"/>
        <v>8.5643999999999618</v>
      </c>
    </row>
    <row r="433" spans="2:12">
      <c r="B433" s="1">
        <v>49071</v>
      </c>
      <c r="C433" t="s">
        <v>47</v>
      </c>
      <c r="D433">
        <v>11.1</v>
      </c>
      <c r="E433">
        <v>0</v>
      </c>
      <c r="F433">
        <f t="shared" si="410"/>
        <v>0</v>
      </c>
      <c r="G433">
        <f t="shared" ref="G433" si="458">D430+D431+D432+D433</f>
        <v>68.7</v>
      </c>
      <c r="H433">
        <f t="shared" si="409"/>
        <v>2034</v>
      </c>
      <c r="I433">
        <v>1</v>
      </c>
      <c r="J433">
        <f t="shared" si="412"/>
        <v>8.5643999999999618</v>
      </c>
      <c r="K433">
        <f t="shared" si="413"/>
        <v>0</v>
      </c>
      <c r="L433">
        <f t="shared" si="414"/>
        <v>8.5643999999999618</v>
      </c>
    </row>
    <row r="434" spans="2:12">
      <c r="B434" s="1">
        <v>49072</v>
      </c>
      <c r="C434" t="s">
        <v>26</v>
      </c>
      <c r="D434">
        <v>28</v>
      </c>
      <c r="E434">
        <v>0</v>
      </c>
      <c r="F434">
        <f t="shared" si="410"/>
        <v>0</v>
      </c>
      <c r="G434">
        <f t="shared" ref="G434" si="459">D430+D431+D432+D433+D434</f>
        <v>96.7</v>
      </c>
      <c r="H434">
        <f t="shared" si="409"/>
        <v>2034</v>
      </c>
      <c r="I434">
        <v>1</v>
      </c>
      <c r="J434">
        <f t="shared" si="412"/>
        <v>8.5643999999999618</v>
      </c>
      <c r="K434">
        <f t="shared" si="413"/>
        <v>0</v>
      </c>
      <c r="L434">
        <f t="shared" si="414"/>
        <v>8.5643999999999618</v>
      </c>
    </row>
    <row r="435" spans="2:12">
      <c r="B435" s="1">
        <v>49073</v>
      </c>
      <c r="C435" t="s">
        <v>17</v>
      </c>
      <c r="D435">
        <v>16.2</v>
      </c>
      <c r="E435">
        <v>13.7</v>
      </c>
      <c r="F435">
        <f t="shared" si="410"/>
        <v>2.2193999999999998</v>
      </c>
      <c r="G435">
        <f t="shared" ref="G435" si="460">D430+D431+D432+D433+D434+D435</f>
        <v>112.9</v>
      </c>
      <c r="H435">
        <f t="shared" si="409"/>
        <v>2034</v>
      </c>
      <c r="I435">
        <v>1</v>
      </c>
      <c r="J435">
        <f t="shared" si="412"/>
        <v>10.783799999999962</v>
      </c>
      <c r="K435">
        <f t="shared" si="413"/>
        <v>0</v>
      </c>
      <c r="L435">
        <f t="shared" si="414"/>
        <v>10.783799999999962</v>
      </c>
    </row>
    <row r="436" spans="2:12">
      <c r="B436" s="1">
        <v>49074</v>
      </c>
      <c r="C436" t="s">
        <v>50</v>
      </c>
      <c r="D436">
        <v>12.1</v>
      </c>
      <c r="E436">
        <v>37.200000000000003</v>
      </c>
      <c r="F436">
        <f t="shared" si="410"/>
        <v>4.5011999999999999</v>
      </c>
      <c r="G436">
        <f t="shared" ref="G436" si="461">D430+D431+D432+D433+D434+D435+D436</f>
        <v>125</v>
      </c>
      <c r="H436">
        <f t="shared" si="409"/>
        <v>2034</v>
      </c>
      <c r="I436">
        <v>1</v>
      </c>
      <c r="J436">
        <f t="shared" si="412"/>
        <v>15.284999999999961</v>
      </c>
      <c r="K436">
        <f t="shared" si="413"/>
        <v>0</v>
      </c>
      <c r="L436">
        <f t="shared" si="414"/>
        <v>15.284999999999961</v>
      </c>
    </row>
    <row r="437" spans="2:12">
      <c r="B437" s="1">
        <v>49075</v>
      </c>
      <c r="C437" t="s">
        <v>40</v>
      </c>
      <c r="D437">
        <v>21.4</v>
      </c>
      <c r="E437">
        <v>3.1</v>
      </c>
      <c r="F437">
        <f t="shared" si="410"/>
        <v>0.66339999999999999</v>
      </c>
      <c r="G437">
        <f t="shared" ref="G437:G500" si="462">D437</f>
        <v>21.4</v>
      </c>
      <c r="H437">
        <f t="shared" si="409"/>
        <v>2034</v>
      </c>
      <c r="I437">
        <v>1</v>
      </c>
      <c r="J437">
        <f t="shared" si="412"/>
        <v>15.94839999999996</v>
      </c>
      <c r="K437">
        <f t="shared" si="413"/>
        <v>0</v>
      </c>
      <c r="L437">
        <f t="shared" si="414"/>
        <v>15.94839999999996</v>
      </c>
    </row>
    <row r="438" spans="2:12">
      <c r="B438" s="1">
        <v>49076</v>
      </c>
      <c r="C438" t="s">
        <v>24</v>
      </c>
      <c r="D438">
        <v>11.2</v>
      </c>
      <c r="E438">
        <v>0</v>
      </c>
      <c r="F438">
        <f t="shared" si="410"/>
        <v>0</v>
      </c>
      <c r="G438">
        <f t="shared" ref="G438:G501" si="463">D437+D438</f>
        <v>32.599999999999994</v>
      </c>
      <c r="H438">
        <f t="shared" si="409"/>
        <v>2034</v>
      </c>
      <c r="I438">
        <v>1</v>
      </c>
      <c r="J438">
        <f t="shared" si="412"/>
        <v>15.94839999999996</v>
      </c>
      <c r="K438">
        <f t="shared" si="413"/>
        <v>0</v>
      </c>
      <c r="L438">
        <f t="shared" si="414"/>
        <v>15.94839999999996</v>
      </c>
    </row>
    <row r="439" spans="2:12">
      <c r="B439" s="1">
        <v>49077</v>
      </c>
      <c r="C439" t="s">
        <v>23</v>
      </c>
      <c r="D439">
        <v>18.399999999999999</v>
      </c>
      <c r="E439">
        <v>0.2</v>
      </c>
      <c r="F439">
        <f t="shared" si="410"/>
        <v>0</v>
      </c>
      <c r="G439">
        <f t="shared" ref="G439" si="464">D437+D438+D439</f>
        <v>50.999999999999993</v>
      </c>
      <c r="H439">
        <f t="shared" si="409"/>
        <v>2034</v>
      </c>
      <c r="I439">
        <v>1</v>
      </c>
      <c r="J439">
        <f t="shared" si="412"/>
        <v>15.94839999999996</v>
      </c>
      <c r="K439">
        <f t="shared" si="413"/>
        <v>0</v>
      </c>
      <c r="L439">
        <f t="shared" si="414"/>
        <v>15.94839999999996</v>
      </c>
    </row>
    <row r="440" spans="2:12">
      <c r="B440" s="1">
        <v>49078</v>
      </c>
      <c r="C440" t="s">
        <v>26</v>
      </c>
      <c r="D440">
        <v>13.7</v>
      </c>
      <c r="E440">
        <v>0</v>
      </c>
      <c r="F440">
        <f t="shared" si="410"/>
        <v>0</v>
      </c>
      <c r="G440">
        <f t="shared" ref="G440" si="465">D437+D438+D439+D440</f>
        <v>64.699999999999989</v>
      </c>
      <c r="H440">
        <f t="shared" si="409"/>
        <v>2034</v>
      </c>
      <c r="I440">
        <v>1</v>
      </c>
      <c r="J440">
        <f t="shared" si="412"/>
        <v>15.94839999999996</v>
      </c>
      <c r="K440">
        <f t="shared" si="413"/>
        <v>0</v>
      </c>
      <c r="L440">
        <f t="shared" si="414"/>
        <v>15.94839999999996</v>
      </c>
    </row>
    <row r="441" spans="2:12">
      <c r="B441" s="1">
        <v>49079</v>
      </c>
      <c r="C441" t="s">
        <v>50</v>
      </c>
      <c r="D441">
        <v>10.4</v>
      </c>
      <c r="E441">
        <v>15.6</v>
      </c>
      <c r="F441">
        <f t="shared" si="410"/>
        <v>1.6224000000000001</v>
      </c>
      <c r="G441">
        <f t="shared" ref="G441" si="466">D437+D438+D439+D440+D441</f>
        <v>75.099999999999994</v>
      </c>
      <c r="H441">
        <f t="shared" si="409"/>
        <v>2034</v>
      </c>
      <c r="I441">
        <v>1</v>
      </c>
      <c r="J441">
        <f t="shared" si="412"/>
        <v>17.570799999999959</v>
      </c>
      <c r="K441">
        <f t="shared" si="413"/>
        <v>0</v>
      </c>
      <c r="L441">
        <f t="shared" si="414"/>
        <v>17.570799999999959</v>
      </c>
    </row>
    <row r="442" spans="2:12">
      <c r="B442" s="1">
        <v>49080</v>
      </c>
      <c r="C442" t="s">
        <v>41</v>
      </c>
      <c r="D442">
        <v>21.8</v>
      </c>
      <c r="E442">
        <v>0</v>
      </c>
      <c r="F442">
        <f t="shared" si="410"/>
        <v>0</v>
      </c>
      <c r="G442">
        <f t="shared" ref="G442" si="467">D437+D438+D439+D440+D441+D442</f>
        <v>96.899999999999991</v>
      </c>
      <c r="H442">
        <f t="shared" si="409"/>
        <v>2034</v>
      </c>
      <c r="I442">
        <v>1</v>
      </c>
      <c r="J442">
        <f t="shared" si="412"/>
        <v>17.570799999999959</v>
      </c>
      <c r="K442">
        <f t="shared" si="413"/>
        <v>0</v>
      </c>
      <c r="L442">
        <f t="shared" si="414"/>
        <v>17.570799999999959</v>
      </c>
    </row>
    <row r="443" spans="2:12">
      <c r="B443" s="1">
        <v>49081</v>
      </c>
      <c r="C443" t="s">
        <v>18</v>
      </c>
      <c r="D443">
        <v>11</v>
      </c>
      <c r="E443">
        <v>0.4</v>
      </c>
      <c r="F443">
        <f t="shared" si="410"/>
        <v>0</v>
      </c>
      <c r="G443">
        <f t="shared" ref="G443" si="468">D437+D438+D439+D440+D441+D442+D443</f>
        <v>107.89999999999999</v>
      </c>
      <c r="H443">
        <f t="shared" si="409"/>
        <v>2034</v>
      </c>
      <c r="I443">
        <v>1</v>
      </c>
      <c r="J443">
        <f t="shared" si="412"/>
        <v>17.570799999999959</v>
      </c>
      <c r="K443">
        <f t="shared" si="413"/>
        <v>0</v>
      </c>
      <c r="L443">
        <f t="shared" si="414"/>
        <v>17.570799999999959</v>
      </c>
    </row>
    <row r="444" spans="2:12">
      <c r="B444" s="1">
        <v>49082</v>
      </c>
      <c r="C444" t="s">
        <v>24</v>
      </c>
      <c r="D444">
        <v>19</v>
      </c>
      <c r="E444">
        <v>21.9</v>
      </c>
      <c r="F444">
        <f t="shared" si="410"/>
        <v>4.1609999999999996</v>
      </c>
      <c r="G444">
        <f t="shared" ref="G444:G507" si="469">D444</f>
        <v>19</v>
      </c>
      <c r="H444">
        <f t="shared" si="409"/>
        <v>2034</v>
      </c>
      <c r="I444">
        <v>1</v>
      </c>
      <c r="J444">
        <f t="shared" si="412"/>
        <v>21.731799999999957</v>
      </c>
      <c r="K444">
        <f t="shared" si="413"/>
        <v>0</v>
      </c>
      <c r="L444">
        <f t="shared" si="414"/>
        <v>21.731799999999957</v>
      </c>
    </row>
    <row r="445" spans="2:12">
      <c r="B445" s="1">
        <v>49083</v>
      </c>
      <c r="C445" t="s">
        <v>24</v>
      </c>
      <c r="D445">
        <v>12.5</v>
      </c>
      <c r="E445">
        <v>0</v>
      </c>
      <c r="F445">
        <f t="shared" si="410"/>
        <v>0</v>
      </c>
      <c r="G445">
        <f t="shared" ref="G445:G508" si="470">D444+D445</f>
        <v>31.5</v>
      </c>
      <c r="H445">
        <f t="shared" si="409"/>
        <v>2034</v>
      </c>
      <c r="I445">
        <v>1</v>
      </c>
      <c r="J445">
        <f t="shared" si="412"/>
        <v>21.731799999999957</v>
      </c>
      <c r="K445">
        <f t="shared" si="413"/>
        <v>0</v>
      </c>
      <c r="L445">
        <f t="shared" si="414"/>
        <v>21.731799999999957</v>
      </c>
    </row>
    <row r="446" spans="2:12">
      <c r="B446" s="1">
        <v>49084</v>
      </c>
      <c r="C446" t="s">
        <v>32</v>
      </c>
      <c r="D446">
        <v>13.6</v>
      </c>
      <c r="E446">
        <v>12.6</v>
      </c>
      <c r="F446">
        <f t="shared" si="410"/>
        <v>1.7135999999999998</v>
      </c>
      <c r="G446">
        <f t="shared" ref="G446" si="471">D444+D445+D446</f>
        <v>45.1</v>
      </c>
      <c r="H446">
        <f t="shared" si="409"/>
        <v>2034</v>
      </c>
      <c r="I446">
        <v>1</v>
      </c>
      <c r="J446">
        <f t="shared" si="412"/>
        <v>23.445399999999957</v>
      </c>
      <c r="K446">
        <f t="shared" si="413"/>
        <v>0</v>
      </c>
      <c r="L446">
        <f t="shared" si="414"/>
        <v>23.445399999999957</v>
      </c>
    </row>
    <row r="447" spans="2:12">
      <c r="B447" s="1">
        <v>49085</v>
      </c>
      <c r="C447" t="s">
        <v>24</v>
      </c>
      <c r="D447">
        <v>20.2</v>
      </c>
      <c r="E447">
        <v>17.899999999999999</v>
      </c>
      <c r="F447">
        <f t="shared" si="410"/>
        <v>3.6157999999999997</v>
      </c>
      <c r="G447">
        <f t="shared" ref="G447" si="472">D444+D445+D446+D447</f>
        <v>65.3</v>
      </c>
      <c r="H447">
        <f t="shared" si="409"/>
        <v>2034</v>
      </c>
      <c r="I447">
        <v>1</v>
      </c>
      <c r="J447">
        <f t="shared" si="412"/>
        <v>27.061199999999957</v>
      </c>
      <c r="K447">
        <f t="shared" si="413"/>
        <v>0</v>
      </c>
      <c r="L447">
        <f t="shared" si="414"/>
        <v>27.061199999999957</v>
      </c>
    </row>
    <row r="448" spans="2:12">
      <c r="B448" s="1">
        <v>49086</v>
      </c>
      <c r="C448" t="s">
        <v>24</v>
      </c>
      <c r="D448">
        <v>28.7</v>
      </c>
      <c r="E448">
        <v>0</v>
      </c>
      <c r="F448">
        <f t="shared" si="410"/>
        <v>0</v>
      </c>
      <c r="G448">
        <f t="shared" ref="G448" si="473">D444+D445+D446+D447+D448</f>
        <v>94</v>
      </c>
      <c r="H448">
        <f t="shared" si="409"/>
        <v>2034</v>
      </c>
      <c r="I448">
        <v>1</v>
      </c>
      <c r="J448">
        <f t="shared" si="412"/>
        <v>27.061199999999957</v>
      </c>
      <c r="K448">
        <f t="shared" si="413"/>
        <v>0</v>
      </c>
      <c r="L448">
        <f t="shared" si="414"/>
        <v>27.061199999999957</v>
      </c>
    </row>
    <row r="449" spans="2:12">
      <c r="B449" s="1">
        <v>49087</v>
      </c>
      <c r="C449" t="s">
        <v>40</v>
      </c>
      <c r="D449">
        <v>13.4</v>
      </c>
      <c r="E449">
        <v>4.8</v>
      </c>
      <c r="F449">
        <f t="shared" si="410"/>
        <v>0.64319999999999988</v>
      </c>
      <c r="G449">
        <f t="shared" ref="G449" si="474">D444+D445+D446+D447+D448+D449</f>
        <v>107.4</v>
      </c>
      <c r="H449">
        <f t="shared" si="409"/>
        <v>2034</v>
      </c>
      <c r="I449">
        <v>1</v>
      </c>
      <c r="J449">
        <f t="shared" si="412"/>
        <v>27.704399999999957</v>
      </c>
      <c r="K449">
        <f t="shared" si="413"/>
        <v>0</v>
      </c>
      <c r="L449">
        <f t="shared" si="414"/>
        <v>27.704399999999957</v>
      </c>
    </row>
    <row r="450" spans="2:12">
      <c r="B450" s="1">
        <v>49088</v>
      </c>
      <c r="C450" t="s">
        <v>32</v>
      </c>
      <c r="D450">
        <v>12</v>
      </c>
      <c r="E450">
        <v>8.9</v>
      </c>
      <c r="F450">
        <f t="shared" si="410"/>
        <v>1.0680000000000001</v>
      </c>
      <c r="G450">
        <f t="shared" ref="G450" si="475">D444+D445+D446+D447+D448+D449+D450</f>
        <v>119.4</v>
      </c>
      <c r="H450">
        <f t="shared" si="409"/>
        <v>2034</v>
      </c>
      <c r="I450">
        <v>1</v>
      </c>
      <c r="J450">
        <f t="shared" si="412"/>
        <v>28.772399999999958</v>
      </c>
      <c r="K450">
        <f t="shared" si="413"/>
        <v>0</v>
      </c>
      <c r="L450">
        <f t="shared" si="414"/>
        <v>28.772399999999958</v>
      </c>
    </row>
    <row r="451" spans="2:12">
      <c r="B451" s="1">
        <v>49089</v>
      </c>
      <c r="C451" t="s">
        <v>25</v>
      </c>
      <c r="D451">
        <v>28.9</v>
      </c>
      <c r="E451">
        <v>13.9</v>
      </c>
      <c r="F451">
        <f t="shared" si="410"/>
        <v>4.0171000000000001</v>
      </c>
      <c r="G451">
        <f t="shared" ref="G451:G514" si="476">D451</f>
        <v>28.9</v>
      </c>
      <c r="H451">
        <f t="shared" si="409"/>
        <v>2034</v>
      </c>
      <c r="I451">
        <v>1</v>
      </c>
      <c r="J451">
        <f t="shared" si="412"/>
        <v>32.789499999999961</v>
      </c>
      <c r="K451">
        <f t="shared" si="413"/>
        <v>0</v>
      </c>
      <c r="L451">
        <f t="shared" si="414"/>
        <v>32.789499999999961</v>
      </c>
    </row>
    <row r="452" spans="2:12">
      <c r="B452" s="1">
        <v>49090</v>
      </c>
      <c r="C452" t="s">
        <v>43</v>
      </c>
      <c r="D452">
        <v>25.2</v>
      </c>
      <c r="E452">
        <v>0</v>
      </c>
      <c r="F452">
        <f t="shared" si="410"/>
        <v>0</v>
      </c>
      <c r="G452">
        <f t="shared" ref="G452:G515" si="477">D451+D452</f>
        <v>54.099999999999994</v>
      </c>
      <c r="H452">
        <f t="shared" ref="H452:H515" si="478">YEAR(B452)</f>
        <v>2034</v>
      </c>
      <c r="I452">
        <v>1</v>
      </c>
      <c r="J452">
        <f t="shared" si="412"/>
        <v>32.789499999999961</v>
      </c>
      <c r="K452">
        <f t="shared" si="413"/>
        <v>0</v>
      </c>
      <c r="L452">
        <f t="shared" si="414"/>
        <v>32.789499999999961</v>
      </c>
    </row>
    <row r="453" spans="2:12">
      <c r="B453" s="1">
        <v>49091</v>
      </c>
      <c r="C453" t="s">
        <v>25</v>
      </c>
      <c r="D453">
        <v>18.600000000000001</v>
      </c>
      <c r="E453">
        <v>1.8</v>
      </c>
      <c r="F453">
        <f t="shared" ref="F453:F516" si="479">IF(E453&gt;=1,D453*E453/100,0)</f>
        <v>0.33480000000000004</v>
      </c>
      <c r="G453">
        <f t="shared" ref="G453" si="480">D451+D452+D453</f>
        <v>72.699999999999989</v>
      </c>
      <c r="H453">
        <f t="shared" si="478"/>
        <v>2034</v>
      </c>
      <c r="I453">
        <v>1</v>
      </c>
      <c r="J453">
        <f t="shared" ref="J453:J516" si="481">L452+F453</f>
        <v>33.124299999999963</v>
      </c>
      <c r="K453">
        <f t="shared" ref="K453:K516" si="482">IF(J453&gt;=100,1,0)</f>
        <v>0</v>
      </c>
      <c r="L453">
        <f t="shared" ref="L453:L516" si="483">IF(K453=1,J453-100,J453)</f>
        <v>33.124299999999963</v>
      </c>
    </row>
    <row r="454" spans="2:12">
      <c r="B454" s="1">
        <v>49092</v>
      </c>
      <c r="C454" t="s">
        <v>36</v>
      </c>
      <c r="D454">
        <v>20</v>
      </c>
      <c r="E454">
        <v>2.4</v>
      </c>
      <c r="F454">
        <f t="shared" si="479"/>
        <v>0.48</v>
      </c>
      <c r="G454">
        <f t="shared" ref="G454" si="484">D451+D452+D453+D454</f>
        <v>92.699999999999989</v>
      </c>
      <c r="H454">
        <f t="shared" si="478"/>
        <v>2034</v>
      </c>
      <c r="I454">
        <v>1</v>
      </c>
      <c r="J454">
        <f t="shared" si="481"/>
        <v>33.604299999999959</v>
      </c>
      <c r="K454">
        <f t="shared" si="482"/>
        <v>0</v>
      </c>
      <c r="L454">
        <f t="shared" si="483"/>
        <v>33.604299999999959</v>
      </c>
    </row>
    <row r="455" spans="2:12">
      <c r="B455" s="1">
        <v>49093</v>
      </c>
      <c r="C455" t="s">
        <v>21</v>
      </c>
      <c r="D455">
        <v>14.3</v>
      </c>
      <c r="E455">
        <v>3.9</v>
      </c>
      <c r="F455">
        <f t="shared" si="479"/>
        <v>0.55770000000000008</v>
      </c>
      <c r="G455">
        <f t="shared" ref="G455" si="485">D451+D452+D453+D454+D455</f>
        <v>106.99999999999999</v>
      </c>
      <c r="H455">
        <f t="shared" si="478"/>
        <v>2034</v>
      </c>
      <c r="I455">
        <v>1</v>
      </c>
      <c r="J455">
        <f t="shared" si="481"/>
        <v>34.161999999999956</v>
      </c>
      <c r="K455">
        <f t="shared" si="482"/>
        <v>0</v>
      </c>
      <c r="L455">
        <f t="shared" si="483"/>
        <v>34.161999999999956</v>
      </c>
    </row>
    <row r="456" spans="2:12">
      <c r="B456" s="1">
        <v>49094</v>
      </c>
      <c r="C456" t="s">
        <v>24</v>
      </c>
      <c r="D456">
        <v>28.8</v>
      </c>
      <c r="E456">
        <v>25.1</v>
      </c>
      <c r="F456">
        <f t="shared" si="479"/>
        <v>7.2288000000000014</v>
      </c>
      <c r="G456">
        <f t="shared" ref="G456" si="486">D451+D452+D453+D454+D455+D456</f>
        <v>135.79999999999998</v>
      </c>
      <c r="H456">
        <f t="shared" si="478"/>
        <v>2034</v>
      </c>
      <c r="I456">
        <v>1</v>
      </c>
      <c r="J456">
        <f t="shared" si="481"/>
        <v>41.390799999999956</v>
      </c>
      <c r="K456">
        <f t="shared" si="482"/>
        <v>0</v>
      </c>
      <c r="L456">
        <f t="shared" si="483"/>
        <v>41.390799999999956</v>
      </c>
    </row>
    <row r="457" spans="2:12">
      <c r="B457" s="1">
        <v>49095</v>
      </c>
      <c r="C457" t="s">
        <v>50</v>
      </c>
      <c r="D457">
        <v>26.8</v>
      </c>
      <c r="E457">
        <v>10.8</v>
      </c>
      <c r="F457">
        <f t="shared" si="479"/>
        <v>2.8944000000000005</v>
      </c>
      <c r="G457">
        <f t="shared" ref="G457" si="487">D451+D452+D453+D454+D455+D456+D457</f>
        <v>162.6</v>
      </c>
      <c r="H457">
        <f t="shared" si="478"/>
        <v>2034</v>
      </c>
      <c r="I457">
        <v>1</v>
      </c>
      <c r="J457">
        <f t="shared" si="481"/>
        <v>44.285199999999953</v>
      </c>
      <c r="K457">
        <f t="shared" si="482"/>
        <v>0</v>
      </c>
      <c r="L457">
        <f t="shared" si="483"/>
        <v>44.285199999999953</v>
      </c>
    </row>
    <row r="458" spans="2:12">
      <c r="B458" s="1">
        <v>49096</v>
      </c>
      <c r="C458" t="s">
        <v>50</v>
      </c>
      <c r="D458">
        <v>20.399999999999999</v>
      </c>
      <c r="E458">
        <v>0</v>
      </c>
      <c r="F458">
        <f t="shared" si="479"/>
        <v>0</v>
      </c>
      <c r="G458">
        <f t="shared" ref="G458:G521" si="488">D458</f>
        <v>20.399999999999999</v>
      </c>
      <c r="H458">
        <f t="shared" si="478"/>
        <v>2034</v>
      </c>
      <c r="I458">
        <v>1</v>
      </c>
      <c r="J458">
        <f t="shared" si="481"/>
        <v>44.285199999999953</v>
      </c>
      <c r="K458">
        <f t="shared" si="482"/>
        <v>0</v>
      </c>
      <c r="L458">
        <f t="shared" si="483"/>
        <v>44.285199999999953</v>
      </c>
    </row>
    <row r="459" spans="2:12">
      <c r="B459" s="1">
        <v>49097</v>
      </c>
      <c r="C459" t="s">
        <v>43</v>
      </c>
      <c r="D459">
        <v>14.1</v>
      </c>
      <c r="E459">
        <v>4.5</v>
      </c>
      <c r="F459">
        <f t="shared" si="479"/>
        <v>0.63449999999999995</v>
      </c>
      <c r="G459">
        <f t="shared" ref="G459:G522" si="489">D458+D459</f>
        <v>34.5</v>
      </c>
      <c r="H459">
        <f t="shared" si="478"/>
        <v>2034</v>
      </c>
      <c r="I459">
        <v>1</v>
      </c>
      <c r="J459">
        <f t="shared" si="481"/>
        <v>44.919699999999956</v>
      </c>
      <c r="K459">
        <f t="shared" si="482"/>
        <v>0</v>
      </c>
      <c r="L459">
        <f t="shared" si="483"/>
        <v>44.919699999999956</v>
      </c>
    </row>
    <row r="460" spans="2:12">
      <c r="B460" s="1">
        <v>49098</v>
      </c>
      <c r="C460" t="s">
        <v>31</v>
      </c>
      <c r="D460">
        <v>28.1</v>
      </c>
      <c r="E460">
        <v>6.3</v>
      </c>
      <c r="F460">
        <f t="shared" si="479"/>
        <v>1.7703</v>
      </c>
      <c r="G460">
        <f t="shared" ref="G460" si="490">D458+D459+D460</f>
        <v>62.6</v>
      </c>
      <c r="H460">
        <f t="shared" si="478"/>
        <v>2034</v>
      </c>
      <c r="I460">
        <v>1</v>
      </c>
      <c r="J460">
        <f t="shared" si="481"/>
        <v>46.689999999999955</v>
      </c>
      <c r="K460">
        <f t="shared" si="482"/>
        <v>0</v>
      </c>
      <c r="L460">
        <f t="shared" si="483"/>
        <v>46.689999999999955</v>
      </c>
    </row>
    <row r="461" spans="2:12">
      <c r="B461" s="1">
        <v>49099</v>
      </c>
      <c r="C461" t="s">
        <v>27</v>
      </c>
      <c r="D461">
        <v>15.7</v>
      </c>
      <c r="E461">
        <v>11.5</v>
      </c>
      <c r="F461">
        <f t="shared" si="479"/>
        <v>1.8054999999999999</v>
      </c>
      <c r="G461">
        <f t="shared" ref="G461" si="491">D458+D459+D460+D461</f>
        <v>78.3</v>
      </c>
      <c r="H461">
        <f t="shared" si="478"/>
        <v>2034</v>
      </c>
      <c r="I461">
        <v>1</v>
      </c>
      <c r="J461">
        <f t="shared" si="481"/>
        <v>48.495499999999957</v>
      </c>
      <c r="K461">
        <f t="shared" si="482"/>
        <v>0</v>
      </c>
      <c r="L461">
        <f t="shared" si="483"/>
        <v>48.495499999999957</v>
      </c>
    </row>
    <row r="462" spans="2:12">
      <c r="B462" s="1">
        <v>49100</v>
      </c>
      <c r="C462" t="s">
        <v>44</v>
      </c>
      <c r="D462">
        <v>27.7</v>
      </c>
      <c r="E462">
        <v>0.6</v>
      </c>
      <c r="F462">
        <f t="shared" si="479"/>
        <v>0</v>
      </c>
      <c r="G462">
        <f t="shared" ref="G462" si="492">D458+D459+D460+D461+D462</f>
        <v>106</v>
      </c>
      <c r="H462">
        <f t="shared" si="478"/>
        <v>2034</v>
      </c>
      <c r="I462">
        <v>1</v>
      </c>
      <c r="J462">
        <f t="shared" si="481"/>
        <v>48.495499999999957</v>
      </c>
      <c r="K462">
        <f t="shared" si="482"/>
        <v>0</v>
      </c>
      <c r="L462">
        <f t="shared" si="483"/>
        <v>48.495499999999957</v>
      </c>
    </row>
    <row r="463" spans="2:12">
      <c r="B463" s="1">
        <v>49101</v>
      </c>
      <c r="C463" t="s">
        <v>18</v>
      </c>
      <c r="D463">
        <v>22.9</v>
      </c>
      <c r="E463">
        <v>22.6</v>
      </c>
      <c r="F463">
        <f t="shared" si="479"/>
        <v>5.1753999999999998</v>
      </c>
      <c r="G463">
        <f t="shared" ref="G463" si="493">D458+D459+D460+D461+D462+D463</f>
        <v>128.9</v>
      </c>
      <c r="H463">
        <f t="shared" si="478"/>
        <v>2034</v>
      </c>
      <c r="I463">
        <v>1</v>
      </c>
      <c r="J463">
        <f t="shared" si="481"/>
        <v>53.670899999999961</v>
      </c>
      <c r="K463">
        <f t="shared" si="482"/>
        <v>0</v>
      </c>
      <c r="L463">
        <f t="shared" si="483"/>
        <v>53.670899999999961</v>
      </c>
    </row>
    <row r="464" spans="2:12">
      <c r="B464" s="1">
        <v>49102</v>
      </c>
      <c r="C464" t="s">
        <v>27</v>
      </c>
      <c r="D464">
        <v>10.3</v>
      </c>
      <c r="E464">
        <v>0</v>
      </c>
      <c r="F464">
        <f t="shared" si="479"/>
        <v>0</v>
      </c>
      <c r="G464">
        <f t="shared" ref="G464" si="494">D458+D459+D460+D461+D462+D463+D464</f>
        <v>139.20000000000002</v>
      </c>
      <c r="H464">
        <f t="shared" si="478"/>
        <v>2034</v>
      </c>
      <c r="I464">
        <v>1</v>
      </c>
      <c r="J464">
        <f t="shared" si="481"/>
        <v>53.670899999999961</v>
      </c>
      <c r="K464">
        <f t="shared" si="482"/>
        <v>0</v>
      </c>
      <c r="L464">
        <f t="shared" si="483"/>
        <v>53.670899999999961</v>
      </c>
    </row>
    <row r="465" spans="2:12">
      <c r="B465" s="1">
        <v>49103</v>
      </c>
      <c r="C465" t="s">
        <v>35</v>
      </c>
      <c r="D465">
        <v>28.4</v>
      </c>
      <c r="E465">
        <v>4</v>
      </c>
      <c r="F465">
        <f t="shared" si="479"/>
        <v>1.1359999999999999</v>
      </c>
      <c r="G465">
        <f t="shared" ref="G465:G528" si="495">D465</f>
        <v>28.4</v>
      </c>
      <c r="H465">
        <f t="shared" si="478"/>
        <v>2034</v>
      </c>
      <c r="I465">
        <v>1</v>
      </c>
      <c r="J465">
        <f t="shared" si="481"/>
        <v>54.806899999999963</v>
      </c>
      <c r="K465">
        <f t="shared" si="482"/>
        <v>0</v>
      </c>
      <c r="L465">
        <f t="shared" si="483"/>
        <v>54.806899999999963</v>
      </c>
    </row>
    <row r="466" spans="2:12">
      <c r="B466" s="1">
        <v>49104</v>
      </c>
      <c r="C466" t="s">
        <v>47</v>
      </c>
      <c r="D466">
        <v>18.7</v>
      </c>
      <c r="E466">
        <v>15</v>
      </c>
      <c r="F466">
        <f t="shared" si="479"/>
        <v>2.8050000000000002</v>
      </c>
      <c r="G466">
        <f t="shared" ref="G466:G529" si="496">D465+D466</f>
        <v>47.099999999999994</v>
      </c>
      <c r="H466">
        <f t="shared" si="478"/>
        <v>2034</v>
      </c>
      <c r="I466">
        <v>1</v>
      </c>
      <c r="J466">
        <f t="shared" si="481"/>
        <v>57.611899999999963</v>
      </c>
      <c r="K466">
        <f t="shared" si="482"/>
        <v>0</v>
      </c>
      <c r="L466">
        <f t="shared" si="483"/>
        <v>57.611899999999963</v>
      </c>
    </row>
    <row r="467" spans="2:12">
      <c r="B467" s="1">
        <v>49105</v>
      </c>
      <c r="C467" t="s">
        <v>50</v>
      </c>
      <c r="D467">
        <v>13.7</v>
      </c>
      <c r="E467">
        <v>9.4</v>
      </c>
      <c r="F467">
        <f t="shared" si="479"/>
        <v>1.2878000000000001</v>
      </c>
      <c r="G467">
        <f t="shared" ref="G467" si="497">D465+D466+D467</f>
        <v>60.8</v>
      </c>
      <c r="H467">
        <f t="shared" si="478"/>
        <v>2034</v>
      </c>
      <c r="I467">
        <v>1</v>
      </c>
      <c r="J467">
        <f t="shared" si="481"/>
        <v>58.89969999999996</v>
      </c>
      <c r="K467">
        <f t="shared" si="482"/>
        <v>0</v>
      </c>
      <c r="L467">
        <f t="shared" si="483"/>
        <v>58.89969999999996</v>
      </c>
    </row>
    <row r="468" spans="2:12">
      <c r="B468" s="1">
        <v>49106</v>
      </c>
      <c r="C468" t="s">
        <v>31</v>
      </c>
      <c r="D468">
        <v>16.3</v>
      </c>
      <c r="E468">
        <v>3.6</v>
      </c>
      <c r="F468">
        <f t="shared" si="479"/>
        <v>0.5868000000000001</v>
      </c>
      <c r="G468">
        <f t="shared" ref="G468" si="498">D465+D466+D467+D468</f>
        <v>77.099999999999994</v>
      </c>
      <c r="H468">
        <f t="shared" si="478"/>
        <v>2034</v>
      </c>
      <c r="I468">
        <v>1</v>
      </c>
      <c r="J468">
        <f t="shared" si="481"/>
        <v>59.486499999999957</v>
      </c>
      <c r="K468">
        <f t="shared" si="482"/>
        <v>0</v>
      </c>
      <c r="L468">
        <f t="shared" si="483"/>
        <v>59.486499999999957</v>
      </c>
    </row>
    <row r="469" spans="2:12">
      <c r="B469" s="1">
        <v>49107</v>
      </c>
      <c r="C469" t="s">
        <v>38</v>
      </c>
      <c r="D469">
        <v>14</v>
      </c>
      <c r="E469">
        <v>0</v>
      </c>
      <c r="F469">
        <f t="shared" si="479"/>
        <v>0</v>
      </c>
      <c r="G469">
        <f t="shared" ref="G469" si="499">D465+D466+D467+D468+D469</f>
        <v>91.1</v>
      </c>
      <c r="H469">
        <f t="shared" si="478"/>
        <v>2034</v>
      </c>
      <c r="I469">
        <v>1</v>
      </c>
      <c r="J469">
        <f t="shared" si="481"/>
        <v>59.486499999999957</v>
      </c>
      <c r="K469">
        <f t="shared" si="482"/>
        <v>0</v>
      </c>
      <c r="L469">
        <f t="shared" si="483"/>
        <v>59.486499999999957</v>
      </c>
    </row>
    <row r="470" spans="2:12">
      <c r="B470" s="1">
        <v>49108</v>
      </c>
      <c r="C470" t="s">
        <v>32</v>
      </c>
      <c r="D470">
        <v>26</v>
      </c>
      <c r="E470">
        <v>5.5</v>
      </c>
      <c r="F470">
        <f t="shared" si="479"/>
        <v>1.43</v>
      </c>
      <c r="G470">
        <f t="shared" ref="G470" si="500">D465+D466+D467+D468+D469+D470</f>
        <v>117.1</v>
      </c>
      <c r="H470">
        <f t="shared" si="478"/>
        <v>2034</v>
      </c>
      <c r="I470">
        <v>1</v>
      </c>
      <c r="J470">
        <f t="shared" si="481"/>
        <v>60.916499999999957</v>
      </c>
      <c r="K470">
        <f t="shared" si="482"/>
        <v>0</v>
      </c>
      <c r="L470">
        <f t="shared" si="483"/>
        <v>60.916499999999957</v>
      </c>
    </row>
    <row r="471" spans="2:12">
      <c r="B471" s="1">
        <v>49109</v>
      </c>
      <c r="C471" t="s">
        <v>50</v>
      </c>
      <c r="D471">
        <v>27</v>
      </c>
      <c r="E471">
        <v>38.6</v>
      </c>
      <c r="F471">
        <f t="shared" si="479"/>
        <v>10.422000000000001</v>
      </c>
      <c r="G471">
        <f t="shared" ref="G471" si="501">D465+D466+D467+D468+D469+D470+D471</f>
        <v>144.1</v>
      </c>
      <c r="H471">
        <f t="shared" si="478"/>
        <v>2034</v>
      </c>
      <c r="I471">
        <v>1</v>
      </c>
      <c r="J471">
        <f t="shared" si="481"/>
        <v>71.338499999999954</v>
      </c>
      <c r="K471">
        <f t="shared" si="482"/>
        <v>0</v>
      </c>
      <c r="L471">
        <f t="shared" si="483"/>
        <v>71.338499999999954</v>
      </c>
    </row>
    <row r="472" spans="2:12">
      <c r="B472" s="1">
        <v>49110</v>
      </c>
      <c r="C472" t="s">
        <v>24</v>
      </c>
      <c r="D472">
        <v>26.6</v>
      </c>
      <c r="E472">
        <v>49.7</v>
      </c>
      <c r="F472">
        <f t="shared" si="479"/>
        <v>13.220200000000002</v>
      </c>
      <c r="G472">
        <f t="shared" ref="G472:G535" si="502">D472</f>
        <v>26.6</v>
      </c>
      <c r="H472">
        <f t="shared" si="478"/>
        <v>2034</v>
      </c>
      <c r="I472">
        <v>1</v>
      </c>
      <c r="J472">
        <f t="shared" si="481"/>
        <v>84.558699999999959</v>
      </c>
      <c r="K472">
        <f t="shared" si="482"/>
        <v>0</v>
      </c>
      <c r="L472">
        <f t="shared" si="483"/>
        <v>84.558699999999959</v>
      </c>
    </row>
    <row r="473" spans="2:12">
      <c r="B473" s="1">
        <v>49111</v>
      </c>
      <c r="C473" t="s">
        <v>50</v>
      </c>
      <c r="D473">
        <v>20.9</v>
      </c>
      <c r="E473">
        <v>30</v>
      </c>
      <c r="F473">
        <f t="shared" si="479"/>
        <v>6.27</v>
      </c>
      <c r="G473">
        <f t="shared" ref="G473:G536" si="503">D472+D473</f>
        <v>47.5</v>
      </c>
      <c r="H473">
        <f t="shared" si="478"/>
        <v>2034</v>
      </c>
      <c r="I473">
        <v>1</v>
      </c>
      <c r="J473">
        <f t="shared" si="481"/>
        <v>90.828699999999955</v>
      </c>
      <c r="K473">
        <f t="shared" si="482"/>
        <v>0</v>
      </c>
      <c r="L473">
        <f t="shared" si="483"/>
        <v>90.828699999999955</v>
      </c>
    </row>
    <row r="474" spans="2:12">
      <c r="B474" s="1">
        <v>49112</v>
      </c>
      <c r="C474" t="s">
        <v>43</v>
      </c>
      <c r="D474">
        <v>28.5</v>
      </c>
      <c r="E474">
        <v>5.3</v>
      </c>
      <c r="F474">
        <f t="shared" si="479"/>
        <v>1.5104999999999997</v>
      </c>
      <c r="G474">
        <f t="shared" ref="G474" si="504">D472+D473+D474</f>
        <v>76</v>
      </c>
      <c r="H474">
        <f t="shared" si="478"/>
        <v>2034</v>
      </c>
      <c r="I474">
        <v>1</v>
      </c>
      <c r="J474">
        <f t="shared" si="481"/>
        <v>92.339199999999948</v>
      </c>
      <c r="K474">
        <f t="shared" si="482"/>
        <v>0</v>
      </c>
      <c r="L474">
        <f t="shared" si="483"/>
        <v>92.339199999999948</v>
      </c>
    </row>
    <row r="475" spans="2:12">
      <c r="B475" s="1">
        <v>49113</v>
      </c>
      <c r="C475" t="s">
        <v>15</v>
      </c>
      <c r="D475">
        <v>10.4</v>
      </c>
      <c r="E475">
        <v>0</v>
      </c>
      <c r="F475">
        <f t="shared" si="479"/>
        <v>0</v>
      </c>
      <c r="G475">
        <f t="shared" ref="G475" si="505">D472+D473+D474+D475</f>
        <v>86.4</v>
      </c>
      <c r="H475">
        <f t="shared" si="478"/>
        <v>2034</v>
      </c>
      <c r="I475">
        <v>1</v>
      </c>
      <c r="J475">
        <f t="shared" si="481"/>
        <v>92.339199999999948</v>
      </c>
      <c r="K475">
        <f t="shared" si="482"/>
        <v>0</v>
      </c>
      <c r="L475">
        <f t="shared" si="483"/>
        <v>92.339199999999948</v>
      </c>
    </row>
    <row r="476" spans="2:12">
      <c r="B476" s="1">
        <v>49114</v>
      </c>
      <c r="C476" t="s">
        <v>47</v>
      </c>
      <c r="D476">
        <v>25.9</v>
      </c>
      <c r="E476">
        <v>9.1999999999999993</v>
      </c>
      <c r="F476">
        <f t="shared" si="479"/>
        <v>2.3827999999999996</v>
      </c>
      <c r="G476">
        <f t="shared" ref="G476" si="506">D472+D473+D474+D475+D476</f>
        <v>112.30000000000001</v>
      </c>
      <c r="H476">
        <f t="shared" si="478"/>
        <v>2034</v>
      </c>
      <c r="I476">
        <v>1</v>
      </c>
      <c r="J476">
        <f t="shared" si="481"/>
        <v>94.721999999999952</v>
      </c>
      <c r="K476">
        <f t="shared" si="482"/>
        <v>0</v>
      </c>
      <c r="L476">
        <f t="shared" si="483"/>
        <v>94.721999999999952</v>
      </c>
    </row>
    <row r="477" spans="2:12">
      <c r="B477" s="1">
        <v>49115</v>
      </c>
      <c r="C477" t="s">
        <v>25</v>
      </c>
      <c r="D477">
        <v>24.6</v>
      </c>
      <c r="E477">
        <v>11</v>
      </c>
      <c r="F477">
        <f t="shared" si="479"/>
        <v>2.7060000000000004</v>
      </c>
      <c r="G477">
        <f t="shared" ref="G477" si="507">D472+D473+D474+D475+D476+D477</f>
        <v>136.9</v>
      </c>
      <c r="H477">
        <f t="shared" si="478"/>
        <v>2034</v>
      </c>
      <c r="I477">
        <v>1</v>
      </c>
      <c r="J477">
        <f t="shared" si="481"/>
        <v>97.427999999999955</v>
      </c>
      <c r="K477">
        <f t="shared" si="482"/>
        <v>0</v>
      </c>
      <c r="L477">
        <f t="shared" si="483"/>
        <v>97.427999999999955</v>
      </c>
    </row>
    <row r="478" spans="2:12">
      <c r="B478" s="1">
        <v>49116</v>
      </c>
      <c r="C478" t="s">
        <v>33</v>
      </c>
      <c r="D478">
        <v>22</v>
      </c>
      <c r="E478">
        <v>0</v>
      </c>
      <c r="F478">
        <f t="shared" si="479"/>
        <v>0</v>
      </c>
      <c r="G478">
        <f t="shared" ref="G478" si="508">D472+D473+D474+D475+D476+D477+D478</f>
        <v>158.9</v>
      </c>
      <c r="H478">
        <f t="shared" si="478"/>
        <v>2034</v>
      </c>
      <c r="I478">
        <v>1</v>
      </c>
      <c r="J478">
        <f t="shared" si="481"/>
        <v>97.427999999999955</v>
      </c>
      <c r="K478">
        <f t="shared" si="482"/>
        <v>0</v>
      </c>
      <c r="L478">
        <f t="shared" si="483"/>
        <v>97.427999999999955</v>
      </c>
    </row>
    <row r="479" spans="2:12">
      <c r="B479" s="1">
        <v>49117</v>
      </c>
      <c r="C479" t="s">
        <v>19</v>
      </c>
      <c r="D479">
        <v>16.8</v>
      </c>
      <c r="E479">
        <v>2.4</v>
      </c>
      <c r="F479">
        <f t="shared" si="479"/>
        <v>0.4032</v>
      </c>
      <c r="G479">
        <f t="shared" ref="G479:G542" si="509">D479</f>
        <v>16.8</v>
      </c>
      <c r="H479">
        <f t="shared" si="478"/>
        <v>2034</v>
      </c>
      <c r="I479">
        <v>1</v>
      </c>
      <c r="J479">
        <f t="shared" si="481"/>
        <v>97.831199999999953</v>
      </c>
      <c r="K479">
        <f t="shared" si="482"/>
        <v>0</v>
      </c>
      <c r="L479">
        <f t="shared" si="483"/>
        <v>97.831199999999953</v>
      </c>
    </row>
    <row r="480" spans="2:12">
      <c r="B480" s="1">
        <v>49118</v>
      </c>
      <c r="C480" t="s">
        <v>24</v>
      </c>
      <c r="D480">
        <v>21.7</v>
      </c>
      <c r="E480">
        <v>44.1</v>
      </c>
      <c r="F480">
        <f t="shared" si="479"/>
        <v>9.569700000000001</v>
      </c>
      <c r="G480">
        <f t="shared" ref="G480:G543" si="510">D479+D480</f>
        <v>38.5</v>
      </c>
      <c r="H480">
        <f t="shared" si="478"/>
        <v>2034</v>
      </c>
      <c r="I480">
        <v>1</v>
      </c>
      <c r="J480">
        <f t="shared" si="481"/>
        <v>107.40089999999995</v>
      </c>
      <c r="K480">
        <f t="shared" si="482"/>
        <v>1</v>
      </c>
      <c r="L480">
        <f t="shared" si="483"/>
        <v>7.4008999999999503</v>
      </c>
    </row>
    <row r="481" spans="2:12">
      <c r="B481" s="1">
        <v>49119</v>
      </c>
      <c r="C481" t="s">
        <v>26</v>
      </c>
      <c r="D481">
        <v>28.9</v>
      </c>
      <c r="E481">
        <v>0</v>
      </c>
      <c r="F481">
        <f t="shared" si="479"/>
        <v>0</v>
      </c>
      <c r="G481">
        <f t="shared" ref="G481" si="511">D479+D480+D481</f>
        <v>67.400000000000006</v>
      </c>
      <c r="H481">
        <f t="shared" si="478"/>
        <v>2034</v>
      </c>
      <c r="I481">
        <v>1</v>
      </c>
      <c r="J481">
        <f t="shared" si="481"/>
        <v>7.4008999999999503</v>
      </c>
      <c r="K481">
        <f t="shared" si="482"/>
        <v>0</v>
      </c>
      <c r="L481">
        <f t="shared" si="483"/>
        <v>7.4008999999999503</v>
      </c>
    </row>
    <row r="482" spans="2:12">
      <c r="B482" s="1">
        <v>49120</v>
      </c>
      <c r="C482" t="s">
        <v>27</v>
      </c>
      <c r="D482">
        <v>26.6</v>
      </c>
      <c r="E482">
        <v>0.4</v>
      </c>
      <c r="F482">
        <f t="shared" si="479"/>
        <v>0</v>
      </c>
      <c r="G482">
        <f t="shared" ref="G482" si="512">D479+D480+D481+D482</f>
        <v>94</v>
      </c>
      <c r="H482">
        <f t="shared" si="478"/>
        <v>2034</v>
      </c>
      <c r="I482">
        <v>1</v>
      </c>
      <c r="J482">
        <f t="shared" si="481"/>
        <v>7.4008999999999503</v>
      </c>
      <c r="K482">
        <f t="shared" si="482"/>
        <v>0</v>
      </c>
      <c r="L482">
        <f t="shared" si="483"/>
        <v>7.4008999999999503</v>
      </c>
    </row>
    <row r="483" spans="2:12">
      <c r="B483" s="1">
        <v>49121</v>
      </c>
      <c r="C483" t="s">
        <v>32</v>
      </c>
      <c r="D483">
        <v>28</v>
      </c>
      <c r="E483">
        <v>16.7</v>
      </c>
      <c r="F483">
        <f t="shared" si="479"/>
        <v>4.6759999999999993</v>
      </c>
      <c r="G483">
        <f t="shared" ref="G483" si="513">D479+D480+D481+D482+D483</f>
        <v>122</v>
      </c>
      <c r="H483">
        <f t="shared" si="478"/>
        <v>2034</v>
      </c>
      <c r="I483">
        <v>1</v>
      </c>
      <c r="J483">
        <f t="shared" si="481"/>
        <v>12.076899999999949</v>
      </c>
      <c r="K483">
        <f t="shared" si="482"/>
        <v>0</v>
      </c>
      <c r="L483">
        <f t="shared" si="483"/>
        <v>12.076899999999949</v>
      </c>
    </row>
    <row r="484" spans="2:12">
      <c r="B484" s="1">
        <v>49122</v>
      </c>
      <c r="C484" t="s">
        <v>42</v>
      </c>
      <c r="D484">
        <v>27.5</v>
      </c>
      <c r="E484">
        <v>0</v>
      </c>
      <c r="F484">
        <f t="shared" si="479"/>
        <v>0</v>
      </c>
      <c r="G484">
        <f t="shared" ref="G484" si="514">D479+D480+D481+D482+D483+D484</f>
        <v>149.5</v>
      </c>
      <c r="H484">
        <f t="shared" si="478"/>
        <v>2034</v>
      </c>
      <c r="I484">
        <v>1</v>
      </c>
      <c r="J484">
        <f t="shared" si="481"/>
        <v>12.076899999999949</v>
      </c>
      <c r="K484">
        <f t="shared" si="482"/>
        <v>0</v>
      </c>
      <c r="L484">
        <f t="shared" si="483"/>
        <v>12.076899999999949</v>
      </c>
    </row>
    <row r="485" spans="2:12">
      <c r="B485" s="1">
        <v>49123</v>
      </c>
      <c r="C485" t="s">
        <v>43</v>
      </c>
      <c r="D485">
        <v>18.2</v>
      </c>
      <c r="E485">
        <v>0</v>
      </c>
      <c r="F485">
        <f t="shared" si="479"/>
        <v>0</v>
      </c>
      <c r="G485">
        <f t="shared" ref="G485" si="515">D479+D480+D481+D482+D483+D484+D485</f>
        <v>167.7</v>
      </c>
      <c r="H485">
        <f t="shared" si="478"/>
        <v>2034</v>
      </c>
      <c r="I485">
        <v>1</v>
      </c>
      <c r="J485">
        <f t="shared" si="481"/>
        <v>12.076899999999949</v>
      </c>
      <c r="K485">
        <f t="shared" si="482"/>
        <v>0</v>
      </c>
      <c r="L485">
        <f t="shared" si="483"/>
        <v>12.076899999999949</v>
      </c>
    </row>
    <row r="486" spans="2:12">
      <c r="B486" s="1">
        <v>49124</v>
      </c>
      <c r="C486" t="s">
        <v>47</v>
      </c>
      <c r="D486">
        <v>25.1</v>
      </c>
      <c r="E486">
        <v>0</v>
      </c>
      <c r="F486">
        <f t="shared" si="479"/>
        <v>0</v>
      </c>
      <c r="G486">
        <f t="shared" ref="G486:G549" si="516">D486</f>
        <v>25.1</v>
      </c>
      <c r="H486">
        <f t="shared" si="478"/>
        <v>2034</v>
      </c>
      <c r="I486">
        <v>1</v>
      </c>
      <c r="J486">
        <f t="shared" si="481"/>
        <v>12.076899999999949</v>
      </c>
      <c r="K486">
        <f t="shared" si="482"/>
        <v>0</v>
      </c>
      <c r="L486">
        <f t="shared" si="483"/>
        <v>12.076899999999949</v>
      </c>
    </row>
    <row r="487" spans="2:12">
      <c r="B487" s="1">
        <v>49125</v>
      </c>
      <c r="C487" t="s">
        <v>12</v>
      </c>
      <c r="D487">
        <v>10.1</v>
      </c>
      <c r="E487">
        <v>0.2</v>
      </c>
      <c r="F487">
        <f t="shared" si="479"/>
        <v>0</v>
      </c>
      <c r="G487">
        <f t="shared" ref="G487:G550" si="517">D486+D487</f>
        <v>35.200000000000003</v>
      </c>
      <c r="H487">
        <f t="shared" si="478"/>
        <v>2034</v>
      </c>
      <c r="I487">
        <v>1</v>
      </c>
      <c r="J487">
        <f t="shared" si="481"/>
        <v>12.076899999999949</v>
      </c>
      <c r="K487">
        <f t="shared" si="482"/>
        <v>0</v>
      </c>
      <c r="L487">
        <f t="shared" si="483"/>
        <v>12.076899999999949</v>
      </c>
    </row>
    <row r="488" spans="2:12">
      <c r="B488" s="1">
        <v>49126</v>
      </c>
      <c r="C488" t="s">
        <v>32</v>
      </c>
      <c r="D488">
        <v>13.1</v>
      </c>
      <c r="E488">
        <v>7.9</v>
      </c>
      <c r="F488">
        <f t="shared" si="479"/>
        <v>1.0348999999999999</v>
      </c>
      <c r="G488">
        <f t="shared" ref="G488" si="518">D486+D487+D488</f>
        <v>48.300000000000004</v>
      </c>
      <c r="H488">
        <f t="shared" si="478"/>
        <v>2034</v>
      </c>
      <c r="I488">
        <v>1</v>
      </c>
      <c r="J488">
        <f t="shared" si="481"/>
        <v>13.111799999999949</v>
      </c>
      <c r="K488">
        <f t="shared" si="482"/>
        <v>0</v>
      </c>
      <c r="L488">
        <f t="shared" si="483"/>
        <v>13.111799999999949</v>
      </c>
    </row>
    <row r="489" spans="2:12">
      <c r="B489" s="1">
        <v>49127</v>
      </c>
      <c r="C489" t="s">
        <v>21</v>
      </c>
      <c r="D489">
        <v>22.9</v>
      </c>
      <c r="E489">
        <v>0</v>
      </c>
      <c r="F489">
        <f t="shared" si="479"/>
        <v>0</v>
      </c>
      <c r="G489">
        <f t="shared" ref="G489" si="519">D486+D487+D488+D489</f>
        <v>71.2</v>
      </c>
      <c r="H489">
        <f t="shared" si="478"/>
        <v>2034</v>
      </c>
      <c r="I489">
        <v>1</v>
      </c>
      <c r="J489">
        <f t="shared" si="481"/>
        <v>13.111799999999949</v>
      </c>
      <c r="K489">
        <f t="shared" si="482"/>
        <v>0</v>
      </c>
      <c r="L489">
        <f t="shared" si="483"/>
        <v>13.111799999999949</v>
      </c>
    </row>
    <row r="490" spans="2:12">
      <c r="B490" s="1">
        <v>49128</v>
      </c>
      <c r="C490" t="s">
        <v>21</v>
      </c>
      <c r="D490">
        <v>26.3</v>
      </c>
      <c r="E490">
        <v>4</v>
      </c>
      <c r="F490">
        <f t="shared" si="479"/>
        <v>1.052</v>
      </c>
      <c r="G490">
        <f t="shared" ref="G490" si="520">D486+D487+D488+D489+D490</f>
        <v>97.5</v>
      </c>
      <c r="H490">
        <f t="shared" si="478"/>
        <v>2034</v>
      </c>
      <c r="I490">
        <v>1</v>
      </c>
      <c r="J490">
        <f t="shared" si="481"/>
        <v>14.163799999999949</v>
      </c>
      <c r="K490">
        <f t="shared" si="482"/>
        <v>0</v>
      </c>
      <c r="L490">
        <f t="shared" si="483"/>
        <v>14.163799999999949</v>
      </c>
    </row>
    <row r="491" spans="2:12">
      <c r="B491" s="1">
        <v>49129</v>
      </c>
      <c r="C491" t="s">
        <v>50</v>
      </c>
      <c r="D491">
        <v>11.3</v>
      </c>
      <c r="E491">
        <v>19.8</v>
      </c>
      <c r="F491">
        <f t="shared" si="479"/>
        <v>2.2374000000000001</v>
      </c>
      <c r="G491">
        <f t="shared" ref="G491" si="521">D486+D487+D488+D489+D490+D491</f>
        <v>108.8</v>
      </c>
      <c r="H491">
        <f t="shared" si="478"/>
        <v>2034</v>
      </c>
      <c r="I491">
        <v>1</v>
      </c>
      <c r="J491">
        <f t="shared" si="481"/>
        <v>16.40119999999995</v>
      </c>
      <c r="K491">
        <f t="shared" si="482"/>
        <v>0</v>
      </c>
      <c r="L491">
        <f t="shared" si="483"/>
        <v>16.40119999999995</v>
      </c>
    </row>
    <row r="492" spans="2:12">
      <c r="B492" s="1">
        <v>49130</v>
      </c>
      <c r="C492" t="s">
        <v>24</v>
      </c>
      <c r="D492">
        <v>30</v>
      </c>
      <c r="E492">
        <v>0</v>
      </c>
      <c r="F492">
        <f t="shared" si="479"/>
        <v>0</v>
      </c>
      <c r="G492">
        <f t="shared" ref="G492" si="522">D486+D487+D488+D489+D490+D491+D492</f>
        <v>138.80000000000001</v>
      </c>
      <c r="H492">
        <f t="shared" si="478"/>
        <v>2034</v>
      </c>
      <c r="I492">
        <v>1</v>
      </c>
      <c r="J492">
        <f t="shared" si="481"/>
        <v>16.40119999999995</v>
      </c>
      <c r="K492">
        <f t="shared" si="482"/>
        <v>0</v>
      </c>
      <c r="L492">
        <f t="shared" si="483"/>
        <v>16.40119999999995</v>
      </c>
    </row>
    <row r="493" spans="2:12">
      <c r="B493" s="1">
        <v>49131</v>
      </c>
      <c r="C493" t="s">
        <v>43</v>
      </c>
      <c r="D493">
        <v>20.399999999999999</v>
      </c>
      <c r="E493">
        <v>0</v>
      </c>
      <c r="F493">
        <f t="shared" si="479"/>
        <v>0</v>
      </c>
      <c r="G493">
        <f t="shared" ref="G493:G556" si="523">D493</f>
        <v>20.399999999999999</v>
      </c>
      <c r="H493">
        <f t="shared" si="478"/>
        <v>2034</v>
      </c>
      <c r="I493">
        <v>1</v>
      </c>
      <c r="J493">
        <f t="shared" si="481"/>
        <v>16.40119999999995</v>
      </c>
      <c r="K493">
        <f t="shared" si="482"/>
        <v>0</v>
      </c>
      <c r="L493">
        <f t="shared" si="483"/>
        <v>16.40119999999995</v>
      </c>
    </row>
    <row r="494" spans="2:12">
      <c r="B494" s="1">
        <v>49132</v>
      </c>
      <c r="C494" t="s">
        <v>18</v>
      </c>
      <c r="D494">
        <v>24.5</v>
      </c>
      <c r="E494">
        <v>8.6999999999999993</v>
      </c>
      <c r="F494">
        <f t="shared" si="479"/>
        <v>2.1315</v>
      </c>
      <c r="G494">
        <f t="shared" ref="G494:G557" si="524">D493+D494</f>
        <v>44.9</v>
      </c>
      <c r="H494">
        <f t="shared" si="478"/>
        <v>2034</v>
      </c>
      <c r="I494">
        <v>1</v>
      </c>
      <c r="J494">
        <f t="shared" si="481"/>
        <v>18.532699999999949</v>
      </c>
      <c r="K494">
        <f t="shared" si="482"/>
        <v>0</v>
      </c>
      <c r="L494">
        <f t="shared" si="483"/>
        <v>18.532699999999949</v>
      </c>
    </row>
    <row r="495" spans="2:12">
      <c r="B495" s="1">
        <v>49133</v>
      </c>
      <c r="C495" t="s">
        <v>25</v>
      </c>
      <c r="D495">
        <v>17</v>
      </c>
      <c r="E495">
        <v>2.7</v>
      </c>
      <c r="F495">
        <f t="shared" si="479"/>
        <v>0.45900000000000007</v>
      </c>
      <c r="G495">
        <f t="shared" ref="G495" si="525">D493+D494+D495</f>
        <v>61.9</v>
      </c>
      <c r="H495">
        <f t="shared" si="478"/>
        <v>2034</v>
      </c>
      <c r="I495">
        <v>1</v>
      </c>
      <c r="J495">
        <f t="shared" si="481"/>
        <v>18.991699999999948</v>
      </c>
      <c r="K495">
        <f t="shared" si="482"/>
        <v>0</v>
      </c>
      <c r="L495">
        <f t="shared" si="483"/>
        <v>18.991699999999948</v>
      </c>
    </row>
    <row r="496" spans="2:12">
      <c r="B496" s="1">
        <v>49134</v>
      </c>
      <c r="C496" t="s">
        <v>50</v>
      </c>
      <c r="D496">
        <v>21</v>
      </c>
      <c r="E496">
        <v>5.6</v>
      </c>
      <c r="F496">
        <f t="shared" si="479"/>
        <v>1.1759999999999999</v>
      </c>
      <c r="G496">
        <f t="shared" ref="G496" si="526">D493+D494+D495+D496</f>
        <v>82.9</v>
      </c>
      <c r="H496">
        <f t="shared" si="478"/>
        <v>2034</v>
      </c>
      <c r="I496">
        <v>1</v>
      </c>
      <c r="J496">
        <f t="shared" si="481"/>
        <v>20.167699999999947</v>
      </c>
      <c r="K496">
        <f t="shared" si="482"/>
        <v>0</v>
      </c>
      <c r="L496">
        <f t="shared" si="483"/>
        <v>20.167699999999947</v>
      </c>
    </row>
    <row r="497" spans="2:12">
      <c r="B497" s="1">
        <v>49135</v>
      </c>
      <c r="C497" t="s">
        <v>50</v>
      </c>
      <c r="D497">
        <v>20.7</v>
      </c>
      <c r="E497">
        <v>0</v>
      </c>
      <c r="F497">
        <f t="shared" si="479"/>
        <v>0</v>
      </c>
      <c r="G497">
        <f t="shared" ref="G497" si="527">D493+D494+D495+D496+D497</f>
        <v>103.60000000000001</v>
      </c>
      <c r="H497">
        <f t="shared" si="478"/>
        <v>2034</v>
      </c>
      <c r="I497">
        <v>1</v>
      </c>
      <c r="J497">
        <f t="shared" si="481"/>
        <v>20.167699999999947</v>
      </c>
      <c r="K497">
        <f t="shared" si="482"/>
        <v>0</v>
      </c>
      <c r="L497">
        <f t="shared" si="483"/>
        <v>20.167699999999947</v>
      </c>
    </row>
    <row r="498" spans="2:12">
      <c r="B498" s="1">
        <v>49136</v>
      </c>
      <c r="C498" t="s">
        <v>26</v>
      </c>
      <c r="D498">
        <v>26.7</v>
      </c>
      <c r="E498">
        <v>9.8000000000000007</v>
      </c>
      <c r="F498">
        <f t="shared" si="479"/>
        <v>2.6166</v>
      </c>
      <c r="G498">
        <f t="shared" ref="G498" si="528">D493+D494+D495+D496+D497+D498</f>
        <v>130.30000000000001</v>
      </c>
      <c r="H498">
        <f t="shared" si="478"/>
        <v>2034</v>
      </c>
      <c r="I498">
        <v>1</v>
      </c>
      <c r="J498">
        <f t="shared" si="481"/>
        <v>22.784299999999945</v>
      </c>
      <c r="K498">
        <f t="shared" si="482"/>
        <v>0</v>
      </c>
      <c r="L498">
        <f t="shared" si="483"/>
        <v>22.784299999999945</v>
      </c>
    </row>
    <row r="499" spans="2:12">
      <c r="B499" s="1">
        <v>49137</v>
      </c>
      <c r="C499" t="s">
        <v>39</v>
      </c>
      <c r="D499">
        <v>10.199999999999999</v>
      </c>
      <c r="E499">
        <v>0.1</v>
      </c>
      <c r="F499">
        <f t="shared" si="479"/>
        <v>0</v>
      </c>
      <c r="G499">
        <f t="shared" ref="G499" si="529">D493+D494+D495+D496+D497+D498+D499</f>
        <v>140.5</v>
      </c>
      <c r="H499">
        <f t="shared" si="478"/>
        <v>2034</v>
      </c>
      <c r="I499">
        <v>1</v>
      </c>
      <c r="J499">
        <f t="shared" si="481"/>
        <v>22.784299999999945</v>
      </c>
      <c r="K499">
        <f t="shared" si="482"/>
        <v>0</v>
      </c>
      <c r="L499">
        <f t="shared" si="483"/>
        <v>22.784299999999945</v>
      </c>
    </row>
    <row r="500" spans="2:12">
      <c r="B500" s="1">
        <v>49138</v>
      </c>
      <c r="C500" t="s">
        <v>24</v>
      </c>
      <c r="D500">
        <v>15.7</v>
      </c>
      <c r="E500">
        <v>5.8</v>
      </c>
      <c r="F500">
        <f t="shared" si="479"/>
        <v>0.91059999999999985</v>
      </c>
      <c r="G500">
        <f t="shared" ref="G500:G563" si="530">D500</f>
        <v>15.7</v>
      </c>
      <c r="H500">
        <f t="shared" si="478"/>
        <v>2034</v>
      </c>
      <c r="I500">
        <v>1</v>
      </c>
      <c r="J500">
        <f t="shared" si="481"/>
        <v>23.694899999999944</v>
      </c>
      <c r="K500">
        <f t="shared" si="482"/>
        <v>0</v>
      </c>
      <c r="L500">
        <f t="shared" si="483"/>
        <v>23.694899999999944</v>
      </c>
    </row>
    <row r="501" spans="2:12">
      <c r="B501" s="1">
        <v>49139</v>
      </c>
      <c r="C501" t="s">
        <v>48</v>
      </c>
      <c r="D501">
        <v>15.9</v>
      </c>
      <c r="E501">
        <v>2.2000000000000002</v>
      </c>
      <c r="F501">
        <f t="shared" si="479"/>
        <v>0.34980000000000006</v>
      </c>
      <c r="G501">
        <f t="shared" ref="G501:G564" si="531">D500+D501</f>
        <v>31.6</v>
      </c>
      <c r="H501">
        <f t="shared" si="478"/>
        <v>2034</v>
      </c>
      <c r="I501">
        <v>1</v>
      </c>
      <c r="J501">
        <f t="shared" si="481"/>
        <v>24.044699999999942</v>
      </c>
      <c r="K501">
        <f t="shared" si="482"/>
        <v>0</v>
      </c>
      <c r="L501">
        <f t="shared" si="483"/>
        <v>24.044699999999942</v>
      </c>
    </row>
    <row r="502" spans="2:12">
      <c r="B502" s="1">
        <v>49140</v>
      </c>
      <c r="C502" t="s">
        <v>50</v>
      </c>
      <c r="D502">
        <v>21</v>
      </c>
      <c r="E502">
        <v>13.1</v>
      </c>
      <c r="F502">
        <f t="shared" si="479"/>
        <v>2.7509999999999994</v>
      </c>
      <c r="G502">
        <f t="shared" ref="G502" si="532">D500+D501+D502</f>
        <v>52.6</v>
      </c>
      <c r="H502">
        <f t="shared" si="478"/>
        <v>2034</v>
      </c>
      <c r="I502">
        <v>1</v>
      </c>
      <c r="J502">
        <f t="shared" si="481"/>
        <v>26.79569999999994</v>
      </c>
      <c r="K502">
        <f t="shared" si="482"/>
        <v>0</v>
      </c>
      <c r="L502">
        <f t="shared" si="483"/>
        <v>26.79569999999994</v>
      </c>
    </row>
    <row r="503" spans="2:12">
      <c r="B503" s="1">
        <v>49141</v>
      </c>
      <c r="C503" t="s">
        <v>21</v>
      </c>
      <c r="D503">
        <v>10.9</v>
      </c>
      <c r="E503">
        <v>8.1</v>
      </c>
      <c r="F503">
        <f t="shared" si="479"/>
        <v>0.88289999999999991</v>
      </c>
      <c r="G503">
        <f t="shared" ref="G503" si="533">D500+D501+D502+D503</f>
        <v>63.5</v>
      </c>
      <c r="H503">
        <f t="shared" si="478"/>
        <v>2034</v>
      </c>
      <c r="I503">
        <v>1</v>
      </c>
      <c r="J503">
        <f t="shared" si="481"/>
        <v>27.678599999999939</v>
      </c>
      <c r="K503">
        <f t="shared" si="482"/>
        <v>0</v>
      </c>
      <c r="L503">
        <f t="shared" si="483"/>
        <v>27.678599999999939</v>
      </c>
    </row>
    <row r="504" spans="2:12">
      <c r="B504" s="1">
        <v>49142</v>
      </c>
      <c r="C504" t="s">
        <v>43</v>
      </c>
      <c r="D504">
        <v>20.9</v>
      </c>
      <c r="E504">
        <v>5.9</v>
      </c>
      <c r="F504">
        <f t="shared" si="479"/>
        <v>1.2331000000000001</v>
      </c>
      <c r="G504">
        <f t="shared" ref="G504" si="534">D500+D501+D502+D503+D504</f>
        <v>84.4</v>
      </c>
      <c r="H504">
        <f t="shared" si="478"/>
        <v>2034</v>
      </c>
      <c r="I504">
        <v>1</v>
      </c>
      <c r="J504">
        <f t="shared" si="481"/>
        <v>28.911699999999939</v>
      </c>
      <c r="K504">
        <f t="shared" si="482"/>
        <v>0</v>
      </c>
      <c r="L504">
        <f t="shared" si="483"/>
        <v>28.911699999999939</v>
      </c>
    </row>
    <row r="505" spans="2:12">
      <c r="B505" s="1">
        <v>49143</v>
      </c>
      <c r="C505" t="s">
        <v>50</v>
      </c>
      <c r="D505">
        <v>21.8</v>
      </c>
      <c r="E505">
        <v>15.9</v>
      </c>
      <c r="F505">
        <f t="shared" si="479"/>
        <v>3.4662000000000002</v>
      </c>
      <c r="G505">
        <f t="shared" ref="G505" si="535">D500+D501+D502+D503+D504+D505</f>
        <v>106.2</v>
      </c>
      <c r="H505">
        <f t="shared" si="478"/>
        <v>2034</v>
      </c>
      <c r="I505">
        <v>1</v>
      </c>
      <c r="J505">
        <f t="shared" si="481"/>
        <v>32.37789999999994</v>
      </c>
      <c r="K505">
        <f t="shared" si="482"/>
        <v>0</v>
      </c>
      <c r="L505">
        <f t="shared" si="483"/>
        <v>32.37789999999994</v>
      </c>
    </row>
    <row r="506" spans="2:12">
      <c r="B506" s="1">
        <v>49144</v>
      </c>
      <c r="C506" t="s">
        <v>32</v>
      </c>
      <c r="D506">
        <v>11.9</v>
      </c>
      <c r="E506">
        <v>18.100000000000001</v>
      </c>
      <c r="F506">
        <f t="shared" si="479"/>
        <v>2.1539000000000001</v>
      </c>
      <c r="G506">
        <f t="shared" ref="G506" si="536">D500+D501+D502+D503+D504+D505+D506</f>
        <v>118.10000000000001</v>
      </c>
      <c r="H506">
        <f t="shared" si="478"/>
        <v>2034</v>
      </c>
      <c r="I506">
        <v>1</v>
      </c>
      <c r="J506">
        <f t="shared" si="481"/>
        <v>34.53179999999994</v>
      </c>
      <c r="K506">
        <f t="shared" si="482"/>
        <v>0</v>
      </c>
      <c r="L506">
        <f t="shared" si="483"/>
        <v>34.53179999999994</v>
      </c>
    </row>
    <row r="507" spans="2:12">
      <c r="B507" s="1">
        <v>49145</v>
      </c>
      <c r="C507" t="s">
        <v>27</v>
      </c>
      <c r="D507">
        <v>12.9</v>
      </c>
      <c r="E507">
        <v>0</v>
      </c>
      <c r="F507">
        <f t="shared" si="479"/>
        <v>0</v>
      </c>
      <c r="G507">
        <f t="shared" ref="G507:G570" si="537">D507</f>
        <v>12.9</v>
      </c>
      <c r="H507">
        <f t="shared" si="478"/>
        <v>2034</v>
      </c>
      <c r="I507">
        <v>1</v>
      </c>
      <c r="J507">
        <f t="shared" si="481"/>
        <v>34.53179999999994</v>
      </c>
      <c r="K507">
        <f t="shared" si="482"/>
        <v>0</v>
      </c>
      <c r="L507">
        <f t="shared" si="483"/>
        <v>34.53179999999994</v>
      </c>
    </row>
    <row r="508" spans="2:12">
      <c r="B508" s="1">
        <v>49146</v>
      </c>
      <c r="C508" t="s">
        <v>50</v>
      </c>
      <c r="D508">
        <v>14.9</v>
      </c>
      <c r="E508">
        <v>4.8</v>
      </c>
      <c r="F508">
        <f t="shared" si="479"/>
        <v>0.71519999999999995</v>
      </c>
      <c r="G508">
        <f t="shared" ref="G508:G571" si="538">D507+D508</f>
        <v>27.8</v>
      </c>
      <c r="H508">
        <f t="shared" si="478"/>
        <v>2034</v>
      </c>
      <c r="I508">
        <v>1</v>
      </c>
      <c r="J508">
        <f t="shared" si="481"/>
        <v>35.246999999999943</v>
      </c>
      <c r="K508">
        <f t="shared" si="482"/>
        <v>0</v>
      </c>
      <c r="L508">
        <f t="shared" si="483"/>
        <v>35.246999999999943</v>
      </c>
    </row>
    <row r="509" spans="2:12">
      <c r="B509" s="1">
        <v>49147</v>
      </c>
      <c r="C509" t="s">
        <v>24</v>
      </c>
      <c r="D509">
        <v>29.5</v>
      </c>
      <c r="E509">
        <v>0</v>
      </c>
      <c r="F509">
        <f t="shared" si="479"/>
        <v>0</v>
      </c>
      <c r="G509">
        <f t="shared" ref="G509" si="539">D507+D508+D509</f>
        <v>57.3</v>
      </c>
      <c r="H509">
        <f t="shared" si="478"/>
        <v>2034</v>
      </c>
      <c r="I509">
        <v>1</v>
      </c>
      <c r="J509">
        <f t="shared" si="481"/>
        <v>35.246999999999943</v>
      </c>
      <c r="K509">
        <f t="shared" si="482"/>
        <v>0</v>
      </c>
      <c r="L509">
        <f t="shared" si="483"/>
        <v>35.246999999999943</v>
      </c>
    </row>
    <row r="510" spans="2:12">
      <c r="B510" s="1">
        <v>49148</v>
      </c>
      <c r="C510" t="s">
        <v>50</v>
      </c>
      <c r="D510">
        <v>18.100000000000001</v>
      </c>
      <c r="E510">
        <v>0</v>
      </c>
      <c r="F510">
        <f t="shared" si="479"/>
        <v>0</v>
      </c>
      <c r="G510">
        <f t="shared" ref="G510" si="540">D507+D508+D509+D510</f>
        <v>75.400000000000006</v>
      </c>
      <c r="H510">
        <f t="shared" si="478"/>
        <v>2034</v>
      </c>
      <c r="I510">
        <v>1</v>
      </c>
      <c r="J510">
        <f t="shared" si="481"/>
        <v>35.246999999999943</v>
      </c>
      <c r="K510">
        <f t="shared" si="482"/>
        <v>0</v>
      </c>
      <c r="L510">
        <f t="shared" si="483"/>
        <v>35.246999999999943</v>
      </c>
    </row>
    <row r="511" spans="2:12">
      <c r="B511" s="1">
        <v>49149</v>
      </c>
      <c r="C511" t="s">
        <v>17</v>
      </c>
      <c r="D511">
        <v>10.8</v>
      </c>
      <c r="E511">
        <v>11.8</v>
      </c>
      <c r="F511">
        <f t="shared" si="479"/>
        <v>1.2744000000000002</v>
      </c>
      <c r="G511">
        <f t="shared" ref="G511" si="541">D507+D508+D509+D510+D511</f>
        <v>86.2</v>
      </c>
      <c r="H511">
        <f t="shared" si="478"/>
        <v>2034</v>
      </c>
      <c r="I511">
        <v>1</v>
      </c>
      <c r="J511">
        <f t="shared" si="481"/>
        <v>36.521399999999943</v>
      </c>
      <c r="K511">
        <f t="shared" si="482"/>
        <v>0</v>
      </c>
      <c r="L511">
        <f t="shared" si="483"/>
        <v>36.521399999999943</v>
      </c>
    </row>
    <row r="512" spans="2:12">
      <c r="B512" s="1">
        <v>49150</v>
      </c>
      <c r="C512" t="s">
        <v>21</v>
      </c>
      <c r="D512">
        <v>13.5</v>
      </c>
      <c r="E512">
        <v>5.4</v>
      </c>
      <c r="F512">
        <f t="shared" si="479"/>
        <v>0.72900000000000009</v>
      </c>
      <c r="G512">
        <f t="shared" ref="G512" si="542">D507+D508+D509+D510+D511+D512</f>
        <v>99.7</v>
      </c>
      <c r="H512">
        <f t="shared" si="478"/>
        <v>2034</v>
      </c>
      <c r="I512">
        <v>1</v>
      </c>
      <c r="J512">
        <f t="shared" si="481"/>
        <v>37.250399999999942</v>
      </c>
      <c r="K512">
        <f t="shared" si="482"/>
        <v>0</v>
      </c>
      <c r="L512">
        <f t="shared" si="483"/>
        <v>37.250399999999942</v>
      </c>
    </row>
    <row r="513" spans="2:12">
      <c r="B513" s="1">
        <v>49151</v>
      </c>
      <c r="C513" t="s">
        <v>43</v>
      </c>
      <c r="D513">
        <v>15.9</v>
      </c>
      <c r="E513">
        <v>0</v>
      </c>
      <c r="F513">
        <f t="shared" si="479"/>
        <v>0</v>
      </c>
      <c r="G513">
        <f t="shared" ref="G513" si="543">D507+D508+D509+D510+D511+D512+D513</f>
        <v>115.60000000000001</v>
      </c>
      <c r="H513">
        <f t="shared" si="478"/>
        <v>2034</v>
      </c>
      <c r="I513">
        <v>1</v>
      </c>
      <c r="J513">
        <f t="shared" si="481"/>
        <v>37.250399999999942</v>
      </c>
      <c r="K513">
        <f t="shared" si="482"/>
        <v>0</v>
      </c>
      <c r="L513">
        <f t="shared" si="483"/>
        <v>37.250399999999942</v>
      </c>
    </row>
    <row r="514" spans="2:12">
      <c r="B514" s="1">
        <v>49152</v>
      </c>
      <c r="C514" t="s">
        <v>36</v>
      </c>
      <c r="D514">
        <v>23.1</v>
      </c>
      <c r="E514">
        <v>0</v>
      </c>
      <c r="F514">
        <f t="shared" si="479"/>
        <v>0</v>
      </c>
      <c r="G514">
        <f t="shared" ref="G514:G577" si="544">D514</f>
        <v>23.1</v>
      </c>
      <c r="H514">
        <f t="shared" si="478"/>
        <v>2034</v>
      </c>
      <c r="I514">
        <v>1</v>
      </c>
      <c r="J514">
        <f t="shared" si="481"/>
        <v>37.250399999999942</v>
      </c>
      <c r="K514">
        <f t="shared" si="482"/>
        <v>0</v>
      </c>
      <c r="L514">
        <f t="shared" si="483"/>
        <v>37.250399999999942</v>
      </c>
    </row>
    <row r="515" spans="2:12">
      <c r="B515" s="1">
        <v>49153</v>
      </c>
      <c r="C515" t="s">
        <v>33</v>
      </c>
      <c r="D515">
        <v>26.7</v>
      </c>
      <c r="E515">
        <v>0</v>
      </c>
      <c r="F515">
        <f t="shared" si="479"/>
        <v>0</v>
      </c>
      <c r="G515">
        <f t="shared" ref="G515:G578" si="545">D514+D515</f>
        <v>49.8</v>
      </c>
      <c r="H515">
        <f t="shared" si="478"/>
        <v>2034</v>
      </c>
      <c r="I515">
        <v>1</v>
      </c>
      <c r="J515">
        <f t="shared" si="481"/>
        <v>37.250399999999942</v>
      </c>
      <c r="K515">
        <f t="shared" si="482"/>
        <v>0</v>
      </c>
      <c r="L515">
        <f t="shared" si="483"/>
        <v>37.250399999999942</v>
      </c>
    </row>
    <row r="516" spans="2:12">
      <c r="B516" s="1">
        <v>49154</v>
      </c>
      <c r="C516" t="s">
        <v>24</v>
      </c>
      <c r="D516">
        <v>26</v>
      </c>
      <c r="E516">
        <v>29.1</v>
      </c>
      <c r="F516">
        <f t="shared" si="479"/>
        <v>7.5659999999999998</v>
      </c>
      <c r="G516">
        <f t="shared" ref="G516" si="546">D514+D515+D516</f>
        <v>75.8</v>
      </c>
      <c r="H516">
        <f t="shared" ref="H516:H579" si="547">YEAR(B516)</f>
        <v>2034</v>
      </c>
      <c r="I516">
        <v>1</v>
      </c>
      <c r="J516">
        <f t="shared" si="481"/>
        <v>44.816399999999945</v>
      </c>
      <c r="K516">
        <f t="shared" si="482"/>
        <v>0</v>
      </c>
      <c r="L516">
        <f t="shared" si="483"/>
        <v>44.816399999999945</v>
      </c>
    </row>
    <row r="517" spans="2:12">
      <c r="B517" s="1">
        <v>49155</v>
      </c>
      <c r="C517" t="s">
        <v>47</v>
      </c>
      <c r="D517">
        <v>23.6</v>
      </c>
      <c r="E517">
        <v>9.1</v>
      </c>
      <c r="F517">
        <f t="shared" ref="F517:F580" si="548">IF(E517&gt;=1,D517*E517/100,0)</f>
        <v>2.1475999999999997</v>
      </c>
      <c r="G517">
        <f t="shared" ref="G517" si="549">D514+D515+D516+D517</f>
        <v>99.4</v>
      </c>
      <c r="H517">
        <f t="shared" si="547"/>
        <v>2034</v>
      </c>
      <c r="I517">
        <v>1</v>
      </c>
      <c r="J517">
        <f t="shared" ref="J517:J580" si="550">L516+F517</f>
        <v>46.963999999999942</v>
      </c>
      <c r="K517">
        <f t="shared" ref="K517:K580" si="551">IF(J517&gt;=100,1,0)</f>
        <v>0</v>
      </c>
      <c r="L517">
        <f t="shared" ref="L517:L580" si="552">IF(K517=1,J517-100,J517)</f>
        <v>46.963999999999942</v>
      </c>
    </row>
    <row r="518" spans="2:12">
      <c r="B518" s="1">
        <v>49156</v>
      </c>
      <c r="C518" t="s">
        <v>36</v>
      </c>
      <c r="D518">
        <v>29.8</v>
      </c>
      <c r="E518">
        <v>5.7</v>
      </c>
      <c r="F518">
        <f t="shared" si="548"/>
        <v>1.6986000000000001</v>
      </c>
      <c r="G518">
        <f t="shared" ref="G518" si="553">D514+D515+D516+D517+D518</f>
        <v>129.20000000000002</v>
      </c>
      <c r="H518">
        <f t="shared" si="547"/>
        <v>2034</v>
      </c>
      <c r="I518">
        <v>1</v>
      </c>
      <c r="J518">
        <f t="shared" si="550"/>
        <v>48.662599999999941</v>
      </c>
      <c r="K518">
        <f t="shared" si="551"/>
        <v>0</v>
      </c>
      <c r="L518">
        <f t="shared" si="552"/>
        <v>48.662599999999941</v>
      </c>
    </row>
    <row r="519" spans="2:12">
      <c r="B519" s="1">
        <v>49157</v>
      </c>
      <c r="C519" t="s">
        <v>50</v>
      </c>
      <c r="D519">
        <v>18.600000000000001</v>
      </c>
      <c r="E519">
        <v>0</v>
      </c>
      <c r="F519">
        <f t="shared" si="548"/>
        <v>0</v>
      </c>
      <c r="G519">
        <f t="shared" ref="G519" si="554">D514+D515+D516+D517+D518+D519</f>
        <v>147.80000000000001</v>
      </c>
      <c r="H519">
        <f t="shared" si="547"/>
        <v>2034</v>
      </c>
      <c r="I519">
        <v>1</v>
      </c>
      <c r="J519">
        <f t="shared" si="550"/>
        <v>48.662599999999941</v>
      </c>
      <c r="K519">
        <f t="shared" si="551"/>
        <v>0</v>
      </c>
      <c r="L519">
        <f t="shared" si="552"/>
        <v>48.662599999999941</v>
      </c>
    </row>
    <row r="520" spans="2:12">
      <c r="B520" s="1">
        <v>49158</v>
      </c>
      <c r="C520" t="s">
        <v>32</v>
      </c>
      <c r="D520">
        <v>17.600000000000001</v>
      </c>
      <c r="E520">
        <v>2.4</v>
      </c>
      <c r="F520">
        <f t="shared" si="548"/>
        <v>0.4224</v>
      </c>
      <c r="G520">
        <f t="shared" ref="G520" si="555">D514+D515+D516+D517+D518+D519+D520</f>
        <v>165.4</v>
      </c>
      <c r="H520">
        <f t="shared" si="547"/>
        <v>2034</v>
      </c>
      <c r="I520">
        <v>1</v>
      </c>
      <c r="J520">
        <f t="shared" si="550"/>
        <v>49.084999999999944</v>
      </c>
      <c r="K520">
        <f t="shared" si="551"/>
        <v>0</v>
      </c>
      <c r="L520">
        <f t="shared" si="552"/>
        <v>49.084999999999944</v>
      </c>
    </row>
    <row r="521" spans="2:12">
      <c r="B521" s="1">
        <v>49159</v>
      </c>
      <c r="C521" t="s">
        <v>32</v>
      </c>
      <c r="D521">
        <v>12.6</v>
      </c>
      <c r="E521">
        <v>9.1999999999999993</v>
      </c>
      <c r="F521">
        <f t="shared" si="548"/>
        <v>1.1591999999999998</v>
      </c>
      <c r="G521">
        <f t="shared" ref="G521:G584" si="556">D521</f>
        <v>12.6</v>
      </c>
      <c r="H521">
        <f t="shared" si="547"/>
        <v>2034</v>
      </c>
      <c r="I521">
        <v>1</v>
      </c>
      <c r="J521">
        <f t="shared" si="550"/>
        <v>50.244199999999942</v>
      </c>
      <c r="K521">
        <f t="shared" si="551"/>
        <v>0</v>
      </c>
      <c r="L521">
        <f t="shared" si="552"/>
        <v>50.244199999999942</v>
      </c>
    </row>
    <row r="522" spans="2:12">
      <c r="B522" s="1">
        <v>49160</v>
      </c>
      <c r="C522" t="s">
        <v>42</v>
      </c>
      <c r="D522">
        <v>25.4</v>
      </c>
      <c r="E522">
        <v>5.4</v>
      </c>
      <c r="F522">
        <f t="shared" si="548"/>
        <v>1.3715999999999999</v>
      </c>
      <c r="G522">
        <f t="shared" ref="G522:G585" si="557">D521+D522</f>
        <v>38</v>
      </c>
      <c r="H522">
        <f t="shared" si="547"/>
        <v>2034</v>
      </c>
      <c r="I522">
        <v>1</v>
      </c>
      <c r="J522">
        <f t="shared" si="550"/>
        <v>51.615799999999943</v>
      </c>
      <c r="K522">
        <f t="shared" si="551"/>
        <v>0</v>
      </c>
      <c r="L522">
        <f t="shared" si="552"/>
        <v>51.615799999999943</v>
      </c>
    </row>
    <row r="523" spans="2:12">
      <c r="B523" s="1">
        <v>49161</v>
      </c>
      <c r="C523" t="s">
        <v>40</v>
      </c>
      <c r="D523">
        <v>12.8</v>
      </c>
      <c r="E523">
        <v>3.6</v>
      </c>
      <c r="F523">
        <f t="shared" si="548"/>
        <v>0.46080000000000004</v>
      </c>
      <c r="G523">
        <f t="shared" ref="G523" si="558">D521+D522+D523</f>
        <v>50.8</v>
      </c>
      <c r="H523">
        <f t="shared" si="547"/>
        <v>2034</v>
      </c>
      <c r="I523">
        <v>1</v>
      </c>
      <c r="J523">
        <f t="shared" si="550"/>
        <v>52.076599999999942</v>
      </c>
      <c r="K523">
        <f t="shared" si="551"/>
        <v>0</v>
      </c>
      <c r="L523">
        <f t="shared" si="552"/>
        <v>52.076599999999942</v>
      </c>
    </row>
    <row r="524" spans="2:12">
      <c r="B524" s="1">
        <v>49162</v>
      </c>
      <c r="C524" t="s">
        <v>25</v>
      </c>
      <c r="D524">
        <v>18.7</v>
      </c>
      <c r="E524">
        <v>0</v>
      </c>
      <c r="F524">
        <f t="shared" si="548"/>
        <v>0</v>
      </c>
      <c r="G524">
        <f t="shared" ref="G524" si="559">D521+D522+D523+D524</f>
        <v>69.5</v>
      </c>
      <c r="H524">
        <f t="shared" si="547"/>
        <v>2034</v>
      </c>
      <c r="I524">
        <v>1</v>
      </c>
      <c r="J524">
        <f t="shared" si="550"/>
        <v>52.076599999999942</v>
      </c>
      <c r="K524">
        <f t="shared" si="551"/>
        <v>0</v>
      </c>
      <c r="L524">
        <f t="shared" si="552"/>
        <v>52.076599999999942</v>
      </c>
    </row>
    <row r="525" spans="2:12">
      <c r="B525" s="1">
        <v>49163</v>
      </c>
      <c r="C525" t="s">
        <v>48</v>
      </c>
      <c r="D525">
        <v>22.3</v>
      </c>
      <c r="E525">
        <v>0</v>
      </c>
      <c r="F525">
        <f t="shared" si="548"/>
        <v>0</v>
      </c>
      <c r="G525">
        <f t="shared" ref="G525" si="560">D521+D522+D523+D524+D525</f>
        <v>91.8</v>
      </c>
      <c r="H525">
        <f t="shared" si="547"/>
        <v>2034</v>
      </c>
      <c r="I525">
        <v>1</v>
      </c>
      <c r="J525">
        <f t="shared" si="550"/>
        <v>52.076599999999942</v>
      </c>
      <c r="K525">
        <f t="shared" si="551"/>
        <v>0</v>
      </c>
      <c r="L525">
        <f t="shared" si="552"/>
        <v>52.076599999999942</v>
      </c>
    </row>
    <row r="526" spans="2:12">
      <c r="B526" s="1">
        <v>49164</v>
      </c>
      <c r="C526" t="s">
        <v>47</v>
      </c>
      <c r="D526">
        <v>26.4</v>
      </c>
      <c r="E526">
        <v>0.5</v>
      </c>
      <c r="F526">
        <f t="shared" si="548"/>
        <v>0</v>
      </c>
      <c r="G526">
        <f t="shared" ref="G526" si="561">D521+D522+D523+D524+D525+D526</f>
        <v>118.19999999999999</v>
      </c>
      <c r="H526">
        <f t="shared" si="547"/>
        <v>2034</v>
      </c>
      <c r="I526">
        <v>1</v>
      </c>
      <c r="J526">
        <f t="shared" si="550"/>
        <v>52.076599999999942</v>
      </c>
      <c r="K526">
        <f t="shared" si="551"/>
        <v>0</v>
      </c>
      <c r="L526">
        <f t="shared" si="552"/>
        <v>52.076599999999942</v>
      </c>
    </row>
    <row r="527" spans="2:12">
      <c r="B527" s="1">
        <v>49165</v>
      </c>
      <c r="C527" t="s">
        <v>18</v>
      </c>
      <c r="D527">
        <v>28.5</v>
      </c>
      <c r="E527">
        <v>3.2</v>
      </c>
      <c r="F527">
        <f t="shared" si="548"/>
        <v>0.91200000000000003</v>
      </c>
      <c r="G527">
        <f t="shared" ref="G527" si="562">D521+D522+D523+D524+D525+D526+D527</f>
        <v>146.69999999999999</v>
      </c>
      <c r="H527">
        <f t="shared" si="547"/>
        <v>2034</v>
      </c>
      <c r="I527">
        <v>1</v>
      </c>
      <c r="J527">
        <f t="shared" si="550"/>
        <v>52.988599999999941</v>
      </c>
      <c r="K527">
        <f t="shared" si="551"/>
        <v>0</v>
      </c>
      <c r="L527">
        <f t="shared" si="552"/>
        <v>52.988599999999941</v>
      </c>
    </row>
    <row r="528" spans="2:12">
      <c r="B528" s="1">
        <v>49166</v>
      </c>
      <c r="C528" t="s">
        <v>42</v>
      </c>
      <c r="D528">
        <v>16.8</v>
      </c>
      <c r="E528">
        <v>5.5</v>
      </c>
      <c r="F528">
        <f t="shared" si="548"/>
        <v>0.92400000000000004</v>
      </c>
      <c r="G528">
        <f t="shared" ref="G528:G591" si="563">D528</f>
        <v>16.8</v>
      </c>
      <c r="H528">
        <f t="shared" si="547"/>
        <v>2034</v>
      </c>
      <c r="I528">
        <v>1</v>
      </c>
      <c r="J528">
        <f t="shared" si="550"/>
        <v>53.912599999999941</v>
      </c>
      <c r="K528">
        <f t="shared" si="551"/>
        <v>0</v>
      </c>
      <c r="L528">
        <f t="shared" si="552"/>
        <v>53.912599999999941</v>
      </c>
    </row>
    <row r="529" spans="2:12">
      <c r="B529" s="1">
        <v>49167</v>
      </c>
      <c r="C529" t="s">
        <v>38</v>
      </c>
      <c r="D529">
        <v>24.7</v>
      </c>
      <c r="E529">
        <v>0.8</v>
      </c>
      <c r="F529">
        <f t="shared" si="548"/>
        <v>0</v>
      </c>
      <c r="G529">
        <f t="shared" ref="G529:G592" si="564">D528+D529</f>
        <v>41.5</v>
      </c>
      <c r="H529">
        <f t="shared" si="547"/>
        <v>2034</v>
      </c>
      <c r="I529">
        <v>1</v>
      </c>
      <c r="J529">
        <f t="shared" si="550"/>
        <v>53.912599999999941</v>
      </c>
      <c r="K529">
        <f t="shared" si="551"/>
        <v>0</v>
      </c>
      <c r="L529">
        <f t="shared" si="552"/>
        <v>53.912599999999941</v>
      </c>
    </row>
    <row r="530" spans="2:12">
      <c r="B530" s="1">
        <v>49168</v>
      </c>
      <c r="C530" t="s">
        <v>21</v>
      </c>
      <c r="D530">
        <v>29.6</v>
      </c>
      <c r="E530">
        <v>0</v>
      </c>
      <c r="F530">
        <f t="shared" si="548"/>
        <v>0</v>
      </c>
      <c r="G530">
        <f t="shared" ref="G530" si="565">D528+D529+D530</f>
        <v>71.099999999999994</v>
      </c>
      <c r="H530">
        <f t="shared" si="547"/>
        <v>2034</v>
      </c>
      <c r="I530">
        <v>1</v>
      </c>
      <c r="J530">
        <f t="shared" si="550"/>
        <v>53.912599999999941</v>
      </c>
      <c r="K530">
        <f t="shared" si="551"/>
        <v>0</v>
      </c>
      <c r="L530">
        <f t="shared" si="552"/>
        <v>53.912599999999941</v>
      </c>
    </row>
    <row r="531" spans="2:12">
      <c r="B531" s="1">
        <v>49169</v>
      </c>
      <c r="C531" t="s">
        <v>24</v>
      </c>
      <c r="D531">
        <v>23.3</v>
      </c>
      <c r="E531">
        <v>29.4</v>
      </c>
      <c r="F531">
        <f t="shared" si="548"/>
        <v>6.8502000000000001</v>
      </c>
      <c r="G531">
        <f t="shared" ref="G531" si="566">D528+D529+D530+D531</f>
        <v>94.399999999999991</v>
      </c>
      <c r="H531">
        <f t="shared" si="547"/>
        <v>2034</v>
      </c>
      <c r="I531">
        <v>1</v>
      </c>
      <c r="J531">
        <f t="shared" si="550"/>
        <v>60.762799999999942</v>
      </c>
      <c r="K531">
        <f t="shared" si="551"/>
        <v>0</v>
      </c>
      <c r="L531">
        <f t="shared" si="552"/>
        <v>60.762799999999942</v>
      </c>
    </row>
    <row r="532" spans="2:12">
      <c r="B532" s="1">
        <v>49170</v>
      </c>
      <c r="C532" t="s">
        <v>21</v>
      </c>
      <c r="D532">
        <v>28.8</v>
      </c>
      <c r="E532">
        <v>11.5</v>
      </c>
      <c r="F532">
        <f t="shared" si="548"/>
        <v>3.3119999999999998</v>
      </c>
      <c r="G532">
        <f t="shared" ref="G532" si="567">D528+D529+D530+D531+D532</f>
        <v>123.19999999999999</v>
      </c>
      <c r="H532">
        <f t="shared" si="547"/>
        <v>2034</v>
      </c>
      <c r="I532">
        <v>1</v>
      </c>
      <c r="J532">
        <f t="shared" si="550"/>
        <v>64.074799999999939</v>
      </c>
      <c r="K532">
        <f t="shared" si="551"/>
        <v>0</v>
      </c>
      <c r="L532">
        <f t="shared" si="552"/>
        <v>64.074799999999939</v>
      </c>
    </row>
    <row r="533" spans="2:12">
      <c r="B533" s="1">
        <v>49171</v>
      </c>
      <c r="C533" t="s">
        <v>21</v>
      </c>
      <c r="D533">
        <v>26.5</v>
      </c>
      <c r="E533">
        <v>0</v>
      </c>
      <c r="F533">
        <f t="shared" si="548"/>
        <v>0</v>
      </c>
      <c r="G533">
        <f t="shared" ref="G533" si="568">D528+D529+D530+D531+D532+D533</f>
        <v>149.69999999999999</v>
      </c>
      <c r="H533">
        <f t="shared" si="547"/>
        <v>2034</v>
      </c>
      <c r="I533">
        <v>1</v>
      </c>
      <c r="J533">
        <f t="shared" si="550"/>
        <v>64.074799999999939</v>
      </c>
      <c r="K533">
        <f t="shared" si="551"/>
        <v>0</v>
      </c>
      <c r="L533">
        <f t="shared" si="552"/>
        <v>64.074799999999939</v>
      </c>
    </row>
    <row r="534" spans="2:12">
      <c r="B534" s="1">
        <v>49172</v>
      </c>
      <c r="C534" t="s">
        <v>35</v>
      </c>
      <c r="D534">
        <v>17.100000000000001</v>
      </c>
      <c r="E534">
        <v>3.6</v>
      </c>
      <c r="F534">
        <f t="shared" si="548"/>
        <v>0.61560000000000015</v>
      </c>
      <c r="G534">
        <f t="shared" ref="G534" si="569">D528+D529+D530+D531+D532+D533+D534</f>
        <v>166.79999999999998</v>
      </c>
      <c r="H534">
        <f t="shared" si="547"/>
        <v>2034</v>
      </c>
      <c r="I534">
        <v>1</v>
      </c>
      <c r="J534">
        <f t="shared" si="550"/>
        <v>64.69039999999994</v>
      </c>
      <c r="K534">
        <f t="shared" si="551"/>
        <v>0</v>
      </c>
      <c r="L534">
        <f t="shared" si="552"/>
        <v>64.69039999999994</v>
      </c>
    </row>
    <row r="535" spans="2:12">
      <c r="B535" s="1">
        <v>49173</v>
      </c>
      <c r="C535" t="s">
        <v>21</v>
      </c>
      <c r="D535">
        <v>17.8</v>
      </c>
      <c r="E535">
        <v>7</v>
      </c>
      <c r="F535">
        <f t="shared" si="548"/>
        <v>1.246</v>
      </c>
      <c r="G535">
        <f t="shared" ref="G535:G598" si="570">D535</f>
        <v>17.8</v>
      </c>
      <c r="H535">
        <f t="shared" si="547"/>
        <v>2034</v>
      </c>
      <c r="I535">
        <v>1</v>
      </c>
      <c r="J535">
        <f t="shared" si="550"/>
        <v>65.936399999999935</v>
      </c>
      <c r="K535">
        <f t="shared" si="551"/>
        <v>0</v>
      </c>
      <c r="L535">
        <f t="shared" si="552"/>
        <v>65.936399999999935</v>
      </c>
    </row>
    <row r="536" spans="2:12">
      <c r="B536" s="1">
        <v>49174</v>
      </c>
      <c r="C536" t="s">
        <v>38</v>
      </c>
      <c r="D536">
        <v>24.7</v>
      </c>
      <c r="E536">
        <v>1.5</v>
      </c>
      <c r="F536">
        <f t="shared" si="548"/>
        <v>0.3705</v>
      </c>
      <c r="G536">
        <f t="shared" ref="G536:G599" si="571">D535+D536</f>
        <v>42.5</v>
      </c>
      <c r="H536">
        <f t="shared" si="547"/>
        <v>2034</v>
      </c>
      <c r="I536">
        <v>1</v>
      </c>
      <c r="J536">
        <f t="shared" si="550"/>
        <v>66.306899999999942</v>
      </c>
      <c r="K536">
        <f t="shared" si="551"/>
        <v>0</v>
      </c>
      <c r="L536">
        <f t="shared" si="552"/>
        <v>66.306899999999942</v>
      </c>
    </row>
    <row r="537" spans="2:12">
      <c r="B537" s="1">
        <v>49175</v>
      </c>
      <c r="C537" t="s">
        <v>50</v>
      </c>
      <c r="D537">
        <v>25.1</v>
      </c>
      <c r="E537">
        <v>0</v>
      </c>
      <c r="F537">
        <f t="shared" si="548"/>
        <v>0</v>
      </c>
      <c r="G537">
        <f t="shared" ref="G537" si="572">D535+D536+D537</f>
        <v>67.599999999999994</v>
      </c>
      <c r="H537">
        <f t="shared" si="547"/>
        <v>2034</v>
      </c>
      <c r="I537">
        <v>1</v>
      </c>
      <c r="J537">
        <f t="shared" si="550"/>
        <v>66.306899999999942</v>
      </c>
      <c r="K537">
        <f t="shared" si="551"/>
        <v>0</v>
      </c>
      <c r="L537">
        <f t="shared" si="552"/>
        <v>66.306899999999942</v>
      </c>
    </row>
    <row r="538" spans="2:12">
      <c r="B538" s="1">
        <v>49176</v>
      </c>
      <c r="C538" t="s">
        <v>45</v>
      </c>
      <c r="D538">
        <v>27</v>
      </c>
      <c r="E538">
        <v>0</v>
      </c>
      <c r="F538">
        <f t="shared" si="548"/>
        <v>0</v>
      </c>
      <c r="G538">
        <f t="shared" ref="G538" si="573">D535+D536+D537+D538</f>
        <v>94.6</v>
      </c>
      <c r="H538">
        <f t="shared" si="547"/>
        <v>2034</v>
      </c>
      <c r="I538">
        <v>1</v>
      </c>
      <c r="J538">
        <f t="shared" si="550"/>
        <v>66.306899999999942</v>
      </c>
      <c r="K538">
        <f t="shared" si="551"/>
        <v>0</v>
      </c>
      <c r="L538">
        <f t="shared" si="552"/>
        <v>66.306899999999942</v>
      </c>
    </row>
    <row r="539" spans="2:12">
      <c r="B539" s="1">
        <v>49177</v>
      </c>
      <c r="C539" t="s">
        <v>47</v>
      </c>
      <c r="D539">
        <v>18.2</v>
      </c>
      <c r="E539">
        <v>13.9</v>
      </c>
      <c r="F539">
        <f t="shared" si="548"/>
        <v>2.5297999999999998</v>
      </c>
      <c r="G539">
        <f t="shared" ref="G539" si="574">D535+D536+D537+D538+D539</f>
        <v>112.8</v>
      </c>
      <c r="H539">
        <f t="shared" si="547"/>
        <v>2034</v>
      </c>
      <c r="I539">
        <v>1</v>
      </c>
      <c r="J539">
        <f t="shared" si="550"/>
        <v>68.836699999999936</v>
      </c>
      <c r="K539">
        <f t="shared" si="551"/>
        <v>0</v>
      </c>
      <c r="L539">
        <f t="shared" si="552"/>
        <v>68.836699999999936</v>
      </c>
    </row>
    <row r="540" spans="2:12">
      <c r="B540" s="1">
        <v>49178</v>
      </c>
      <c r="C540" t="s">
        <v>32</v>
      </c>
      <c r="D540">
        <v>10.8</v>
      </c>
      <c r="E540">
        <v>7.9</v>
      </c>
      <c r="F540">
        <f t="shared" si="548"/>
        <v>0.85320000000000007</v>
      </c>
      <c r="G540">
        <f t="shared" ref="G540" si="575">D535+D536+D537+D538+D539+D540</f>
        <v>123.6</v>
      </c>
      <c r="H540">
        <f t="shared" si="547"/>
        <v>2034</v>
      </c>
      <c r="I540">
        <v>1</v>
      </c>
      <c r="J540">
        <f t="shared" si="550"/>
        <v>69.689899999999938</v>
      </c>
      <c r="K540">
        <f t="shared" si="551"/>
        <v>0</v>
      </c>
      <c r="L540">
        <f t="shared" si="552"/>
        <v>69.689899999999938</v>
      </c>
    </row>
    <row r="541" spans="2:12">
      <c r="B541" s="1">
        <v>49179</v>
      </c>
      <c r="C541" t="s">
        <v>18</v>
      </c>
      <c r="D541">
        <v>27.9</v>
      </c>
      <c r="E541">
        <v>9.9</v>
      </c>
      <c r="F541">
        <f t="shared" si="548"/>
        <v>2.7620999999999998</v>
      </c>
      <c r="G541">
        <f t="shared" ref="G541" si="576">D535+D536+D537+D538+D539+D540+D541</f>
        <v>151.5</v>
      </c>
      <c r="H541">
        <f t="shared" si="547"/>
        <v>2034</v>
      </c>
      <c r="I541">
        <v>1</v>
      </c>
      <c r="J541">
        <f t="shared" si="550"/>
        <v>72.451999999999941</v>
      </c>
      <c r="K541">
        <f t="shared" si="551"/>
        <v>0</v>
      </c>
      <c r="L541">
        <f t="shared" si="552"/>
        <v>72.451999999999941</v>
      </c>
    </row>
    <row r="542" spans="2:12">
      <c r="B542" s="1">
        <v>49180</v>
      </c>
      <c r="C542" t="s">
        <v>37</v>
      </c>
      <c r="D542">
        <v>14.1</v>
      </c>
      <c r="E542">
        <v>0.7</v>
      </c>
      <c r="F542">
        <f t="shared" si="548"/>
        <v>0</v>
      </c>
      <c r="G542">
        <f t="shared" ref="G542:G605" si="577">D542</f>
        <v>14.1</v>
      </c>
      <c r="H542">
        <f t="shared" si="547"/>
        <v>2034</v>
      </c>
      <c r="I542">
        <v>1</v>
      </c>
      <c r="J542">
        <f t="shared" si="550"/>
        <v>72.451999999999941</v>
      </c>
      <c r="K542">
        <f t="shared" si="551"/>
        <v>0</v>
      </c>
      <c r="L542">
        <f t="shared" si="552"/>
        <v>72.451999999999941</v>
      </c>
    </row>
    <row r="543" spans="2:12">
      <c r="B543" s="1">
        <v>49181</v>
      </c>
      <c r="C543" t="s">
        <v>47</v>
      </c>
      <c r="D543">
        <v>17.5</v>
      </c>
      <c r="E543">
        <v>3.2</v>
      </c>
      <c r="F543">
        <f t="shared" si="548"/>
        <v>0.56000000000000005</v>
      </c>
      <c r="G543">
        <f t="shared" ref="G543:G606" si="578">D542+D543</f>
        <v>31.6</v>
      </c>
      <c r="H543">
        <f t="shared" si="547"/>
        <v>2034</v>
      </c>
      <c r="I543">
        <v>1</v>
      </c>
      <c r="J543">
        <f t="shared" si="550"/>
        <v>73.011999999999944</v>
      </c>
      <c r="K543">
        <f t="shared" si="551"/>
        <v>0</v>
      </c>
      <c r="L543">
        <f t="shared" si="552"/>
        <v>73.011999999999944</v>
      </c>
    </row>
    <row r="544" spans="2:12">
      <c r="B544" s="1">
        <v>49182</v>
      </c>
      <c r="C544" t="s">
        <v>24</v>
      </c>
      <c r="D544">
        <v>14.3</v>
      </c>
      <c r="E544">
        <v>0</v>
      </c>
      <c r="F544">
        <f t="shared" si="548"/>
        <v>0</v>
      </c>
      <c r="G544">
        <f t="shared" ref="G544" si="579">D542+D543+D544</f>
        <v>45.900000000000006</v>
      </c>
      <c r="H544">
        <f t="shared" si="547"/>
        <v>2034</v>
      </c>
      <c r="I544">
        <v>1</v>
      </c>
      <c r="J544">
        <f t="shared" si="550"/>
        <v>73.011999999999944</v>
      </c>
      <c r="K544">
        <f t="shared" si="551"/>
        <v>0</v>
      </c>
      <c r="L544">
        <f t="shared" si="552"/>
        <v>73.011999999999944</v>
      </c>
    </row>
    <row r="545" spans="2:12">
      <c r="B545" s="1">
        <v>49183</v>
      </c>
      <c r="C545" t="s">
        <v>40</v>
      </c>
      <c r="D545">
        <v>15.4</v>
      </c>
      <c r="E545">
        <v>0</v>
      </c>
      <c r="F545">
        <f t="shared" si="548"/>
        <v>0</v>
      </c>
      <c r="G545">
        <f t="shared" ref="G545" si="580">D542+D543+D544+D545</f>
        <v>61.300000000000004</v>
      </c>
      <c r="H545">
        <f t="shared" si="547"/>
        <v>2034</v>
      </c>
      <c r="I545">
        <v>1</v>
      </c>
      <c r="J545">
        <f t="shared" si="550"/>
        <v>73.011999999999944</v>
      </c>
      <c r="K545">
        <f t="shared" si="551"/>
        <v>0</v>
      </c>
      <c r="L545">
        <f t="shared" si="552"/>
        <v>73.011999999999944</v>
      </c>
    </row>
    <row r="546" spans="2:12">
      <c r="B546" s="1">
        <v>49184</v>
      </c>
      <c r="C546" t="s">
        <v>50</v>
      </c>
      <c r="D546">
        <v>17.5</v>
      </c>
      <c r="E546">
        <v>0</v>
      </c>
      <c r="F546">
        <f t="shared" si="548"/>
        <v>0</v>
      </c>
      <c r="G546">
        <f t="shared" ref="G546" si="581">D542+D543+D544+D545+D546</f>
        <v>78.800000000000011</v>
      </c>
      <c r="H546">
        <f t="shared" si="547"/>
        <v>2034</v>
      </c>
      <c r="I546">
        <v>1</v>
      </c>
      <c r="J546">
        <f t="shared" si="550"/>
        <v>73.011999999999944</v>
      </c>
      <c r="K546">
        <f t="shared" si="551"/>
        <v>0</v>
      </c>
      <c r="L546">
        <f t="shared" si="552"/>
        <v>73.011999999999944</v>
      </c>
    </row>
    <row r="547" spans="2:12">
      <c r="B547" s="1">
        <v>49185</v>
      </c>
      <c r="C547" t="s">
        <v>27</v>
      </c>
      <c r="D547">
        <v>11.6</v>
      </c>
      <c r="E547">
        <v>4.0999999999999996</v>
      </c>
      <c r="F547">
        <f t="shared" si="548"/>
        <v>0.47559999999999997</v>
      </c>
      <c r="G547">
        <f t="shared" ref="G547" si="582">D542+D543+D544+D545+D546+D547</f>
        <v>90.4</v>
      </c>
      <c r="H547">
        <f t="shared" si="547"/>
        <v>2034</v>
      </c>
      <c r="I547">
        <v>1</v>
      </c>
      <c r="J547">
        <f t="shared" si="550"/>
        <v>73.487599999999944</v>
      </c>
      <c r="K547">
        <f t="shared" si="551"/>
        <v>0</v>
      </c>
      <c r="L547">
        <f t="shared" si="552"/>
        <v>73.487599999999944</v>
      </c>
    </row>
    <row r="548" spans="2:12">
      <c r="B548" s="1">
        <v>49186</v>
      </c>
      <c r="C548" t="s">
        <v>21</v>
      </c>
      <c r="D548">
        <v>27.9</v>
      </c>
      <c r="E548">
        <v>10.3</v>
      </c>
      <c r="F548">
        <f t="shared" si="548"/>
        <v>2.8736999999999999</v>
      </c>
      <c r="G548">
        <f t="shared" ref="G548" si="583">D542+D543+D544+D545+D546+D547+D548</f>
        <v>118.30000000000001</v>
      </c>
      <c r="H548">
        <f t="shared" si="547"/>
        <v>2034</v>
      </c>
      <c r="I548">
        <v>1</v>
      </c>
      <c r="J548">
        <f t="shared" si="550"/>
        <v>76.361299999999943</v>
      </c>
      <c r="K548">
        <f t="shared" si="551"/>
        <v>0</v>
      </c>
      <c r="L548">
        <f t="shared" si="552"/>
        <v>76.361299999999943</v>
      </c>
    </row>
    <row r="549" spans="2:12">
      <c r="B549" s="1">
        <v>49187</v>
      </c>
      <c r="C549" t="s">
        <v>50</v>
      </c>
      <c r="D549">
        <v>11.8</v>
      </c>
      <c r="E549">
        <v>20.2</v>
      </c>
      <c r="F549">
        <f t="shared" si="548"/>
        <v>2.3835999999999999</v>
      </c>
      <c r="G549">
        <f t="shared" ref="G549:G612" si="584">D549</f>
        <v>11.8</v>
      </c>
      <c r="H549">
        <f t="shared" si="547"/>
        <v>2034</v>
      </c>
      <c r="I549">
        <v>1</v>
      </c>
      <c r="J549">
        <f t="shared" si="550"/>
        <v>78.744899999999944</v>
      </c>
      <c r="K549">
        <f t="shared" si="551"/>
        <v>0</v>
      </c>
      <c r="L549">
        <f t="shared" si="552"/>
        <v>78.744899999999944</v>
      </c>
    </row>
    <row r="550" spans="2:12">
      <c r="B550" s="1">
        <v>49188</v>
      </c>
      <c r="C550" t="s">
        <v>18</v>
      </c>
      <c r="D550">
        <v>12</v>
      </c>
      <c r="E550">
        <v>8.5</v>
      </c>
      <c r="F550">
        <f t="shared" si="548"/>
        <v>1.02</v>
      </c>
      <c r="G550">
        <f t="shared" ref="G550:G613" si="585">D549+D550</f>
        <v>23.8</v>
      </c>
      <c r="H550">
        <f t="shared" si="547"/>
        <v>2034</v>
      </c>
      <c r="I550">
        <v>1</v>
      </c>
      <c r="J550">
        <f t="shared" si="550"/>
        <v>79.76489999999994</v>
      </c>
      <c r="K550">
        <f t="shared" si="551"/>
        <v>0</v>
      </c>
      <c r="L550">
        <f t="shared" si="552"/>
        <v>79.76489999999994</v>
      </c>
    </row>
    <row r="551" spans="2:12">
      <c r="B551" s="1">
        <v>49189</v>
      </c>
      <c r="C551" t="s">
        <v>24</v>
      </c>
      <c r="D551">
        <v>11.8</v>
      </c>
      <c r="E551">
        <v>7.8</v>
      </c>
      <c r="F551">
        <f t="shared" si="548"/>
        <v>0.92040000000000011</v>
      </c>
      <c r="G551">
        <f t="shared" ref="G551" si="586">D549+D550+D551</f>
        <v>35.6</v>
      </c>
      <c r="H551">
        <f t="shared" si="547"/>
        <v>2034</v>
      </c>
      <c r="I551">
        <v>1</v>
      </c>
      <c r="J551">
        <f t="shared" si="550"/>
        <v>80.685299999999941</v>
      </c>
      <c r="K551">
        <f t="shared" si="551"/>
        <v>0</v>
      </c>
      <c r="L551">
        <f t="shared" si="552"/>
        <v>80.685299999999941</v>
      </c>
    </row>
    <row r="552" spans="2:12">
      <c r="B552" s="1">
        <v>49190</v>
      </c>
      <c r="C552" t="s">
        <v>42</v>
      </c>
      <c r="D552">
        <v>22.2</v>
      </c>
      <c r="E552">
        <v>0</v>
      </c>
      <c r="F552">
        <f t="shared" si="548"/>
        <v>0</v>
      </c>
      <c r="G552">
        <f t="shared" ref="G552" si="587">D549+D550+D551+D552</f>
        <v>57.8</v>
      </c>
      <c r="H552">
        <f t="shared" si="547"/>
        <v>2034</v>
      </c>
      <c r="I552">
        <v>1</v>
      </c>
      <c r="J552">
        <f t="shared" si="550"/>
        <v>80.685299999999941</v>
      </c>
      <c r="K552">
        <f t="shared" si="551"/>
        <v>0</v>
      </c>
      <c r="L552">
        <f t="shared" si="552"/>
        <v>80.685299999999941</v>
      </c>
    </row>
    <row r="553" spans="2:12">
      <c r="B553" s="1">
        <v>49191</v>
      </c>
      <c r="C553" t="s">
        <v>18</v>
      </c>
      <c r="D553">
        <v>13.3</v>
      </c>
      <c r="E553">
        <v>3.8</v>
      </c>
      <c r="F553">
        <f t="shared" si="548"/>
        <v>0.50539999999999996</v>
      </c>
      <c r="G553">
        <f t="shared" ref="G553" si="588">D549+D550+D551+D552+D553</f>
        <v>71.099999999999994</v>
      </c>
      <c r="H553">
        <f t="shared" si="547"/>
        <v>2034</v>
      </c>
      <c r="I553">
        <v>1</v>
      </c>
      <c r="J553">
        <f t="shared" si="550"/>
        <v>81.190699999999936</v>
      </c>
      <c r="K553">
        <f t="shared" si="551"/>
        <v>0</v>
      </c>
      <c r="L553">
        <f t="shared" si="552"/>
        <v>81.190699999999936</v>
      </c>
    </row>
    <row r="554" spans="2:12">
      <c r="B554" s="1">
        <v>49192</v>
      </c>
      <c r="C554" t="s">
        <v>27</v>
      </c>
      <c r="D554">
        <v>24.6</v>
      </c>
      <c r="E554">
        <v>2.1</v>
      </c>
      <c r="F554">
        <f t="shared" si="548"/>
        <v>0.51660000000000006</v>
      </c>
      <c r="G554">
        <f t="shared" ref="G554" si="589">D549+D550+D551+D552+D553+D554</f>
        <v>95.699999999999989</v>
      </c>
      <c r="H554">
        <f t="shared" si="547"/>
        <v>2034</v>
      </c>
      <c r="I554">
        <v>1</v>
      </c>
      <c r="J554">
        <f t="shared" si="550"/>
        <v>81.707299999999933</v>
      </c>
      <c r="K554">
        <f t="shared" si="551"/>
        <v>0</v>
      </c>
      <c r="L554">
        <f t="shared" si="552"/>
        <v>81.707299999999933</v>
      </c>
    </row>
    <row r="555" spans="2:12">
      <c r="B555" s="1">
        <v>49193</v>
      </c>
      <c r="C555" t="s">
        <v>50</v>
      </c>
      <c r="D555">
        <v>15.7</v>
      </c>
      <c r="E555">
        <v>0</v>
      </c>
      <c r="F555">
        <f t="shared" si="548"/>
        <v>0</v>
      </c>
      <c r="G555">
        <f t="shared" ref="G555" si="590">D549+D550+D551+D552+D553+D554+D555</f>
        <v>111.39999999999999</v>
      </c>
      <c r="H555">
        <f t="shared" si="547"/>
        <v>2034</v>
      </c>
      <c r="I555">
        <v>1</v>
      </c>
      <c r="J555">
        <f t="shared" si="550"/>
        <v>81.707299999999933</v>
      </c>
      <c r="K555">
        <f t="shared" si="551"/>
        <v>0</v>
      </c>
      <c r="L555">
        <f t="shared" si="552"/>
        <v>81.707299999999933</v>
      </c>
    </row>
    <row r="556" spans="2:12">
      <c r="B556" s="1">
        <v>49194</v>
      </c>
      <c r="C556" t="s">
        <v>47</v>
      </c>
      <c r="D556">
        <v>26.7</v>
      </c>
      <c r="E556">
        <v>16.2</v>
      </c>
      <c r="F556">
        <f t="shared" si="548"/>
        <v>4.3253999999999992</v>
      </c>
      <c r="G556">
        <f t="shared" ref="G556:G619" si="591">D556</f>
        <v>26.7</v>
      </c>
      <c r="H556">
        <f t="shared" si="547"/>
        <v>2034</v>
      </c>
      <c r="I556">
        <v>1</v>
      </c>
      <c r="J556">
        <f t="shared" si="550"/>
        <v>86.032699999999934</v>
      </c>
      <c r="K556">
        <f t="shared" si="551"/>
        <v>0</v>
      </c>
      <c r="L556">
        <f t="shared" si="552"/>
        <v>86.032699999999934</v>
      </c>
    </row>
    <row r="557" spans="2:12">
      <c r="B557" s="1">
        <v>49195</v>
      </c>
      <c r="C557" t="s">
        <v>32</v>
      </c>
      <c r="D557">
        <v>28.1</v>
      </c>
      <c r="E557">
        <v>1.1000000000000001</v>
      </c>
      <c r="F557">
        <f t="shared" si="548"/>
        <v>0.30910000000000004</v>
      </c>
      <c r="G557">
        <f t="shared" ref="G557:G620" si="592">D556+D557</f>
        <v>54.8</v>
      </c>
      <c r="H557">
        <f t="shared" si="547"/>
        <v>2034</v>
      </c>
      <c r="I557">
        <v>1</v>
      </c>
      <c r="J557">
        <f t="shared" si="550"/>
        <v>86.341799999999935</v>
      </c>
      <c r="K557">
        <f t="shared" si="551"/>
        <v>0</v>
      </c>
      <c r="L557">
        <f t="shared" si="552"/>
        <v>86.341799999999935</v>
      </c>
    </row>
    <row r="558" spans="2:12">
      <c r="B558" s="1">
        <v>49196</v>
      </c>
      <c r="C558" t="s">
        <v>24</v>
      </c>
      <c r="D558">
        <v>29.1</v>
      </c>
      <c r="E558">
        <v>3</v>
      </c>
      <c r="F558">
        <f t="shared" si="548"/>
        <v>0.87300000000000011</v>
      </c>
      <c r="G558">
        <f t="shared" ref="G558" si="593">D556+D557+D558</f>
        <v>83.9</v>
      </c>
      <c r="H558">
        <f t="shared" si="547"/>
        <v>2034</v>
      </c>
      <c r="I558">
        <v>1</v>
      </c>
      <c r="J558">
        <f t="shared" si="550"/>
        <v>87.21479999999994</v>
      </c>
      <c r="K558">
        <f t="shared" si="551"/>
        <v>0</v>
      </c>
      <c r="L558">
        <f t="shared" si="552"/>
        <v>87.21479999999994</v>
      </c>
    </row>
    <row r="559" spans="2:12">
      <c r="B559" s="1">
        <v>49197</v>
      </c>
      <c r="C559" t="s">
        <v>18</v>
      </c>
      <c r="D559">
        <v>26.2</v>
      </c>
      <c r="E559">
        <v>0</v>
      </c>
      <c r="F559">
        <f t="shared" si="548"/>
        <v>0</v>
      </c>
      <c r="G559">
        <f t="shared" ref="G559" si="594">D556+D557+D558+D559</f>
        <v>110.10000000000001</v>
      </c>
      <c r="H559">
        <f t="shared" si="547"/>
        <v>2034</v>
      </c>
      <c r="I559">
        <v>1</v>
      </c>
      <c r="J559">
        <f t="shared" si="550"/>
        <v>87.21479999999994</v>
      </c>
      <c r="K559">
        <f t="shared" si="551"/>
        <v>0</v>
      </c>
      <c r="L559">
        <f t="shared" si="552"/>
        <v>87.21479999999994</v>
      </c>
    </row>
    <row r="560" spans="2:12">
      <c r="B560" s="1">
        <v>49198</v>
      </c>
      <c r="C560" t="s">
        <v>41</v>
      </c>
      <c r="D560">
        <v>23.3</v>
      </c>
      <c r="E560">
        <v>0</v>
      </c>
      <c r="F560">
        <f t="shared" si="548"/>
        <v>0</v>
      </c>
      <c r="G560">
        <f t="shared" ref="G560" si="595">D556+D557+D558+D559+D560</f>
        <v>133.4</v>
      </c>
      <c r="H560">
        <f t="shared" si="547"/>
        <v>2034</v>
      </c>
      <c r="I560">
        <v>1</v>
      </c>
      <c r="J560">
        <f t="shared" si="550"/>
        <v>87.21479999999994</v>
      </c>
      <c r="K560">
        <f t="shared" si="551"/>
        <v>0</v>
      </c>
      <c r="L560">
        <f t="shared" si="552"/>
        <v>87.21479999999994</v>
      </c>
    </row>
    <row r="561" spans="2:12">
      <c r="B561" s="1">
        <v>49199</v>
      </c>
      <c r="C561" t="s">
        <v>50</v>
      </c>
      <c r="D561">
        <v>21.7</v>
      </c>
      <c r="E561">
        <v>10.4</v>
      </c>
      <c r="F561">
        <f t="shared" si="548"/>
        <v>2.2568000000000001</v>
      </c>
      <c r="G561">
        <f t="shared" ref="G561" si="596">D556+D557+D558+D559+D560+D561</f>
        <v>155.1</v>
      </c>
      <c r="H561">
        <f t="shared" si="547"/>
        <v>2034</v>
      </c>
      <c r="I561">
        <v>1</v>
      </c>
      <c r="J561">
        <f t="shared" si="550"/>
        <v>89.471599999999938</v>
      </c>
      <c r="K561">
        <f t="shared" si="551"/>
        <v>0</v>
      </c>
      <c r="L561">
        <f t="shared" si="552"/>
        <v>89.471599999999938</v>
      </c>
    </row>
    <row r="562" spans="2:12">
      <c r="B562" s="1">
        <v>49200</v>
      </c>
      <c r="C562" t="s">
        <v>47</v>
      </c>
      <c r="D562">
        <v>18.8</v>
      </c>
      <c r="E562">
        <v>15.6</v>
      </c>
      <c r="F562">
        <f t="shared" si="548"/>
        <v>2.9328000000000003</v>
      </c>
      <c r="G562">
        <f t="shared" ref="G562" si="597">D556+D557+D558+D559+D560+D561+D562</f>
        <v>173.9</v>
      </c>
      <c r="H562">
        <f t="shared" si="547"/>
        <v>2034</v>
      </c>
      <c r="I562">
        <v>1</v>
      </c>
      <c r="J562">
        <f t="shared" si="550"/>
        <v>92.404399999999939</v>
      </c>
      <c r="K562">
        <f t="shared" si="551"/>
        <v>0</v>
      </c>
      <c r="L562">
        <f t="shared" si="552"/>
        <v>92.404399999999939</v>
      </c>
    </row>
    <row r="563" spans="2:12">
      <c r="B563" s="1">
        <v>49201</v>
      </c>
      <c r="C563" t="s">
        <v>32</v>
      </c>
      <c r="D563">
        <v>25.4</v>
      </c>
      <c r="E563">
        <v>7.4</v>
      </c>
      <c r="F563">
        <f t="shared" si="548"/>
        <v>1.8796000000000002</v>
      </c>
      <c r="G563">
        <f t="shared" ref="G563:G626" si="598">D563</f>
        <v>25.4</v>
      </c>
      <c r="H563">
        <f t="shared" si="547"/>
        <v>2034</v>
      </c>
      <c r="I563">
        <v>1</v>
      </c>
      <c r="J563">
        <f t="shared" si="550"/>
        <v>94.283999999999935</v>
      </c>
      <c r="K563">
        <f t="shared" si="551"/>
        <v>0</v>
      </c>
      <c r="L563">
        <f t="shared" si="552"/>
        <v>94.283999999999935</v>
      </c>
    </row>
    <row r="564" spans="2:12">
      <c r="B564" s="1">
        <v>49202</v>
      </c>
      <c r="C564" t="s">
        <v>25</v>
      </c>
      <c r="D564">
        <v>21.1</v>
      </c>
      <c r="E564">
        <v>1</v>
      </c>
      <c r="F564">
        <f t="shared" si="548"/>
        <v>0.21100000000000002</v>
      </c>
      <c r="G564">
        <f t="shared" ref="G564:G627" si="599">D563+D564</f>
        <v>46.5</v>
      </c>
      <c r="H564">
        <f t="shared" si="547"/>
        <v>2034</v>
      </c>
      <c r="I564">
        <v>1</v>
      </c>
      <c r="J564">
        <f t="shared" si="550"/>
        <v>94.494999999999933</v>
      </c>
      <c r="K564">
        <f t="shared" si="551"/>
        <v>0</v>
      </c>
      <c r="L564">
        <f t="shared" si="552"/>
        <v>94.494999999999933</v>
      </c>
    </row>
    <row r="565" spans="2:12">
      <c r="B565" s="1">
        <v>49203</v>
      </c>
      <c r="C565" t="s">
        <v>25</v>
      </c>
      <c r="D565">
        <v>25.1</v>
      </c>
      <c r="E565">
        <v>20</v>
      </c>
      <c r="F565">
        <f t="shared" si="548"/>
        <v>5.0199999999999996</v>
      </c>
      <c r="G565">
        <f t="shared" ref="G565" si="600">D563+D564+D565</f>
        <v>71.599999999999994</v>
      </c>
      <c r="H565">
        <f t="shared" si="547"/>
        <v>2034</v>
      </c>
      <c r="I565">
        <v>1</v>
      </c>
      <c r="J565">
        <f t="shared" si="550"/>
        <v>99.51499999999993</v>
      </c>
      <c r="K565">
        <f t="shared" si="551"/>
        <v>0</v>
      </c>
      <c r="L565">
        <f t="shared" si="552"/>
        <v>99.51499999999993</v>
      </c>
    </row>
    <row r="566" spans="2:12">
      <c r="B566" s="1">
        <v>49204</v>
      </c>
      <c r="C566" t="s">
        <v>18</v>
      </c>
      <c r="D566">
        <v>17.600000000000001</v>
      </c>
      <c r="E566">
        <v>0</v>
      </c>
      <c r="F566">
        <f t="shared" si="548"/>
        <v>0</v>
      </c>
      <c r="G566">
        <f t="shared" ref="G566" si="601">D563+D564+D565+D566</f>
        <v>89.199999999999989</v>
      </c>
      <c r="H566">
        <f t="shared" si="547"/>
        <v>2034</v>
      </c>
      <c r="I566">
        <v>1</v>
      </c>
      <c r="J566">
        <f t="shared" si="550"/>
        <v>99.51499999999993</v>
      </c>
      <c r="K566">
        <f t="shared" si="551"/>
        <v>0</v>
      </c>
      <c r="L566">
        <f t="shared" si="552"/>
        <v>99.51499999999993</v>
      </c>
    </row>
    <row r="567" spans="2:12">
      <c r="B567" s="1">
        <v>49205</v>
      </c>
      <c r="C567" t="s">
        <v>32</v>
      </c>
      <c r="D567">
        <v>21.2</v>
      </c>
      <c r="E567">
        <v>3.4</v>
      </c>
      <c r="F567">
        <f t="shared" si="548"/>
        <v>0.7208</v>
      </c>
      <c r="G567">
        <f t="shared" ref="G567" si="602">D563+D564+D565+D566+D567</f>
        <v>110.39999999999999</v>
      </c>
      <c r="H567">
        <f t="shared" si="547"/>
        <v>2034</v>
      </c>
      <c r="I567">
        <v>1</v>
      </c>
      <c r="J567">
        <f t="shared" si="550"/>
        <v>100.23579999999993</v>
      </c>
      <c r="K567">
        <f t="shared" si="551"/>
        <v>1</v>
      </c>
      <c r="L567">
        <f t="shared" si="552"/>
        <v>0.23579999999992651</v>
      </c>
    </row>
    <row r="568" spans="2:12">
      <c r="B568" s="1">
        <v>49206</v>
      </c>
      <c r="C568" t="s">
        <v>18</v>
      </c>
      <c r="D568">
        <v>26.4</v>
      </c>
      <c r="E568">
        <v>14.7</v>
      </c>
      <c r="F568">
        <f t="shared" si="548"/>
        <v>3.8807999999999998</v>
      </c>
      <c r="G568">
        <f t="shared" ref="G568" si="603">D563+D564+D565+D566+D567+D568</f>
        <v>136.79999999999998</v>
      </c>
      <c r="H568">
        <f t="shared" si="547"/>
        <v>2034</v>
      </c>
      <c r="I568">
        <v>1</v>
      </c>
      <c r="J568">
        <f t="shared" si="550"/>
        <v>4.1165999999999263</v>
      </c>
      <c r="K568">
        <f t="shared" si="551"/>
        <v>0</v>
      </c>
      <c r="L568">
        <f t="shared" si="552"/>
        <v>4.1165999999999263</v>
      </c>
    </row>
    <row r="569" spans="2:12">
      <c r="B569" s="1">
        <v>49207</v>
      </c>
      <c r="C569" t="s">
        <v>15</v>
      </c>
      <c r="D569">
        <v>13.5</v>
      </c>
      <c r="E569">
        <v>0</v>
      </c>
      <c r="F569">
        <f t="shared" si="548"/>
        <v>0</v>
      </c>
      <c r="G569">
        <f t="shared" ref="G569" si="604">D563+D564+D565+D566+D567+D568+D569</f>
        <v>150.29999999999998</v>
      </c>
      <c r="H569">
        <f t="shared" si="547"/>
        <v>2034</v>
      </c>
      <c r="I569">
        <v>1</v>
      </c>
      <c r="J569">
        <f t="shared" si="550"/>
        <v>4.1165999999999263</v>
      </c>
      <c r="K569">
        <f t="shared" si="551"/>
        <v>0</v>
      </c>
      <c r="L569">
        <f t="shared" si="552"/>
        <v>4.1165999999999263</v>
      </c>
    </row>
    <row r="570" spans="2:12">
      <c r="B570" s="1">
        <v>49208</v>
      </c>
      <c r="C570" t="s">
        <v>43</v>
      </c>
      <c r="D570">
        <v>25.1</v>
      </c>
      <c r="E570">
        <v>0</v>
      </c>
      <c r="F570">
        <f t="shared" si="548"/>
        <v>0</v>
      </c>
      <c r="G570">
        <f t="shared" ref="G570:G633" si="605">D570</f>
        <v>25.1</v>
      </c>
      <c r="H570">
        <f t="shared" si="547"/>
        <v>2034</v>
      </c>
      <c r="I570">
        <v>1</v>
      </c>
      <c r="J570">
        <f t="shared" si="550"/>
        <v>4.1165999999999263</v>
      </c>
      <c r="K570">
        <f t="shared" si="551"/>
        <v>0</v>
      </c>
      <c r="L570">
        <f t="shared" si="552"/>
        <v>4.1165999999999263</v>
      </c>
    </row>
    <row r="571" spans="2:12">
      <c r="B571" s="1">
        <v>49209</v>
      </c>
      <c r="C571" t="s">
        <v>25</v>
      </c>
      <c r="D571">
        <v>10.4</v>
      </c>
      <c r="E571">
        <v>11</v>
      </c>
      <c r="F571">
        <f t="shared" si="548"/>
        <v>1.1440000000000001</v>
      </c>
      <c r="G571">
        <f t="shared" ref="G571:G634" si="606">D570+D571</f>
        <v>35.5</v>
      </c>
      <c r="H571">
        <f t="shared" si="547"/>
        <v>2034</v>
      </c>
      <c r="I571">
        <v>1</v>
      </c>
      <c r="J571">
        <f t="shared" si="550"/>
        <v>5.2605999999999264</v>
      </c>
      <c r="K571">
        <f t="shared" si="551"/>
        <v>0</v>
      </c>
      <c r="L571">
        <f t="shared" si="552"/>
        <v>5.2605999999999264</v>
      </c>
    </row>
    <row r="572" spans="2:12">
      <c r="B572" s="1">
        <v>49210</v>
      </c>
      <c r="C572" t="s">
        <v>32</v>
      </c>
      <c r="D572">
        <v>24.3</v>
      </c>
      <c r="E572">
        <v>4.9000000000000004</v>
      </c>
      <c r="F572">
        <f t="shared" si="548"/>
        <v>1.1907000000000001</v>
      </c>
      <c r="G572">
        <f t="shared" ref="G572" si="607">D570+D571+D572</f>
        <v>59.8</v>
      </c>
      <c r="H572">
        <f t="shared" si="547"/>
        <v>2034</v>
      </c>
      <c r="I572">
        <v>1</v>
      </c>
      <c r="J572">
        <f t="shared" si="550"/>
        <v>6.451299999999927</v>
      </c>
      <c r="K572">
        <f t="shared" si="551"/>
        <v>0</v>
      </c>
      <c r="L572">
        <f t="shared" si="552"/>
        <v>6.451299999999927</v>
      </c>
    </row>
    <row r="573" spans="2:12">
      <c r="B573" s="1">
        <v>49211</v>
      </c>
      <c r="C573" t="s">
        <v>26</v>
      </c>
      <c r="D573">
        <v>18.7</v>
      </c>
      <c r="E573">
        <v>6.2</v>
      </c>
      <c r="F573">
        <f t="shared" si="548"/>
        <v>1.1594</v>
      </c>
      <c r="G573">
        <f t="shared" ref="G573" si="608">D570+D571+D572+D573</f>
        <v>78.5</v>
      </c>
      <c r="H573">
        <f t="shared" si="547"/>
        <v>2034</v>
      </c>
      <c r="I573">
        <v>1</v>
      </c>
      <c r="J573">
        <f t="shared" si="550"/>
        <v>7.6106999999999267</v>
      </c>
      <c r="K573">
        <f t="shared" si="551"/>
        <v>0</v>
      </c>
      <c r="L573">
        <f t="shared" si="552"/>
        <v>7.6106999999999267</v>
      </c>
    </row>
    <row r="574" spans="2:12">
      <c r="B574" s="1">
        <v>49212</v>
      </c>
      <c r="C574" t="s">
        <v>48</v>
      </c>
      <c r="D574">
        <v>14.1</v>
      </c>
      <c r="E574">
        <v>0</v>
      </c>
      <c r="F574">
        <f t="shared" si="548"/>
        <v>0</v>
      </c>
      <c r="G574">
        <f t="shared" ref="G574" si="609">D570+D571+D572+D573+D574</f>
        <v>92.6</v>
      </c>
      <c r="H574">
        <f t="shared" si="547"/>
        <v>2034</v>
      </c>
      <c r="I574">
        <v>1</v>
      </c>
      <c r="J574">
        <f t="shared" si="550"/>
        <v>7.6106999999999267</v>
      </c>
      <c r="K574">
        <f t="shared" si="551"/>
        <v>0</v>
      </c>
      <c r="L574">
        <f t="shared" si="552"/>
        <v>7.6106999999999267</v>
      </c>
    </row>
    <row r="575" spans="2:12">
      <c r="B575" s="1">
        <v>49213</v>
      </c>
      <c r="C575" t="s">
        <v>35</v>
      </c>
      <c r="D575">
        <v>24.2</v>
      </c>
      <c r="E575">
        <v>0</v>
      </c>
      <c r="F575">
        <f t="shared" si="548"/>
        <v>0</v>
      </c>
      <c r="G575">
        <f t="shared" ref="G575" si="610">D570+D571+D572+D573+D574+D575</f>
        <v>116.8</v>
      </c>
      <c r="H575">
        <f t="shared" si="547"/>
        <v>2034</v>
      </c>
      <c r="I575">
        <v>1</v>
      </c>
      <c r="J575">
        <f t="shared" si="550"/>
        <v>7.6106999999999267</v>
      </c>
      <c r="K575">
        <f t="shared" si="551"/>
        <v>0</v>
      </c>
      <c r="L575">
        <f t="shared" si="552"/>
        <v>7.6106999999999267</v>
      </c>
    </row>
    <row r="576" spans="2:12">
      <c r="B576" s="1">
        <v>49214</v>
      </c>
      <c r="C576" t="s">
        <v>43</v>
      </c>
      <c r="D576">
        <v>26.4</v>
      </c>
      <c r="E576">
        <v>0</v>
      </c>
      <c r="F576">
        <f t="shared" si="548"/>
        <v>0</v>
      </c>
      <c r="G576">
        <f t="shared" ref="G576" si="611">D570+D571+D572+D573+D574+D575+D576</f>
        <v>143.19999999999999</v>
      </c>
      <c r="H576">
        <f t="shared" si="547"/>
        <v>2034</v>
      </c>
      <c r="I576">
        <v>1</v>
      </c>
      <c r="J576">
        <f t="shared" si="550"/>
        <v>7.6106999999999267</v>
      </c>
      <c r="K576">
        <f t="shared" si="551"/>
        <v>0</v>
      </c>
      <c r="L576">
        <f t="shared" si="552"/>
        <v>7.6106999999999267</v>
      </c>
    </row>
    <row r="577" spans="2:12">
      <c r="B577" s="1">
        <v>49215</v>
      </c>
      <c r="C577" t="s">
        <v>24</v>
      </c>
      <c r="D577">
        <v>24.5</v>
      </c>
      <c r="E577">
        <v>4</v>
      </c>
      <c r="F577">
        <f t="shared" si="548"/>
        <v>0.98</v>
      </c>
      <c r="G577">
        <f t="shared" ref="G577:G640" si="612">D577</f>
        <v>24.5</v>
      </c>
      <c r="H577">
        <f t="shared" si="547"/>
        <v>2034</v>
      </c>
      <c r="I577">
        <v>1</v>
      </c>
      <c r="J577">
        <f t="shared" si="550"/>
        <v>8.5906999999999272</v>
      </c>
      <c r="K577">
        <f t="shared" si="551"/>
        <v>0</v>
      </c>
      <c r="L577">
        <f t="shared" si="552"/>
        <v>8.5906999999999272</v>
      </c>
    </row>
    <row r="578" spans="2:12">
      <c r="B578" s="1">
        <v>49216</v>
      </c>
      <c r="C578" t="s">
        <v>31</v>
      </c>
      <c r="D578">
        <v>25.5</v>
      </c>
      <c r="E578">
        <v>2.9</v>
      </c>
      <c r="F578">
        <f t="shared" si="548"/>
        <v>0.73950000000000005</v>
      </c>
      <c r="G578">
        <f t="shared" ref="G578:G641" si="613">D577+D578</f>
        <v>50</v>
      </c>
      <c r="H578">
        <f t="shared" si="547"/>
        <v>2034</v>
      </c>
      <c r="I578">
        <v>1</v>
      </c>
      <c r="J578">
        <f t="shared" si="550"/>
        <v>9.3301999999999268</v>
      </c>
      <c r="K578">
        <f t="shared" si="551"/>
        <v>0</v>
      </c>
      <c r="L578">
        <f t="shared" si="552"/>
        <v>9.3301999999999268</v>
      </c>
    </row>
    <row r="579" spans="2:12">
      <c r="B579" s="1">
        <v>49217</v>
      </c>
      <c r="C579" t="s">
        <v>25</v>
      </c>
      <c r="D579">
        <v>11.8</v>
      </c>
      <c r="E579">
        <v>13.5</v>
      </c>
      <c r="F579">
        <f t="shared" si="548"/>
        <v>1.5930000000000002</v>
      </c>
      <c r="G579">
        <f t="shared" ref="G579" si="614">D577+D578+D579</f>
        <v>61.8</v>
      </c>
      <c r="H579">
        <f t="shared" si="547"/>
        <v>2034</v>
      </c>
      <c r="I579">
        <v>1</v>
      </c>
      <c r="J579">
        <f t="shared" si="550"/>
        <v>10.923199999999927</v>
      </c>
      <c r="K579">
        <f t="shared" si="551"/>
        <v>0</v>
      </c>
      <c r="L579">
        <f t="shared" si="552"/>
        <v>10.923199999999927</v>
      </c>
    </row>
    <row r="580" spans="2:12">
      <c r="B580" s="1">
        <v>49218</v>
      </c>
      <c r="C580" t="s">
        <v>43</v>
      </c>
      <c r="D580">
        <v>14.3</v>
      </c>
      <c r="E580">
        <v>5.4</v>
      </c>
      <c r="F580">
        <f t="shared" si="548"/>
        <v>0.77220000000000011</v>
      </c>
      <c r="G580">
        <f t="shared" ref="G580" si="615">D577+D578+D579+D580</f>
        <v>76.099999999999994</v>
      </c>
      <c r="H580">
        <f t="shared" ref="H580:H643" si="616">YEAR(B580)</f>
        <v>2034</v>
      </c>
      <c r="I580">
        <v>1</v>
      </c>
      <c r="J580">
        <f t="shared" si="550"/>
        <v>11.695399999999927</v>
      </c>
      <c r="K580">
        <f t="shared" si="551"/>
        <v>0</v>
      </c>
      <c r="L580">
        <f t="shared" si="552"/>
        <v>11.695399999999927</v>
      </c>
    </row>
    <row r="581" spans="2:12">
      <c r="B581" s="1">
        <v>49219</v>
      </c>
      <c r="C581" t="s">
        <v>21</v>
      </c>
      <c r="D581">
        <v>12.4</v>
      </c>
      <c r="E581">
        <v>1.2</v>
      </c>
      <c r="F581">
        <f t="shared" ref="F581:F644" si="617">IF(E581&gt;=1,D581*E581/100,0)</f>
        <v>0.14879999999999999</v>
      </c>
      <c r="G581">
        <f t="shared" ref="G581" si="618">D577+D578+D579+D580+D581</f>
        <v>88.5</v>
      </c>
      <c r="H581">
        <f t="shared" si="616"/>
        <v>2034</v>
      </c>
      <c r="I581">
        <v>1</v>
      </c>
      <c r="J581">
        <f t="shared" ref="J581:J644" si="619">L580+F581</f>
        <v>11.844199999999926</v>
      </c>
      <c r="K581">
        <f t="shared" ref="K581:K644" si="620">IF(J581&gt;=100,1,0)</f>
        <v>0</v>
      </c>
      <c r="L581">
        <f t="shared" ref="L581:L644" si="621">IF(K581=1,J581-100,J581)</f>
        <v>11.844199999999926</v>
      </c>
    </row>
    <row r="582" spans="2:12">
      <c r="B582" s="1">
        <v>49220</v>
      </c>
      <c r="C582" t="s">
        <v>50</v>
      </c>
      <c r="D582">
        <v>29.3</v>
      </c>
      <c r="E582">
        <v>19.8</v>
      </c>
      <c r="F582">
        <f t="shared" si="617"/>
        <v>5.8014000000000001</v>
      </c>
      <c r="G582">
        <f t="shared" ref="G582" si="622">D577+D578+D579+D580+D581+D582</f>
        <v>117.8</v>
      </c>
      <c r="H582">
        <f t="shared" si="616"/>
        <v>2034</v>
      </c>
      <c r="I582">
        <v>1</v>
      </c>
      <c r="J582">
        <f t="shared" si="619"/>
        <v>17.645599999999927</v>
      </c>
      <c r="K582">
        <f t="shared" si="620"/>
        <v>0</v>
      </c>
      <c r="L582">
        <f t="shared" si="621"/>
        <v>17.645599999999927</v>
      </c>
    </row>
    <row r="583" spans="2:12">
      <c r="B583" s="1">
        <v>49221</v>
      </c>
      <c r="C583" t="s">
        <v>18</v>
      </c>
      <c r="D583">
        <v>29.4</v>
      </c>
      <c r="E583">
        <v>0</v>
      </c>
      <c r="F583">
        <f t="shared" si="617"/>
        <v>0</v>
      </c>
      <c r="G583">
        <f t="shared" ref="G583" si="623">D577+D578+D579+D580+D581+D582+D583</f>
        <v>147.19999999999999</v>
      </c>
      <c r="H583">
        <f t="shared" si="616"/>
        <v>2034</v>
      </c>
      <c r="I583">
        <v>1</v>
      </c>
      <c r="J583">
        <f t="shared" si="619"/>
        <v>17.645599999999927</v>
      </c>
      <c r="K583">
        <f t="shared" si="620"/>
        <v>0</v>
      </c>
      <c r="L583">
        <f t="shared" si="621"/>
        <v>17.645599999999927</v>
      </c>
    </row>
    <row r="584" spans="2:12">
      <c r="B584" s="1">
        <v>49222</v>
      </c>
      <c r="C584" t="s">
        <v>27</v>
      </c>
      <c r="D584">
        <v>29.8</v>
      </c>
      <c r="E584">
        <v>16</v>
      </c>
      <c r="F584">
        <f t="shared" si="617"/>
        <v>4.7679999999999998</v>
      </c>
      <c r="G584">
        <f t="shared" ref="G584:G647" si="624">D584</f>
        <v>29.8</v>
      </c>
      <c r="H584">
        <f t="shared" si="616"/>
        <v>2034</v>
      </c>
      <c r="I584">
        <v>1</v>
      </c>
      <c r="J584">
        <f t="shared" si="619"/>
        <v>22.413599999999928</v>
      </c>
      <c r="K584">
        <f t="shared" si="620"/>
        <v>0</v>
      </c>
      <c r="L584">
        <f t="shared" si="621"/>
        <v>22.413599999999928</v>
      </c>
    </row>
    <row r="585" spans="2:12">
      <c r="B585" s="1">
        <v>49223</v>
      </c>
      <c r="C585" t="s">
        <v>50</v>
      </c>
      <c r="D585">
        <v>29.9</v>
      </c>
      <c r="E585">
        <v>13.3</v>
      </c>
      <c r="F585">
        <f t="shared" si="617"/>
        <v>3.9767000000000001</v>
      </c>
      <c r="G585">
        <f t="shared" ref="G585:G648" si="625">D584+D585</f>
        <v>59.7</v>
      </c>
      <c r="H585">
        <f t="shared" si="616"/>
        <v>2034</v>
      </c>
      <c r="I585">
        <v>1</v>
      </c>
      <c r="J585">
        <f t="shared" si="619"/>
        <v>26.390299999999929</v>
      </c>
      <c r="K585">
        <f t="shared" si="620"/>
        <v>0</v>
      </c>
      <c r="L585">
        <f t="shared" si="621"/>
        <v>26.390299999999929</v>
      </c>
    </row>
    <row r="586" spans="2:12">
      <c r="B586" s="1">
        <v>49224</v>
      </c>
      <c r="C586" t="s">
        <v>21</v>
      </c>
      <c r="D586">
        <v>11.6</v>
      </c>
      <c r="E586">
        <v>9.6999999999999993</v>
      </c>
      <c r="F586">
        <f t="shared" si="617"/>
        <v>1.1251999999999998</v>
      </c>
      <c r="G586">
        <f t="shared" ref="G586" si="626">D584+D585+D586</f>
        <v>71.3</v>
      </c>
      <c r="H586">
        <f t="shared" si="616"/>
        <v>2034</v>
      </c>
      <c r="I586">
        <v>1</v>
      </c>
      <c r="J586">
        <f t="shared" si="619"/>
        <v>27.515499999999928</v>
      </c>
      <c r="K586">
        <f t="shared" si="620"/>
        <v>0</v>
      </c>
      <c r="L586">
        <f t="shared" si="621"/>
        <v>27.515499999999928</v>
      </c>
    </row>
    <row r="587" spans="2:12">
      <c r="B587" s="1">
        <v>49225</v>
      </c>
      <c r="C587" t="s">
        <v>25</v>
      </c>
      <c r="D587">
        <v>10.199999999999999</v>
      </c>
      <c r="E587">
        <v>0</v>
      </c>
      <c r="F587">
        <f t="shared" si="617"/>
        <v>0</v>
      </c>
      <c r="G587">
        <f t="shared" ref="G587" si="627">D584+D585+D586+D587</f>
        <v>81.5</v>
      </c>
      <c r="H587">
        <f t="shared" si="616"/>
        <v>2034</v>
      </c>
      <c r="I587">
        <v>1</v>
      </c>
      <c r="J587">
        <f t="shared" si="619"/>
        <v>27.515499999999928</v>
      </c>
      <c r="K587">
        <f t="shared" si="620"/>
        <v>0</v>
      </c>
      <c r="L587">
        <f t="shared" si="621"/>
        <v>27.515499999999928</v>
      </c>
    </row>
    <row r="588" spans="2:12">
      <c r="B588" s="1">
        <v>49226</v>
      </c>
      <c r="C588" t="s">
        <v>21</v>
      </c>
      <c r="D588">
        <v>10.7</v>
      </c>
      <c r="E588">
        <v>11.9</v>
      </c>
      <c r="F588">
        <f t="shared" si="617"/>
        <v>1.2732999999999999</v>
      </c>
      <c r="G588">
        <f t="shared" ref="G588" si="628">D584+D585+D586+D587+D588</f>
        <v>92.2</v>
      </c>
      <c r="H588">
        <f t="shared" si="616"/>
        <v>2034</v>
      </c>
      <c r="I588">
        <v>1</v>
      </c>
      <c r="J588">
        <f t="shared" si="619"/>
        <v>28.788799999999927</v>
      </c>
      <c r="K588">
        <f t="shared" si="620"/>
        <v>0</v>
      </c>
      <c r="L588">
        <f t="shared" si="621"/>
        <v>28.788799999999927</v>
      </c>
    </row>
    <row r="589" spans="2:12">
      <c r="B589" s="1">
        <v>49227</v>
      </c>
      <c r="C589" t="s">
        <v>39</v>
      </c>
      <c r="D589">
        <v>11.7</v>
      </c>
      <c r="E589">
        <v>0.1</v>
      </c>
      <c r="F589">
        <f t="shared" si="617"/>
        <v>0</v>
      </c>
      <c r="G589">
        <f t="shared" ref="G589" si="629">D584+D585+D586+D587+D588+D589</f>
        <v>103.9</v>
      </c>
      <c r="H589">
        <f t="shared" si="616"/>
        <v>2034</v>
      </c>
      <c r="I589">
        <v>1</v>
      </c>
      <c r="J589">
        <f t="shared" si="619"/>
        <v>28.788799999999927</v>
      </c>
      <c r="K589">
        <f t="shared" si="620"/>
        <v>0</v>
      </c>
      <c r="L589">
        <f t="shared" si="621"/>
        <v>28.788799999999927</v>
      </c>
    </row>
    <row r="590" spans="2:12">
      <c r="B590" s="1">
        <v>49228</v>
      </c>
      <c r="C590" t="s">
        <v>47</v>
      </c>
      <c r="D590">
        <v>29.4</v>
      </c>
      <c r="E590">
        <v>9.6</v>
      </c>
      <c r="F590">
        <f t="shared" si="617"/>
        <v>2.8223999999999996</v>
      </c>
      <c r="G590">
        <f t="shared" ref="G590" si="630">D584+D585+D586+D587+D588+D589+D590</f>
        <v>133.30000000000001</v>
      </c>
      <c r="H590">
        <f t="shared" si="616"/>
        <v>2034</v>
      </c>
      <c r="I590">
        <v>1</v>
      </c>
      <c r="J590">
        <f t="shared" si="619"/>
        <v>31.611199999999926</v>
      </c>
      <c r="K590">
        <f t="shared" si="620"/>
        <v>0</v>
      </c>
      <c r="L590">
        <f t="shared" si="621"/>
        <v>31.611199999999926</v>
      </c>
    </row>
    <row r="591" spans="2:12">
      <c r="B591" s="1">
        <v>49229</v>
      </c>
      <c r="C591" t="s">
        <v>40</v>
      </c>
      <c r="D591">
        <v>29.1</v>
      </c>
      <c r="E591">
        <v>2.6</v>
      </c>
      <c r="F591">
        <f t="shared" si="617"/>
        <v>0.75660000000000016</v>
      </c>
      <c r="G591">
        <f t="shared" ref="G591:G654" si="631">D591</f>
        <v>29.1</v>
      </c>
      <c r="H591">
        <f t="shared" si="616"/>
        <v>2034</v>
      </c>
      <c r="I591">
        <v>1</v>
      </c>
      <c r="J591">
        <f t="shared" si="619"/>
        <v>32.367799999999924</v>
      </c>
      <c r="K591">
        <f t="shared" si="620"/>
        <v>0</v>
      </c>
      <c r="L591">
        <f t="shared" si="621"/>
        <v>32.367799999999924</v>
      </c>
    </row>
    <row r="592" spans="2:12">
      <c r="B592" s="1">
        <v>49230</v>
      </c>
      <c r="C592" t="s">
        <v>24</v>
      </c>
      <c r="D592">
        <v>20.5</v>
      </c>
      <c r="E592">
        <v>30.1</v>
      </c>
      <c r="F592">
        <f t="shared" si="617"/>
        <v>6.1705000000000005</v>
      </c>
      <c r="G592">
        <f t="shared" ref="G592:G655" si="632">D591+D592</f>
        <v>49.6</v>
      </c>
      <c r="H592">
        <f t="shared" si="616"/>
        <v>2034</v>
      </c>
      <c r="I592">
        <v>1</v>
      </c>
      <c r="J592">
        <f t="shared" si="619"/>
        <v>38.538299999999921</v>
      </c>
      <c r="K592">
        <f t="shared" si="620"/>
        <v>0</v>
      </c>
      <c r="L592">
        <f t="shared" si="621"/>
        <v>38.538299999999921</v>
      </c>
    </row>
    <row r="593" spans="2:12">
      <c r="B593" s="1">
        <v>49231</v>
      </c>
      <c r="C593" t="s">
        <v>18</v>
      </c>
      <c r="D593">
        <v>26.2</v>
      </c>
      <c r="E593">
        <v>19</v>
      </c>
      <c r="F593">
        <f t="shared" si="617"/>
        <v>4.9779999999999998</v>
      </c>
      <c r="G593">
        <f t="shared" ref="G593" si="633">D591+D592+D593</f>
        <v>75.8</v>
      </c>
      <c r="H593">
        <f t="shared" si="616"/>
        <v>2034</v>
      </c>
      <c r="I593">
        <v>1</v>
      </c>
      <c r="J593">
        <f t="shared" si="619"/>
        <v>43.516299999999923</v>
      </c>
      <c r="K593">
        <f t="shared" si="620"/>
        <v>0</v>
      </c>
      <c r="L593">
        <f t="shared" si="621"/>
        <v>43.516299999999923</v>
      </c>
    </row>
    <row r="594" spans="2:12">
      <c r="B594" s="1">
        <v>49232</v>
      </c>
      <c r="C594" t="s">
        <v>32</v>
      </c>
      <c r="D594">
        <v>22.6</v>
      </c>
      <c r="E594">
        <v>0</v>
      </c>
      <c r="F594">
        <f t="shared" si="617"/>
        <v>0</v>
      </c>
      <c r="G594">
        <f t="shared" ref="G594" si="634">D591+D592+D593+D594</f>
        <v>98.4</v>
      </c>
      <c r="H594">
        <f t="shared" si="616"/>
        <v>2034</v>
      </c>
      <c r="I594">
        <v>1</v>
      </c>
      <c r="J594">
        <f t="shared" si="619"/>
        <v>43.516299999999923</v>
      </c>
      <c r="K594">
        <f t="shared" si="620"/>
        <v>0</v>
      </c>
      <c r="L594">
        <f t="shared" si="621"/>
        <v>43.516299999999923</v>
      </c>
    </row>
    <row r="595" spans="2:12">
      <c r="B595" s="1">
        <v>49233</v>
      </c>
      <c r="C595" t="s">
        <v>31</v>
      </c>
      <c r="D595">
        <v>17.7</v>
      </c>
      <c r="E595">
        <v>0</v>
      </c>
      <c r="F595">
        <f t="shared" si="617"/>
        <v>0</v>
      </c>
      <c r="G595">
        <f t="shared" ref="G595" si="635">D591+D592+D593+D594+D595</f>
        <v>116.10000000000001</v>
      </c>
      <c r="H595">
        <f t="shared" si="616"/>
        <v>2034</v>
      </c>
      <c r="I595">
        <v>1</v>
      </c>
      <c r="J595">
        <f t="shared" si="619"/>
        <v>43.516299999999923</v>
      </c>
      <c r="K595">
        <f t="shared" si="620"/>
        <v>0</v>
      </c>
      <c r="L595">
        <f t="shared" si="621"/>
        <v>43.516299999999923</v>
      </c>
    </row>
    <row r="596" spans="2:12">
      <c r="B596" s="1">
        <v>49234</v>
      </c>
      <c r="C596" t="s">
        <v>50</v>
      </c>
      <c r="D596">
        <v>21.2</v>
      </c>
      <c r="E596">
        <v>0</v>
      </c>
      <c r="F596">
        <f t="shared" si="617"/>
        <v>0</v>
      </c>
      <c r="G596">
        <f t="shared" ref="G596" si="636">D591+D592+D593+D594+D595+D596</f>
        <v>137.30000000000001</v>
      </c>
      <c r="H596">
        <f t="shared" si="616"/>
        <v>2034</v>
      </c>
      <c r="I596">
        <v>1</v>
      </c>
      <c r="J596">
        <f t="shared" si="619"/>
        <v>43.516299999999923</v>
      </c>
      <c r="K596">
        <f t="shared" si="620"/>
        <v>0</v>
      </c>
      <c r="L596">
        <f t="shared" si="621"/>
        <v>43.516299999999923</v>
      </c>
    </row>
    <row r="597" spans="2:12">
      <c r="B597" s="1">
        <v>49235</v>
      </c>
      <c r="C597" t="s">
        <v>48</v>
      </c>
      <c r="D597">
        <v>10.3</v>
      </c>
      <c r="E597">
        <v>0.2</v>
      </c>
      <c r="F597">
        <f t="shared" si="617"/>
        <v>0</v>
      </c>
      <c r="G597">
        <f t="shared" ref="G597" si="637">D591+D592+D593+D594+D595+D596+D597</f>
        <v>147.60000000000002</v>
      </c>
      <c r="H597">
        <f t="shared" si="616"/>
        <v>2034</v>
      </c>
      <c r="I597">
        <v>1</v>
      </c>
      <c r="J597">
        <f t="shared" si="619"/>
        <v>43.516299999999923</v>
      </c>
      <c r="K597">
        <f t="shared" si="620"/>
        <v>0</v>
      </c>
      <c r="L597">
        <f t="shared" si="621"/>
        <v>43.516299999999923</v>
      </c>
    </row>
    <row r="598" spans="2:12">
      <c r="B598" s="1">
        <v>49236</v>
      </c>
      <c r="C598" t="s">
        <v>49</v>
      </c>
      <c r="D598">
        <v>10.1</v>
      </c>
      <c r="E598">
        <v>2.1</v>
      </c>
      <c r="F598">
        <f t="shared" si="617"/>
        <v>0.21210000000000001</v>
      </c>
      <c r="G598">
        <f t="shared" ref="G598:G661" si="638">D598</f>
        <v>10.1</v>
      </c>
      <c r="H598">
        <f t="shared" si="616"/>
        <v>2034</v>
      </c>
      <c r="I598">
        <v>1</v>
      </c>
      <c r="J598">
        <f t="shared" si="619"/>
        <v>43.728399999999922</v>
      </c>
      <c r="K598">
        <f t="shared" si="620"/>
        <v>0</v>
      </c>
      <c r="L598">
        <f t="shared" si="621"/>
        <v>43.728399999999922</v>
      </c>
    </row>
    <row r="599" spans="2:12">
      <c r="B599" s="1">
        <v>49237</v>
      </c>
      <c r="C599" t="s">
        <v>19</v>
      </c>
      <c r="D599">
        <v>23.4</v>
      </c>
      <c r="E599">
        <v>3.9</v>
      </c>
      <c r="F599">
        <f t="shared" si="617"/>
        <v>0.91259999999999986</v>
      </c>
      <c r="G599">
        <f t="shared" ref="G599:G662" si="639">D598+D599</f>
        <v>33.5</v>
      </c>
      <c r="H599">
        <f t="shared" si="616"/>
        <v>2034</v>
      </c>
      <c r="I599">
        <v>1</v>
      </c>
      <c r="J599">
        <f t="shared" si="619"/>
        <v>44.64099999999992</v>
      </c>
      <c r="K599">
        <f t="shared" si="620"/>
        <v>0</v>
      </c>
      <c r="L599">
        <f t="shared" si="621"/>
        <v>44.64099999999992</v>
      </c>
    </row>
    <row r="600" spans="2:12">
      <c r="B600" s="1">
        <v>49238</v>
      </c>
      <c r="C600" t="s">
        <v>41</v>
      </c>
      <c r="D600">
        <v>11.7</v>
      </c>
      <c r="E600">
        <v>0</v>
      </c>
      <c r="F600">
        <f t="shared" si="617"/>
        <v>0</v>
      </c>
      <c r="G600">
        <f t="shared" ref="G600" si="640">D598+D599+D600</f>
        <v>45.2</v>
      </c>
      <c r="H600">
        <f t="shared" si="616"/>
        <v>2034</v>
      </c>
      <c r="I600">
        <v>1</v>
      </c>
      <c r="J600">
        <f t="shared" si="619"/>
        <v>44.64099999999992</v>
      </c>
      <c r="K600">
        <f t="shared" si="620"/>
        <v>0</v>
      </c>
      <c r="L600">
        <f t="shared" si="621"/>
        <v>44.64099999999992</v>
      </c>
    </row>
    <row r="601" spans="2:12">
      <c r="B601" s="1">
        <v>49239</v>
      </c>
      <c r="C601" t="s">
        <v>15</v>
      </c>
      <c r="D601">
        <v>26</v>
      </c>
      <c r="E601">
        <v>2.1</v>
      </c>
      <c r="F601">
        <f t="shared" si="617"/>
        <v>0.54600000000000004</v>
      </c>
      <c r="G601">
        <f t="shared" ref="G601" si="641">D598+D599+D600+D601</f>
        <v>71.2</v>
      </c>
      <c r="H601">
        <f t="shared" si="616"/>
        <v>2034</v>
      </c>
      <c r="I601">
        <v>1</v>
      </c>
      <c r="J601">
        <f t="shared" si="619"/>
        <v>45.186999999999919</v>
      </c>
      <c r="K601">
        <f t="shared" si="620"/>
        <v>0</v>
      </c>
      <c r="L601">
        <f t="shared" si="621"/>
        <v>45.186999999999919</v>
      </c>
    </row>
    <row r="602" spans="2:12">
      <c r="B602" s="1">
        <v>49240</v>
      </c>
      <c r="C602" t="s">
        <v>39</v>
      </c>
      <c r="D602">
        <v>29.5</v>
      </c>
      <c r="E602">
        <v>0.4</v>
      </c>
      <c r="F602">
        <f t="shared" si="617"/>
        <v>0</v>
      </c>
      <c r="G602">
        <f t="shared" ref="G602" si="642">D598+D599+D600+D601+D602</f>
        <v>100.7</v>
      </c>
      <c r="H602">
        <f t="shared" si="616"/>
        <v>2034</v>
      </c>
      <c r="I602">
        <v>1</v>
      </c>
      <c r="J602">
        <f t="shared" si="619"/>
        <v>45.186999999999919</v>
      </c>
      <c r="K602">
        <f t="shared" si="620"/>
        <v>0</v>
      </c>
      <c r="L602">
        <f t="shared" si="621"/>
        <v>45.186999999999919</v>
      </c>
    </row>
    <row r="603" spans="2:12">
      <c r="B603" s="1">
        <v>49241</v>
      </c>
      <c r="C603" t="s">
        <v>31</v>
      </c>
      <c r="D603">
        <v>13</v>
      </c>
      <c r="E603">
        <v>4.4000000000000004</v>
      </c>
      <c r="F603">
        <f t="shared" si="617"/>
        <v>0.57200000000000006</v>
      </c>
      <c r="G603">
        <f t="shared" ref="G603" si="643">D598+D599+D600+D601+D602+D603</f>
        <v>113.7</v>
      </c>
      <c r="H603">
        <f t="shared" si="616"/>
        <v>2034</v>
      </c>
      <c r="I603">
        <v>1</v>
      </c>
      <c r="J603">
        <f t="shared" si="619"/>
        <v>45.758999999999922</v>
      </c>
      <c r="K603">
        <f t="shared" si="620"/>
        <v>0</v>
      </c>
      <c r="L603">
        <f t="shared" si="621"/>
        <v>45.758999999999922</v>
      </c>
    </row>
    <row r="604" spans="2:12">
      <c r="B604" s="1">
        <v>49242</v>
      </c>
      <c r="C604" t="s">
        <v>21</v>
      </c>
      <c r="D604">
        <v>17.100000000000001</v>
      </c>
      <c r="E604">
        <v>3.8</v>
      </c>
      <c r="F604">
        <f t="shared" si="617"/>
        <v>0.64980000000000004</v>
      </c>
      <c r="G604">
        <f t="shared" ref="G604" si="644">D598+D599+D600+D601+D602+D603+D604</f>
        <v>130.80000000000001</v>
      </c>
      <c r="H604">
        <f t="shared" si="616"/>
        <v>2034</v>
      </c>
      <c r="I604">
        <v>1</v>
      </c>
      <c r="J604">
        <f t="shared" si="619"/>
        <v>46.408799999999921</v>
      </c>
      <c r="K604">
        <f t="shared" si="620"/>
        <v>0</v>
      </c>
      <c r="L604">
        <f t="shared" si="621"/>
        <v>46.408799999999921</v>
      </c>
    </row>
    <row r="605" spans="2:12">
      <c r="B605" s="1">
        <v>49243</v>
      </c>
      <c r="C605" t="s">
        <v>38</v>
      </c>
      <c r="D605">
        <v>12.6</v>
      </c>
      <c r="E605">
        <v>0.2</v>
      </c>
      <c r="F605">
        <f t="shared" si="617"/>
        <v>0</v>
      </c>
      <c r="G605">
        <f t="shared" ref="G605:G668" si="645">D605</f>
        <v>12.6</v>
      </c>
      <c r="H605">
        <f t="shared" si="616"/>
        <v>2034</v>
      </c>
      <c r="I605">
        <v>1</v>
      </c>
      <c r="J605">
        <f t="shared" si="619"/>
        <v>46.408799999999921</v>
      </c>
      <c r="K605">
        <f t="shared" si="620"/>
        <v>0</v>
      </c>
      <c r="L605">
        <f t="shared" si="621"/>
        <v>46.408799999999921</v>
      </c>
    </row>
    <row r="606" spans="2:12">
      <c r="B606" s="1">
        <v>49244</v>
      </c>
      <c r="C606" t="s">
        <v>24</v>
      </c>
      <c r="D606">
        <v>23.6</v>
      </c>
      <c r="E606">
        <v>24.1</v>
      </c>
      <c r="F606">
        <f t="shared" si="617"/>
        <v>5.6876000000000007</v>
      </c>
      <c r="G606">
        <f t="shared" ref="G606:G669" si="646">D605+D606</f>
        <v>36.200000000000003</v>
      </c>
      <c r="H606">
        <f t="shared" si="616"/>
        <v>2034</v>
      </c>
      <c r="I606">
        <v>1</v>
      </c>
      <c r="J606">
        <f t="shared" si="619"/>
        <v>52.096399999999925</v>
      </c>
      <c r="K606">
        <f t="shared" si="620"/>
        <v>0</v>
      </c>
      <c r="L606">
        <f t="shared" si="621"/>
        <v>52.096399999999925</v>
      </c>
    </row>
    <row r="607" spans="2:12">
      <c r="B607" s="1">
        <v>49245</v>
      </c>
      <c r="C607" t="s">
        <v>25</v>
      </c>
      <c r="D607">
        <v>14.9</v>
      </c>
      <c r="E607">
        <v>14.2</v>
      </c>
      <c r="F607">
        <f t="shared" si="617"/>
        <v>2.1157999999999997</v>
      </c>
      <c r="G607">
        <f t="shared" ref="G607" si="647">D605+D606+D607</f>
        <v>51.1</v>
      </c>
      <c r="H607">
        <f t="shared" si="616"/>
        <v>2034</v>
      </c>
      <c r="I607">
        <v>1</v>
      </c>
      <c r="J607">
        <f t="shared" si="619"/>
        <v>54.212199999999925</v>
      </c>
      <c r="K607">
        <f t="shared" si="620"/>
        <v>0</v>
      </c>
      <c r="L607">
        <f t="shared" si="621"/>
        <v>54.212199999999925</v>
      </c>
    </row>
    <row r="608" spans="2:12">
      <c r="B608" s="1">
        <v>49246</v>
      </c>
      <c r="C608" t="s">
        <v>26</v>
      </c>
      <c r="D608">
        <v>17</v>
      </c>
      <c r="E608">
        <v>0</v>
      </c>
      <c r="F608">
        <f t="shared" si="617"/>
        <v>0</v>
      </c>
      <c r="G608">
        <f t="shared" ref="G608" si="648">D605+D606+D607+D608</f>
        <v>68.099999999999994</v>
      </c>
      <c r="H608">
        <f t="shared" si="616"/>
        <v>2034</v>
      </c>
      <c r="I608">
        <v>1</v>
      </c>
      <c r="J608">
        <f t="shared" si="619"/>
        <v>54.212199999999925</v>
      </c>
      <c r="K608">
        <f t="shared" si="620"/>
        <v>0</v>
      </c>
      <c r="L608">
        <f t="shared" si="621"/>
        <v>54.212199999999925</v>
      </c>
    </row>
    <row r="609" spans="2:12">
      <c r="B609" s="1">
        <v>49247</v>
      </c>
      <c r="C609" t="s">
        <v>25</v>
      </c>
      <c r="D609">
        <v>12.8</v>
      </c>
      <c r="E609">
        <v>0</v>
      </c>
      <c r="F609">
        <f t="shared" si="617"/>
        <v>0</v>
      </c>
      <c r="G609">
        <f t="shared" ref="G609" si="649">D605+D606+D607+D608+D609</f>
        <v>80.899999999999991</v>
      </c>
      <c r="H609">
        <f t="shared" si="616"/>
        <v>2034</v>
      </c>
      <c r="I609">
        <v>1</v>
      </c>
      <c r="J609">
        <f t="shared" si="619"/>
        <v>54.212199999999925</v>
      </c>
      <c r="K609">
        <f t="shared" si="620"/>
        <v>0</v>
      </c>
      <c r="L609">
        <f t="shared" si="621"/>
        <v>54.212199999999925</v>
      </c>
    </row>
    <row r="610" spans="2:12">
      <c r="B610" s="1">
        <v>49248</v>
      </c>
      <c r="C610" t="s">
        <v>27</v>
      </c>
      <c r="D610">
        <v>17.5</v>
      </c>
      <c r="E610">
        <v>0</v>
      </c>
      <c r="F610">
        <f t="shared" si="617"/>
        <v>0</v>
      </c>
      <c r="G610">
        <f t="shared" ref="G610" si="650">D605+D606+D607+D608+D609+D610</f>
        <v>98.399999999999991</v>
      </c>
      <c r="H610">
        <f t="shared" si="616"/>
        <v>2034</v>
      </c>
      <c r="I610">
        <v>1</v>
      </c>
      <c r="J610">
        <f t="shared" si="619"/>
        <v>54.212199999999925</v>
      </c>
      <c r="K610">
        <f t="shared" si="620"/>
        <v>0</v>
      </c>
      <c r="L610">
        <f t="shared" si="621"/>
        <v>54.212199999999925</v>
      </c>
    </row>
    <row r="611" spans="2:12">
      <c r="B611" s="1">
        <v>49249</v>
      </c>
      <c r="C611" t="s">
        <v>24</v>
      </c>
      <c r="D611">
        <v>13.9</v>
      </c>
      <c r="E611">
        <v>15.3</v>
      </c>
      <c r="F611">
        <f t="shared" si="617"/>
        <v>2.1267</v>
      </c>
      <c r="G611">
        <f t="shared" ref="G611" si="651">D605+D606+D607+D608+D609+D610+D611</f>
        <v>112.3</v>
      </c>
      <c r="H611">
        <f t="shared" si="616"/>
        <v>2034</v>
      </c>
      <c r="I611">
        <v>1</v>
      </c>
      <c r="J611">
        <f t="shared" si="619"/>
        <v>56.338899999999924</v>
      </c>
      <c r="K611">
        <f t="shared" si="620"/>
        <v>0</v>
      </c>
      <c r="L611">
        <f t="shared" si="621"/>
        <v>56.338899999999924</v>
      </c>
    </row>
    <row r="612" spans="2:12">
      <c r="B612" s="1">
        <v>49250</v>
      </c>
      <c r="C612" t="s">
        <v>50</v>
      </c>
      <c r="D612">
        <v>25.9</v>
      </c>
      <c r="E612">
        <v>14.5</v>
      </c>
      <c r="F612">
        <f t="shared" si="617"/>
        <v>3.7554999999999996</v>
      </c>
      <c r="G612">
        <f t="shared" ref="G612:G675" si="652">D612</f>
        <v>25.9</v>
      </c>
      <c r="H612">
        <f t="shared" si="616"/>
        <v>2034</v>
      </c>
      <c r="I612">
        <v>1</v>
      </c>
      <c r="J612">
        <f t="shared" si="619"/>
        <v>60.094399999999922</v>
      </c>
      <c r="K612">
        <f t="shared" si="620"/>
        <v>0</v>
      </c>
      <c r="L612">
        <f t="shared" si="621"/>
        <v>60.094399999999922</v>
      </c>
    </row>
    <row r="613" spans="2:12">
      <c r="B613" s="1">
        <v>49251</v>
      </c>
      <c r="C613" t="s">
        <v>42</v>
      </c>
      <c r="D613">
        <v>12.1</v>
      </c>
      <c r="E613">
        <v>0</v>
      </c>
      <c r="F613">
        <f t="shared" si="617"/>
        <v>0</v>
      </c>
      <c r="G613">
        <f t="shared" ref="G613:G676" si="653">D612+D613</f>
        <v>38</v>
      </c>
      <c r="H613">
        <f t="shared" si="616"/>
        <v>2034</v>
      </c>
      <c r="I613">
        <v>1</v>
      </c>
      <c r="J613">
        <f t="shared" si="619"/>
        <v>60.094399999999922</v>
      </c>
      <c r="K613">
        <f t="shared" si="620"/>
        <v>0</v>
      </c>
      <c r="L613">
        <f t="shared" si="621"/>
        <v>60.094399999999922</v>
      </c>
    </row>
    <row r="614" spans="2:12">
      <c r="B614" s="1">
        <v>49252</v>
      </c>
      <c r="C614" t="s">
        <v>18</v>
      </c>
      <c r="D614">
        <v>25.8</v>
      </c>
      <c r="E614">
        <v>12.3</v>
      </c>
      <c r="F614">
        <f t="shared" si="617"/>
        <v>3.1734000000000004</v>
      </c>
      <c r="G614">
        <f t="shared" ref="G614" si="654">D612+D613+D614</f>
        <v>63.8</v>
      </c>
      <c r="H614">
        <f t="shared" si="616"/>
        <v>2034</v>
      </c>
      <c r="I614">
        <v>1</v>
      </c>
      <c r="J614">
        <f t="shared" si="619"/>
        <v>63.267799999999923</v>
      </c>
      <c r="K614">
        <f t="shared" si="620"/>
        <v>0</v>
      </c>
      <c r="L614">
        <f t="shared" si="621"/>
        <v>63.267799999999923</v>
      </c>
    </row>
    <row r="615" spans="2:12">
      <c r="B615" s="1">
        <v>49253</v>
      </c>
      <c r="C615" t="s">
        <v>21</v>
      </c>
      <c r="D615">
        <v>29.1</v>
      </c>
      <c r="E615">
        <v>0</v>
      </c>
      <c r="F615">
        <f t="shared" si="617"/>
        <v>0</v>
      </c>
      <c r="G615">
        <f t="shared" ref="G615" si="655">D612+D613+D614+D615</f>
        <v>92.9</v>
      </c>
      <c r="H615">
        <f t="shared" si="616"/>
        <v>2034</v>
      </c>
      <c r="I615">
        <v>1</v>
      </c>
      <c r="J615">
        <f t="shared" si="619"/>
        <v>63.267799999999923</v>
      </c>
      <c r="K615">
        <f t="shared" si="620"/>
        <v>0</v>
      </c>
      <c r="L615">
        <f t="shared" si="621"/>
        <v>63.267799999999923</v>
      </c>
    </row>
    <row r="616" spans="2:12">
      <c r="B616" s="1">
        <v>49254</v>
      </c>
      <c r="C616" t="s">
        <v>24</v>
      </c>
      <c r="D616">
        <v>13.2</v>
      </c>
      <c r="E616">
        <v>0</v>
      </c>
      <c r="F616">
        <f t="shared" si="617"/>
        <v>0</v>
      </c>
      <c r="G616">
        <f t="shared" ref="G616" si="656">D612+D613+D614+D615+D616</f>
        <v>106.10000000000001</v>
      </c>
      <c r="H616">
        <f t="shared" si="616"/>
        <v>2034</v>
      </c>
      <c r="I616">
        <v>1</v>
      </c>
      <c r="J616">
        <f t="shared" si="619"/>
        <v>63.267799999999923</v>
      </c>
      <c r="K616">
        <f t="shared" si="620"/>
        <v>0</v>
      </c>
      <c r="L616">
        <f t="shared" si="621"/>
        <v>63.267799999999923</v>
      </c>
    </row>
    <row r="617" spans="2:12">
      <c r="B617" s="1">
        <v>49255</v>
      </c>
      <c r="C617" t="s">
        <v>18</v>
      </c>
      <c r="D617">
        <v>29.4</v>
      </c>
      <c r="E617">
        <v>12.8</v>
      </c>
      <c r="F617">
        <f t="shared" si="617"/>
        <v>3.7631999999999999</v>
      </c>
      <c r="G617">
        <f t="shared" ref="G617" si="657">D612+D613+D614+D615+D616+D617</f>
        <v>135.5</v>
      </c>
      <c r="H617">
        <f t="shared" si="616"/>
        <v>2034</v>
      </c>
      <c r="I617">
        <v>1</v>
      </c>
      <c r="J617">
        <f t="shared" si="619"/>
        <v>67.030999999999921</v>
      </c>
      <c r="K617">
        <f t="shared" si="620"/>
        <v>0</v>
      </c>
      <c r="L617">
        <f t="shared" si="621"/>
        <v>67.030999999999921</v>
      </c>
    </row>
    <row r="618" spans="2:12">
      <c r="B618" s="1">
        <v>49256</v>
      </c>
      <c r="C618" t="s">
        <v>32</v>
      </c>
      <c r="D618">
        <v>21</v>
      </c>
      <c r="E618">
        <v>0</v>
      </c>
      <c r="F618">
        <f t="shared" si="617"/>
        <v>0</v>
      </c>
      <c r="G618">
        <f t="shared" ref="G618" si="658">D612+D613+D614+D615+D616+D617+D618</f>
        <v>156.5</v>
      </c>
      <c r="H618">
        <f t="shared" si="616"/>
        <v>2034</v>
      </c>
      <c r="I618">
        <v>1</v>
      </c>
      <c r="J618">
        <f t="shared" si="619"/>
        <v>67.030999999999921</v>
      </c>
      <c r="K618">
        <f t="shared" si="620"/>
        <v>0</v>
      </c>
      <c r="L618">
        <f t="shared" si="621"/>
        <v>67.030999999999921</v>
      </c>
    </row>
    <row r="619" spans="2:12">
      <c r="B619" s="1">
        <v>49257</v>
      </c>
      <c r="C619" t="s">
        <v>17</v>
      </c>
      <c r="D619">
        <v>22.7</v>
      </c>
      <c r="E619">
        <v>12.4</v>
      </c>
      <c r="F619">
        <f t="shared" si="617"/>
        <v>2.8148</v>
      </c>
      <c r="G619">
        <f t="shared" ref="G619:G682" si="659">D619</f>
        <v>22.7</v>
      </c>
      <c r="H619">
        <f t="shared" si="616"/>
        <v>2034</v>
      </c>
      <c r="I619">
        <v>1</v>
      </c>
      <c r="J619">
        <f t="shared" si="619"/>
        <v>69.845799999999926</v>
      </c>
      <c r="K619">
        <f t="shared" si="620"/>
        <v>0</v>
      </c>
      <c r="L619">
        <f t="shared" si="621"/>
        <v>69.845799999999926</v>
      </c>
    </row>
    <row r="620" spans="2:12">
      <c r="B620" s="1">
        <v>49258</v>
      </c>
      <c r="C620" t="s">
        <v>24</v>
      </c>
      <c r="D620">
        <v>25.1</v>
      </c>
      <c r="E620">
        <v>43.4</v>
      </c>
      <c r="F620">
        <f t="shared" si="617"/>
        <v>10.8934</v>
      </c>
      <c r="G620">
        <f t="shared" ref="G620:G683" si="660">D619+D620</f>
        <v>47.8</v>
      </c>
      <c r="H620">
        <f t="shared" si="616"/>
        <v>2034</v>
      </c>
      <c r="I620">
        <v>1</v>
      </c>
      <c r="J620">
        <f t="shared" si="619"/>
        <v>80.739199999999926</v>
      </c>
      <c r="K620">
        <f t="shared" si="620"/>
        <v>0</v>
      </c>
      <c r="L620">
        <f t="shared" si="621"/>
        <v>80.739199999999926</v>
      </c>
    </row>
    <row r="621" spans="2:12">
      <c r="B621" s="1">
        <v>49259</v>
      </c>
      <c r="C621" t="s">
        <v>24</v>
      </c>
      <c r="D621">
        <v>26.8</v>
      </c>
      <c r="E621">
        <v>26.9</v>
      </c>
      <c r="F621">
        <f t="shared" si="617"/>
        <v>7.2091999999999992</v>
      </c>
      <c r="G621">
        <f t="shared" ref="G621" si="661">D619+D620+D621</f>
        <v>74.599999999999994</v>
      </c>
      <c r="H621">
        <f t="shared" si="616"/>
        <v>2034</v>
      </c>
      <c r="I621">
        <v>1</v>
      </c>
      <c r="J621">
        <f t="shared" si="619"/>
        <v>87.948399999999921</v>
      </c>
      <c r="K621">
        <f t="shared" si="620"/>
        <v>0</v>
      </c>
      <c r="L621">
        <f t="shared" si="621"/>
        <v>87.948399999999921</v>
      </c>
    </row>
    <row r="622" spans="2:12">
      <c r="B622" s="1">
        <v>49260</v>
      </c>
      <c r="C622" t="s">
        <v>44</v>
      </c>
      <c r="D622">
        <v>15.9</v>
      </c>
      <c r="E622">
        <v>0.5</v>
      </c>
      <c r="F622">
        <f t="shared" si="617"/>
        <v>0</v>
      </c>
      <c r="G622">
        <f t="shared" ref="G622" si="662">D619+D620+D621+D622</f>
        <v>90.5</v>
      </c>
      <c r="H622">
        <f t="shared" si="616"/>
        <v>2034</v>
      </c>
      <c r="I622">
        <v>1</v>
      </c>
      <c r="J622">
        <f t="shared" si="619"/>
        <v>87.948399999999921</v>
      </c>
      <c r="K622">
        <f t="shared" si="620"/>
        <v>0</v>
      </c>
      <c r="L622">
        <f t="shared" si="621"/>
        <v>87.948399999999921</v>
      </c>
    </row>
    <row r="623" spans="2:12">
      <c r="B623" s="1">
        <v>49261</v>
      </c>
      <c r="C623" t="s">
        <v>47</v>
      </c>
      <c r="D623">
        <v>27.6</v>
      </c>
      <c r="E623">
        <v>0</v>
      </c>
      <c r="F623">
        <f t="shared" si="617"/>
        <v>0</v>
      </c>
      <c r="G623">
        <f t="shared" ref="G623" si="663">D619+D620+D621+D622+D623</f>
        <v>118.1</v>
      </c>
      <c r="H623">
        <f t="shared" si="616"/>
        <v>2034</v>
      </c>
      <c r="I623">
        <v>1</v>
      </c>
      <c r="J623">
        <f t="shared" si="619"/>
        <v>87.948399999999921</v>
      </c>
      <c r="K623">
        <f t="shared" si="620"/>
        <v>0</v>
      </c>
      <c r="L623">
        <f t="shared" si="621"/>
        <v>87.948399999999921</v>
      </c>
    </row>
    <row r="624" spans="2:12">
      <c r="B624" s="1">
        <v>49262</v>
      </c>
      <c r="C624" t="s">
        <v>49</v>
      </c>
      <c r="D624">
        <v>20.8</v>
      </c>
      <c r="E624">
        <v>0</v>
      </c>
      <c r="F624">
        <f t="shared" si="617"/>
        <v>0</v>
      </c>
      <c r="G624">
        <f t="shared" ref="G624" si="664">D619+D620+D621+D622+D623+D624</f>
        <v>138.9</v>
      </c>
      <c r="H624">
        <f t="shared" si="616"/>
        <v>2034</v>
      </c>
      <c r="I624">
        <v>1</v>
      </c>
      <c r="J624">
        <f t="shared" si="619"/>
        <v>87.948399999999921</v>
      </c>
      <c r="K624">
        <f t="shared" si="620"/>
        <v>0</v>
      </c>
      <c r="L624">
        <f t="shared" si="621"/>
        <v>87.948399999999921</v>
      </c>
    </row>
    <row r="625" spans="2:12">
      <c r="B625" s="1">
        <v>49263</v>
      </c>
      <c r="C625" t="s">
        <v>17</v>
      </c>
      <c r="D625">
        <v>23.9</v>
      </c>
      <c r="E625">
        <v>9.9</v>
      </c>
      <c r="F625">
        <f t="shared" si="617"/>
        <v>2.3660999999999999</v>
      </c>
      <c r="G625">
        <f t="shared" ref="G625" si="665">D619+D620+D621+D622+D623+D624+D625</f>
        <v>162.80000000000001</v>
      </c>
      <c r="H625">
        <f t="shared" si="616"/>
        <v>2034</v>
      </c>
      <c r="I625">
        <v>1</v>
      </c>
      <c r="J625">
        <f t="shared" si="619"/>
        <v>90.314499999999924</v>
      </c>
      <c r="K625">
        <f t="shared" si="620"/>
        <v>0</v>
      </c>
      <c r="L625">
        <f t="shared" si="621"/>
        <v>90.314499999999924</v>
      </c>
    </row>
    <row r="626" spans="2:12">
      <c r="B626" s="1">
        <v>49264</v>
      </c>
      <c r="C626" t="s">
        <v>38</v>
      </c>
      <c r="D626">
        <v>24.8</v>
      </c>
      <c r="E626">
        <v>4.7</v>
      </c>
      <c r="F626">
        <f t="shared" si="617"/>
        <v>1.1656</v>
      </c>
      <c r="G626">
        <f t="shared" ref="G626:G689" si="666">D626</f>
        <v>24.8</v>
      </c>
      <c r="H626">
        <f t="shared" si="616"/>
        <v>2034</v>
      </c>
      <c r="I626">
        <v>1</v>
      </c>
      <c r="J626">
        <f t="shared" si="619"/>
        <v>91.480099999999922</v>
      </c>
      <c r="K626">
        <f t="shared" si="620"/>
        <v>0</v>
      </c>
      <c r="L626">
        <f t="shared" si="621"/>
        <v>91.480099999999922</v>
      </c>
    </row>
    <row r="627" spans="2:12">
      <c r="B627" s="1">
        <v>49265</v>
      </c>
      <c r="C627" t="s">
        <v>50</v>
      </c>
      <c r="D627">
        <v>16.3</v>
      </c>
      <c r="E627">
        <v>0</v>
      </c>
      <c r="F627">
        <f t="shared" si="617"/>
        <v>0</v>
      </c>
      <c r="G627">
        <f t="shared" ref="G627:G690" si="667">D626+D627</f>
        <v>41.1</v>
      </c>
      <c r="H627">
        <f t="shared" si="616"/>
        <v>2034</v>
      </c>
      <c r="I627">
        <v>1</v>
      </c>
      <c r="J627">
        <f t="shared" si="619"/>
        <v>91.480099999999922</v>
      </c>
      <c r="K627">
        <f t="shared" si="620"/>
        <v>0</v>
      </c>
      <c r="L627">
        <f t="shared" si="621"/>
        <v>91.480099999999922</v>
      </c>
    </row>
    <row r="628" spans="2:12">
      <c r="B628" s="1">
        <v>49266</v>
      </c>
      <c r="C628" t="s">
        <v>47</v>
      </c>
      <c r="D628">
        <v>20.100000000000001</v>
      </c>
      <c r="E628">
        <v>0</v>
      </c>
      <c r="F628">
        <f t="shared" si="617"/>
        <v>0</v>
      </c>
      <c r="G628">
        <f t="shared" ref="G628" si="668">D626+D627+D628</f>
        <v>61.2</v>
      </c>
      <c r="H628">
        <f t="shared" si="616"/>
        <v>2034</v>
      </c>
      <c r="I628">
        <v>1</v>
      </c>
      <c r="J628">
        <f t="shared" si="619"/>
        <v>91.480099999999922</v>
      </c>
      <c r="K628">
        <f t="shared" si="620"/>
        <v>0</v>
      </c>
      <c r="L628">
        <f t="shared" si="621"/>
        <v>91.480099999999922</v>
      </c>
    </row>
    <row r="629" spans="2:12">
      <c r="B629" s="1">
        <v>49267</v>
      </c>
      <c r="C629" t="s">
        <v>43</v>
      </c>
      <c r="D629">
        <v>25.9</v>
      </c>
      <c r="E629">
        <v>8.9</v>
      </c>
      <c r="F629">
        <f t="shared" si="617"/>
        <v>2.3050999999999999</v>
      </c>
      <c r="G629">
        <f t="shared" ref="G629" si="669">D626+D627+D628+D629</f>
        <v>87.1</v>
      </c>
      <c r="H629">
        <f t="shared" si="616"/>
        <v>2034</v>
      </c>
      <c r="I629">
        <v>1</v>
      </c>
      <c r="J629">
        <f t="shared" si="619"/>
        <v>93.785199999999918</v>
      </c>
      <c r="K629">
        <f t="shared" si="620"/>
        <v>0</v>
      </c>
      <c r="L629">
        <f t="shared" si="621"/>
        <v>93.785199999999918</v>
      </c>
    </row>
    <row r="630" spans="2:12">
      <c r="B630" s="1">
        <v>49268</v>
      </c>
      <c r="C630" t="s">
        <v>50</v>
      </c>
      <c r="D630">
        <v>27.3</v>
      </c>
      <c r="E630">
        <v>15.8</v>
      </c>
      <c r="F630">
        <f t="shared" si="617"/>
        <v>4.3134000000000006</v>
      </c>
      <c r="G630">
        <f t="shared" ref="G630" si="670">D626+D627+D628+D629+D630</f>
        <v>114.39999999999999</v>
      </c>
      <c r="H630">
        <f t="shared" si="616"/>
        <v>2034</v>
      </c>
      <c r="I630">
        <v>1</v>
      </c>
      <c r="J630">
        <f t="shared" si="619"/>
        <v>98.098599999999919</v>
      </c>
      <c r="K630">
        <f t="shared" si="620"/>
        <v>0</v>
      </c>
      <c r="L630">
        <f t="shared" si="621"/>
        <v>98.098599999999919</v>
      </c>
    </row>
    <row r="631" spans="2:12">
      <c r="B631" s="1">
        <v>49269</v>
      </c>
      <c r="C631" t="s">
        <v>17</v>
      </c>
      <c r="D631">
        <v>19.100000000000001</v>
      </c>
      <c r="E631">
        <v>6.3</v>
      </c>
      <c r="F631">
        <f t="shared" si="617"/>
        <v>1.2033</v>
      </c>
      <c r="G631">
        <f t="shared" ref="G631" si="671">D626+D627+D628+D629+D630+D631</f>
        <v>133.5</v>
      </c>
      <c r="H631">
        <f t="shared" si="616"/>
        <v>2034</v>
      </c>
      <c r="I631">
        <v>1</v>
      </c>
      <c r="J631">
        <f t="shared" si="619"/>
        <v>99.301899999999918</v>
      </c>
      <c r="K631">
        <f t="shared" si="620"/>
        <v>0</v>
      </c>
      <c r="L631">
        <f t="shared" si="621"/>
        <v>99.301899999999918</v>
      </c>
    </row>
    <row r="632" spans="2:12">
      <c r="B632" s="1">
        <v>49270</v>
      </c>
      <c r="C632" t="s">
        <v>24</v>
      </c>
      <c r="D632">
        <v>16.899999999999999</v>
      </c>
      <c r="E632">
        <v>0</v>
      </c>
      <c r="F632">
        <f t="shared" si="617"/>
        <v>0</v>
      </c>
      <c r="G632">
        <f t="shared" ref="G632" si="672">D626+D627+D628+D629+D630+D631+D632</f>
        <v>150.4</v>
      </c>
      <c r="H632">
        <f t="shared" si="616"/>
        <v>2034</v>
      </c>
      <c r="I632">
        <v>1</v>
      </c>
      <c r="J632">
        <f t="shared" si="619"/>
        <v>99.301899999999918</v>
      </c>
      <c r="K632">
        <f t="shared" si="620"/>
        <v>0</v>
      </c>
      <c r="L632">
        <f t="shared" si="621"/>
        <v>99.301899999999918</v>
      </c>
    </row>
    <row r="633" spans="2:12">
      <c r="B633" s="1">
        <v>49271</v>
      </c>
      <c r="C633" t="s">
        <v>18</v>
      </c>
      <c r="D633">
        <v>13.4</v>
      </c>
      <c r="E633">
        <v>20.100000000000001</v>
      </c>
      <c r="F633">
        <f t="shared" si="617"/>
        <v>2.6934000000000005</v>
      </c>
      <c r="G633">
        <f t="shared" ref="G633:G696" si="673">D633</f>
        <v>13.4</v>
      </c>
      <c r="H633">
        <f t="shared" si="616"/>
        <v>2034</v>
      </c>
      <c r="I633">
        <v>1</v>
      </c>
      <c r="J633">
        <f t="shared" si="619"/>
        <v>101.99529999999992</v>
      </c>
      <c r="K633">
        <f t="shared" si="620"/>
        <v>1</v>
      </c>
      <c r="L633">
        <f t="shared" si="621"/>
        <v>1.995299999999915</v>
      </c>
    </row>
    <row r="634" spans="2:12">
      <c r="B634" s="1">
        <v>49272</v>
      </c>
      <c r="C634" t="s">
        <v>37</v>
      </c>
      <c r="D634">
        <v>24.8</v>
      </c>
      <c r="E634">
        <v>0.4</v>
      </c>
      <c r="F634">
        <f t="shared" si="617"/>
        <v>0</v>
      </c>
      <c r="G634">
        <f t="shared" ref="G634:G697" si="674">D633+D634</f>
        <v>38.200000000000003</v>
      </c>
      <c r="H634">
        <f t="shared" si="616"/>
        <v>2034</v>
      </c>
      <c r="I634">
        <v>1</v>
      </c>
      <c r="J634">
        <f t="shared" si="619"/>
        <v>1.995299999999915</v>
      </c>
      <c r="K634">
        <f t="shared" si="620"/>
        <v>0</v>
      </c>
      <c r="L634">
        <f t="shared" si="621"/>
        <v>1.995299999999915</v>
      </c>
    </row>
    <row r="635" spans="2:12">
      <c r="B635" s="1">
        <v>49273</v>
      </c>
      <c r="C635" t="s">
        <v>42</v>
      </c>
      <c r="D635">
        <v>28.4</v>
      </c>
      <c r="E635">
        <v>1.6</v>
      </c>
      <c r="F635">
        <f t="shared" si="617"/>
        <v>0.45439999999999997</v>
      </c>
      <c r="G635">
        <f t="shared" ref="G635" si="675">D633+D634+D635</f>
        <v>66.599999999999994</v>
      </c>
      <c r="H635">
        <f t="shared" si="616"/>
        <v>2034</v>
      </c>
      <c r="I635">
        <v>1</v>
      </c>
      <c r="J635">
        <f t="shared" si="619"/>
        <v>2.4496999999999152</v>
      </c>
      <c r="K635">
        <f t="shared" si="620"/>
        <v>0</v>
      </c>
      <c r="L635">
        <f t="shared" si="621"/>
        <v>2.4496999999999152</v>
      </c>
    </row>
    <row r="636" spans="2:12">
      <c r="B636" s="1">
        <v>49274</v>
      </c>
      <c r="C636" t="s">
        <v>35</v>
      </c>
      <c r="D636">
        <v>25.3</v>
      </c>
      <c r="E636">
        <v>1.8</v>
      </c>
      <c r="F636">
        <f t="shared" si="617"/>
        <v>0.45539999999999997</v>
      </c>
      <c r="G636">
        <f t="shared" ref="G636" si="676">D633+D634+D635+D636</f>
        <v>91.899999999999991</v>
      </c>
      <c r="H636">
        <f t="shared" si="616"/>
        <v>2034</v>
      </c>
      <c r="I636">
        <v>1</v>
      </c>
      <c r="J636">
        <f t="shared" si="619"/>
        <v>2.9050999999999152</v>
      </c>
      <c r="K636">
        <f t="shared" si="620"/>
        <v>0</v>
      </c>
      <c r="L636">
        <f t="shared" si="621"/>
        <v>2.9050999999999152</v>
      </c>
    </row>
    <row r="637" spans="2:12">
      <c r="B637" s="1">
        <v>49275</v>
      </c>
      <c r="C637" t="s">
        <v>47</v>
      </c>
      <c r="D637">
        <v>25.9</v>
      </c>
      <c r="E637">
        <v>1.6</v>
      </c>
      <c r="F637">
        <f t="shared" si="617"/>
        <v>0.41439999999999999</v>
      </c>
      <c r="G637">
        <f t="shared" ref="G637" si="677">D633+D634+D635+D636+D637</f>
        <v>117.79999999999998</v>
      </c>
      <c r="H637">
        <f t="shared" si="616"/>
        <v>2034</v>
      </c>
      <c r="I637">
        <v>1</v>
      </c>
      <c r="J637">
        <f t="shared" si="619"/>
        <v>3.3194999999999153</v>
      </c>
      <c r="K637">
        <f t="shared" si="620"/>
        <v>0</v>
      </c>
      <c r="L637">
        <f t="shared" si="621"/>
        <v>3.3194999999999153</v>
      </c>
    </row>
    <row r="638" spans="2:12">
      <c r="B638" s="1">
        <v>49276</v>
      </c>
      <c r="C638" t="s">
        <v>17</v>
      </c>
      <c r="D638">
        <v>12.2</v>
      </c>
      <c r="E638">
        <v>0.8</v>
      </c>
      <c r="F638">
        <f t="shared" si="617"/>
        <v>0</v>
      </c>
      <c r="G638">
        <f t="shared" ref="G638" si="678">D633+D634+D635+D636+D637+D638</f>
        <v>129.99999999999997</v>
      </c>
      <c r="H638">
        <f t="shared" si="616"/>
        <v>2034</v>
      </c>
      <c r="I638">
        <v>1</v>
      </c>
      <c r="J638">
        <f t="shared" si="619"/>
        <v>3.3194999999999153</v>
      </c>
      <c r="K638">
        <f t="shared" si="620"/>
        <v>0</v>
      </c>
      <c r="L638">
        <f t="shared" si="621"/>
        <v>3.3194999999999153</v>
      </c>
    </row>
    <row r="639" spans="2:12">
      <c r="B639" s="1">
        <v>49277</v>
      </c>
      <c r="C639" t="s">
        <v>48</v>
      </c>
      <c r="D639">
        <v>22.8</v>
      </c>
      <c r="E639">
        <v>2.2999999999999998</v>
      </c>
      <c r="F639">
        <f t="shared" si="617"/>
        <v>0.52439999999999998</v>
      </c>
      <c r="G639">
        <f t="shared" ref="G639" si="679">D633+D634+D635+D636+D637+D638+D639</f>
        <v>152.79999999999998</v>
      </c>
      <c r="H639">
        <f t="shared" si="616"/>
        <v>2034</v>
      </c>
      <c r="I639">
        <v>1</v>
      </c>
      <c r="J639">
        <f t="shared" si="619"/>
        <v>3.8438999999999153</v>
      </c>
      <c r="K639">
        <f t="shared" si="620"/>
        <v>0</v>
      </c>
      <c r="L639">
        <f t="shared" si="621"/>
        <v>3.8438999999999153</v>
      </c>
    </row>
    <row r="640" spans="2:12">
      <c r="B640" s="1">
        <v>49278</v>
      </c>
      <c r="C640" t="s">
        <v>50</v>
      </c>
      <c r="D640">
        <v>12.7</v>
      </c>
      <c r="E640">
        <v>0</v>
      </c>
      <c r="F640">
        <f t="shared" si="617"/>
        <v>0</v>
      </c>
      <c r="G640">
        <f t="shared" ref="G640:G703" si="680">D640</f>
        <v>12.7</v>
      </c>
      <c r="H640">
        <f t="shared" si="616"/>
        <v>2034</v>
      </c>
      <c r="I640">
        <v>1</v>
      </c>
      <c r="J640">
        <f t="shared" si="619"/>
        <v>3.8438999999999153</v>
      </c>
      <c r="K640">
        <f t="shared" si="620"/>
        <v>0</v>
      </c>
      <c r="L640">
        <f t="shared" si="621"/>
        <v>3.8438999999999153</v>
      </c>
    </row>
    <row r="641" spans="2:12">
      <c r="B641" s="1">
        <v>49279</v>
      </c>
      <c r="C641" t="s">
        <v>36</v>
      </c>
      <c r="D641">
        <v>13</v>
      </c>
      <c r="E641">
        <v>5.0999999999999996</v>
      </c>
      <c r="F641">
        <f t="shared" si="617"/>
        <v>0.66299999999999992</v>
      </c>
      <c r="G641">
        <f t="shared" ref="G641:G704" si="681">D640+D641</f>
        <v>25.7</v>
      </c>
      <c r="H641">
        <f t="shared" si="616"/>
        <v>2034</v>
      </c>
      <c r="I641">
        <v>1</v>
      </c>
      <c r="J641">
        <f t="shared" si="619"/>
        <v>4.5068999999999155</v>
      </c>
      <c r="K641">
        <f t="shared" si="620"/>
        <v>0</v>
      </c>
      <c r="L641">
        <f t="shared" si="621"/>
        <v>4.5068999999999155</v>
      </c>
    </row>
    <row r="642" spans="2:12">
      <c r="B642" s="1">
        <v>49280</v>
      </c>
      <c r="C642" t="s">
        <v>24</v>
      </c>
      <c r="D642">
        <v>13.5</v>
      </c>
      <c r="E642">
        <v>4.9000000000000004</v>
      </c>
      <c r="F642">
        <f t="shared" si="617"/>
        <v>0.66150000000000009</v>
      </c>
      <c r="G642">
        <f t="shared" ref="G642" si="682">D640+D641+D642</f>
        <v>39.200000000000003</v>
      </c>
      <c r="H642">
        <f t="shared" si="616"/>
        <v>2034</v>
      </c>
      <c r="I642">
        <v>1</v>
      </c>
      <c r="J642">
        <f t="shared" si="619"/>
        <v>5.1683999999999157</v>
      </c>
      <c r="K642">
        <f t="shared" si="620"/>
        <v>0</v>
      </c>
      <c r="L642">
        <f t="shared" si="621"/>
        <v>5.1683999999999157</v>
      </c>
    </row>
    <row r="643" spans="2:12">
      <c r="B643" s="1">
        <v>49281</v>
      </c>
      <c r="C643" t="s">
        <v>27</v>
      </c>
      <c r="D643">
        <v>17.8</v>
      </c>
      <c r="E643">
        <v>5</v>
      </c>
      <c r="F643">
        <f t="shared" si="617"/>
        <v>0.89</v>
      </c>
      <c r="G643">
        <f t="shared" ref="G643" si="683">D640+D641+D642+D643</f>
        <v>57</v>
      </c>
      <c r="H643">
        <f t="shared" si="616"/>
        <v>2034</v>
      </c>
      <c r="I643">
        <v>1</v>
      </c>
      <c r="J643">
        <f t="shared" si="619"/>
        <v>6.0583999999999154</v>
      </c>
      <c r="K643">
        <f t="shared" si="620"/>
        <v>0</v>
      </c>
      <c r="L643">
        <f t="shared" si="621"/>
        <v>6.0583999999999154</v>
      </c>
    </row>
    <row r="644" spans="2:12">
      <c r="B644" s="1">
        <v>49282</v>
      </c>
      <c r="C644" t="s">
        <v>24</v>
      </c>
      <c r="D644">
        <v>21.5</v>
      </c>
      <c r="E644">
        <v>47.1</v>
      </c>
      <c r="F644">
        <f t="shared" si="617"/>
        <v>10.1265</v>
      </c>
      <c r="G644">
        <f t="shared" ref="G644" si="684">D640+D641+D642+D643+D644</f>
        <v>78.5</v>
      </c>
      <c r="H644">
        <f t="shared" ref="H644:H707" si="685">YEAR(B644)</f>
        <v>2034</v>
      </c>
      <c r="I644">
        <v>1</v>
      </c>
      <c r="J644">
        <f t="shared" si="619"/>
        <v>16.184899999999914</v>
      </c>
      <c r="K644">
        <f t="shared" si="620"/>
        <v>0</v>
      </c>
      <c r="L644">
        <f t="shared" si="621"/>
        <v>16.184899999999914</v>
      </c>
    </row>
    <row r="645" spans="2:12">
      <c r="B645" s="1">
        <v>49283</v>
      </c>
      <c r="C645" t="s">
        <v>19</v>
      </c>
      <c r="D645">
        <v>20.5</v>
      </c>
      <c r="E645">
        <v>0.1</v>
      </c>
      <c r="F645">
        <f t="shared" ref="F645:F708" si="686">IF(E645&gt;=1,D645*E645/100,0)</f>
        <v>0</v>
      </c>
      <c r="G645">
        <f t="shared" ref="G645" si="687">D640+D641+D642+D643+D644+D645</f>
        <v>99</v>
      </c>
      <c r="H645">
        <f t="shared" si="685"/>
        <v>2034</v>
      </c>
      <c r="I645">
        <v>1</v>
      </c>
      <c r="J645">
        <f t="shared" ref="J645:J708" si="688">L644+F645</f>
        <v>16.184899999999914</v>
      </c>
      <c r="K645">
        <f t="shared" ref="K645:K708" si="689">IF(J645&gt;=100,1,0)</f>
        <v>0</v>
      </c>
      <c r="L645">
        <f t="shared" ref="L645:L708" si="690">IF(K645=1,J645-100,J645)</f>
        <v>16.184899999999914</v>
      </c>
    </row>
    <row r="646" spans="2:12">
      <c r="B646" s="1">
        <v>49284</v>
      </c>
      <c r="C646" t="s">
        <v>27</v>
      </c>
      <c r="D646">
        <v>14.4</v>
      </c>
      <c r="E646">
        <v>0</v>
      </c>
      <c r="F646">
        <f t="shared" si="686"/>
        <v>0</v>
      </c>
      <c r="G646">
        <f t="shared" ref="G646" si="691">D640+D641+D642+D643+D644+D645+D646</f>
        <v>113.4</v>
      </c>
      <c r="H646">
        <f t="shared" si="685"/>
        <v>2034</v>
      </c>
      <c r="I646">
        <v>1</v>
      </c>
      <c r="J646">
        <f t="shared" si="688"/>
        <v>16.184899999999914</v>
      </c>
      <c r="K646">
        <f t="shared" si="689"/>
        <v>0</v>
      </c>
      <c r="L646">
        <f t="shared" si="690"/>
        <v>16.184899999999914</v>
      </c>
    </row>
    <row r="647" spans="2:12">
      <c r="B647" s="1">
        <v>49285</v>
      </c>
      <c r="C647" t="s">
        <v>32</v>
      </c>
      <c r="D647">
        <v>12.3</v>
      </c>
      <c r="E647">
        <v>0</v>
      </c>
      <c r="F647">
        <f t="shared" si="686"/>
        <v>0</v>
      </c>
      <c r="G647">
        <f t="shared" ref="G647:G710" si="692">D647</f>
        <v>12.3</v>
      </c>
      <c r="H647">
        <f t="shared" si="685"/>
        <v>2034</v>
      </c>
      <c r="I647">
        <v>1</v>
      </c>
      <c r="J647">
        <f t="shared" si="688"/>
        <v>16.184899999999914</v>
      </c>
      <c r="K647">
        <f t="shared" si="689"/>
        <v>0</v>
      </c>
      <c r="L647">
        <f t="shared" si="690"/>
        <v>16.184899999999914</v>
      </c>
    </row>
    <row r="648" spans="2:12">
      <c r="B648" s="1">
        <v>49286</v>
      </c>
      <c r="C648" t="s">
        <v>27</v>
      </c>
      <c r="D648">
        <v>26.5</v>
      </c>
      <c r="E648">
        <v>14</v>
      </c>
      <c r="F648">
        <f t="shared" si="686"/>
        <v>3.71</v>
      </c>
      <c r="G648">
        <f t="shared" ref="G648:G711" si="693">D647+D648</f>
        <v>38.799999999999997</v>
      </c>
      <c r="H648">
        <f t="shared" si="685"/>
        <v>2034</v>
      </c>
      <c r="I648">
        <v>1</v>
      </c>
      <c r="J648">
        <f t="shared" si="688"/>
        <v>19.894899999999915</v>
      </c>
      <c r="K648">
        <f t="shared" si="689"/>
        <v>0</v>
      </c>
      <c r="L648">
        <f t="shared" si="690"/>
        <v>19.894899999999915</v>
      </c>
    </row>
    <row r="649" spans="2:12">
      <c r="B649" s="1">
        <v>49287</v>
      </c>
      <c r="C649" t="s">
        <v>27</v>
      </c>
      <c r="D649">
        <v>17.7</v>
      </c>
      <c r="E649">
        <v>0</v>
      </c>
      <c r="F649">
        <f t="shared" si="686"/>
        <v>0</v>
      </c>
      <c r="G649">
        <f t="shared" ref="G649" si="694">D647+D648+D649</f>
        <v>56.5</v>
      </c>
      <c r="H649">
        <f t="shared" si="685"/>
        <v>2034</v>
      </c>
      <c r="I649">
        <v>1</v>
      </c>
      <c r="J649">
        <f t="shared" si="688"/>
        <v>19.894899999999915</v>
      </c>
      <c r="K649">
        <f t="shared" si="689"/>
        <v>0</v>
      </c>
      <c r="L649">
        <f t="shared" si="690"/>
        <v>19.894899999999915</v>
      </c>
    </row>
    <row r="650" spans="2:12">
      <c r="B650" s="1">
        <v>49288</v>
      </c>
      <c r="C650" t="s">
        <v>36</v>
      </c>
      <c r="D650">
        <v>15.7</v>
      </c>
      <c r="E650">
        <v>1</v>
      </c>
      <c r="F650">
        <f t="shared" si="686"/>
        <v>0.157</v>
      </c>
      <c r="G650">
        <f t="shared" ref="G650" si="695">D647+D648+D649+D650</f>
        <v>72.2</v>
      </c>
      <c r="H650">
        <f t="shared" si="685"/>
        <v>2034</v>
      </c>
      <c r="I650">
        <v>1</v>
      </c>
      <c r="J650">
        <f t="shared" si="688"/>
        <v>20.051899999999915</v>
      </c>
      <c r="K650">
        <f t="shared" si="689"/>
        <v>0</v>
      </c>
      <c r="L650">
        <f t="shared" si="690"/>
        <v>20.051899999999915</v>
      </c>
    </row>
    <row r="651" spans="2:12">
      <c r="B651" s="1">
        <v>49289</v>
      </c>
      <c r="C651" t="s">
        <v>40</v>
      </c>
      <c r="D651">
        <v>16.2</v>
      </c>
      <c r="E651">
        <v>0</v>
      </c>
      <c r="F651">
        <f t="shared" si="686"/>
        <v>0</v>
      </c>
      <c r="G651">
        <f t="shared" ref="G651" si="696">D647+D648+D649+D650+D651</f>
        <v>88.4</v>
      </c>
      <c r="H651">
        <f t="shared" si="685"/>
        <v>2034</v>
      </c>
      <c r="I651">
        <v>1</v>
      </c>
      <c r="J651">
        <f t="shared" si="688"/>
        <v>20.051899999999915</v>
      </c>
      <c r="K651">
        <f t="shared" si="689"/>
        <v>0</v>
      </c>
      <c r="L651">
        <f t="shared" si="690"/>
        <v>20.051899999999915</v>
      </c>
    </row>
    <row r="652" spans="2:12">
      <c r="B652" s="1">
        <v>49290</v>
      </c>
      <c r="C652" t="s">
        <v>46</v>
      </c>
      <c r="D652">
        <v>18.600000000000001</v>
      </c>
      <c r="E652">
        <v>1.4</v>
      </c>
      <c r="F652">
        <f t="shared" si="686"/>
        <v>0.26039999999999996</v>
      </c>
      <c r="G652">
        <f t="shared" ref="G652" si="697">D647+D648+D649+D650+D651+D652</f>
        <v>107</v>
      </c>
      <c r="H652">
        <f t="shared" si="685"/>
        <v>2034</v>
      </c>
      <c r="I652">
        <v>1</v>
      </c>
      <c r="J652">
        <f t="shared" si="688"/>
        <v>20.312299999999915</v>
      </c>
      <c r="K652">
        <f t="shared" si="689"/>
        <v>0</v>
      </c>
      <c r="L652">
        <f t="shared" si="690"/>
        <v>20.312299999999915</v>
      </c>
    </row>
    <row r="653" spans="2:12">
      <c r="B653" s="1">
        <v>49291</v>
      </c>
      <c r="C653" t="s">
        <v>47</v>
      </c>
      <c r="D653">
        <v>23.9</v>
      </c>
      <c r="E653">
        <v>4</v>
      </c>
      <c r="F653">
        <f t="shared" si="686"/>
        <v>0.95599999999999996</v>
      </c>
      <c r="G653">
        <f t="shared" ref="G653" si="698">D647+D648+D649+D650+D651+D652+D653</f>
        <v>130.9</v>
      </c>
      <c r="H653">
        <f t="shared" si="685"/>
        <v>2034</v>
      </c>
      <c r="I653">
        <v>1</v>
      </c>
      <c r="J653">
        <f t="shared" si="688"/>
        <v>21.268299999999915</v>
      </c>
      <c r="K653">
        <f t="shared" si="689"/>
        <v>0</v>
      </c>
      <c r="L653">
        <f t="shared" si="690"/>
        <v>21.268299999999915</v>
      </c>
    </row>
    <row r="654" spans="2:12">
      <c r="B654" s="1">
        <v>49292</v>
      </c>
      <c r="C654" t="s">
        <v>24</v>
      </c>
      <c r="D654">
        <v>15.8</v>
      </c>
      <c r="E654">
        <v>50.3</v>
      </c>
      <c r="F654">
        <f t="shared" si="686"/>
        <v>7.9474</v>
      </c>
      <c r="G654">
        <f t="shared" ref="G654:G717" si="699">D654</f>
        <v>15.8</v>
      </c>
      <c r="H654">
        <f t="shared" si="685"/>
        <v>2034</v>
      </c>
      <c r="I654">
        <v>1</v>
      </c>
      <c r="J654">
        <f t="shared" si="688"/>
        <v>29.215699999999913</v>
      </c>
      <c r="K654">
        <f t="shared" si="689"/>
        <v>0</v>
      </c>
      <c r="L654">
        <f t="shared" si="690"/>
        <v>29.215699999999913</v>
      </c>
    </row>
    <row r="655" spans="2:12">
      <c r="B655" s="1">
        <v>49293</v>
      </c>
      <c r="C655" t="s">
        <v>26</v>
      </c>
      <c r="D655">
        <v>26.2</v>
      </c>
      <c r="E655">
        <v>8.5</v>
      </c>
      <c r="F655">
        <f t="shared" si="686"/>
        <v>2.2269999999999999</v>
      </c>
      <c r="G655">
        <f t="shared" ref="G655:G718" si="700">D654+D655</f>
        <v>42</v>
      </c>
      <c r="H655">
        <f t="shared" si="685"/>
        <v>2034</v>
      </c>
      <c r="I655">
        <v>1</v>
      </c>
      <c r="J655">
        <f t="shared" si="688"/>
        <v>31.442699999999913</v>
      </c>
      <c r="K655">
        <f t="shared" si="689"/>
        <v>0</v>
      </c>
      <c r="L655">
        <f t="shared" si="690"/>
        <v>31.442699999999913</v>
      </c>
    </row>
    <row r="656" spans="2:12">
      <c r="B656" s="1">
        <v>49294</v>
      </c>
      <c r="C656" t="s">
        <v>24</v>
      </c>
      <c r="D656">
        <v>23.1</v>
      </c>
      <c r="E656">
        <v>0</v>
      </c>
      <c r="F656">
        <f t="shared" si="686"/>
        <v>0</v>
      </c>
      <c r="G656">
        <f t="shared" ref="G656" si="701">D654+D655+D656</f>
        <v>65.099999999999994</v>
      </c>
      <c r="H656">
        <f t="shared" si="685"/>
        <v>2034</v>
      </c>
      <c r="I656">
        <v>1</v>
      </c>
      <c r="J656">
        <f t="shared" si="688"/>
        <v>31.442699999999913</v>
      </c>
      <c r="K656">
        <f t="shared" si="689"/>
        <v>0</v>
      </c>
      <c r="L656">
        <f t="shared" si="690"/>
        <v>31.442699999999913</v>
      </c>
    </row>
    <row r="657" spans="2:12">
      <c r="B657" s="1">
        <v>49295</v>
      </c>
      <c r="C657" t="s">
        <v>46</v>
      </c>
      <c r="D657">
        <v>10.8</v>
      </c>
      <c r="E657">
        <v>0</v>
      </c>
      <c r="F657">
        <f t="shared" si="686"/>
        <v>0</v>
      </c>
      <c r="G657">
        <f t="shared" ref="G657" si="702">D654+D655+D656+D657</f>
        <v>75.899999999999991</v>
      </c>
      <c r="H657">
        <f t="shared" si="685"/>
        <v>2034</v>
      </c>
      <c r="I657">
        <v>1</v>
      </c>
      <c r="J657">
        <f t="shared" si="688"/>
        <v>31.442699999999913</v>
      </c>
      <c r="K657">
        <f t="shared" si="689"/>
        <v>0</v>
      </c>
      <c r="L657">
        <f t="shared" si="690"/>
        <v>31.442699999999913</v>
      </c>
    </row>
    <row r="658" spans="2:12">
      <c r="B658" s="1">
        <v>49296</v>
      </c>
      <c r="C658" t="s">
        <v>47</v>
      </c>
      <c r="D658">
        <v>21.2</v>
      </c>
      <c r="E658">
        <v>16.100000000000001</v>
      </c>
      <c r="F658">
        <f t="shared" si="686"/>
        <v>3.4131999999999998</v>
      </c>
      <c r="G658">
        <f t="shared" ref="G658" si="703">D654+D655+D656+D657+D658</f>
        <v>97.1</v>
      </c>
      <c r="H658">
        <f t="shared" si="685"/>
        <v>2034</v>
      </c>
      <c r="I658">
        <v>1</v>
      </c>
      <c r="J658">
        <f t="shared" si="688"/>
        <v>34.855899999999913</v>
      </c>
      <c r="K658">
        <f t="shared" si="689"/>
        <v>0</v>
      </c>
      <c r="L658">
        <f t="shared" si="690"/>
        <v>34.855899999999913</v>
      </c>
    </row>
    <row r="659" spans="2:12">
      <c r="B659" s="1">
        <v>49297</v>
      </c>
      <c r="C659" t="s">
        <v>18</v>
      </c>
      <c r="D659">
        <v>26.3</v>
      </c>
      <c r="E659">
        <v>21.1</v>
      </c>
      <c r="F659">
        <f t="shared" si="686"/>
        <v>5.5493000000000006</v>
      </c>
      <c r="G659">
        <f t="shared" ref="G659" si="704">D654+D655+D656+D657+D658+D659</f>
        <v>123.39999999999999</v>
      </c>
      <c r="H659">
        <f t="shared" si="685"/>
        <v>2034</v>
      </c>
      <c r="I659">
        <v>1</v>
      </c>
      <c r="J659">
        <f t="shared" si="688"/>
        <v>40.405199999999915</v>
      </c>
      <c r="K659">
        <f t="shared" si="689"/>
        <v>0</v>
      </c>
      <c r="L659">
        <f t="shared" si="690"/>
        <v>40.405199999999915</v>
      </c>
    </row>
    <row r="660" spans="2:12">
      <c r="B660" s="1">
        <v>49298</v>
      </c>
      <c r="C660" t="s">
        <v>18</v>
      </c>
      <c r="D660">
        <v>22.8</v>
      </c>
      <c r="E660">
        <v>22.7</v>
      </c>
      <c r="F660">
        <f t="shared" si="686"/>
        <v>5.1755999999999993</v>
      </c>
      <c r="G660">
        <f t="shared" ref="G660" si="705">D654+D655+D656+D657+D658+D659+D660</f>
        <v>146.19999999999999</v>
      </c>
      <c r="H660">
        <f t="shared" si="685"/>
        <v>2034</v>
      </c>
      <c r="I660">
        <v>1</v>
      </c>
      <c r="J660">
        <f t="shared" si="688"/>
        <v>45.580799999999911</v>
      </c>
      <c r="K660">
        <f t="shared" si="689"/>
        <v>0</v>
      </c>
      <c r="L660">
        <f t="shared" si="690"/>
        <v>45.580799999999911</v>
      </c>
    </row>
    <row r="661" spans="2:12">
      <c r="B661" s="1">
        <v>49299</v>
      </c>
      <c r="C661" t="s">
        <v>47</v>
      </c>
      <c r="D661">
        <v>24</v>
      </c>
      <c r="E661">
        <v>11.5</v>
      </c>
      <c r="F661">
        <f t="shared" si="686"/>
        <v>2.76</v>
      </c>
      <c r="G661">
        <f t="shared" ref="G661:G724" si="706">D661</f>
        <v>24</v>
      </c>
      <c r="H661">
        <f t="shared" si="685"/>
        <v>2034</v>
      </c>
      <c r="I661">
        <v>1</v>
      </c>
      <c r="J661">
        <f t="shared" si="688"/>
        <v>48.340799999999909</v>
      </c>
      <c r="K661">
        <f t="shared" si="689"/>
        <v>0</v>
      </c>
      <c r="L661">
        <f t="shared" si="690"/>
        <v>48.340799999999909</v>
      </c>
    </row>
    <row r="662" spans="2:12">
      <c r="B662" s="1">
        <v>49300</v>
      </c>
      <c r="C662" t="s">
        <v>31</v>
      </c>
      <c r="D662">
        <v>16.8</v>
      </c>
      <c r="E662">
        <v>2</v>
      </c>
      <c r="F662">
        <f t="shared" si="686"/>
        <v>0.33600000000000002</v>
      </c>
      <c r="G662">
        <f t="shared" ref="G662:G725" si="707">D661+D662</f>
        <v>40.799999999999997</v>
      </c>
      <c r="H662">
        <f t="shared" si="685"/>
        <v>2034</v>
      </c>
      <c r="I662">
        <v>1</v>
      </c>
      <c r="J662">
        <f t="shared" si="688"/>
        <v>48.676799999999908</v>
      </c>
      <c r="K662">
        <f t="shared" si="689"/>
        <v>0</v>
      </c>
      <c r="L662">
        <f t="shared" si="690"/>
        <v>48.676799999999908</v>
      </c>
    </row>
    <row r="663" spans="2:12">
      <c r="B663" s="1">
        <v>49301</v>
      </c>
      <c r="C663" t="s">
        <v>27</v>
      </c>
      <c r="D663">
        <v>12.5</v>
      </c>
      <c r="E663">
        <v>4.7</v>
      </c>
      <c r="F663">
        <f t="shared" si="686"/>
        <v>0.58750000000000002</v>
      </c>
      <c r="G663">
        <f t="shared" ref="G663" si="708">D661+D662+D663</f>
        <v>53.3</v>
      </c>
      <c r="H663">
        <f t="shared" si="685"/>
        <v>2034</v>
      </c>
      <c r="I663">
        <v>1</v>
      </c>
      <c r="J663">
        <f t="shared" si="688"/>
        <v>49.264299999999906</v>
      </c>
      <c r="K663">
        <f t="shared" si="689"/>
        <v>0</v>
      </c>
      <c r="L663">
        <f t="shared" si="690"/>
        <v>49.264299999999906</v>
      </c>
    </row>
    <row r="664" spans="2:12">
      <c r="B664" s="1">
        <v>49302</v>
      </c>
      <c r="C664" t="s">
        <v>24</v>
      </c>
      <c r="D664">
        <v>15</v>
      </c>
      <c r="E664">
        <v>1.7</v>
      </c>
      <c r="F664">
        <f t="shared" si="686"/>
        <v>0.255</v>
      </c>
      <c r="G664">
        <f t="shared" ref="G664" si="709">D661+D662+D663+D664</f>
        <v>68.3</v>
      </c>
      <c r="H664">
        <f t="shared" si="685"/>
        <v>2034</v>
      </c>
      <c r="I664">
        <v>1</v>
      </c>
      <c r="J664">
        <f t="shared" si="688"/>
        <v>49.519299999999909</v>
      </c>
      <c r="K664">
        <f t="shared" si="689"/>
        <v>0</v>
      </c>
      <c r="L664">
        <f t="shared" si="690"/>
        <v>49.519299999999909</v>
      </c>
    </row>
    <row r="665" spans="2:12">
      <c r="B665" s="1">
        <v>49303</v>
      </c>
      <c r="C665" t="s">
        <v>47</v>
      </c>
      <c r="D665">
        <v>16.2</v>
      </c>
      <c r="E665">
        <v>0</v>
      </c>
      <c r="F665">
        <f t="shared" si="686"/>
        <v>0</v>
      </c>
      <c r="G665">
        <f t="shared" ref="G665" si="710">D661+D662+D663+D664+D665</f>
        <v>84.5</v>
      </c>
      <c r="H665">
        <f t="shared" si="685"/>
        <v>2034</v>
      </c>
      <c r="I665">
        <v>1</v>
      </c>
      <c r="J665">
        <f t="shared" si="688"/>
        <v>49.519299999999909</v>
      </c>
      <c r="K665">
        <f t="shared" si="689"/>
        <v>0</v>
      </c>
      <c r="L665">
        <f t="shared" si="690"/>
        <v>49.519299999999909</v>
      </c>
    </row>
    <row r="666" spans="2:12">
      <c r="B666" s="1">
        <v>49304</v>
      </c>
      <c r="C666" t="s">
        <v>18</v>
      </c>
      <c r="D666">
        <v>29.3</v>
      </c>
      <c r="E666">
        <v>0</v>
      </c>
      <c r="F666">
        <f t="shared" si="686"/>
        <v>0</v>
      </c>
      <c r="G666">
        <f t="shared" ref="G666" si="711">D661+D662+D663+D664+D665+D666</f>
        <v>113.8</v>
      </c>
      <c r="H666">
        <f t="shared" si="685"/>
        <v>2034</v>
      </c>
      <c r="I666">
        <v>1</v>
      </c>
      <c r="J666">
        <f t="shared" si="688"/>
        <v>49.519299999999909</v>
      </c>
      <c r="K666">
        <f t="shared" si="689"/>
        <v>0</v>
      </c>
      <c r="L666">
        <f t="shared" si="690"/>
        <v>49.519299999999909</v>
      </c>
    </row>
    <row r="667" spans="2:12">
      <c r="B667" s="1">
        <v>49305</v>
      </c>
      <c r="C667" t="s">
        <v>45</v>
      </c>
      <c r="D667">
        <v>26.4</v>
      </c>
      <c r="E667">
        <v>0.2</v>
      </c>
      <c r="F667">
        <f t="shared" si="686"/>
        <v>0</v>
      </c>
      <c r="G667">
        <f t="shared" ref="G667" si="712">D661+D662+D663+D664+D665+D666+D667</f>
        <v>140.19999999999999</v>
      </c>
      <c r="H667">
        <f t="shared" si="685"/>
        <v>2034</v>
      </c>
      <c r="I667">
        <v>1</v>
      </c>
      <c r="J667">
        <f t="shared" si="688"/>
        <v>49.519299999999909</v>
      </c>
      <c r="K667">
        <f t="shared" si="689"/>
        <v>0</v>
      </c>
      <c r="L667">
        <f t="shared" si="690"/>
        <v>49.519299999999909</v>
      </c>
    </row>
    <row r="668" spans="2:12">
      <c r="B668" s="1">
        <v>49306</v>
      </c>
      <c r="C668" t="s">
        <v>47</v>
      </c>
      <c r="D668">
        <v>23</v>
      </c>
      <c r="E668">
        <v>0</v>
      </c>
      <c r="F668">
        <f t="shared" si="686"/>
        <v>0</v>
      </c>
      <c r="G668">
        <f t="shared" ref="G668:G731" si="713">D668</f>
        <v>23</v>
      </c>
      <c r="H668">
        <f t="shared" si="685"/>
        <v>2034</v>
      </c>
      <c r="I668">
        <v>1</v>
      </c>
      <c r="J668">
        <f t="shared" si="688"/>
        <v>49.519299999999909</v>
      </c>
      <c r="K668">
        <f t="shared" si="689"/>
        <v>0</v>
      </c>
      <c r="L668">
        <f t="shared" si="690"/>
        <v>49.519299999999909</v>
      </c>
    </row>
    <row r="669" spans="2:12">
      <c r="B669" s="1">
        <v>49307</v>
      </c>
      <c r="C669" t="s">
        <v>25</v>
      </c>
      <c r="D669">
        <v>25.4</v>
      </c>
      <c r="E669">
        <v>1.2</v>
      </c>
      <c r="F669">
        <f t="shared" si="686"/>
        <v>0.30479999999999996</v>
      </c>
      <c r="G669">
        <f t="shared" ref="G669:G732" si="714">D668+D669</f>
        <v>48.4</v>
      </c>
      <c r="H669">
        <f t="shared" si="685"/>
        <v>2034</v>
      </c>
      <c r="I669">
        <v>1</v>
      </c>
      <c r="J669">
        <f t="shared" si="688"/>
        <v>49.824099999999909</v>
      </c>
      <c r="K669">
        <f t="shared" si="689"/>
        <v>0</v>
      </c>
      <c r="L669">
        <f t="shared" si="690"/>
        <v>49.824099999999909</v>
      </c>
    </row>
    <row r="670" spans="2:12">
      <c r="B670" s="1">
        <v>49308</v>
      </c>
      <c r="C670" t="s">
        <v>24</v>
      </c>
      <c r="D670">
        <v>24.5</v>
      </c>
      <c r="E670">
        <v>22.5</v>
      </c>
      <c r="F670">
        <f t="shared" si="686"/>
        <v>5.5125000000000002</v>
      </c>
      <c r="G670">
        <f t="shared" ref="G670" si="715">D668+D669+D670</f>
        <v>72.900000000000006</v>
      </c>
      <c r="H670">
        <f t="shared" si="685"/>
        <v>2034</v>
      </c>
      <c r="I670">
        <v>1</v>
      </c>
      <c r="J670">
        <f t="shared" si="688"/>
        <v>55.336599999999912</v>
      </c>
      <c r="K670">
        <f t="shared" si="689"/>
        <v>0</v>
      </c>
      <c r="L670">
        <f t="shared" si="690"/>
        <v>55.336599999999912</v>
      </c>
    </row>
    <row r="671" spans="2:12">
      <c r="B671" s="1">
        <v>49309</v>
      </c>
      <c r="C671" t="s">
        <v>50</v>
      </c>
      <c r="D671">
        <v>19</v>
      </c>
      <c r="E671">
        <v>18.899999999999999</v>
      </c>
      <c r="F671">
        <f t="shared" si="686"/>
        <v>3.5909999999999997</v>
      </c>
      <c r="G671">
        <f t="shared" ref="G671" si="716">D668+D669+D670+D671</f>
        <v>91.9</v>
      </c>
      <c r="H671">
        <f t="shared" si="685"/>
        <v>2034</v>
      </c>
      <c r="I671">
        <v>1</v>
      </c>
      <c r="J671">
        <f t="shared" si="688"/>
        <v>58.927599999999913</v>
      </c>
      <c r="K671">
        <f t="shared" si="689"/>
        <v>0</v>
      </c>
      <c r="L671">
        <f t="shared" si="690"/>
        <v>58.927599999999913</v>
      </c>
    </row>
    <row r="672" spans="2:12">
      <c r="B672" s="1">
        <v>49310</v>
      </c>
      <c r="C672" t="s">
        <v>50</v>
      </c>
      <c r="D672">
        <v>10</v>
      </c>
      <c r="E672">
        <v>7.6</v>
      </c>
      <c r="F672">
        <f t="shared" si="686"/>
        <v>0.76</v>
      </c>
      <c r="G672">
        <f t="shared" ref="G672" si="717">D668+D669+D670+D671+D672</f>
        <v>101.9</v>
      </c>
      <c r="H672">
        <f t="shared" si="685"/>
        <v>2035</v>
      </c>
      <c r="I672">
        <v>1</v>
      </c>
      <c r="J672">
        <f t="shared" si="688"/>
        <v>59.687599999999911</v>
      </c>
      <c r="K672">
        <f t="shared" si="689"/>
        <v>0</v>
      </c>
      <c r="L672">
        <f t="shared" si="690"/>
        <v>59.687599999999911</v>
      </c>
    </row>
    <row r="673" spans="2:12">
      <c r="B673" s="1">
        <v>49311</v>
      </c>
      <c r="C673" t="s">
        <v>24</v>
      </c>
      <c r="D673">
        <v>10.4</v>
      </c>
      <c r="E673">
        <v>20.6</v>
      </c>
      <c r="F673">
        <f t="shared" si="686"/>
        <v>2.1424000000000003</v>
      </c>
      <c r="G673">
        <f t="shared" ref="G673" si="718">D668+D669+D670+D671+D672+D673</f>
        <v>112.30000000000001</v>
      </c>
      <c r="H673">
        <f t="shared" si="685"/>
        <v>2035</v>
      </c>
      <c r="I673">
        <v>1</v>
      </c>
      <c r="J673">
        <f t="shared" si="688"/>
        <v>61.829999999999913</v>
      </c>
      <c r="K673">
        <f t="shared" si="689"/>
        <v>0</v>
      </c>
      <c r="L673">
        <f t="shared" si="690"/>
        <v>61.829999999999913</v>
      </c>
    </row>
    <row r="674" spans="2:12">
      <c r="B674" s="1">
        <v>49312</v>
      </c>
      <c r="C674" t="s">
        <v>46</v>
      </c>
      <c r="D674">
        <v>10.5</v>
      </c>
      <c r="E674">
        <v>0</v>
      </c>
      <c r="F674">
        <f t="shared" si="686"/>
        <v>0</v>
      </c>
      <c r="G674">
        <f t="shared" ref="G674" si="719">D668+D669+D670+D671+D672+D673+D674</f>
        <v>122.80000000000001</v>
      </c>
      <c r="H674">
        <f t="shared" si="685"/>
        <v>2035</v>
      </c>
      <c r="I674">
        <v>1</v>
      </c>
      <c r="J674">
        <f t="shared" si="688"/>
        <v>61.829999999999913</v>
      </c>
      <c r="K674">
        <f t="shared" si="689"/>
        <v>0</v>
      </c>
      <c r="L674">
        <f t="shared" si="690"/>
        <v>61.829999999999913</v>
      </c>
    </row>
    <row r="675" spans="2:12">
      <c r="B675" s="1">
        <v>49313</v>
      </c>
      <c r="C675" t="s">
        <v>17</v>
      </c>
      <c r="D675">
        <v>12.1</v>
      </c>
      <c r="E675">
        <v>8.8000000000000007</v>
      </c>
      <c r="F675">
        <f t="shared" si="686"/>
        <v>1.0648</v>
      </c>
      <c r="G675">
        <f t="shared" ref="G675:G738" si="720">D675</f>
        <v>12.1</v>
      </c>
      <c r="H675">
        <f t="shared" si="685"/>
        <v>2035</v>
      </c>
      <c r="I675">
        <v>1</v>
      </c>
      <c r="J675">
        <f t="shared" si="688"/>
        <v>62.894799999999911</v>
      </c>
      <c r="K675">
        <f t="shared" si="689"/>
        <v>0</v>
      </c>
      <c r="L675">
        <f t="shared" si="690"/>
        <v>62.894799999999911</v>
      </c>
    </row>
    <row r="676" spans="2:12">
      <c r="B676" s="1">
        <v>49314</v>
      </c>
      <c r="C676" t="s">
        <v>24</v>
      </c>
      <c r="D676">
        <v>20.5</v>
      </c>
      <c r="E676">
        <v>0</v>
      </c>
      <c r="F676">
        <f t="shared" si="686"/>
        <v>0</v>
      </c>
      <c r="G676">
        <f t="shared" ref="G676:G739" si="721">D675+D676</f>
        <v>32.6</v>
      </c>
      <c r="H676">
        <f t="shared" si="685"/>
        <v>2035</v>
      </c>
      <c r="I676">
        <v>1</v>
      </c>
      <c r="J676">
        <f t="shared" si="688"/>
        <v>62.894799999999911</v>
      </c>
      <c r="K676">
        <f t="shared" si="689"/>
        <v>0</v>
      </c>
      <c r="L676">
        <f t="shared" si="690"/>
        <v>62.894799999999911</v>
      </c>
    </row>
    <row r="677" spans="2:12">
      <c r="B677" s="1">
        <v>49315</v>
      </c>
      <c r="C677" t="s">
        <v>27</v>
      </c>
      <c r="D677">
        <v>13.1</v>
      </c>
      <c r="E677">
        <v>0</v>
      </c>
      <c r="F677">
        <f t="shared" si="686"/>
        <v>0</v>
      </c>
      <c r="G677">
        <f t="shared" ref="G677" si="722">D675+D676+D677</f>
        <v>45.7</v>
      </c>
      <c r="H677">
        <f t="shared" si="685"/>
        <v>2035</v>
      </c>
      <c r="I677">
        <v>1</v>
      </c>
      <c r="J677">
        <f t="shared" si="688"/>
        <v>62.894799999999911</v>
      </c>
      <c r="K677">
        <f t="shared" si="689"/>
        <v>0</v>
      </c>
      <c r="L677">
        <f t="shared" si="690"/>
        <v>62.894799999999911</v>
      </c>
    </row>
    <row r="678" spans="2:12">
      <c r="B678" s="1">
        <v>49316</v>
      </c>
      <c r="C678" t="s">
        <v>36</v>
      </c>
      <c r="D678">
        <v>29.8</v>
      </c>
      <c r="E678">
        <v>1.1000000000000001</v>
      </c>
      <c r="F678">
        <f t="shared" si="686"/>
        <v>0.32780000000000004</v>
      </c>
      <c r="G678">
        <f t="shared" ref="G678" si="723">D675+D676+D677+D678</f>
        <v>75.5</v>
      </c>
      <c r="H678">
        <f t="shared" si="685"/>
        <v>2035</v>
      </c>
      <c r="I678">
        <v>1</v>
      </c>
      <c r="J678">
        <f t="shared" si="688"/>
        <v>63.222599999999915</v>
      </c>
      <c r="K678">
        <f t="shared" si="689"/>
        <v>0</v>
      </c>
      <c r="L678">
        <f t="shared" si="690"/>
        <v>63.222599999999915</v>
      </c>
    </row>
    <row r="679" spans="2:12">
      <c r="B679" s="1">
        <v>49317</v>
      </c>
      <c r="C679" t="s">
        <v>32</v>
      </c>
      <c r="D679">
        <v>17.100000000000001</v>
      </c>
      <c r="E679">
        <v>5.5</v>
      </c>
      <c r="F679">
        <f t="shared" si="686"/>
        <v>0.94050000000000011</v>
      </c>
      <c r="G679">
        <f t="shared" ref="G679" si="724">D675+D676+D677+D678+D679</f>
        <v>92.6</v>
      </c>
      <c r="H679">
        <f t="shared" si="685"/>
        <v>2035</v>
      </c>
      <c r="I679">
        <v>1</v>
      </c>
      <c r="J679">
        <f t="shared" si="688"/>
        <v>64.163099999999915</v>
      </c>
      <c r="K679">
        <f t="shared" si="689"/>
        <v>0</v>
      </c>
      <c r="L679">
        <f t="shared" si="690"/>
        <v>64.163099999999915</v>
      </c>
    </row>
    <row r="680" spans="2:12">
      <c r="B680" s="1">
        <v>49318</v>
      </c>
      <c r="C680" t="s">
        <v>31</v>
      </c>
      <c r="D680">
        <v>29.1</v>
      </c>
      <c r="E680">
        <v>0.4</v>
      </c>
      <c r="F680">
        <f t="shared" si="686"/>
        <v>0</v>
      </c>
      <c r="G680">
        <f t="shared" ref="G680" si="725">D675+D676+D677+D678+D679+D680</f>
        <v>121.69999999999999</v>
      </c>
      <c r="H680">
        <f t="shared" si="685"/>
        <v>2035</v>
      </c>
      <c r="I680">
        <v>1</v>
      </c>
      <c r="J680">
        <f t="shared" si="688"/>
        <v>64.163099999999915</v>
      </c>
      <c r="K680">
        <f t="shared" si="689"/>
        <v>0</v>
      </c>
      <c r="L680">
        <f t="shared" si="690"/>
        <v>64.163099999999915</v>
      </c>
    </row>
    <row r="681" spans="2:12">
      <c r="B681" s="1">
        <v>49319</v>
      </c>
      <c r="C681" t="s">
        <v>47</v>
      </c>
      <c r="D681">
        <v>10.9</v>
      </c>
      <c r="E681">
        <v>0</v>
      </c>
      <c r="F681">
        <f t="shared" si="686"/>
        <v>0</v>
      </c>
      <c r="G681">
        <f t="shared" ref="G681" si="726">D675+D676+D677+D678+D679+D680+D681</f>
        <v>132.6</v>
      </c>
      <c r="H681">
        <f t="shared" si="685"/>
        <v>2035</v>
      </c>
      <c r="I681">
        <v>1</v>
      </c>
      <c r="J681">
        <f t="shared" si="688"/>
        <v>64.163099999999915</v>
      </c>
      <c r="K681">
        <f t="shared" si="689"/>
        <v>0</v>
      </c>
      <c r="L681">
        <f t="shared" si="690"/>
        <v>64.163099999999915</v>
      </c>
    </row>
    <row r="682" spans="2:12">
      <c r="B682" s="1">
        <v>49320</v>
      </c>
      <c r="C682" t="s">
        <v>45</v>
      </c>
      <c r="D682">
        <v>27.4</v>
      </c>
      <c r="E682">
        <v>0.3</v>
      </c>
      <c r="F682">
        <f t="shared" si="686"/>
        <v>0</v>
      </c>
      <c r="G682">
        <f t="shared" ref="G682:G745" si="727">D682</f>
        <v>27.4</v>
      </c>
      <c r="H682">
        <f t="shared" si="685"/>
        <v>2035</v>
      </c>
      <c r="I682">
        <v>1</v>
      </c>
      <c r="J682">
        <f t="shared" si="688"/>
        <v>64.163099999999915</v>
      </c>
      <c r="K682">
        <f t="shared" si="689"/>
        <v>0</v>
      </c>
      <c r="L682">
        <f t="shared" si="690"/>
        <v>64.163099999999915</v>
      </c>
    </row>
    <row r="683" spans="2:12">
      <c r="B683" s="1">
        <v>49321</v>
      </c>
      <c r="C683" t="s">
        <v>50</v>
      </c>
      <c r="D683">
        <v>16.3</v>
      </c>
      <c r="E683">
        <v>9.8000000000000007</v>
      </c>
      <c r="F683">
        <f t="shared" si="686"/>
        <v>1.5974000000000002</v>
      </c>
      <c r="G683">
        <f t="shared" ref="G683:G746" si="728">D682+D683</f>
        <v>43.7</v>
      </c>
      <c r="H683">
        <f t="shared" si="685"/>
        <v>2035</v>
      </c>
      <c r="I683">
        <v>1</v>
      </c>
      <c r="J683">
        <f t="shared" si="688"/>
        <v>65.760499999999908</v>
      </c>
      <c r="K683">
        <f t="shared" si="689"/>
        <v>0</v>
      </c>
      <c r="L683">
        <f t="shared" si="690"/>
        <v>65.760499999999908</v>
      </c>
    </row>
    <row r="684" spans="2:12">
      <c r="B684" s="1">
        <v>49322</v>
      </c>
      <c r="C684" t="s">
        <v>18</v>
      </c>
      <c r="D684">
        <v>14.7</v>
      </c>
      <c r="E684">
        <v>0</v>
      </c>
      <c r="F684">
        <f t="shared" si="686"/>
        <v>0</v>
      </c>
      <c r="G684">
        <f t="shared" ref="G684" si="729">D682+D683+D684</f>
        <v>58.400000000000006</v>
      </c>
      <c r="H684">
        <f t="shared" si="685"/>
        <v>2035</v>
      </c>
      <c r="I684">
        <v>1</v>
      </c>
      <c r="J684">
        <f t="shared" si="688"/>
        <v>65.760499999999908</v>
      </c>
      <c r="K684">
        <f t="shared" si="689"/>
        <v>0</v>
      </c>
      <c r="L684">
        <f t="shared" si="690"/>
        <v>65.760499999999908</v>
      </c>
    </row>
    <row r="685" spans="2:12">
      <c r="B685" s="1">
        <v>49323</v>
      </c>
      <c r="C685" t="s">
        <v>26</v>
      </c>
      <c r="D685">
        <v>17.2</v>
      </c>
      <c r="E685">
        <v>2</v>
      </c>
      <c r="F685">
        <f t="shared" si="686"/>
        <v>0.34399999999999997</v>
      </c>
      <c r="G685">
        <f t="shared" ref="G685" si="730">D682+D683+D684+D685</f>
        <v>75.600000000000009</v>
      </c>
      <c r="H685">
        <f t="shared" si="685"/>
        <v>2035</v>
      </c>
      <c r="I685">
        <v>1</v>
      </c>
      <c r="J685">
        <f t="shared" si="688"/>
        <v>66.104499999999902</v>
      </c>
      <c r="K685">
        <f t="shared" si="689"/>
        <v>0</v>
      </c>
      <c r="L685">
        <f t="shared" si="690"/>
        <v>66.104499999999902</v>
      </c>
    </row>
    <row r="686" spans="2:12">
      <c r="B686" s="1">
        <v>49324</v>
      </c>
      <c r="C686" t="s">
        <v>32</v>
      </c>
      <c r="D686">
        <v>24.2</v>
      </c>
      <c r="E686">
        <v>9.9</v>
      </c>
      <c r="F686">
        <f t="shared" si="686"/>
        <v>2.3957999999999999</v>
      </c>
      <c r="G686">
        <f t="shared" ref="G686" si="731">D682+D683+D684+D685+D686</f>
        <v>99.800000000000011</v>
      </c>
      <c r="H686">
        <f t="shared" si="685"/>
        <v>2035</v>
      </c>
      <c r="I686">
        <v>1</v>
      </c>
      <c r="J686">
        <f t="shared" si="688"/>
        <v>68.500299999999896</v>
      </c>
      <c r="K686">
        <f t="shared" si="689"/>
        <v>0</v>
      </c>
      <c r="L686">
        <f t="shared" si="690"/>
        <v>68.500299999999896</v>
      </c>
    </row>
    <row r="687" spans="2:12">
      <c r="B687" s="1">
        <v>49325</v>
      </c>
      <c r="C687" t="s">
        <v>27</v>
      </c>
      <c r="D687">
        <v>22.3</v>
      </c>
      <c r="E687">
        <v>0</v>
      </c>
      <c r="F687">
        <f t="shared" si="686"/>
        <v>0</v>
      </c>
      <c r="G687">
        <f t="shared" ref="G687" si="732">D682+D683+D684+D685+D686+D687</f>
        <v>122.10000000000001</v>
      </c>
      <c r="H687">
        <f t="shared" si="685"/>
        <v>2035</v>
      </c>
      <c r="I687">
        <v>1</v>
      </c>
      <c r="J687">
        <f t="shared" si="688"/>
        <v>68.500299999999896</v>
      </c>
      <c r="K687">
        <f t="shared" si="689"/>
        <v>0</v>
      </c>
      <c r="L687">
        <f t="shared" si="690"/>
        <v>68.500299999999896</v>
      </c>
    </row>
    <row r="688" spans="2:12">
      <c r="B688" s="1">
        <v>49326</v>
      </c>
      <c r="C688" t="s">
        <v>44</v>
      </c>
      <c r="D688">
        <v>26.7</v>
      </c>
      <c r="E688">
        <v>0.6</v>
      </c>
      <c r="F688">
        <f t="shared" si="686"/>
        <v>0</v>
      </c>
      <c r="G688">
        <f t="shared" ref="G688" si="733">D682+D683+D684+D685+D686+D687+D688</f>
        <v>148.80000000000001</v>
      </c>
      <c r="H688">
        <f t="shared" si="685"/>
        <v>2035</v>
      </c>
      <c r="I688">
        <v>1</v>
      </c>
      <c r="J688">
        <f t="shared" si="688"/>
        <v>68.500299999999896</v>
      </c>
      <c r="K688">
        <f t="shared" si="689"/>
        <v>0</v>
      </c>
      <c r="L688">
        <f t="shared" si="690"/>
        <v>68.500299999999896</v>
      </c>
    </row>
    <row r="689" spans="2:12">
      <c r="B689" s="1">
        <v>49327</v>
      </c>
      <c r="C689" t="s">
        <v>26</v>
      </c>
      <c r="D689">
        <v>10.9</v>
      </c>
      <c r="E689">
        <v>3.8</v>
      </c>
      <c r="F689">
        <f t="shared" si="686"/>
        <v>0.41420000000000001</v>
      </c>
      <c r="G689">
        <f t="shared" ref="G689:G752" si="734">D689</f>
        <v>10.9</v>
      </c>
      <c r="H689">
        <f t="shared" si="685"/>
        <v>2035</v>
      </c>
      <c r="I689">
        <v>1</v>
      </c>
      <c r="J689">
        <f t="shared" si="688"/>
        <v>68.91449999999989</v>
      </c>
      <c r="K689">
        <f t="shared" si="689"/>
        <v>0</v>
      </c>
      <c r="L689">
        <f t="shared" si="690"/>
        <v>68.91449999999989</v>
      </c>
    </row>
    <row r="690" spans="2:12">
      <c r="B690" s="1">
        <v>49328</v>
      </c>
      <c r="C690" t="s">
        <v>46</v>
      </c>
      <c r="D690">
        <v>23.7</v>
      </c>
      <c r="E690">
        <v>0</v>
      </c>
      <c r="F690">
        <f t="shared" si="686"/>
        <v>0</v>
      </c>
      <c r="G690">
        <f t="shared" ref="G690:G753" si="735">D689+D690</f>
        <v>34.6</v>
      </c>
      <c r="H690">
        <f t="shared" si="685"/>
        <v>2035</v>
      </c>
      <c r="I690">
        <v>1</v>
      </c>
      <c r="J690">
        <f t="shared" si="688"/>
        <v>68.91449999999989</v>
      </c>
      <c r="K690">
        <f t="shared" si="689"/>
        <v>0</v>
      </c>
      <c r="L690">
        <f t="shared" si="690"/>
        <v>68.91449999999989</v>
      </c>
    </row>
    <row r="691" spans="2:12">
      <c r="B691" s="1">
        <v>49329</v>
      </c>
      <c r="C691" t="s">
        <v>24</v>
      </c>
      <c r="D691">
        <v>16</v>
      </c>
      <c r="E691">
        <v>22.3</v>
      </c>
      <c r="F691">
        <f t="shared" si="686"/>
        <v>3.5680000000000001</v>
      </c>
      <c r="G691">
        <f t="shared" ref="G691" si="736">D689+D690+D691</f>
        <v>50.6</v>
      </c>
      <c r="H691">
        <f t="shared" si="685"/>
        <v>2035</v>
      </c>
      <c r="I691">
        <v>1</v>
      </c>
      <c r="J691">
        <f t="shared" si="688"/>
        <v>72.482499999999888</v>
      </c>
      <c r="K691">
        <f t="shared" si="689"/>
        <v>0</v>
      </c>
      <c r="L691">
        <f t="shared" si="690"/>
        <v>72.482499999999888</v>
      </c>
    </row>
    <row r="692" spans="2:12">
      <c r="B692" s="1">
        <v>49330</v>
      </c>
      <c r="C692" t="s">
        <v>24</v>
      </c>
      <c r="D692">
        <v>19.399999999999999</v>
      </c>
      <c r="E692">
        <v>41.6</v>
      </c>
      <c r="F692">
        <f t="shared" si="686"/>
        <v>8.0703999999999994</v>
      </c>
      <c r="G692">
        <f t="shared" ref="G692" si="737">D689+D690+D691+D692</f>
        <v>70</v>
      </c>
      <c r="H692">
        <f t="shared" si="685"/>
        <v>2035</v>
      </c>
      <c r="I692">
        <v>1</v>
      </c>
      <c r="J692">
        <f t="shared" si="688"/>
        <v>80.55289999999988</v>
      </c>
      <c r="K692">
        <f t="shared" si="689"/>
        <v>0</v>
      </c>
      <c r="L692">
        <f t="shared" si="690"/>
        <v>80.55289999999988</v>
      </c>
    </row>
    <row r="693" spans="2:12">
      <c r="B693" s="1">
        <v>49331</v>
      </c>
      <c r="C693" t="s">
        <v>25</v>
      </c>
      <c r="D693">
        <v>26.7</v>
      </c>
      <c r="E693">
        <v>10</v>
      </c>
      <c r="F693">
        <f t="shared" si="686"/>
        <v>2.67</v>
      </c>
      <c r="G693">
        <f t="shared" ref="G693" si="738">D689+D690+D691+D692+D693</f>
        <v>96.7</v>
      </c>
      <c r="H693">
        <f t="shared" si="685"/>
        <v>2035</v>
      </c>
      <c r="I693">
        <v>1</v>
      </c>
      <c r="J693">
        <f t="shared" si="688"/>
        <v>83.222899999999882</v>
      </c>
      <c r="K693">
        <f t="shared" si="689"/>
        <v>0</v>
      </c>
      <c r="L693">
        <f t="shared" si="690"/>
        <v>83.222899999999882</v>
      </c>
    </row>
    <row r="694" spans="2:12">
      <c r="B694" s="1">
        <v>49332</v>
      </c>
      <c r="C694" t="s">
        <v>50</v>
      </c>
      <c r="D694">
        <v>20.8</v>
      </c>
      <c r="E694">
        <v>0</v>
      </c>
      <c r="F694">
        <f t="shared" si="686"/>
        <v>0</v>
      </c>
      <c r="G694">
        <f t="shared" ref="G694" si="739">D689+D690+D691+D692+D693+D694</f>
        <v>117.5</v>
      </c>
      <c r="H694">
        <f t="shared" si="685"/>
        <v>2035</v>
      </c>
      <c r="I694">
        <v>1</v>
      </c>
      <c r="J694">
        <f t="shared" si="688"/>
        <v>83.222899999999882</v>
      </c>
      <c r="K694">
        <f t="shared" si="689"/>
        <v>0</v>
      </c>
      <c r="L694">
        <f t="shared" si="690"/>
        <v>83.222899999999882</v>
      </c>
    </row>
    <row r="695" spans="2:12">
      <c r="B695" s="1">
        <v>49333</v>
      </c>
      <c r="C695" t="s">
        <v>24</v>
      </c>
      <c r="D695">
        <v>25.6</v>
      </c>
      <c r="E695">
        <v>0</v>
      </c>
      <c r="F695">
        <f t="shared" si="686"/>
        <v>0</v>
      </c>
      <c r="G695">
        <f t="shared" ref="G695" si="740">D689+D690+D691+D692+D693+D694+D695</f>
        <v>143.1</v>
      </c>
      <c r="H695">
        <f t="shared" si="685"/>
        <v>2035</v>
      </c>
      <c r="I695">
        <v>1</v>
      </c>
      <c r="J695">
        <f t="shared" si="688"/>
        <v>83.222899999999882</v>
      </c>
      <c r="K695">
        <f t="shared" si="689"/>
        <v>0</v>
      </c>
      <c r="L695">
        <f t="shared" si="690"/>
        <v>83.222899999999882</v>
      </c>
    </row>
    <row r="696" spans="2:12">
      <c r="B696" s="1">
        <v>49334</v>
      </c>
      <c r="C696" t="s">
        <v>47</v>
      </c>
      <c r="D696">
        <v>18.3</v>
      </c>
      <c r="E696">
        <v>0.5</v>
      </c>
      <c r="F696">
        <f t="shared" si="686"/>
        <v>0</v>
      </c>
      <c r="G696">
        <f t="shared" ref="G696:G759" si="741">D696</f>
        <v>18.3</v>
      </c>
      <c r="H696">
        <f t="shared" si="685"/>
        <v>2035</v>
      </c>
      <c r="I696">
        <v>1</v>
      </c>
      <c r="J696">
        <f t="shared" si="688"/>
        <v>83.222899999999882</v>
      </c>
      <c r="K696">
        <f t="shared" si="689"/>
        <v>0</v>
      </c>
      <c r="L696">
        <f t="shared" si="690"/>
        <v>83.222899999999882</v>
      </c>
    </row>
    <row r="697" spans="2:12">
      <c r="B697" s="1">
        <v>49335</v>
      </c>
      <c r="C697" t="s">
        <v>21</v>
      </c>
      <c r="D697">
        <v>27.4</v>
      </c>
      <c r="E697">
        <v>4.2</v>
      </c>
      <c r="F697">
        <f t="shared" si="686"/>
        <v>1.1508</v>
      </c>
      <c r="G697">
        <f t="shared" ref="G697:G760" si="742">D696+D697</f>
        <v>45.7</v>
      </c>
      <c r="H697">
        <f t="shared" si="685"/>
        <v>2035</v>
      </c>
      <c r="I697">
        <v>1</v>
      </c>
      <c r="J697">
        <f t="shared" si="688"/>
        <v>84.373699999999886</v>
      </c>
      <c r="K697">
        <f t="shared" si="689"/>
        <v>0</v>
      </c>
      <c r="L697">
        <f t="shared" si="690"/>
        <v>84.373699999999886</v>
      </c>
    </row>
    <row r="698" spans="2:12">
      <c r="B698" s="1">
        <v>49336</v>
      </c>
      <c r="C698" t="s">
        <v>35</v>
      </c>
      <c r="D698">
        <v>16.100000000000001</v>
      </c>
      <c r="E698">
        <v>3.4</v>
      </c>
      <c r="F698">
        <f t="shared" si="686"/>
        <v>0.5474</v>
      </c>
      <c r="G698">
        <f t="shared" ref="G698" si="743">D696+D697+D698</f>
        <v>61.800000000000004</v>
      </c>
      <c r="H698">
        <f t="shared" si="685"/>
        <v>2035</v>
      </c>
      <c r="I698">
        <v>1</v>
      </c>
      <c r="J698">
        <f t="shared" si="688"/>
        <v>84.921099999999882</v>
      </c>
      <c r="K698">
        <f t="shared" si="689"/>
        <v>0</v>
      </c>
      <c r="L698">
        <f t="shared" si="690"/>
        <v>84.921099999999882</v>
      </c>
    </row>
    <row r="699" spans="2:12">
      <c r="B699" s="1">
        <v>49337</v>
      </c>
      <c r="C699" t="s">
        <v>31</v>
      </c>
      <c r="D699">
        <v>27.5</v>
      </c>
      <c r="E699">
        <v>8</v>
      </c>
      <c r="F699">
        <f t="shared" si="686"/>
        <v>2.2000000000000002</v>
      </c>
      <c r="G699">
        <f t="shared" ref="G699" si="744">D696+D697+D698+D699</f>
        <v>89.300000000000011</v>
      </c>
      <c r="H699">
        <f t="shared" si="685"/>
        <v>2035</v>
      </c>
      <c r="I699">
        <v>1</v>
      </c>
      <c r="J699">
        <f t="shared" si="688"/>
        <v>87.121099999999885</v>
      </c>
      <c r="K699">
        <f t="shared" si="689"/>
        <v>0</v>
      </c>
      <c r="L699">
        <f t="shared" si="690"/>
        <v>87.121099999999885</v>
      </c>
    </row>
    <row r="700" spans="2:12">
      <c r="B700" s="1">
        <v>49338</v>
      </c>
      <c r="C700" t="s">
        <v>21</v>
      </c>
      <c r="D700">
        <v>28.4</v>
      </c>
      <c r="E700">
        <v>10.199999999999999</v>
      </c>
      <c r="F700">
        <f t="shared" si="686"/>
        <v>2.8967999999999994</v>
      </c>
      <c r="G700">
        <f t="shared" ref="G700" si="745">D696+D697+D698+D699+D700</f>
        <v>117.70000000000002</v>
      </c>
      <c r="H700">
        <f t="shared" si="685"/>
        <v>2035</v>
      </c>
      <c r="I700">
        <v>1</v>
      </c>
      <c r="J700">
        <f t="shared" si="688"/>
        <v>90.017899999999884</v>
      </c>
      <c r="K700">
        <f t="shared" si="689"/>
        <v>0</v>
      </c>
      <c r="L700">
        <f t="shared" si="690"/>
        <v>90.017899999999884</v>
      </c>
    </row>
    <row r="701" spans="2:12">
      <c r="B701" s="1">
        <v>49339</v>
      </c>
      <c r="C701" t="s">
        <v>27</v>
      </c>
      <c r="D701">
        <v>16.100000000000001</v>
      </c>
      <c r="E701">
        <v>4</v>
      </c>
      <c r="F701">
        <f t="shared" si="686"/>
        <v>0.64400000000000002</v>
      </c>
      <c r="G701">
        <f t="shared" ref="G701" si="746">D696+D697+D698+D699+D700+D701</f>
        <v>133.80000000000001</v>
      </c>
      <c r="H701">
        <f t="shared" si="685"/>
        <v>2035</v>
      </c>
      <c r="I701">
        <v>1</v>
      </c>
      <c r="J701">
        <f t="shared" si="688"/>
        <v>90.661899999999889</v>
      </c>
      <c r="K701">
        <f t="shared" si="689"/>
        <v>0</v>
      </c>
      <c r="L701">
        <f t="shared" si="690"/>
        <v>90.661899999999889</v>
      </c>
    </row>
    <row r="702" spans="2:12">
      <c r="B702" s="1">
        <v>49340</v>
      </c>
      <c r="C702" t="s">
        <v>35</v>
      </c>
      <c r="D702">
        <v>28.4</v>
      </c>
      <c r="E702">
        <v>2.6</v>
      </c>
      <c r="F702">
        <f t="shared" si="686"/>
        <v>0.73840000000000006</v>
      </c>
      <c r="G702">
        <f t="shared" ref="G702" si="747">D696+D697+D698+D699+D700+D701+D702</f>
        <v>162.20000000000002</v>
      </c>
      <c r="H702">
        <f t="shared" si="685"/>
        <v>2035</v>
      </c>
      <c r="I702">
        <v>1</v>
      </c>
      <c r="J702">
        <f t="shared" si="688"/>
        <v>91.400299999999888</v>
      </c>
      <c r="K702">
        <f t="shared" si="689"/>
        <v>0</v>
      </c>
      <c r="L702">
        <f t="shared" si="690"/>
        <v>91.400299999999888</v>
      </c>
    </row>
    <row r="703" spans="2:12">
      <c r="B703" s="1">
        <v>49341</v>
      </c>
      <c r="C703" t="s">
        <v>31</v>
      </c>
      <c r="D703">
        <v>29.3</v>
      </c>
      <c r="E703">
        <v>0</v>
      </c>
      <c r="F703">
        <f t="shared" si="686"/>
        <v>0</v>
      </c>
      <c r="G703">
        <f t="shared" ref="G703:G766" si="748">D703</f>
        <v>29.3</v>
      </c>
      <c r="H703">
        <f t="shared" si="685"/>
        <v>2035</v>
      </c>
      <c r="I703">
        <v>1</v>
      </c>
      <c r="J703">
        <f t="shared" si="688"/>
        <v>91.400299999999888</v>
      </c>
      <c r="K703">
        <f t="shared" si="689"/>
        <v>0</v>
      </c>
      <c r="L703">
        <f t="shared" si="690"/>
        <v>91.400299999999888</v>
      </c>
    </row>
    <row r="704" spans="2:12">
      <c r="B704" s="1">
        <v>49342</v>
      </c>
      <c r="C704" t="s">
        <v>27</v>
      </c>
      <c r="D704">
        <v>19.7</v>
      </c>
      <c r="E704">
        <v>16.2</v>
      </c>
      <c r="F704">
        <f t="shared" si="686"/>
        <v>3.1913999999999998</v>
      </c>
      <c r="G704">
        <f t="shared" ref="G704:G767" si="749">D703+D704</f>
        <v>49</v>
      </c>
      <c r="H704">
        <f t="shared" si="685"/>
        <v>2035</v>
      </c>
      <c r="I704">
        <v>1</v>
      </c>
      <c r="J704">
        <f t="shared" si="688"/>
        <v>94.591699999999889</v>
      </c>
      <c r="K704">
        <f t="shared" si="689"/>
        <v>0</v>
      </c>
      <c r="L704">
        <f t="shared" si="690"/>
        <v>94.591699999999889</v>
      </c>
    </row>
    <row r="705" spans="2:12">
      <c r="B705" s="1">
        <v>49343</v>
      </c>
      <c r="C705" t="s">
        <v>41</v>
      </c>
      <c r="D705">
        <v>11.5</v>
      </c>
      <c r="E705">
        <v>0.3</v>
      </c>
      <c r="F705">
        <f t="shared" si="686"/>
        <v>0</v>
      </c>
      <c r="G705">
        <f t="shared" ref="G705" si="750">D703+D704+D705</f>
        <v>60.5</v>
      </c>
      <c r="H705">
        <f t="shared" si="685"/>
        <v>2035</v>
      </c>
      <c r="I705">
        <v>1</v>
      </c>
      <c r="J705">
        <f t="shared" si="688"/>
        <v>94.591699999999889</v>
      </c>
      <c r="K705">
        <f t="shared" si="689"/>
        <v>0</v>
      </c>
      <c r="L705">
        <f t="shared" si="690"/>
        <v>94.591699999999889</v>
      </c>
    </row>
    <row r="706" spans="2:12">
      <c r="B706" s="1">
        <v>49344</v>
      </c>
      <c r="C706" t="s">
        <v>50</v>
      </c>
      <c r="D706">
        <v>19.5</v>
      </c>
      <c r="E706">
        <v>0</v>
      </c>
      <c r="F706">
        <f t="shared" si="686"/>
        <v>0</v>
      </c>
      <c r="G706">
        <f t="shared" ref="G706" si="751">D703+D704+D705+D706</f>
        <v>80</v>
      </c>
      <c r="H706">
        <f t="shared" si="685"/>
        <v>2035</v>
      </c>
      <c r="I706">
        <v>1</v>
      </c>
      <c r="J706">
        <f t="shared" si="688"/>
        <v>94.591699999999889</v>
      </c>
      <c r="K706">
        <f t="shared" si="689"/>
        <v>0</v>
      </c>
      <c r="L706">
        <f t="shared" si="690"/>
        <v>94.591699999999889</v>
      </c>
    </row>
    <row r="707" spans="2:12">
      <c r="B707" s="1">
        <v>49345</v>
      </c>
      <c r="C707" t="s">
        <v>40</v>
      </c>
      <c r="D707">
        <v>22.7</v>
      </c>
      <c r="E707">
        <v>0.7</v>
      </c>
      <c r="F707">
        <f t="shared" si="686"/>
        <v>0</v>
      </c>
      <c r="G707">
        <f t="shared" ref="G707" si="752">D703+D704+D705+D706+D707</f>
        <v>102.7</v>
      </c>
      <c r="H707">
        <f t="shared" si="685"/>
        <v>2035</v>
      </c>
      <c r="I707">
        <v>1</v>
      </c>
      <c r="J707">
        <f t="shared" si="688"/>
        <v>94.591699999999889</v>
      </c>
      <c r="K707">
        <f t="shared" si="689"/>
        <v>0</v>
      </c>
      <c r="L707">
        <f t="shared" si="690"/>
        <v>94.591699999999889</v>
      </c>
    </row>
    <row r="708" spans="2:12">
      <c r="B708" s="1">
        <v>49346</v>
      </c>
      <c r="C708" t="s">
        <v>18</v>
      </c>
      <c r="D708">
        <v>19.7</v>
      </c>
      <c r="E708">
        <v>7.3</v>
      </c>
      <c r="F708">
        <f t="shared" si="686"/>
        <v>1.4380999999999999</v>
      </c>
      <c r="G708">
        <f t="shared" ref="G708" si="753">D703+D704+D705+D706+D707+D708</f>
        <v>122.4</v>
      </c>
      <c r="H708">
        <f t="shared" ref="H708:H771" si="754">YEAR(B708)</f>
        <v>2035</v>
      </c>
      <c r="I708">
        <v>1</v>
      </c>
      <c r="J708">
        <f t="shared" si="688"/>
        <v>96.029799999999895</v>
      </c>
      <c r="K708">
        <f t="shared" si="689"/>
        <v>0</v>
      </c>
      <c r="L708">
        <f t="shared" si="690"/>
        <v>96.029799999999895</v>
      </c>
    </row>
    <row r="709" spans="2:12">
      <c r="B709" s="1">
        <v>49347</v>
      </c>
      <c r="C709" t="s">
        <v>36</v>
      </c>
      <c r="D709">
        <v>19.399999999999999</v>
      </c>
      <c r="E709">
        <v>0.4</v>
      </c>
      <c r="F709">
        <f t="shared" ref="F709:F772" si="755">IF(E709&gt;=1,D709*E709/100,0)</f>
        <v>0</v>
      </c>
      <c r="G709">
        <f t="shared" ref="G709" si="756">D703+D704+D705+D706+D707+D708+D709</f>
        <v>141.80000000000001</v>
      </c>
      <c r="H709">
        <f t="shared" si="754"/>
        <v>2035</v>
      </c>
      <c r="I709">
        <v>1</v>
      </c>
      <c r="J709">
        <f t="shared" ref="J709:J772" si="757">L708+F709</f>
        <v>96.029799999999895</v>
      </c>
      <c r="K709">
        <f t="shared" ref="K709:K772" si="758">IF(J709&gt;=100,1,0)</f>
        <v>0</v>
      </c>
      <c r="L709">
        <f t="shared" ref="L709:L772" si="759">IF(K709=1,J709-100,J709)</f>
        <v>96.029799999999895</v>
      </c>
    </row>
    <row r="710" spans="2:12">
      <c r="B710" s="1">
        <v>49348</v>
      </c>
      <c r="C710" t="s">
        <v>35</v>
      </c>
      <c r="D710">
        <v>13.8</v>
      </c>
      <c r="E710">
        <v>1.1000000000000001</v>
      </c>
      <c r="F710">
        <f t="shared" si="755"/>
        <v>0.15180000000000002</v>
      </c>
      <c r="G710">
        <f t="shared" ref="G710:G773" si="760">D710</f>
        <v>13.8</v>
      </c>
      <c r="H710">
        <f t="shared" si="754"/>
        <v>2035</v>
      </c>
      <c r="I710">
        <v>1</v>
      </c>
      <c r="J710">
        <f t="shared" si="757"/>
        <v>96.181599999999889</v>
      </c>
      <c r="K710">
        <f t="shared" si="758"/>
        <v>0</v>
      </c>
      <c r="L710">
        <f t="shared" si="759"/>
        <v>96.181599999999889</v>
      </c>
    </row>
    <row r="711" spans="2:12">
      <c r="B711" s="1">
        <v>49349</v>
      </c>
      <c r="C711" t="s">
        <v>27</v>
      </c>
      <c r="D711">
        <v>19.600000000000001</v>
      </c>
      <c r="E711">
        <v>2.2999999999999998</v>
      </c>
      <c r="F711">
        <f t="shared" si="755"/>
        <v>0.45079999999999998</v>
      </c>
      <c r="G711">
        <f t="shared" ref="G711:G774" si="761">D710+D711</f>
        <v>33.400000000000006</v>
      </c>
      <c r="H711">
        <f t="shared" si="754"/>
        <v>2035</v>
      </c>
      <c r="I711">
        <v>1</v>
      </c>
      <c r="J711">
        <f t="shared" si="757"/>
        <v>96.63239999999989</v>
      </c>
      <c r="K711">
        <f t="shared" si="758"/>
        <v>0</v>
      </c>
      <c r="L711">
        <f t="shared" si="759"/>
        <v>96.63239999999989</v>
      </c>
    </row>
    <row r="712" spans="2:12">
      <c r="B712" s="1">
        <v>49350</v>
      </c>
      <c r="C712" t="s">
        <v>50</v>
      </c>
      <c r="D712">
        <v>22.6</v>
      </c>
      <c r="E712">
        <v>13.3</v>
      </c>
      <c r="F712">
        <f t="shared" si="755"/>
        <v>3.0058000000000002</v>
      </c>
      <c r="G712">
        <f t="shared" ref="G712" si="762">D710+D711+D712</f>
        <v>56.000000000000007</v>
      </c>
      <c r="H712">
        <f t="shared" si="754"/>
        <v>2035</v>
      </c>
      <c r="I712">
        <v>1</v>
      </c>
      <c r="J712">
        <f t="shared" si="757"/>
        <v>99.638199999999884</v>
      </c>
      <c r="K712">
        <f t="shared" si="758"/>
        <v>0</v>
      </c>
      <c r="L712">
        <f t="shared" si="759"/>
        <v>99.638199999999884</v>
      </c>
    </row>
    <row r="713" spans="2:12">
      <c r="B713" s="1">
        <v>49351</v>
      </c>
      <c r="C713" t="s">
        <v>17</v>
      </c>
      <c r="D713">
        <v>18.2</v>
      </c>
      <c r="E713">
        <v>7.6</v>
      </c>
      <c r="F713">
        <f t="shared" si="755"/>
        <v>1.3832</v>
      </c>
      <c r="G713">
        <f t="shared" ref="G713" si="763">D710+D711+D712+D713</f>
        <v>74.2</v>
      </c>
      <c r="H713">
        <f t="shared" si="754"/>
        <v>2035</v>
      </c>
      <c r="I713">
        <v>1</v>
      </c>
      <c r="J713">
        <f t="shared" si="757"/>
        <v>101.02139999999989</v>
      </c>
      <c r="K713">
        <f t="shared" si="758"/>
        <v>1</v>
      </c>
      <c r="L713">
        <f t="shared" si="759"/>
        <v>1.0213999999998862</v>
      </c>
    </row>
    <row r="714" spans="2:12">
      <c r="B714" s="1">
        <v>49352</v>
      </c>
      <c r="C714" t="s">
        <v>50</v>
      </c>
      <c r="D714">
        <v>27.3</v>
      </c>
      <c r="E714">
        <v>38.4</v>
      </c>
      <c r="F714">
        <f t="shared" si="755"/>
        <v>10.4832</v>
      </c>
      <c r="G714">
        <f t="shared" ref="G714" si="764">D710+D711+D712+D713+D714</f>
        <v>101.5</v>
      </c>
      <c r="H714">
        <f t="shared" si="754"/>
        <v>2035</v>
      </c>
      <c r="I714">
        <v>1</v>
      </c>
      <c r="J714">
        <f t="shared" si="757"/>
        <v>11.504599999999886</v>
      </c>
      <c r="K714">
        <f t="shared" si="758"/>
        <v>0</v>
      </c>
      <c r="L714">
        <f t="shared" si="759"/>
        <v>11.504599999999886</v>
      </c>
    </row>
    <row r="715" spans="2:12">
      <c r="B715" s="1">
        <v>49353</v>
      </c>
      <c r="C715" t="s">
        <v>50</v>
      </c>
      <c r="D715">
        <v>14.7</v>
      </c>
      <c r="E715">
        <v>31.8</v>
      </c>
      <c r="F715">
        <f t="shared" si="755"/>
        <v>4.6745999999999999</v>
      </c>
      <c r="G715">
        <f t="shared" ref="G715" si="765">D710+D711+D712+D713+D714+D715</f>
        <v>116.2</v>
      </c>
      <c r="H715">
        <f t="shared" si="754"/>
        <v>2035</v>
      </c>
      <c r="I715">
        <v>1</v>
      </c>
      <c r="J715">
        <f t="shared" si="757"/>
        <v>16.179199999999888</v>
      </c>
      <c r="K715">
        <f t="shared" si="758"/>
        <v>0</v>
      </c>
      <c r="L715">
        <f t="shared" si="759"/>
        <v>16.179199999999888</v>
      </c>
    </row>
    <row r="716" spans="2:12">
      <c r="B716" s="1">
        <v>49354</v>
      </c>
      <c r="C716" t="s">
        <v>43</v>
      </c>
      <c r="D716">
        <v>20.6</v>
      </c>
      <c r="E716">
        <v>5.9</v>
      </c>
      <c r="F716">
        <f t="shared" si="755"/>
        <v>1.2154000000000003</v>
      </c>
      <c r="G716">
        <f t="shared" ref="G716" si="766">D710+D711+D712+D713+D714+D715+D716</f>
        <v>136.80000000000001</v>
      </c>
      <c r="H716">
        <f t="shared" si="754"/>
        <v>2035</v>
      </c>
      <c r="I716">
        <v>1</v>
      </c>
      <c r="J716">
        <f t="shared" si="757"/>
        <v>17.394599999999887</v>
      </c>
      <c r="K716">
        <f t="shared" si="758"/>
        <v>0</v>
      </c>
      <c r="L716">
        <f t="shared" si="759"/>
        <v>17.394599999999887</v>
      </c>
    </row>
    <row r="717" spans="2:12">
      <c r="B717" s="1">
        <v>49355</v>
      </c>
      <c r="C717" t="s">
        <v>24</v>
      </c>
      <c r="D717">
        <v>12.6</v>
      </c>
      <c r="E717">
        <v>14.4</v>
      </c>
      <c r="F717">
        <f t="shared" si="755"/>
        <v>1.8144</v>
      </c>
      <c r="G717">
        <f t="shared" ref="G717:G780" si="767">D717</f>
        <v>12.6</v>
      </c>
      <c r="H717">
        <f t="shared" si="754"/>
        <v>2035</v>
      </c>
      <c r="I717">
        <v>1</v>
      </c>
      <c r="J717">
        <f t="shared" si="757"/>
        <v>19.208999999999886</v>
      </c>
      <c r="K717">
        <f t="shared" si="758"/>
        <v>0</v>
      </c>
      <c r="L717">
        <f t="shared" si="759"/>
        <v>19.208999999999886</v>
      </c>
    </row>
    <row r="718" spans="2:12">
      <c r="B718" s="1">
        <v>49356</v>
      </c>
      <c r="C718" t="s">
        <v>25</v>
      </c>
      <c r="D718">
        <v>14.5</v>
      </c>
      <c r="E718">
        <v>0</v>
      </c>
      <c r="F718">
        <f t="shared" si="755"/>
        <v>0</v>
      </c>
      <c r="G718">
        <f t="shared" ref="G718:G781" si="768">D717+D718</f>
        <v>27.1</v>
      </c>
      <c r="H718">
        <f t="shared" si="754"/>
        <v>2035</v>
      </c>
      <c r="I718">
        <v>1</v>
      </c>
      <c r="J718">
        <f t="shared" si="757"/>
        <v>19.208999999999886</v>
      </c>
      <c r="K718">
        <f t="shared" si="758"/>
        <v>0</v>
      </c>
      <c r="L718">
        <f t="shared" si="759"/>
        <v>19.208999999999886</v>
      </c>
    </row>
    <row r="719" spans="2:12">
      <c r="B719" s="1">
        <v>49357</v>
      </c>
      <c r="C719" t="s">
        <v>24</v>
      </c>
      <c r="D719">
        <v>24.7</v>
      </c>
      <c r="E719">
        <v>36</v>
      </c>
      <c r="F719">
        <f t="shared" si="755"/>
        <v>8.8919999999999995</v>
      </c>
      <c r="G719">
        <f t="shared" ref="G719" si="769">D717+D718+D719</f>
        <v>51.8</v>
      </c>
      <c r="H719">
        <f t="shared" si="754"/>
        <v>2035</v>
      </c>
      <c r="I719">
        <v>1</v>
      </c>
      <c r="J719">
        <f t="shared" si="757"/>
        <v>28.100999999999885</v>
      </c>
      <c r="K719">
        <f t="shared" si="758"/>
        <v>0</v>
      </c>
      <c r="L719">
        <f t="shared" si="759"/>
        <v>28.100999999999885</v>
      </c>
    </row>
    <row r="720" spans="2:12">
      <c r="B720" s="1">
        <v>49358</v>
      </c>
      <c r="C720" t="s">
        <v>50</v>
      </c>
      <c r="D720">
        <v>17.899999999999999</v>
      </c>
      <c r="E720">
        <v>24.9</v>
      </c>
      <c r="F720">
        <f t="shared" si="755"/>
        <v>4.4570999999999996</v>
      </c>
      <c r="G720">
        <f t="shared" ref="G720" si="770">D717+D718+D719+D720</f>
        <v>69.699999999999989</v>
      </c>
      <c r="H720">
        <f t="shared" si="754"/>
        <v>2035</v>
      </c>
      <c r="I720">
        <v>1</v>
      </c>
      <c r="J720">
        <f t="shared" si="757"/>
        <v>32.558099999999882</v>
      </c>
      <c r="K720">
        <f t="shared" si="758"/>
        <v>0</v>
      </c>
      <c r="L720">
        <f t="shared" si="759"/>
        <v>32.558099999999882</v>
      </c>
    </row>
    <row r="721" spans="2:12">
      <c r="B721" s="1">
        <v>49359</v>
      </c>
      <c r="C721" t="s">
        <v>31</v>
      </c>
      <c r="D721">
        <v>20.2</v>
      </c>
      <c r="E721">
        <v>2.9</v>
      </c>
      <c r="F721">
        <f t="shared" si="755"/>
        <v>0.58579999999999999</v>
      </c>
      <c r="G721">
        <f t="shared" ref="G721" si="771">D717+D718+D719+D720+D721</f>
        <v>89.899999999999991</v>
      </c>
      <c r="H721">
        <f t="shared" si="754"/>
        <v>2035</v>
      </c>
      <c r="I721">
        <v>1</v>
      </c>
      <c r="J721">
        <f t="shared" si="757"/>
        <v>33.143899999999881</v>
      </c>
      <c r="K721">
        <f t="shared" si="758"/>
        <v>0</v>
      </c>
      <c r="L721">
        <f t="shared" si="759"/>
        <v>33.143899999999881</v>
      </c>
    </row>
    <row r="722" spans="2:12">
      <c r="B722" s="1">
        <v>49360</v>
      </c>
      <c r="C722" t="s">
        <v>19</v>
      </c>
      <c r="D722">
        <v>13.4</v>
      </c>
      <c r="E722">
        <v>1.7</v>
      </c>
      <c r="F722">
        <f t="shared" si="755"/>
        <v>0.2278</v>
      </c>
      <c r="G722">
        <f t="shared" ref="G722" si="772">D717+D718+D719+D720+D721+D722</f>
        <v>103.3</v>
      </c>
      <c r="H722">
        <f t="shared" si="754"/>
        <v>2035</v>
      </c>
      <c r="I722">
        <v>1</v>
      </c>
      <c r="J722">
        <f t="shared" si="757"/>
        <v>33.371699999999883</v>
      </c>
      <c r="K722">
        <f t="shared" si="758"/>
        <v>0</v>
      </c>
      <c r="L722">
        <f t="shared" si="759"/>
        <v>33.371699999999883</v>
      </c>
    </row>
    <row r="723" spans="2:12">
      <c r="B723" s="1">
        <v>49361</v>
      </c>
      <c r="C723" t="s">
        <v>42</v>
      </c>
      <c r="D723">
        <v>12.2</v>
      </c>
      <c r="E723">
        <v>6</v>
      </c>
      <c r="F723">
        <f t="shared" si="755"/>
        <v>0.73199999999999987</v>
      </c>
      <c r="G723">
        <f t="shared" ref="G723" si="773">D717+D718+D719+D720+D721+D722+D723</f>
        <v>115.5</v>
      </c>
      <c r="H723">
        <f t="shared" si="754"/>
        <v>2035</v>
      </c>
      <c r="I723">
        <v>1</v>
      </c>
      <c r="J723">
        <f t="shared" si="757"/>
        <v>34.103699999999883</v>
      </c>
      <c r="K723">
        <f t="shared" si="758"/>
        <v>0</v>
      </c>
      <c r="L723">
        <f t="shared" si="759"/>
        <v>34.103699999999883</v>
      </c>
    </row>
    <row r="724" spans="2:12">
      <c r="B724" s="1">
        <v>49362</v>
      </c>
      <c r="C724" t="s">
        <v>39</v>
      </c>
      <c r="D724">
        <v>29.8</v>
      </c>
      <c r="E724">
        <v>0.4</v>
      </c>
      <c r="F724">
        <f t="shared" si="755"/>
        <v>0</v>
      </c>
      <c r="G724">
        <f t="shared" ref="G724:G787" si="774">D724</f>
        <v>29.8</v>
      </c>
      <c r="H724">
        <f t="shared" si="754"/>
        <v>2035</v>
      </c>
      <c r="I724">
        <v>1</v>
      </c>
      <c r="J724">
        <f t="shared" si="757"/>
        <v>34.103699999999883</v>
      </c>
      <c r="K724">
        <f t="shared" si="758"/>
        <v>0</v>
      </c>
      <c r="L724">
        <f t="shared" si="759"/>
        <v>34.103699999999883</v>
      </c>
    </row>
    <row r="725" spans="2:12">
      <c r="B725" s="1">
        <v>49363</v>
      </c>
      <c r="C725" t="s">
        <v>50</v>
      </c>
      <c r="D725">
        <v>16.100000000000001</v>
      </c>
      <c r="E725">
        <v>28.7</v>
      </c>
      <c r="F725">
        <f t="shared" si="755"/>
        <v>4.6207000000000003</v>
      </c>
      <c r="G725">
        <f t="shared" ref="G725:G788" si="775">D724+D725</f>
        <v>45.900000000000006</v>
      </c>
      <c r="H725">
        <f t="shared" si="754"/>
        <v>2035</v>
      </c>
      <c r="I725">
        <v>1</v>
      </c>
      <c r="J725">
        <f t="shared" si="757"/>
        <v>38.724399999999882</v>
      </c>
      <c r="K725">
        <f t="shared" si="758"/>
        <v>0</v>
      </c>
      <c r="L725">
        <f t="shared" si="759"/>
        <v>38.724399999999882</v>
      </c>
    </row>
    <row r="726" spans="2:12">
      <c r="B726" s="1">
        <v>49364</v>
      </c>
      <c r="C726" t="s">
        <v>24</v>
      </c>
      <c r="D726">
        <v>18.8</v>
      </c>
      <c r="E726">
        <v>0</v>
      </c>
      <c r="F726">
        <f t="shared" si="755"/>
        <v>0</v>
      </c>
      <c r="G726">
        <f t="shared" ref="G726" si="776">D724+D725+D726</f>
        <v>64.7</v>
      </c>
      <c r="H726">
        <f t="shared" si="754"/>
        <v>2035</v>
      </c>
      <c r="I726">
        <v>1</v>
      </c>
      <c r="J726">
        <f t="shared" si="757"/>
        <v>38.724399999999882</v>
      </c>
      <c r="K726">
        <f t="shared" si="758"/>
        <v>0</v>
      </c>
      <c r="L726">
        <f t="shared" si="759"/>
        <v>38.724399999999882</v>
      </c>
    </row>
    <row r="727" spans="2:12">
      <c r="B727" s="1">
        <v>49365</v>
      </c>
      <c r="C727" t="s">
        <v>32</v>
      </c>
      <c r="D727">
        <v>17.100000000000001</v>
      </c>
      <c r="E727">
        <v>0</v>
      </c>
      <c r="F727">
        <f t="shared" si="755"/>
        <v>0</v>
      </c>
      <c r="G727">
        <f t="shared" ref="G727" si="777">D724+D725+D726+D727</f>
        <v>81.800000000000011</v>
      </c>
      <c r="H727">
        <f t="shared" si="754"/>
        <v>2035</v>
      </c>
      <c r="I727">
        <v>1</v>
      </c>
      <c r="J727">
        <f t="shared" si="757"/>
        <v>38.724399999999882</v>
      </c>
      <c r="K727">
        <f t="shared" si="758"/>
        <v>0</v>
      </c>
      <c r="L727">
        <f t="shared" si="759"/>
        <v>38.724399999999882</v>
      </c>
    </row>
    <row r="728" spans="2:12">
      <c r="B728" s="1">
        <v>49366</v>
      </c>
      <c r="C728" t="s">
        <v>21</v>
      </c>
      <c r="D728">
        <v>11.7</v>
      </c>
      <c r="E728">
        <v>7.7</v>
      </c>
      <c r="F728">
        <f t="shared" si="755"/>
        <v>0.90090000000000003</v>
      </c>
      <c r="G728">
        <f t="shared" ref="G728" si="778">D724+D725+D726+D727+D728</f>
        <v>93.500000000000014</v>
      </c>
      <c r="H728">
        <f t="shared" si="754"/>
        <v>2035</v>
      </c>
      <c r="I728">
        <v>1</v>
      </c>
      <c r="J728">
        <f t="shared" si="757"/>
        <v>39.625299999999882</v>
      </c>
      <c r="K728">
        <f t="shared" si="758"/>
        <v>0</v>
      </c>
      <c r="L728">
        <f t="shared" si="759"/>
        <v>39.625299999999882</v>
      </c>
    </row>
    <row r="729" spans="2:12">
      <c r="B729" s="1">
        <v>49367</v>
      </c>
      <c r="C729" t="s">
        <v>47</v>
      </c>
      <c r="D729">
        <v>25.4</v>
      </c>
      <c r="E729">
        <v>14.2</v>
      </c>
      <c r="F729">
        <f t="shared" si="755"/>
        <v>3.6067999999999993</v>
      </c>
      <c r="G729">
        <f t="shared" ref="G729" si="779">D724+D725+D726+D727+D728+D729</f>
        <v>118.9</v>
      </c>
      <c r="H729">
        <f t="shared" si="754"/>
        <v>2035</v>
      </c>
      <c r="I729">
        <v>1</v>
      </c>
      <c r="J729">
        <f t="shared" si="757"/>
        <v>43.232099999999882</v>
      </c>
      <c r="K729">
        <f t="shared" si="758"/>
        <v>0</v>
      </c>
      <c r="L729">
        <f t="shared" si="759"/>
        <v>43.232099999999882</v>
      </c>
    </row>
    <row r="730" spans="2:12">
      <c r="B730" s="1">
        <v>49368</v>
      </c>
      <c r="C730" t="s">
        <v>43</v>
      </c>
      <c r="D730">
        <v>12.6</v>
      </c>
      <c r="E730">
        <v>9</v>
      </c>
      <c r="F730">
        <f t="shared" si="755"/>
        <v>1.1339999999999999</v>
      </c>
      <c r="G730">
        <f t="shared" ref="G730" si="780">D724+D725+D726+D727+D728+D729+D730</f>
        <v>131.5</v>
      </c>
      <c r="H730">
        <f t="shared" si="754"/>
        <v>2035</v>
      </c>
      <c r="I730">
        <v>1</v>
      </c>
      <c r="J730">
        <f t="shared" si="757"/>
        <v>44.366099999999882</v>
      </c>
      <c r="K730">
        <f t="shared" si="758"/>
        <v>0</v>
      </c>
      <c r="L730">
        <f t="shared" si="759"/>
        <v>44.366099999999882</v>
      </c>
    </row>
    <row r="731" spans="2:12">
      <c r="B731" s="1">
        <v>49369</v>
      </c>
      <c r="C731" t="s">
        <v>24</v>
      </c>
      <c r="D731">
        <v>15.8</v>
      </c>
      <c r="E731">
        <v>0</v>
      </c>
      <c r="F731">
        <f t="shared" si="755"/>
        <v>0</v>
      </c>
      <c r="G731">
        <f t="shared" ref="G731:G794" si="781">D731</f>
        <v>15.8</v>
      </c>
      <c r="H731">
        <f t="shared" si="754"/>
        <v>2035</v>
      </c>
      <c r="I731">
        <v>1</v>
      </c>
      <c r="J731">
        <f t="shared" si="757"/>
        <v>44.366099999999882</v>
      </c>
      <c r="K731">
        <f t="shared" si="758"/>
        <v>0</v>
      </c>
      <c r="L731">
        <f t="shared" si="759"/>
        <v>44.366099999999882</v>
      </c>
    </row>
    <row r="732" spans="2:12">
      <c r="B732" s="1">
        <v>49370</v>
      </c>
      <c r="C732" t="s">
        <v>47</v>
      </c>
      <c r="D732">
        <v>24.7</v>
      </c>
      <c r="E732">
        <v>13.9</v>
      </c>
      <c r="F732">
        <f t="shared" si="755"/>
        <v>3.4333</v>
      </c>
      <c r="G732">
        <f t="shared" ref="G732:G795" si="782">D731+D732</f>
        <v>40.5</v>
      </c>
      <c r="H732">
        <f t="shared" si="754"/>
        <v>2035</v>
      </c>
      <c r="I732">
        <v>1</v>
      </c>
      <c r="J732">
        <f t="shared" si="757"/>
        <v>47.799399999999885</v>
      </c>
      <c r="K732">
        <f t="shared" si="758"/>
        <v>0</v>
      </c>
      <c r="L732">
        <f t="shared" si="759"/>
        <v>47.799399999999885</v>
      </c>
    </row>
    <row r="733" spans="2:12">
      <c r="B733" s="1">
        <v>49371</v>
      </c>
      <c r="C733" t="s">
        <v>38</v>
      </c>
      <c r="D733">
        <v>26.7</v>
      </c>
      <c r="E733">
        <v>0</v>
      </c>
      <c r="F733">
        <f t="shared" si="755"/>
        <v>0</v>
      </c>
      <c r="G733">
        <f t="shared" ref="G733" si="783">D731+D732+D733</f>
        <v>67.2</v>
      </c>
      <c r="H733">
        <f t="shared" si="754"/>
        <v>2035</v>
      </c>
      <c r="I733">
        <v>1</v>
      </c>
      <c r="J733">
        <f t="shared" si="757"/>
        <v>47.799399999999885</v>
      </c>
      <c r="K733">
        <f t="shared" si="758"/>
        <v>0</v>
      </c>
      <c r="L733">
        <f t="shared" si="759"/>
        <v>47.799399999999885</v>
      </c>
    </row>
    <row r="734" spans="2:12">
      <c r="B734" s="1">
        <v>49372</v>
      </c>
      <c r="C734" t="s">
        <v>50</v>
      </c>
      <c r="D734">
        <v>21.2</v>
      </c>
      <c r="E734">
        <v>5.3</v>
      </c>
      <c r="F734">
        <f t="shared" si="755"/>
        <v>1.1235999999999999</v>
      </c>
      <c r="G734">
        <f t="shared" ref="G734" si="784">D731+D732+D733+D734</f>
        <v>88.4</v>
      </c>
      <c r="H734">
        <f t="shared" si="754"/>
        <v>2035</v>
      </c>
      <c r="I734">
        <v>1</v>
      </c>
      <c r="J734">
        <f t="shared" si="757"/>
        <v>48.922999999999888</v>
      </c>
      <c r="K734">
        <f t="shared" si="758"/>
        <v>0</v>
      </c>
      <c r="L734">
        <f t="shared" si="759"/>
        <v>48.922999999999888</v>
      </c>
    </row>
    <row r="735" spans="2:12">
      <c r="B735" s="1">
        <v>49373</v>
      </c>
      <c r="C735" t="s">
        <v>17</v>
      </c>
      <c r="D735">
        <v>10.4</v>
      </c>
      <c r="E735">
        <v>8.6</v>
      </c>
      <c r="F735">
        <f t="shared" si="755"/>
        <v>0.89439999999999997</v>
      </c>
      <c r="G735">
        <f t="shared" ref="G735" si="785">D731+D732+D733+D734+D735</f>
        <v>98.800000000000011</v>
      </c>
      <c r="H735">
        <f t="shared" si="754"/>
        <v>2035</v>
      </c>
      <c r="I735">
        <v>1</v>
      </c>
      <c r="J735">
        <f t="shared" si="757"/>
        <v>49.817399999999886</v>
      </c>
      <c r="K735">
        <f t="shared" si="758"/>
        <v>0</v>
      </c>
      <c r="L735">
        <f t="shared" si="759"/>
        <v>49.817399999999886</v>
      </c>
    </row>
    <row r="736" spans="2:12">
      <c r="B736" s="1">
        <v>49374</v>
      </c>
      <c r="C736" t="s">
        <v>36</v>
      </c>
      <c r="D736">
        <v>25.1</v>
      </c>
      <c r="E736">
        <v>3.3</v>
      </c>
      <c r="F736">
        <f t="shared" si="755"/>
        <v>0.82830000000000004</v>
      </c>
      <c r="G736">
        <f t="shared" ref="G736" si="786">D731+D732+D733+D734+D735+D736</f>
        <v>123.9</v>
      </c>
      <c r="H736">
        <f t="shared" si="754"/>
        <v>2035</v>
      </c>
      <c r="I736">
        <v>1</v>
      </c>
      <c r="J736">
        <f t="shared" si="757"/>
        <v>50.645699999999884</v>
      </c>
      <c r="K736">
        <f t="shared" si="758"/>
        <v>0</v>
      </c>
      <c r="L736">
        <f t="shared" si="759"/>
        <v>50.645699999999884</v>
      </c>
    </row>
    <row r="737" spans="2:12">
      <c r="B737" s="1">
        <v>49375</v>
      </c>
      <c r="C737" t="s">
        <v>50</v>
      </c>
      <c r="D737">
        <v>27.8</v>
      </c>
      <c r="E737">
        <v>20.9</v>
      </c>
      <c r="F737">
        <f t="shared" si="755"/>
        <v>5.8102</v>
      </c>
      <c r="G737">
        <f t="shared" ref="G737" si="787">D731+D732+D733+D734+D735+D736+D737</f>
        <v>151.70000000000002</v>
      </c>
      <c r="H737">
        <f t="shared" si="754"/>
        <v>2035</v>
      </c>
      <c r="I737">
        <v>1</v>
      </c>
      <c r="J737">
        <f t="shared" si="757"/>
        <v>56.455899999999886</v>
      </c>
      <c r="K737">
        <f t="shared" si="758"/>
        <v>0</v>
      </c>
      <c r="L737">
        <f t="shared" si="759"/>
        <v>56.455899999999886</v>
      </c>
    </row>
    <row r="738" spans="2:12">
      <c r="B738" s="1">
        <v>49376</v>
      </c>
      <c r="C738" t="s">
        <v>25</v>
      </c>
      <c r="D738">
        <v>26.1</v>
      </c>
      <c r="E738">
        <v>0</v>
      </c>
      <c r="F738">
        <f t="shared" si="755"/>
        <v>0</v>
      </c>
      <c r="G738">
        <f t="shared" ref="G738:G801" si="788">D738</f>
        <v>26.1</v>
      </c>
      <c r="H738">
        <f t="shared" si="754"/>
        <v>2035</v>
      </c>
      <c r="I738">
        <v>1</v>
      </c>
      <c r="J738">
        <f t="shared" si="757"/>
        <v>56.455899999999886</v>
      </c>
      <c r="K738">
        <f t="shared" si="758"/>
        <v>0</v>
      </c>
      <c r="L738">
        <f t="shared" si="759"/>
        <v>56.455899999999886</v>
      </c>
    </row>
    <row r="739" spans="2:12">
      <c r="B739" s="1">
        <v>49377</v>
      </c>
      <c r="C739" t="s">
        <v>27</v>
      </c>
      <c r="D739">
        <v>18.3</v>
      </c>
      <c r="E739">
        <v>7.8</v>
      </c>
      <c r="F739">
        <f t="shared" si="755"/>
        <v>1.4274</v>
      </c>
      <c r="G739">
        <f t="shared" ref="G739:G802" si="789">D738+D739</f>
        <v>44.400000000000006</v>
      </c>
      <c r="H739">
        <f t="shared" si="754"/>
        <v>2035</v>
      </c>
      <c r="I739">
        <v>1</v>
      </c>
      <c r="J739">
        <f t="shared" si="757"/>
        <v>57.883299999999885</v>
      </c>
      <c r="K739">
        <f t="shared" si="758"/>
        <v>0</v>
      </c>
      <c r="L739">
        <f t="shared" si="759"/>
        <v>57.883299999999885</v>
      </c>
    </row>
    <row r="740" spans="2:12">
      <c r="B740" s="1">
        <v>49378</v>
      </c>
      <c r="C740" t="s">
        <v>25</v>
      </c>
      <c r="D740">
        <v>16.3</v>
      </c>
      <c r="E740">
        <v>0</v>
      </c>
      <c r="F740">
        <f t="shared" si="755"/>
        <v>0</v>
      </c>
      <c r="G740">
        <f t="shared" ref="G740" si="790">D738+D739+D740</f>
        <v>60.7</v>
      </c>
      <c r="H740">
        <f t="shared" si="754"/>
        <v>2035</v>
      </c>
      <c r="I740">
        <v>1</v>
      </c>
      <c r="J740">
        <f t="shared" si="757"/>
        <v>57.883299999999885</v>
      </c>
      <c r="K740">
        <f t="shared" si="758"/>
        <v>0</v>
      </c>
      <c r="L740">
        <f t="shared" si="759"/>
        <v>57.883299999999885</v>
      </c>
    </row>
    <row r="741" spans="2:12">
      <c r="B741" s="1">
        <v>49379</v>
      </c>
      <c r="C741" t="s">
        <v>25</v>
      </c>
      <c r="D741">
        <v>17.2</v>
      </c>
      <c r="E741">
        <v>12.5</v>
      </c>
      <c r="F741">
        <f t="shared" si="755"/>
        <v>2.15</v>
      </c>
      <c r="G741">
        <f t="shared" ref="G741" si="791">D738+D739+D740+D741</f>
        <v>77.900000000000006</v>
      </c>
      <c r="H741">
        <f t="shared" si="754"/>
        <v>2035</v>
      </c>
      <c r="I741">
        <v>1</v>
      </c>
      <c r="J741">
        <f t="shared" si="757"/>
        <v>60.033299999999883</v>
      </c>
      <c r="K741">
        <f t="shared" si="758"/>
        <v>0</v>
      </c>
      <c r="L741">
        <f t="shared" si="759"/>
        <v>60.033299999999883</v>
      </c>
    </row>
    <row r="742" spans="2:12">
      <c r="B742" s="1">
        <v>49380</v>
      </c>
      <c r="C742" t="s">
        <v>37</v>
      </c>
      <c r="D742">
        <v>22.1</v>
      </c>
      <c r="E742">
        <v>3.7</v>
      </c>
      <c r="F742">
        <f t="shared" si="755"/>
        <v>0.81770000000000009</v>
      </c>
      <c r="G742">
        <f t="shared" ref="G742" si="792">D738+D739+D740+D741+D742</f>
        <v>100</v>
      </c>
      <c r="H742">
        <f t="shared" si="754"/>
        <v>2035</v>
      </c>
      <c r="I742">
        <v>1</v>
      </c>
      <c r="J742">
        <f t="shared" si="757"/>
        <v>60.850999999999885</v>
      </c>
      <c r="K742">
        <f t="shared" si="758"/>
        <v>0</v>
      </c>
      <c r="L742">
        <f t="shared" si="759"/>
        <v>60.850999999999885</v>
      </c>
    </row>
    <row r="743" spans="2:12">
      <c r="B743" s="1">
        <v>49381</v>
      </c>
      <c r="C743" t="s">
        <v>35</v>
      </c>
      <c r="D743">
        <v>18.8</v>
      </c>
      <c r="E743">
        <v>0</v>
      </c>
      <c r="F743">
        <f t="shared" si="755"/>
        <v>0</v>
      </c>
      <c r="G743">
        <f t="shared" ref="G743" si="793">D738+D739+D740+D741+D742+D743</f>
        <v>118.8</v>
      </c>
      <c r="H743">
        <f t="shared" si="754"/>
        <v>2035</v>
      </c>
      <c r="I743">
        <v>1</v>
      </c>
      <c r="J743">
        <f t="shared" si="757"/>
        <v>60.850999999999885</v>
      </c>
      <c r="K743">
        <f t="shared" si="758"/>
        <v>0</v>
      </c>
      <c r="L743">
        <f t="shared" si="759"/>
        <v>60.850999999999885</v>
      </c>
    </row>
    <row r="744" spans="2:12">
      <c r="B744" s="1">
        <v>49382</v>
      </c>
      <c r="C744" t="s">
        <v>47</v>
      </c>
      <c r="D744">
        <v>12.3</v>
      </c>
      <c r="E744">
        <v>7.1</v>
      </c>
      <c r="F744">
        <f t="shared" si="755"/>
        <v>0.87329999999999997</v>
      </c>
      <c r="G744">
        <f t="shared" ref="G744" si="794">D738+D739+D740+D741+D742+D743+D744</f>
        <v>131.1</v>
      </c>
      <c r="H744">
        <f t="shared" si="754"/>
        <v>2035</v>
      </c>
      <c r="I744">
        <v>1</v>
      </c>
      <c r="J744">
        <f t="shared" si="757"/>
        <v>61.724299999999886</v>
      </c>
      <c r="K744">
        <f t="shared" si="758"/>
        <v>0</v>
      </c>
      <c r="L744">
        <f t="shared" si="759"/>
        <v>61.724299999999886</v>
      </c>
    </row>
    <row r="745" spans="2:12">
      <c r="B745" s="1">
        <v>49383</v>
      </c>
      <c r="C745" t="s">
        <v>24</v>
      </c>
      <c r="D745">
        <v>27.5</v>
      </c>
      <c r="E745">
        <v>34.299999999999997</v>
      </c>
      <c r="F745">
        <f t="shared" si="755"/>
        <v>9.4324999999999992</v>
      </c>
      <c r="G745">
        <f t="shared" ref="G745:G808" si="795">D745</f>
        <v>27.5</v>
      </c>
      <c r="H745">
        <f t="shared" si="754"/>
        <v>2035</v>
      </c>
      <c r="I745">
        <v>1</v>
      </c>
      <c r="J745">
        <f t="shared" si="757"/>
        <v>71.15679999999989</v>
      </c>
      <c r="K745">
        <f t="shared" si="758"/>
        <v>0</v>
      </c>
      <c r="L745">
        <f t="shared" si="759"/>
        <v>71.15679999999989</v>
      </c>
    </row>
    <row r="746" spans="2:12">
      <c r="B746" s="1">
        <v>49384</v>
      </c>
      <c r="C746" t="s">
        <v>47</v>
      </c>
      <c r="D746">
        <v>23.1</v>
      </c>
      <c r="E746">
        <v>0</v>
      </c>
      <c r="F746">
        <f t="shared" si="755"/>
        <v>0</v>
      </c>
      <c r="G746">
        <f t="shared" ref="G746:G809" si="796">D745+D746</f>
        <v>50.6</v>
      </c>
      <c r="H746">
        <f t="shared" si="754"/>
        <v>2035</v>
      </c>
      <c r="I746">
        <v>1</v>
      </c>
      <c r="J746">
        <f t="shared" si="757"/>
        <v>71.15679999999989</v>
      </c>
      <c r="K746">
        <f t="shared" si="758"/>
        <v>0</v>
      </c>
      <c r="L746">
        <f t="shared" si="759"/>
        <v>71.15679999999989</v>
      </c>
    </row>
    <row r="747" spans="2:12">
      <c r="B747" s="1">
        <v>49385</v>
      </c>
      <c r="C747" t="s">
        <v>25</v>
      </c>
      <c r="D747">
        <v>21.3</v>
      </c>
      <c r="E747">
        <v>0</v>
      </c>
      <c r="F747">
        <f t="shared" si="755"/>
        <v>0</v>
      </c>
      <c r="G747">
        <f t="shared" ref="G747" si="797">D745+D746+D747</f>
        <v>71.900000000000006</v>
      </c>
      <c r="H747">
        <f t="shared" si="754"/>
        <v>2035</v>
      </c>
      <c r="I747">
        <v>1</v>
      </c>
      <c r="J747">
        <f t="shared" si="757"/>
        <v>71.15679999999989</v>
      </c>
      <c r="K747">
        <f t="shared" si="758"/>
        <v>0</v>
      </c>
      <c r="L747">
        <f t="shared" si="759"/>
        <v>71.15679999999989</v>
      </c>
    </row>
    <row r="748" spans="2:12">
      <c r="B748" s="1">
        <v>49386</v>
      </c>
      <c r="C748" t="s">
        <v>36</v>
      </c>
      <c r="D748">
        <v>13.8</v>
      </c>
      <c r="E748">
        <v>5.9</v>
      </c>
      <c r="F748">
        <f t="shared" si="755"/>
        <v>0.81420000000000015</v>
      </c>
      <c r="G748">
        <f t="shared" ref="G748" si="798">D745+D746+D747+D748</f>
        <v>85.7</v>
      </c>
      <c r="H748">
        <f t="shared" si="754"/>
        <v>2035</v>
      </c>
      <c r="I748">
        <v>1</v>
      </c>
      <c r="J748">
        <f t="shared" si="757"/>
        <v>71.97099999999989</v>
      </c>
      <c r="K748">
        <f t="shared" si="758"/>
        <v>0</v>
      </c>
      <c r="L748">
        <f t="shared" si="759"/>
        <v>71.97099999999989</v>
      </c>
    </row>
    <row r="749" spans="2:12">
      <c r="B749" s="1">
        <v>49387</v>
      </c>
      <c r="C749" t="s">
        <v>27</v>
      </c>
      <c r="D749">
        <v>20</v>
      </c>
      <c r="E749">
        <v>16</v>
      </c>
      <c r="F749">
        <f t="shared" si="755"/>
        <v>3.2</v>
      </c>
      <c r="G749">
        <f t="shared" ref="G749" si="799">D745+D746+D747+D748+D749</f>
        <v>105.7</v>
      </c>
      <c r="H749">
        <f t="shared" si="754"/>
        <v>2035</v>
      </c>
      <c r="I749">
        <v>1</v>
      </c>
      <c r="J749">
        <f t="shared" si="757"/>
        <v>75.170999999999893</v>
      </c>
      <c r="K749">
        <f t="shared" si="758"/>
        <v>0</v>
      </c>
      <c r="L749">
        <f t="shared" si="759"/>
        <v>75.170999999999893</v>
      </c>
    </row>
    <row r="750" spans="2:12">
      <c r="B750" s="1">
        <v>49388</v>
      </c>
      <c r="C750" t="s">
        <v>26</v>
      </c>
      <c r="D750">
        <v>23.9</v>
      </c>
      <c r="E750">
        <v>0</v>
      </c>
      <c r="F750">
        <f t="shared" si="755"/>
        <v>0</v>
      </c>
      <c r="G750">
        <f t="shared" ref="G750" si="800">D745+D746+D747+D748+D749+D750</f>
        <v>129.6</v>
      </c>
      <c r="H750">
        <f t="shared" si="754"/>
        <v>2035</v>
      </c>
      <c r="I750">
        <v>1</v>
      </c>
      <c r="J750">
        <f t="shared" si="757"/>
        <v>75.170999999999893</v>
      </c>
      <c r="K750">
        <f t="shared" si="758"/>
        <v>0</v>
      </c>
      <c r="L750">
        <f t="shared" si="759"/>
        <v>75.170999999999893</v>
      </c>
    </row>
    <row r="751" spans="2:12">
      <c r="B751" s="1">
        <v>49389</v>
      </c>
      <c r="C751" t="s">
        <v>44</v>
      </c>
      <c r="D751">
        <v>15.3</v>
      </c>
      <c r="E751">
        <v>0.1</v>
      </c>
      <c r="F751">
        <f t="shared" si="755"/>
        <v>0</v>
      </c>
      <c r="G751">
        <f t="shared" ref="G751" si="801">D745+D746+D747+D748+D749+D750+D751</f>
        <v>144.9</v>
      </c>
      <c r="H751">
        <f t="shared" si="754"/>
        <v>2035</v>
      </c>
      <c r="I751">
        <v>1</v>
      </c>
      <c r="J751">
        <f t="shared" si="757"/>
        <v>75.170999999999893</v>
      </c>
      <c r="K751">
        <f t="shared" si="758"/>
        <v>0</v>
      </c>
      <c r="L751">
        <f t="shared" si="759"/>
        <v>75.170999999999893</v>
      </c>
    </row>
    <row r="752" spans="2:12">
      <c r="B752" s="1">
        <v>49390</v>
      </c>
      <c r="C752" t="s">
        <v>31</v>
      </c>
      <c r="D752">
        <v>16.600000000000001</v>
      </c>
      <c r="E752">
        <v>0</v>
      </c>
      <c r="F752">
        <f t="shared" si="755"/>
        <v>0</v>
      </c>
      <c r="G752">
        <f t="shared" ref="G752:G815" si="802">D752</f>
        <v>16.600000000000001</v>
      </c>
      <c r="H752">
        <f t="shared" si="754"/>
        <v>2035</v>
      </c>
      <c r="I752">
        <v>1</v>
      </c>
      <c r="J752">
        <f t="shared" si="757"/>
        <v>75.170999999999893</v>
      </c>
      <c r="K752">
        <f t="shared" si="758"/>
        <v>0</v>
      </c>
      <c r="L752">
        <f t="shared" si="759"/>
        <v>75.170999999999893</v>
      </c>
    </row>
    <row r="753" spans="2:12">
      <c r="B753" s="1">
        <v>49391</v>
      </c>
      <c r="C753" t="s">
        <v>38</v>
      </c>
      <c r="D753">
        <v>20.8</v>
      </c>
      <c r="E753">
        <v>2</v>
      </c>
      <c r="F753">
        <f t="shared" si="755"/>
        <v>0.41600000000000004</v>
      </c>
      <c r="G753">
        <f t="shared" ref="G753:G816" si="803">D752+D753</f>
        <v>37.400000000000006</v>
      </c>
      <c r="H753">
        <f t="shared" si="754"/>
        <v>2035</v>
      </c>
      <c r="I753">
        <v>1</v>
      </c>
      <c r="J753">
        <f t="shared" si="757"/>
        <v>75.58699999999989</v>
      </c>
      <c r="K753">
        <f t="shared" si="758"/>
        <v>0</v>
      </c>
      <c r="L753">
        <f t="shared" si="759"/>
        <v>75.58699999999989</v>
      </c>
    </row>
    <row r="754" spans="2:12">
      <c r="B754" s="1">
        <v>49392</v>
      </c>
      <c r="C754" t="s">
        <v>25</v>
      </c>
      <c r="D754">
        <v>10.8</v>
      </c>
      <c r="E754">
        <v>12.3</v>
      </c>
      <c r="F754">
        <f t="shared" si="755"/>
        <v>1.3284</v>
      </c>
      <c r="G754">
        <f t="shared" ref="G754" si="804">D752+D753+D754</f>
        <v>48.2</v>
      </c>
      <c r="H754">
        <f t="shared" si="754"/>
        <v>2035</v>
      </c>
      <c r="I754">
        <v>1</v>
      </c>
      <c r="J754">
        <f t="shared" si="757"/>
        <v>76.915399999999892</v>
      </c>
      <c r="K754">
        <f t="shared" si="758"/>
        <v>0</v>
      </c>
      <c r="L754">
        <f t="shared" si="759"/>
        <v>76.915399999999892</v>
      </c>
    </row>
    <row r="755" spans="2:12">
      <c r="B755" s="1">
        <v>49393</v>
      </c>
      <c r="C755" t="s">
        <v>25</v>
      </c>
      <c r="D755">
        <v>12.5</v>
      </c>
      <c r="E755">
        <v>18.399999999999999</v>
      </c>
      <c r="F755">
        <f t="shared" si="755"/>
        <v>2.2999999999999998</v>
      </c>
      <c r="G755">
        <f t="shared" ref="G755" si="805">D752+D753+D754+D755</f>
        <v>60.7</v>
      </c>
      <c r="H755">
        <f t="shared" si="754"/>
        <v>2035</v>
      </c>
      <c r="I755">
        <v>1</v>
      </c>
      <c r="J755">
        <f t="shared" si="757"/>
        <v>79.215399999999889</v>
      </c>
      <c r="K755">
        <f t="shared" si="758"/>
        <v>0</v>
      </c>
      <c r="L755">
        <f t="shared" si="759"/>
        <v>79.215399999999889</v>
      </c>
    </row>
    <row r="756" spans="2:12">
      <c r="B756" s="1">
        <v>49394</v>
      </c>
      <c r="C756" t="s">
        <v>21</v>
      </c>
      <c r="D756">
        <v>24</v>
      </c>
      <c r="E756">
        <v>4.9000000000000004</v>
      </c>
      <c r="F756">
        <f t="shared" si="755"/>
        <v>1.1760000000000002</v>
      </c>
      <c r="G756">
        <f t="shared" ref="G756" si="806">D752+D753+D754+D755+D756</f>
        <v>84.7</v>
      </c>
      <c r="H756">
        <f t="shared" si="754"/>
        <v>2035</v>
      </c>
      <c r="I756">
        <v>1</v>
      </c>
      <c r="J756">
        <f t="shared" si="757"/>
        <v>80.391399999999891</v>
      </c>
      <c r="K756">
        <f t="shared" si="758"/>
        <v>0</v>
      </c>
      <c r="L756">
        <f t="shared" si="759"/>
        <v>80.391399999999891</v>
      </c>
    </row>
    <row r="757" spans="2:12">
      <c r="B757" s="1">
        <v>49395</v>
      </c>
      <c r="C757" t="s">
        <v>24</v>
      </c>
      <c r="D757">
        <v>21.4</v>
      </c>
      <c r="E757">
        <v>11.1</v>
      </c>
      <c r="F757">
        <f t="shared" si="755"/>
        <v>2.3753999999999995</v>
      </c>
      <c r="G757">
        <f t="shared" ref="G757" si="807">D752+D753+D754+D755+D756+D757</f>
        <v>106.1</v>
      </c>
      <c r="H757">
        <f t="shared" si="754"/>
        <v>2035</v>
      </c>
      <c r="I757">
        <v>1</v>
      </c>
      <c r="J757">
        <f t="shared" si="757"/>
        <v>82.76679999999989</v>
      </c>
      <c r="K757">
        <f t="shared" si="758"/>
        <v>0</v>
      </c>
      <c r="L757">
        <f t="shared" si="759"/>
        <v>82.76679999999989</v>
      </c>
    </row>
    <row r="758" spans="2:12">
      <c r="B758" s="1">
        <v>49396</v>
      </c>
      <c r="C758" t="s">
        <v>43</v>
      </c>
      <c r="D758">
        <v>18.3</v>
      </c>
      <c r="E758">
        <v>0</v>
      </c>
      <c r="F758">
        <f t="shared" si="755"/>
        <v>0</v>
      </c>
      <c r="G758">
        <f t="shared" ref="G758" si="808">D752+D753+D754+D755+D756+D757+D758</f>
        <v>124.39999999999999</v>
      </c>
      <c r="H758">
        <f t="shared" si="754"/>
        <v>2035</v>
      </c>
      <c r="I758">
        <v>1</v>
      </c>
      <c r="J758">
        <f t="shared" si="757"/>
        <v>82.76679999999989</v>
      </c>
      <c r="K758">
        <f t="shared" si="758"/>
        <v>0</v>
      </c>
      <c r="L758">
        <f t="shared" si="759"/>
        <v>82.76679999999989</v>
      </c>
    </row>
    <row r="759" spans="2:12">
      <c r="B759" s="1">
        <v>49397</v>
      </c>
      <c r="C759" t="s">
        <v>32</v>
      </c>
      <c r="D759">
        <v>10.5</v>
      </c>
      <c r="E759">
        <v>3.9</v>
      </c>
      <c r="F759">
        <f t="shared" si="755"/>
        <v>0.40949999999999998</v>
      </c>
      <c r="G759">
        <f t="shared" ref="G759:G822" si="809">D759</f>
        <v>10.5</v>
      </c>
      <c r="H759">
        <f t="shared" si="754"/>
        <v>2035</v>
      </c>
      <c r="I759">
        <v>1</v>
      </c>
      <c r="J759">
        <f t="shared" si="757"/>
        <v>83.176299999999884</v>
      </c>
      <c r="K759">
        <f t="shared" si="758"/>
        <v>0</v>
      </c>
      <c r="L759">
        <f t="shared" si="759"/>
        <v>83.176299999999884</v>
      </c>
    </row>
    <row r="760" spans="2:12">
      <c r="B760" s="1">
        <v>49398</v>
      </c>
      <c r="C760" t="s">
        <v>24</v>
      </c>
      <c r="D760">
        <v>11.7</v>
      </c>
      <c r="E760">
        <v>0</v>
      </c>
      <c r="F760">
        <f t="shared" si="755"/>
        <v>0</v>
      </c>
      <c r="G760">
        <f t="shared" ref="G760:G823" si="810">D759+D760</f>
        <v>22.2</v>
      </c>
      <c r="H760">
        <f t="shared" si="754"/>
        <v>2035</v>
      </c>
      <c r="I760">
        <v>1</v>
      </c>
      <c r="J760">
        <f t="shared" si="757"/>
        <v>83.176299999999884</v>
      </c>
      <c r="K760">
        <f t="shared" si="758"/>
        <v>0</v>
      </c>
      <c r="L760">
        <f t="shared" si="759"/>
        <v>83.176299999999884</v>
      </c>
    </row>
    <row r="761" spans="2:12">
      <c r="B761" s="1">
        <v>49399</v>
      </c>
      <c r="C761" t="s">
        <v>18</v>
      </c>
      <c r="D761">
        <v>26.8</v>
      </c>
      <c r="E761">
        <v>0</v>
      </c>
      <c r="F761">
        <f t="shared" si="755"/>
        <v>0</v>
      </c>
      <c r="G761">
        <f t="shared" ref="G761" si="811">D759+D760+D761</f>
        <v>49</v>
      </c>
      <c r="H761">
        <f t="shared" si="754"/>
        <v>2035</v>
      </c>
      <c r="I761">
        <v>1</v>
      </c>
      <c r="J761">
        <f t="shared" si="757"/>
        <v>83.176299999999884</v>
      </c>
      <c r="K761">
        <f t="shared" si="758"/>
        <v>0</v>
      </c>
      <c r="L761">
        <f t="shared" si="759"/>
        <v>83.176299999999884</v>
      </c>
    </row>
    <row r="762" spans="2:12">
      <c r="B762" s="1">
        <v>49400</v>
      </c>
      <c r="C762" t="s">
        <v>24</v>
      </c>
      <c r="D762">
        <v>22.1</v>
      </c>
      <c r="E762">
        <v>33.799999999999997</v>
      </c>
      <c r="F762">
        <f t="shared" si="755"/>
        <v>7.4698000000000002</v>
      </c>
      <c r="G762">
        <f t="shared" ref="G762" si="812">D759+D760+D761+D762</f>
        <v>71.099999999999994</v>
      </c>
      <c r="H762">
        <f t="shared" si="754"/>
        <v>2035</v>
      </c>
      <c r="I762">
        <v>1</v>
      </c>
      <c r="J762">
        <f t="shared" si="757"/>
        <v>90.64609999999989</v>
      </c>
      <c r="K762">
        <f t="shared" si="758"/>
        <v>0</v>
      </c>
      <c r="L762">
        <f t="shared" si="759"/>
        <v>90.64609999999989</v>
      </c>
    </row>
    <row r="763" spans="2:12">
      <c r="B763" s="1">
        <v>49401</v>
      </c>
      <c r="C763" t="s">
        <v>45</v>
      </c>
      <c r="D763">
        <v>17.100000000000001</v>
      </c>
      <c r="E763">
        <v>0</v>
      </c>
      <c r="F763">
        <f t="shared" si="755"/>
        <v>0</v>
      </c>
      <c r="G763">
        <f t="shared" ref="G763" si="813">D759+D760+D761+D762+D763</f>
        <v>88.199999999999989</v>
      </c>
      <c r="H763">
        <f t="shared" si="754"/>
        <v>2035</v>
      </c>
      <c r="I763">
        <v>1</v>
      </c>
      <c r="J763">
        <f t="shared" si="757"/>
        <v>90.64609999999989</v>
      </c>
      <c r="K763">
        <f t="shared" si="758"/>
        <v>0</v>
      </c>
      <c r="L763">
        <f t="shared" si="759"/>
        <v>90.64609999999989</v>
      </c>
    </row>
    <row r="764" spans="2:12">
      <c r="B764" s="1">
        <v>49402</v>
      </c>
      <c r="C764" t="s">
        <v>27</v>
      </c>
      <c r="D764">
        <v>12.1</v>
      </c>
      <c r="E764">
        <v>14.4</v>
      </c>
      <c r="F764">
        <f t="shared" si="755"/>
        <v>1.7424000000000002</v>
      </c>
      <c r="G764">
        <f t="shared" ref="G764" si="814">D759+D760+D761+D762+D763+D764</f>
        <v>100.29999999999998</v>
      </c>
      <c r="H764">
        <f t="shared" si="754"/>
        <v>2035</v>
      </c>
      <c r="I764">
        <v>1</v>
      </c>
      <c r="J764">
        <f t="shared" si="757"/>
        <v>92.388499999999894</v>
      </c>
      <c r="K764">
        <f t="shared" si="758"/>
        <v>0</v>
      </c>
      <c r="L764">
        <f t="shared" si="759"/>
        <v>92.388499999999894</v>
      </c>
    </row>
    <row r="765" spans="2:12">
      <c r="B765" s="1">
        <v>49403</v>
      </c>
      <c r="C765" t="s">
        <v>50</v>
      </c>
      <c r="D765">
        <v>28.6</v>
      </c>
      <c r="E765">
        <v>23.2</v>
      </c>
      <c r="F765">
        <f t="shared" si="755"/>
        <v>6.6352000000000002</v>
      </c>
      <c r="G765">
        <f t="shared" ref="G765" si="815">D759+D760+D761+D762+D763+D764+D765</f>
        <v>128.89999999999998</v>
      </c>
      <c r="H765">
        <f t="shared" si="754"/>
        <v>2035</v>
      </c>
      <c r="I765">
        <v>1</v>
      </c>
      <c r="J765">
        <f t="shared" si="757"/>
        <v>99.023699999999891</v>
      </c>
      <c r="K765">
        <f t="shared" si="758"/>
        <v>0</v>
      </c>
      <c r="L765">
        <f t="shared" si="759"/>
        <v>99.023699999999891</v>
      </c>
    </row>
    <row r="766" spans="2:12">
      <c r="B766" s="1">
        <v>49404</v>
      </c>
      <c r="C766" t="s">
        <v>17</v>
      </c>
      <c r="D766">
        <v>21.2</v>
      </c>
      <c r="E766">
        <v>1.5</v>
      </c>
      <c r="F766">
        <f t="shared" si="755"/>
        <v>0.31799999999999995</v>
      </c>
      <c r="G766">
        <f t="shared" ref="G766:G829" si="816">D766</f>
        <v>21.2</v>
      </c>
      <c r="H766">
        <f t="shared" si="754"/>
        <v>2035</v>
      </c>
      <c r="I766">
        <v>1</v>
      </c>
      <c r="J766">
        <f t="shared" si="757"/>
        <v>99.341699999999889</v>
      </c>
      <c r="K766">
        <f t="shared" si="758"/>
        <v>0</v>
      </c>
      <c r="L766">
        <f t="shared" si="759"/>
        <v>99.341699999999889</v>
      </c>
    </row>
    <row r="767" spans="2:12">
      <c r="B767" s="1">
        <v>49405</v>
      </c>
      <c r="C767" t="s">
        <v>21</v>
      </c>
      <c r="D767">
        <v>17.2</v>
      </c>
      <c r="E767">
        <v>2.4</v>
      </c>
      <c r="F767">
        <f t="shared" si="755"/>
        <v>0.41279999999999994</v>
      </c>
      <c r="G767">
        <f t="shared" ref="G767:G830" si="817">D766+D767</f>
        <v>38.4</v>
      </c>
      <c r="H767">
        <f t="shared" si="754"/>
        <v>2035</v>
      </c>
      <c r="I767">
        <v>1</v>
      </c>
      <c r="J767">
        <f t="shared" si="757"/>
        <v>99.754499999999894</v>
      </c>
      <c r="K767">
        <f t="shared" si="758"/>
        <v>0</v>
      </c>
      <c r="L767">
        <f t="shared" si="759"/>
        <v>99.754499999999894</v>
      </c>
    </row>
    <row r="768" spans="2:12">
      <c r="B768" s="1">
        <v>49406</v>
      </c>
      <c r="C768" t="s">
        <v>24</v>
      </c>
      <c r="D768">
        <v>22.3</v>
      </c>
      <c r="E768">
        <v>0</v>
      </c>
      <c r="F768">
        <f t="shared" si="755"/>
        <v>0</v>
      </c>
      <c r="G768">
        <f t="shared" ref="G768" si="818">D766+D767+D768</f>
        <v>60.7</v>
      </c>
      <c r="H768">
        <f t="shared" si="754"/>
        <v>2035</v>
      </c>
      <c r="I768">
        <v>1</v>
      </c>
      <c r="J768">
        <f t="shared" si="757"/>
        <v>99.754499999999894</v>
      </c>
      <c r="K768">
        <f t="shared" si="758"/>
        <v>0</v>
      </c>
      <c r="L768">
        <f t="shared" si="759"/>
        <v>99.754499999999894</v>
      </c>
    </row>
    <row r="769" spans="2:12">
      <c r="B769" s="1">
        <v>49407</v>
      </c>
      <c r="C769" t="s">
        <v>32</v>
      </c>
      <c r="D769">
        <v>13.2</v>
      </c>
      <c r="E769">
        <v>3.6</v>
      </c>
      <c r="F769">
        <f t="shared" si="755"/>
        <v>0.47519999999999996</v>
      </c>
      <c r="G769">
        <f t="shared" ref="G769" si="819">D766+D767+D768+D769</f>
        <v>73.900000000000006</v>
      </c>
      <c r="H769">
        <f t="shared" si="754"/>
        <v>2035</v>
      </c>
      <c r="I769">
        <v>1</v>
      </c>
      <c r="J769">
        <f t="shared" si="757"/>
        <v>100.22969999999989</v>
      </c>
      <c r="K769">
        <f t="shared" si="758"/>
        <v>1</v>
      </c>
      <c r="L769">
        <f t="shared" si="759"/>
        <v>0.22969999999989454</v>
      </c>
    </row>
    <row r="770" spans="2:12">
      <c r="B770" s="1">
        <v>49408</v>
      </c>
      <c r="C770" t="s">
        <v>47</v>
      </c>
      <c r="D770">
        <v>13.6</v>
      </c>
      <c r="E770">
        <v>13.4</v>
      </c>
      <c r="F770">
        <f t="shared" si="755"/>
        <v>1.8224</v>
      </c>
      <c r="G770">
        <f t="shared" ref="G770" si="820">D766+D767+D768+D769+D770</f>
        <v>87.5</v>
      </c>
      <c r="H770">
        <f t="shared" si="754"/>
        <v>2035</v>
      </c>
      <c r="I770">
        <v>1</v>
      </c>
      <c r="J770">
        <f t="shared" si="757"/>
        <v>2.0520999999998946</v>
      </c>
      <c r="K770">
        <f t="shared" si="758"/>
        <v>0</v>
      </c>
      <c r="L770">
        <f t="shared" si="759"/>
        <v>2.0520999999998946</v>
      </c>
    </row>
    <row r="771" spans="2:12">
      <c r="B771" s="1">
        <v>49409</v>
      </c>
      <c r="C771" t="s">
        <v>26</v>
      </c>
      <c r="D771">
        <v>15.7</v>
      </c>
      <c r="E771">
        <v>0</v>
      </c>
      <c r="F771">
        <f t="shared" si="755"/>
        <v>0</v>
      </c>
      <c r="G771">
        <f t="shared" ref="G771" si="821">D766+D767+D768+D769+D770+D771</f>
        <v>103.2</v>
      </c>
      <c r="H771">
        <f t="shared" si="754"/>
        <v>2035</v>
      </c>
      <c r="I771">
        <v>1</v>
      </c>
      <c r="J771">
        <f t="shared" si="757"/>
        <v>2.0520999999998946</v>
      </c>
      <c r="K771">
        <f t="shared" si="758"/>
        <v>0</v>
      </c>
      <c r="L771">
        <f t="shared" si="759"/>
        <v>2.0520999999998946</v>
      </c>
    </row>
    <row r="772" spans="2:12">
      <c r="B772" s="1">
        <v>49410</v>
      </c>
      <c r="C772" t="s">
        <v>21</v>
      </c>
      <c r="D772">
        <v>24.8</v>
      </c>
      <c r="E772">
        <v>0</v>
      </c>
      <c r="F772">
        <f t="shared" si="755"/>
        <v>0</v>
      </c>
      <c r="G772">
        <f t="shared" ref="G772" si="822">D766+D767+D768+D769+D770+D771+D772</f>
        <v>128</v>
      </c>
      <c r="H772">
        <f t="shared" ref="H772:H835" si="823">YEAR(B772)</f>
        <v>2035</v>
      </c>
      <c r="I772">
        <v>1</v>
      </c>
      <c r="J772">
        <f t="shared" si="757"/>
        <v>2.0520999999998946</v>
      </c>
      <c r="K772">
        <f t="shared" si="758"/>
        <v>0</v>
      </c>
      <c r="L772">
        <f t="shared" si="759"/>
        <v>2.0520999999998946</v>
      </c>
    </row>
    <row r="773" spans="2:12">
      <c r="B773" s="1">
        <v>49411</v>
      </c>
      <c r="C773" t="s">
        <v>24</v>
      </c>
      <c r="D773">
        <v>25.1</v>
      </c>
      <c r="E773">
        <v>5.0999999999999996</v>
      </c>
      <c r="F773">
        <f t="shared" ref="F773:F836" si="824">IF(E773&gt;=1,D773*E773/100,0)</f>
        <v>1.2801</v>
      </c>
      <c r="G773">
        <f t="shared" ref="G773:G836" si="825">D773</f>
        <v>25.1</v>
      </c>
      <c r="H773">
        <f t="shared" si="823"/>
        <v>2035</v>
      </c>
      <c r="I773">
        <v>1</v>
      </c>
      <c r="J773">
        <f t="shared" ref="J773:J836" si="826">L772+F773</f>
        <v>3.3321999999998946</v>
      </c>
      <c r="K773">
        <f t="shared" ref="K773:K836" si="827">IF(J773&gt;=100,1,0)</f>
        <v>0</v>
      </c>
      <c r="L773">
        <f t="shared" ref="L773:L836" si="828">IF(K773=1,J773-100,J773)</f>
        <v>3.3321999999998946</v>
      </c>
    </row>
    <row r="774" spans="2:12">
      <c r="B774" s="1">
        <v>49412</v>
      </c>
      <c r="C774" t="s">
        <v>50</v>
      </c>
      <c r="D774">
        <v>14.2</v>
      </c>
      <c r="E774">
        <v>23.5</v>
      </c>
      <c r="F774">
        <f t="shared" si="824"/>
        <v>3.3369999999999997</v>
      </c>
      <c r="G774">
        <f t="shared" ref="G774:G837" si="829">D773+D774</f>
        <v>39.299999999999997</v>
      </c>
      <c r="H774">
        <f t="shared" si="823"/>
        <v>2035</v>
      </c>
      <c r="I774">
        <v>1</v>
      </c>
      <c r="J774">
        <f t="shared" si="826"/>
        <v>6.6691999999998943</v>
      </c>
      <c r="K774">
        <f t="shared" si="827"/>
        <v>0</v>
      </c>
      <c r="L774">
        <f t="shared" si="828"/>
        <v>6.6691999999998943</v>
      </c>
    </row>
    <row r="775" spans="2:12">
      <c r="B775" s="1">
        <v>49413</v>
      </c>
      <c r="C775" t="s">
        <v>31</v>
      </c>
      <c r="D775">
        <v>21.1</v>
      </c>
      <c r="E775">
        <v>1.4</v>
      </c>
      <c r="F775">
        <f t="shared" si="824"/>
        <v>0.2954</v>
      </c>
      <c r="G775">
        <f t="shared" ref="G775" si="830">D773+D774+D775</f>
        <v>60.4</v>
      </c>
      <c r="H775">
        <f t="shared" si="823"/>
        <v>2035</v>
      </c>
      <c r="I775">
        <v>1</v>
      </c>
      <c r="J775">
        <f t="shared" si="826"/>
        <v>6.9645999999998942</v>
      </c>
      <c r="K775">
        <f t="shared" si="827"/>
        <v>0</v>
      </c>
      <c r="L775">
        <f t="shared" si="828"/>
        <v>6.9645999999998942</v>
      </c>
    </row>
    <row r="776" spans="2:12">
      <c r="B776" s="1">
        <v>49414</v>
      </c>
      <c r="C776" t="s">
        <v>24</v>
      </c>
      <c r="D776">
        <v>25.4</v>
      </c>
      <c r="E776">
        <v>28</v>
      </c>
      <c r="F776">
        <f t="shared" si="824"/>
        <v>7.1119999999999992</v>
      </c>
      <c r="G776">
        <f t="shared" ref="G776" si="831">D773+D774+D775+D776</f>
        <v>85.8</v>
      </c>
      <c r="H776">
        <f t="shared" si="823"/>
        <v>2035</v>
      </c>
      <c r="I776">
        <v>1</v>
      </c>
      <c r="J776">
        <f t="shared" si="826"/>
        <v>14.076599999999893</v>
      </c>
      <c r="K776">
        <f t="shared" si="827"/>
        <v>0</v>
      </c>
      <c r="L776">
        <f t="shared" si="828"/>
        <v>14.076599999999893</v>
      </c>
    </row>
    <row r="777" spans="2:12">
      <c r="B777" s="1">
        <v>49415</v>
      </c>
      <c r="C777" t="s">
        <v>24</v>
      </c>
      <c r="D777">
        <v>24.7</v>
      </c>
      <c r="E777">
        <v>5.7</v>
      </c>
      <c r="F777">
        <f t="shared" si="824"/>
        <v>1.4078999999999999</v>
      </c>
      <c r="G777">
        <f t="shared" ref="G777" si="832">D773+D774+D775+D776+D777</f>
        <v>110.5</v>
      </c>
      <c r="H777">
        <f t="shared" si="823"/>
        <v>2035</v>
      </c>
      <c r="I777">
        <v>1</v>
      </c>
      <c r="J777">
        <f t="shared" si="826"/>
        <v>15.484499999999892</v>
      </c>
      <c r="K777">
        <f t="shared" si="827"/>
        <v>0</v>
      </c>
      <c r="L777">
        <f t="shared" si="828"/>
        <v>15.484499999999892</v>
      </c>
    </row>
    <row r="778" spans="2:12">
      <c r="B778" s="1">
        <v>49416</v>
      </c>
      <c r="C778" t="s">
        <v>27</v>
      </c>
      <c r="D778">
        <v>19.8</v>
      </c>
      <c r="E778">
        <v>0</v>
      </c>
      <c r="F778">
        <f t="shared" si="824"/>
        <v>0</v>
      </c>
      <c r="G778">
        <f t="shared" ref="G778" si="833">D773+D774+D775+D776+D777+D778</f>
        <v>130.30000000000001</v>
      </c>
      <c r="H778">
        <f t="shared" si="823"/>
        <v>2035</v>
      </c>
      <c r="I778">
        <v>1</v>
      </c>
      <c r="J778">
        <f t="shared" si="826"/>
        <v>15.484499999999892</v>
      </c>
      <c r="K778">
        <f t="shared" si="827"/>
        <v>0</v>
      </c>
      <c r="L778">
        <f t="shared" si="828"/>
        <v>15.484499999999892</v>
      </c>
    </row>
    <row r="779" spans="2:12">
      <c r="B779" s="1">
        <v>49417</v>
      </c>
      <c r="C779" t="s">
        <v>38</v>
      </c>
      <c r="D779">
        <v>28.4</v>
      </c>
      <c r="E779">
        <v>2.9</v>
      </c>
      <c r="F779">
        <f t="shared" si="824"/>
        <v>0.8236</v>
      </c>
      <c r="G779">
        <f t="shared" ref="G779" si="834">D773+D774+D775+D776+D777+D778+D779</f>
        <v>158.70000000000002</v>
      </c>
      <c r="H779">
        <f t="shared" si="823"/>
        <v>2035</v>
      </c>
      <c r="I779">
        <v>1</v>
      </c>
      <c r="J779">
        <f t="shared" si="826"/>
        <v>16.308099999999893</v>
      </c>
      <c r="K779">
        <f t="shared" si="827"/>
        <v>0</v>
      </c>
      <c r="L779">
        <f t="shared" si="828"/>
        <v>16.308099999999893</v>
      </c>
    </row>
    <row r="780" spans="2:12">
      <c r="B780" s="1">
        <v>49418</v>
      </c>
      <c r="C780" t="s">
        <v>25</v>
      </c>
      <c r="D780">
        <v>26.5</v>
      </c>
      <c r="E780">
        <v>0</v>
      </c>
      <c r="F780">
        <f t="shared" si="824"/>
        <v>0</v>
      </c>
      <c r="G780">
        <f t="shared" ref="G780:G843" si="835">D780</f>
        <v>26.5</v>
      </c>
      <c r="H780">
        <f t="shared" si="823"/>
        <v>2035</v>
      </c>
      <c r="I780">
        <v>1</v>
      </c>
      <c r="J780">
        <f t="shared" si="826"/>
        <v>16.308099999999893</v>
      </c>
      <c r="K780">
        <f t="shared" si="827"/>
        <v>0</v>
      </c>
      <c r="L780">
        <f t="shared" si="828"/>
        <v>16.308099999999893</v>
      </c>
    </row>
    <row r="781" spans="2:12">
      <c r="B781" s="1">
        <v>49419</v>
      </c>
      <c r="C781" t="s">
        <v>24</v>
      </c>
      <c r="D781">
        <v>14.1</v>
      </c>
      <c r="E781">
        <v>13.1</v>
      </c>
      <c r="F781">
        <f t="shared" si="824"/>
        <v>1.8470999999999997</v>
      </c>
      <c r="G781">
        <f t="shared" ref="G781:G844" si="836">D780+D781</f>
        <v>40.6</v>
      </c>
      <c r="H781">
        <f t="shared" si="823"/>
        <v>2035</v>
      </c>
      <c r="I781">
        <v>1</v>
      </c>
      <c r="J781">
        <f t="shared" si="826"/>
        <v>18.155199999999894</v>
      </c>
      <c r="K781">
        <f t="shared" si="827"/>
        <v>0</v>
      </c>
      <c r="L781">
        <f t="shared" si="828"/>
        <v>18.155199999999894</v>
      </c>
    </row>
    <row r="782" spans="2:12">
      <c r="B782" s="1">
        <v>49420</v>
      </c>
      <c r="C782" t="s">
        <v>23</v>
      </c>
      <c r="D782">
        <v>15.9</v>
      </c>
      <c r="E782">
        <v>0.5</v>
      </c>
      <c r="F782">
        <f t="shared" si="824"/>
        <v>0</v>
      </c>
      <c r="G782">
        <f t="shared" ref="G782" si="837">D780+D781+D782</f>
        <v>56.5</v>
      </c>
      <c r="H782">
        <f t="shared" si="823"/>
        <v>2035</v>
      </c>
      <c r="I782">
        <v>1</v>
      </c>
      <c r="J782">
        <f t="shared" si="826"/>
        <v>18.155199999999894</v>
      </c>
      <c r="K782">
        <f t="shared" si="827"/>
        <v>0</v>
      </c>
      <c r="L782">
        <f t="shared" si="828"/>
        <v>18.155199999999894</v>
      </c>
    </row>
    <row r="783" spans="2:12">
      <c r="B783" s="1">
        <v>49421</v>
      </c>
      <c r="C783" t="s">
        <v>50</v>
      </c>
      <c r="D783">
        <v>28.2</v>
      </c>
      <c r="E783">
        <v>26.9</v>
      </c>
      <c r="F783">
        <f t="shared" si="824"/>
        <v>7.585799999999999</v>
      </c>
      <c r="G783">
        <f t="shared" ref="G783" si="838">D780+D781+D782+D783</f>
        <v>84.7</v>
      </c>
      <c r="H783">
        <f t="shared" si="823"/>
        <v>2035</v>
      </c>
      <c r="I783">
        <v>1</v>
      </c>
      <c r="J783">
        <f t="shared" si="826"/>
        <v>25.740999999999893</v>
      </c>
      <c r="K783">
        <f t="shared" si="827"/>
        <v>0</v>
      </c>
      <c r="L783">
        <f t="shared" si="828"/>
        <v>25.740999999999893</v>
      </c>
    </row>
    <row r="784" spans="2:12">
      <c r="B784" s="1">
        <v>49422</v>
      </c>
      <c r="C784" t="s">
        <v>23</v>
      </c>
      <c r="D784">
        <v>17.100000000000001</v>
      </c>
      <c r="E784">
        <v>0.5</v>
      </c>
      <c r="F784">
        <f t="shared" si="824"/>
        <v>0</v>
      </c>
      <c r="G784">
        <f t="shared" ref="G784" si="839">D780+D781+D782+D783+D784</f>
        <v>101.80000000000001</v>
      </c>
      <c r="H784">
        <f t="shared" si="823"/>
        <v>2035</v>
      </c>
      <c r="I784">
        <v>1</v>
      </c>
      <c r="J784">
        <f t="shared" si="826"/>
        <v>25.740999999999893</v>
      </c>
      <c r="K784">
        <f t="shared" si="827"/>
        <v>0</v>
      </c>
      <c r="L784">
        <f t="shared" si="828"/>
        <v>25.740999999999893</v>
      </c>
    </row>
    <row r="785" spans="2:12">
      <c r="B785" s="1">
        <v>49423</v>
      </c>
      <c r="C785" t="s">
        <v>50</v>
      </c>
      <c r="D785">
        <v>27</v>
      </c>
      <c r="E785">
        <v>0</v>
      </c>
      <c r="F785">
        <f t="shared" si="824"/>
        <v>0</v>
      </c>
      <c r="G785">
        <f t="shared" ref="G785" si="840">D780+D781+D782+D783+D784+D785</f>
        <v>128.80000000000001</v>
      </c>
      <c r="H785">
        <f t="shared" si="823"/>
        <v>2035</v>
      </c>
      <c r="I785">
        <v>1</v>
      </c>
      <c r="J785">
        <f t="shared" si="826"/>
        <v>25.740999999999893</v>
      </c>
      <c r="K785">
        <f t="shared" si="827"/>
        <v>0</v>
      </c>
      <c r="L785">
        <f t="shared" si="828"/>
        <v>25.740999999999893</v>
      </c>
    </row>
    <row r="786" spans="2:12">
      <c r="B786" s="1">
        <v>49424</v>
      </c>
      <c r="C786" t="s">
        <v>47</v>
      </c>
      <c r="D786">
        <v>24.1</v>
      </c>
      <c r="E786">
        <v>0</v>
      </c>
      <c r="F786">
        <f t="shared" si="824"/>
        <v>0</v>
      </c>
      <c r="G786">
        <f t="shared" ref="G786" si="841">D780+D781+D782+D783+D784+D785+D786</f>
        <v>152.9</v>
      </c>
      <c r="H786">
        <f t="shared" si="823"/>
        <v>2035</v>
      </c>
      <c r="I786">
        <v>1</v>
      </c>
      <c r="J786">
        <f t="shared" si="826"/>
        <v>25.740999999999893</v>
      </c>
      <c r="K786">
        <f t="shared" si="827"/>
        <v>0</v>
      </c>
      <c r="L786">
        <f t="shared" si="828"/>
        <v>25.740999999999893</v>
      </c>
    </row>
    <row r="787" spans="2:12">
      <c r="B787" s="1">
        <v>49425</v>
      </c>
      <c r="C787" t="s">
        <v>26</v>
      </c>
      <c r="D787">
        <v>10.4</v>
      </c>
      <c r="E787">
        <v>7.2</v>
      </c>
      <c r="F787">
        <f t="shared" si="824"/>
        <v>0.74880000000000013</v>
      </c>
      <c r="G787">
        <f t="shared" ref="G787:G850" si="842">D787</f>
        <v>10.4</v>
      </c>
      <c r="H787">
        <f t="shared" si="823"/>
        <v>2035</v>
      </c>
      <c r="I787">
        <v>1</v>
      </c>
      <c r="J787">
        <f t="shared" si="826"/>
        <v>26.489799999999892</v>
      </c>
      <c r="K787">
        <f t="shared" si="827"/>
        <v>0</v>
      </c>
      <c r="L787">
        <f t="shared" si="828"/>
        <v>26.489799999999892</v>
      </c>
    </row>
    <row r="788" spans="2:12">
      <c r="B788" s="1">
        <v>49426</v>
      </c>
      <c r="C788" t="s">
        <v>27</v>
      </c>
      <c r="D788">
        <v>27.2</v>
      </c>
      <c r="E788">
        <v>15.1</v>
      </c>
      <c r="F788">
        <f t="shared" si="824"/>
        <v>4.1071999999999997</v>
      </c>
      <c r="G788">
        <f t="shared" ref="G788:G851" si="843">D787+D788</f>
        <v>37.6</v>
      </c>
      <c r="H788">
        <f t="shared" si="823"/>
        <v>2035</v>
      </c>
      <c r="I788">
        <v>1</v>
      </c>
      <c r="J788">
        <f t="shared" si="826"/>
        <v>30.596999999999891</v>
      </c>
      <c r="K788">
        <f t="shared" si="827"/>
        <v>0</v>
      </c>
      <c r="L788">
        <f t="shared" si="828"/>
        <v>30.596999999999891</v>
      </c>
    </row>
    <row r="789" spans="2:12">
      <c r="B789" s="1">
        <v>49427</v>
      </c>
      <c r="C789" t="s">
        <v>43</v>
      </c>
      <c r="D789">
        <v>22.1</v>
      </c>
      <c r="E789">
        <v>0</v>
      </c>
      <c r="F789">
        <f t="shared" si="824"/>
        <v>0</v>
      </c>
      <c r="G789">
        <f t="shared" ref="G789" si="844">D787+D788+D789</f>
        <v>59.7</v>
      </c>
      <c r="H789">
        <f t="shared" si="823"/>
        <v>2035</v>
      </c>
      <c r="I789">
        <v>1</v>
      </c>
      <c r="J789">
        <f t="shared" si="826"/>
        <v>30.596999999999891</v>
      </c>
      <c r="K789">
        <f t="shared" si="827"/>
        <v>0</v>
      </c>
      <c r="L789">
        <f t="shared" si="828"/>
        <v>30.596999999999891</v>
      </c>
    </row>
    <row r="790" spans="2:12">
      <c r="B790" s="1">
        <v>49428</v>
      </c>
      <c r="C790" t="s">
        <v>31</v>
      </c>
      <c r="D790">
        <v>13.3</v>
      </c>
      <c r="E790">
        <v>8.5</v>
      </c>
      <c r="F790">
        <f t="shared" si="824"/>
        <v>1.1305000000000001</v>
      </c>
      <c r="G790">
        <f t="shared" ref="G790" si="845">D787+D788+D789+D790</f>
        <v>73</v>
      </c>
      <c r="H790">
        <f t="shared" si="823"/>
        <v>2035</v>
      </c>
      <c r="I790">
        <v>1</v>
      </c>
      <c r="J790">
        <f t="shared" si="826"/>
        <v>31.727499999999893</v>
      </c>
      <c r="K790">
        <f t="shared" si="827"/>
        <v>0</v>
      </c>
      <c r="L790">
        <f t="shared" si="828"/>
        <v>31.727499999999893</v>
      </c>
    </row>
    <row r="791" spans="2:12">
      <c r="B791" s="1">
        <v>49429</v>
      </c>
      <c r="C791" t="s">
        <v>26</v>
      </c>
      <c r="D791">
        <v>26.4</v>
      </c>
      <c r="E791">
        <v>0</v>
      </c>
      <c r="F791">
        <f t="shared" si="824"/>
        <v>0</v>
      </c>
      <c r="G791">
        <f t="shared" ref="G791" si="846">D787+D788+D789+D790+D791</f>
        <v>99.4</v>
      </c>
      <c r="H791">
        <f t="shared" si="823"/>
        <v>2035</v>
      </c>
      <c r="I791">
        <v>1</v>
      </c>
      <c r="J791">
        <f t="shared" si="826"/>
        <v>31.727499999999893</v>
      </c>
      <c r="K791">
        <f t="shared" si="827"/>
        <v>0</v>
      </c>
      <c r="L791">
        <f t="shared" si="828"/>
        <v>31.727499999999893</v>
      </c>
    </row>
    <row r="792" spans="2:12">
      <c r="B792" s="1">
        <v>49430</v>
      </c>
      <c r="C792" t="s">
        <v>49</v>
      </c>
      <c r="D792">
        <v>25.8</v>
      </c>
      <c r="E792">
        <v>2.9</v>
      </c>
      <c r="F792">
        <f t="shared" si="824"/>
        <v>0.74819999999999998</v>
      </c>
      <c r="G792">
        <f t="shared" ref="G792" si="847">D787+D788+D789+D790+D791+D792</f>
        <v>125.2</v>
      </c>
      <c r="H792">
        <f t="shared" si="823"/>
        <v>2035</v>
      </c>
      <c r="I792">
        <v>1</v>
      </c>
      <c r="J792">
        <f t="shared" si="826"/>
        <v>32.47569999999989</v>
      </c>
      <c r="K792">
        <f t="shared" si="827"/>
        <v>0</v>
      </c>
      <c r="L792">
        <f t="shared" si="828"/>
        <v>32.47569999999989</v>
      </c>
    </row>
    <row r="793" spans="2:12">
      <c r="B793" s="1">
        <v>49431</v>
      </c>
      <c r="C793" t="s">
        <v>32</v>
      </c>
      <c r="D793">
        <v>23</v>
      </c>
      <c r="E793">
        <v>3.8</v>
      </c>
      <c r="F793">
        <f t="shared" si="824"/>
        <v>0.87399999999999989</v>
      </c>
      <c r="G793">
        <f t="shared" ref="G793" si="848">D787+D788+D789+D790+D791+D792+D793</f>
        <v>148.19999999999999</v>
      </c>
      <c r="H793">
        <f t="shared" si="823"/>
        <v>2035</v>
      </c>
      <c r="I793">
        <v>1</v>
      </c>
      <c r="J793">
        <f t="shared" si="826"/>
        <v>33.349699999999892</v>
      </c>
      <c r="K793">
        <f t="shared" si="827"/>
        <v>0</v>
      </c>
      <c r="L793">
        <f t="shared" si="828"/>
        <v>33.349699999999892</v>
      </c>
    </row>
    <row r="794" spans="2:12">
      <c r="B794" s="1">
        <v>49432</v>
      </c>
      <c r="C794" t="s">
        <v>27</v>
      </c>
      <c r="D794">
        <v>22.7</v>
      </c>
      <c r="E794">
        <v>0</v>
      </c>
      <c r="F794">
        <f t="shared" si="824"/>
        <v>0</v>
      </c>
      <c r="G794">
        <f t="shared" ref="G794:G857" si="849">D794</f>
        <v>22.7</v>
      </c>
      <c r="H794">
        <f t="shared" si="823"/>
        <v>2035</v>
      </c>
      <c r="I794">
        <v>1</v>
      </c>
      <c r="J794">
        <f t="shared" si="826"/>
        <v>33.349699999999892</v>
      </c>
      <c r="K794">
        <f t="shared" si="827"/>
        <v>0</v>
      </c>
      <c r="L794">
        <f t="shared" si="828"/>
        <v>33.349699999999892</v>
      </c>
    </row>
    <row r="795" spans="2:12">
      <c r="B795" s="1">
        <v>49433</v>
      </c>
      <c r="C795" t="s">
        <v>36</v>
      </c>
      <c r="D795">
        <v>26.2</v>
      </c>
      <c r="E795">
        <v>5.0999999999999996</v>
      </c>
      <c r="F795">
        <f t="shared" si="824"/>
        <v>1.3361999999999998</v>
      </c>
      <c r="G795">
        <f t="shared" ref="G795:G858" si="850">D794+D795</f>
        <v>48.9</v>
      </c>
      <c r="H795">
        <f t="shared" si="823"/>
        <v>2035</v>
      </c>
      <c r="I795">
        <v>1</v>
      </c>
      <c r="J795">
        <f t="shared" si="826"/>
        <v>34.68589999999989</v>
      </c>
      <c r="K795">
        <f t="shared" si="827"/>
        <v>0</v>
      </c>
      <c r="L795">
        <f t="shared" si="828"/>
        <v>34.68589999999989</v>
      </c>
    </row>
    <row r="796" spans="2:12">
      <c r="B796" s="1">
        <v>49434</v>
      </c>
      <c r="C796" t="s">
        <v>31</v>
      </c>
      <c r="D796">
        <v>16.600000000000001</v>
      </c>
      <c r="E796">
        <v>0</v>
      </c>
      <c r="F796">
        <f t="shared" si="824"/>
        <v>0</v>
      </c>
      <c r="G796">
        <f t="shared" ref="G796" si="851">D794+D795+D796</f>
        <v>65.5</v>
      </c>
      <c r="H796">
        <f t="shared" si="823"/>
        <v>2035</v>
      </c>
      <c r="I796">
        <v>1</v>
      </c>
      <c r="J796">
        <f t="shared" si="826"/>
        <v>34.68589999999989</v>
      </c>
      <c r="K796">
        <f t="shared" si="827"/>
        <v>0</v>
      </c>
      <c r="L796">
        <f t="shared" si="828"/>
        <v>34.68589999999989</v>
      </c>
    </row>
    <row r="797" spans="2:12">
      <c r="B797" s="1">
        <v>49435</v>
      </c>
      <c r="C797" t="s">
        <v>35</v>
      </c>
      <c r="D797">
        <v>23.9</v>
      </c>
      <c r="E797">
        <v>0</v>
      </c>
      <c r="F797">
        <f t="shared" si="824"/>
        <v>0</v>
      </c>
      <c r="G797">
        <f t="shared" ref="G797" si="852">D794+D795+D796+D797</f>
        <v>89.4</v>
      </c>
      <c r="H797">
        <f t="shared" si="823"/>
        <v>2035</v>
      </c>
      <c r="I797">
        <v>1</v>
      </c>
      <c r="J797">
        <f t="shared" si="826"/>
        <v>34.68589999999989</v>
      </c>
      <c r="K797">
        <f t="shared" si="827"/>
        <v>0</v>
      </c>
      <c r="L797">
        <f t="shared" si="828"/>
        <v>34.68589999999989</v>
      </c>
    </row>
    <row r="798" spans="2:12">
      <c r="B798" s="1">
        <v>49436</v>
      </c>
      <c r="C798" t="s">
        <v>18</v>
      </c>
      <c r="D798">
        <v>10.6</v>
      </c>
      <c r="E798">
        <v>21.3</v>
      </c>
      <c r="F798">
        <f t="shared" si="824"/>
        <v>2.2578</v>
      </c>
      <c r="G798">
        <f t="shared" ref="G798" si="853">D794+D795+D796+D797+D798</f>
        <v>100</v>
      </c>
      <c r="H798">
        <f t="shared" si="823"/>
        <v>2035</v>
      </c>
      <c r="I798">
        <v>1</v>
      </c>
      <c r="J798">
        <f t="shared" si="826"/>
        <v>36.943699999999893</v>
      </c>
      <c r="K798">
        <f t="shared" si="827"/>
        <v>0</v>
      </c>
      <c r="L798">
        <f t="shared" si="828"/>
        <v>36.943699999999893</v>
      </c>
    </row>
    <row r="799" spans="2:12">
      <c r="B799" s="1">
        <v>49437</v>
      </c>
      <c r="C799" t="s">
        <v>24</v>
      </c>
      <c r="D799">
        <v>22.8</v>
      </c>
      <c r="E799">
        <v>24.6</v>
      </c>
      <c r="F799">
        <f t="shared" si="824"/>
        <v>5.6087999999999996</v>
      </c>
      <c r="G799">
        <f t="shared" ref="G799" si="854">D794+D795+D796+D797+D798+D799</f>
        <v>122.8</v>
      </c>
      <c r="H799">
        <f t="shared" si="823"/>
        <v>2035</v>
      </c>
      <c r="I799">
        <v>1</v>
      </c>
      <c r="J799">
        <f t="shared" si="826"/>
        <v>42.552499999999895</v>
      </c>
      <c r="K799">
        <f t="shared" si="827"/>
        <v>0</v>
      </c>
      <c r="L799">
        <f t="shared" si="828"/>
        <v>42.552499999999895</v>
      </c>
    </row>
    <row r="800" spans="2:12">
      <c r="B800" s="1">
        <v>49438</v>
      </c>
      <c r="C800" t="s">
        <v>15</v>
      </c>
      <c r="D800">
        <v>26.8</v>
      </c>
      <c r="E800">
        <v>7.5</v>
      </c>
      <c r="F800">
        <f t="shared" si="824"/>
        <v>2.0099999999999998</v>
      </c>
      <c r="G800">
        <f t="shared" ref="G800" si="855">D794+D795+D796+D797+D798+D799+D800</f>
        <v>149.6</v>
      </c>
      <c r="H800">
        <f t="shared" si="823"/>
        <v>2035</v>
      </c>
      <c r="I800">
        <v>1</v>
      </c>
      <c r="J800">
        <f t="shared" si="826"/>
        <v>44.562499999999893</v>
      </c>
      <c r="K800">
        <f t="shared" si="827"/>
        <v>0</v>
      </c>
      <c r="L800">
        <f t="shared" si="828"/>
        <v>44.562499999999893</v>
      </c>
    </row>
    <row r="801" spans="2:12">
      <c r="B801" s="1">
        <v>49439</v>
      </c>
      <c r="C801" t="s">
        <v>50</v>
      </c>
      <c r="D801">
        <v>21.3</v>
      </c>
      <c r="E801">
        <v>37.700000000000003</v>
      </c>
      <c r="F801">
        <f t="shared" si="824"/>
        <v>8.0301000000000009</v>
      </c>
      <c r="G801">
        <f t="shared" ref="G801:G864" si="856">D801</f>
        <v>21.3</v>
      </c>
      <c r="H801">
        <f t="shared" si="823"/>
        <v>2035</v>
      </c>
      <c r="I801">
        <v>1</v>
      </c>
      <c r="J801">
        <f t="shared" si="826"/>
        <v>52.592599999999891</v>
      </c>
      <c r="K801">
        <f t="shared" si="827"/>
        <v>0</v>
      </c>
      <c r="L801">
        <f t="shared" si="828"/>
        <v>52.592599999999891</v>
      </c>
    </row>
    <row r="802" spans="2:12">
      <c r="B802" s="1">
        <v>49440</v>
      </c>
      <c r="C802" t="s">
        <v>26</v>
      </c>
      <c r="D802">
        <v>20.3</v>
      </c>
      <c r="E802">
        <v>11</v>
      </c>
      <c r="F802">
        <f t="shared" si="824"/>
        <v>2.2330000000000001</v>
      </c>
      <c r="G802">
        <f t="shared" ref="G802:G865" si="857">D801+D802</f>
        <v>41.6</v>
      </c>
      <c r="H802">
        <f t="shared" si="823"/>
        <v>2035</v>
      </c>
      <c r="I802">
        <v>1</v>
      </c>
      <c r="J802">
        <f t="shared" si="826"/>
        <v>54.825599999999888</v>
      </c>
      <c r="K802">
        <f t="shared" si="827"/>
        <v>0</v>
      </c>
      <c r="L802">
        <f t="shared" si="828"/>
        <v>54.825599999999888</v>
      </c>
    </row>
    <row r="803" spans="2:12">
      <c r="B803" s="1">
        <v>49441</v>
      </c>
      <c r="C803" t="s">
        <v>50</v>
      </c>
      <c r="D803">
        <v>25.6</v>
      </c>
      <c r="E803">
        <v>20.100000000000001</v>
      </c>
      <c r="F803">
        <f t="shared" si="824"/>
        <v>5.1456000000000008</v>
      </c>
      <c r="G803">
        <f t="shared" ref="G803" si="858">D801+D802+D803</f>
        <v>67.2</v>
      </c>
      <c r="H803">
        <f t="shared" si="823"/>
        <v>2035</v>
      </c>
      <c r="I803">
        <v>1</v>
      </c>
      <c r="J803">
        <f t="shared" si="826"/>
        <v>59.971199999999889</v>
      </c>
      <c r="K803">
        <f t="shared" si="827"/>
        <v>0</v>
      </c>
      <c r="L803">
        <f t="shared" si="828"/>
        <v>59.971199999999889</v>
      </c>
    </row>
    <row r="804" spans="2:12">
      <c r="B804" s="1">
        <v>49442</v>
      </c>
      <c r="C804" t="s">
        <v>27</v>
      </c>
      <c r="D804">
        <v>25.1</v>
      </c>
      <c r="E804">
        <v>14.7</v>
      </c>
      <c r="F804">
        <f t="shared" si="824"/>
        <v>3.6897000000000002</v>
      </c>
      <c r="G804">
        <f t="shared" ref="G804" si="859">D801+D802+D803+D804</f>
        <v>92.300000000000011</v>
      </c>
      <c r="H804">
        <f t="shared" si="823"/>
        <v>2035</v>
      </c>
      <c r="I804">
        <v>1</v>
      </c>
      <c r="J804">
        <f t="shared" si="826"/>
        <v>63.660899999999891</v>
      </c>
      <c r="K804">
        <f t="shared" si="827"/>
        <v>0</v>
      </c>
      <c r="L804">
        <f t="shared" si="828"/>
        <v>63.660899999999891</v>
      </c>
    </row>
    <row r="805" spans="2:12">
      <c r="B805" s="1">
        <v>49443</v>
      </c>
      <c r="C805" t="s">
        <v>18</v>
      </c>
      <c r="D805">
        <v>24.3</v>
      </c>
      <c r="E805">
        <v>24.3</v>
      </c>
      <c r="F805">
        <f t="shared" si="824"/>
        <v>5.9049000000000005</v>
      </c>
      <c r="G805">
        <f t="shared" ref="G805" si="860">D801+D802+D803+D804+D805</f>
        <v>116.60000000000001</v>
      </c>
      <c r="H805">
        <f t="shared" si="823"/>
        <v>2035</v>
      </c>
      <c r="I805">
        <v>1</v>
      </c>
      <c r="J805">
        <f t="shared" si="826"/>
        <v>69.565799999999896</v>
      </c>
      <c r="K805">
        <f t="shared" si="827"/>
        <v>0</v>
      </c>
      <c r="L805">
        <f t="shared" si="828"/>
        <v>69.565799999999896</v>
      </c>
    </row>
    <row r="806" spans="2:12">
      <c r="B806" s="1">
        <v>49444</v>
      </c>
      <c r="C806" t="s">
        <v>31</v>
      </c>
      <c r="D806">
        <v>12.9</v>
      </c>
      <c r="E806">
        <v>2.7</v>
      </c>
      <c r="F806">
        <f t="shared" si="824"/>
        <v>0.34830000000000005</v>
      </c>
      <c r="G806">
        <f t="shared" ref="G806" si="861">D801+D802+D803+D804+D805+D806</f>
        <v>129.5</v>
      </c>
      <c r="H806">
        <f t="shared" si="823"/>
        <v>2035</v>
      </c>
      <c r="I806">
        <v>1</v>
      </c>
      <c r="J806">
        <f t="shared" si="826"/>
        <v>69.914099999999891</v>
      </c>
      <c r="K806">
        <f t="shared" si="827"/>
        <v>0</v>
      </c>
      <c r="L806">
        <f t="shared" si="828"/>
        <v>69.914099999999891</v>
      </c>
    </row>
    <row r="807" spans="2:12">
      <c r="B807" s="1">
        <v>49445</v>
      </c>
      <c r="C807" t="s">
        <v>50</v>
      </c>
      <c r="D807">
        <v>16.7</v>
      </c>
      <c r="E807">
        <v>27.7</v>
      </c>
      <c r="F807">
        <f t="shared" si="824"/>
        <v>4.6258999999999997</v>
      </c>
      <c r="G807">
        <f t="shared" ref="G807" si="862">D801+D802+D803+D804+D805+D806+D807</f>
        <v>146.19999999999999</v>
      </c>
      <c r="H807">
        <f t="shared" si="823"/>
        <v>2035</v>
      </c>
      <c r="I807">
        <v>1</v>
      </c>
      <c r="J807">
        <f t="shared" si="826"/>
        <v>74.539999999999893</v>
      </c>
      <c r="K807">
        <f t="shared" si="827"/>
        <v>0</v>
      </c>
      <c r="L807">
        <f t="shared" si="828"/>
        <v>74.539999999999893</v>
      </c>
    </row>
    <row r="808" spans="2:12">
      <c r="B808" s="1">
        <v>49446</v>
      </c>
      <c r="C808" t="s">
        <v>24</v>
      </c>
      <c r="D808">
        <v>16.2</v>
      </c>
      <c r="E808">
        <v>20.5</v>
      </c>
      <c r="F808">
        <f t="shared" si="824"/>
        <v>3.3209999999999997</v>
      </c>
      <c r="G808">
        <f t="shared" ref="G808:G871" si="863">D808</f>
        <v>16.2</v>
      </c>
      <c r="H808">
        <f t="shared" si="823"/>
        <v>2035</v>
      </c>
      <c r="I808">
        <v>1</v>
      </c>
      <c r="J808">
        <f t="shared" si="826"/>
        <v>77.860999999999891</v>
      </c>
      <c r="K808">
        <f t="shared" si="827"/>
        <v>0</v>
      </c>
      <c r="L808">
        <f t="shared" si="828"/>
        <v>77.860999999999891</v>
      </c>
    </row>
    <row r="809" spans="2:12">
      <c r="B809" s="1">
        <v>49447</v>
      </c>
      <c r="C809" t="s">
        <v>26</v>
      </c>
      <c r="D809">
        <v>19.5</v>
      </c>
      <c r="E809">
        <v>5.0999999999999996</v>
      </c>
      <c r="F809">
        <f t="shared" si="824"/>
        <v>0.99449999999999994</v>
      </c>
      <c r="G809">
        <f t="shared" ref="G809:G872" si="864">D808+D809</f>
        <v>35.700000000000003</v>
      </c>
      <c r="H809">
        <f t="shared" si="823"/>
        <v>2035</v>
      </c>
      <c r="I809">
        <v>1</v>
      </c>
      <c r="J809">
        <f t="shared" si="826"/>
        <v>78.855499999999893</v>
      </c>
      <c r="K809">
        <f t="shared" si="827"/>
        <v>0</v>
      </c>
      <c r="L809">
        <f t="shared" si="828"/>
        <v>78.855499999999893</v>
      </c>
    </row>
    <row r="810" spans="2:12">
      <c r="B810" s="1">
        <v>49448</v>
      </c>
      <c r="C810" t="s">
        <v>24</v>
      </c>
      <c r="D810">
        <v>22.9</v>
      </c>
      <c r="E810">
        <v>6.6</v>
      </c>
      <c r="F810">
        <f t="shared" si="824"/>
        <v>1.5113999999999999</v>
      </c>
      <c r="G810">
        <f t="shared" ref="G810" si="865">D808+D809+D810</f>
        <v>58.6</v>
      </c>
      <c r="H810">
        <f t="shared" si="823"/>
        <v>2035</v>
      </c>
      <c r="I810">
        <v>1</v>
      </c>
      <c r="J810">
        <f t="shared" si="826"/>
        <v>80.366899999999887</v>
      </c>
      <c r="K810">
        <f t="shared" si="827"/>
        <v>0</v>
      </c>
      <c r="L810">
        <f t="shared" si="828"/>
        <v>80.366899999999887</v>
      </c>
    </row>
    <row r="811" spans="2:12">
      <c r="B811" s="1">
        <v>49449</v>
      </c>
      <c r="C811" t="s">
        <v>50</v>
      </c>
      <c r="D811">
        <v>25.9</v>
      </c>
      <c r="E811">
        <v>4.4000000000000004</v>
      </c>
      <c r="F811">
        <f t="shared" si="824"/>
        <v>1.1396000000000002</v>
      </c>
      <c r="G811">
        <f t="shared" ref="G811" si="866">D808+D809+D810+D811</f>
        <v>84.5</v>
      </c>
      <c r="H811">
        <f t="shared" si="823"/>
        <v>2035</v>
      </c>
      <c r="I811">
        <v>1</v>
      </c>
      <c r="J811">
        <f t="shared" si="826"/>
        <v>81.506499999999889</v>
      </c>
      <c r="K811">
        <f t="shared" si="827"/>
        <v>0</v>
      </c>
      <c r="L811">
        <f t="shared" si="828"/>
        <v>81.506499999999889</v>
      </c>
    </row>
    <row r="812" spans="2:12">
      <c r="B812" s="1">
        <v>49450</v>
      </c>
      <c r="C812" t="s">
        <v>47</v>
      </c>
      <c r="D812">
        <v>20.3</v>
      </c>
      <c r="E812">
        <v>4.5999999999999996</v>
      </c>
      <c r="F812">
        <f t="shared" si="824"/>
        <v>0.93379999999999996</v>
      </c>
      <c r="G812">
        <f t="shared" ref="G812" si="867">D808+D809+D810+D811+D812</f>
        <v>104.8</v>
      </c>
      <c r="H812">
        <f t="shared" si="823"/>
        <v>2035</v>
      </c>
      <c r="I812">
        <v>1</v>
      </c>
      <c r="J812">
        <f t="shared" si="826"/>
        <v>82.440299999999894</v>
      </c>
      <c r="K812">
        <f t="shared" si="827"/>
        <v>0</v>
      </c>
      <c r="L812">
        <f t="shared" si="828"/>
        <v>82.440299999999894</v>
      </c>
    </row>
    <row r="813" spans="2:12">
      <c r="B813" s="1">
        <v>49451</v>
      </c>
      <c r="C813" t="s">
        <v>23</v>
      </c>
      <c r="D813">
        <v>11.3</v>
      </c>
      <c r="E813">
        <v>0.3</v>
      </c>
      <c r="F813">
        <f t="shared" si="824"/>
        <v>0</v>
      </c>
      <c r="G813">
        <f t="shared" ref="G813" si="868">D808+D809+D810+D811+D812+D813</f>
        <v>116.1</v>
      </c>
      <c r="H813">
        <f t="shared" si="823"/>
        <v>2035</v>
      </c>
      <c r="I813">
        <v>1</v>
      </c>
      <c r="J813">
        <f t="shared" si="826"/>
        <v>82.440299999999894</v>
      </c>
      <c r="K813">
        <f t="shared" si="827"/>
        <v>0</v>
      </c>
      <c r="L813">
        <f t="shared" si="828"/>
        <v>82.440299999999894</v>
      </c>
    </row>
    <row r="814" spans="2:12">
      <c r="B814" s="1">
        <v>49452</v>
      </c>
      <c r="C814" t="s">
        <v>24</v>
      </c>
      <c r="D814">
        <v>27.4</v>
      </c>
      <c r="E814">
        <v>29.9</v>
      </c>
      <c r="F814">
        <f t="shared" si="824"/>
        <v>8.1925999999999988</v>
      </c>
      <c r="G814">
        <f t="shared" ref="G814" si="869">D808+D809+D810+D811+D812+D813+D814</f>
        <v>143.5</v>
      </c>
      <c r="H814">
        <f t="shared" si="823"/>
        <v>2035</v>
      </c>
      <c r="I814">
        <v>1</v>
      </c>
      <c r="J814">
        <f t="shared" si="826"/>
        <v>90.632899999999893</v>
      </c>
      <c r="K814">
        <f t="shared" si="827"/>
        <v>0</v>
      </c>
      <c r="L814">
        <f t="shared" si="828"/>
        <v>90.632899999999893</v>
      </c>
    </row>
    <row r="815" spans="2:12">
      <c r="B815" s="1">
        <v>49453</v>
      </c>
      <c r="C815" t="s">
        <v>50</v>
      </c>
      <c r="D815">
        <v>29.2</v>
      </c>
      <c r="E815">
        <v>0</v>
      </c>
      <c r="F815">
        <f t="shared" si="824"/>
        <v>0</v>
      </c>
      <c r="G815">
        <f t="shared" ref="G815:G878" si="870">D815</f>
        <v>29.2</v>
      </c>
      <c r="H815">
        <f t="shared" si="823"/>
        <v>2035</v>
      </c>
      <c r="I815">
        <v>1</v>
      </c>
      <c r="J815">
        <f t="shared" si="826"/>
        <v>90.632899999999893</v>
      </c>
      <c r="K815">
        <f t="shared" si="827"/>
        <v>0</v>
      </c>
      <c r="L815">
        <f t="shared" si="828"/>
        <v>90.632899999999893</v>
      </c>
    </row>
    <row r="816" spans="2:12">
      <c r="B816" s="1">
        <v>49454</v>
      </c>
      <c r="C816" t="s">
        <v>12</v>
      </c>
      <c r="D816">
        <v>27.4</v>
      </c>
      <c r="E816">
        <v>0</v>
      </c>
      <c r="F816">
        <f t="shared" si="824"/>
        <v>0</v>
      </c>
      <c r="G816">
        <f t="shared" ref="G816:G879" si="871">D815+D816</f>
        <v>56.599999999999994</v>
      </c>
      <c r="H816">
        <f t="shared" si="823"/>
        <v>2035</v>
      </c>
      <c r="I816">
        <v>1</v>
      </c>
      <c r="J816">
        <f t="shared" si="826"/>
        <v>90.632899999999893</v>
      </c>
      <c r="K816">
        <f t="shared" si="827"/>
        <v>0</v>
      </c>
      <c r="L816">
        <f t="shared" si="828"/>
        <v>90.632899999999893</v>
      </c>
    </row>
    <row r="817" spans="2:12">
      <c r="B817" s="1">
        <v>49455</v>
      </c>
      <c r="C817" t="s">
        <v>50</v>
      </c>
      <c r="D817">
        <v>10.1</v>
      </c>
      <c r="E817">
        <v>8.1</v>
      </c>
      <c r="F817">
        <f t="shared" si="824"/>
        <v>0.81809999999999983</v>
      </c>
      <c r="G817">
        <f t="shared" ref="G817" si="872">D815+D816+D817</f>
        <v>66.699999999999989</v>
      </c>
      <c r="H817">
        <f t="shared" si="823"/>
        <v>2035</v>
      </c>
      <c r="I817">
        <v>1</v>
      </c>
      <c r="J817">
        <f t="shared" si="826"/>
        <v>91.450999999999894</v>
      </c>
      <c r="K817">
        <f t="shared" si="827"/>
        <v>0</v>
      </c>
      <c r="L817">
        <f t="shared" si="828"/>
        <v>91.450999999999894</v>
      </c>
    </row>
    <row r="818" spans="2:12">
      <c r="B818" s="1">
        <v>49456</v>
      </c>
      <c r="C818" t="s">
        <v>15</v>
      </c>
      <c r="D818">
        <v>12.9</v>
      </c>
      <c r="E818">
        <v>5.9</v>
      </c>
      <c r="F818">
        <f t="shared" si="824"/>
        <v>0.76110000000000011</v>
      </c>
      <c r="G818">
        <f t="shared" ref="G818" si="873">D815+D816+D817+D818</f>
        <v>79.599999999999994</v>
      </c>
      <c r="H818">
        <f t="shared" si="823"/>
        <v>2035</v>
      </c>
      <c r="I818">
        <v>1</v>
      </c>
      <c r="J818">
        <f t="shared" si="826"/>
        <v>92.212099999999893</v>
      </c>
      <c r="K818">
        <f t="shared" si="827"/>
        <v>0</v>
      </c>
      <c r="L818">
        <f t="shared" si="828"/>
        <v>92.212099999999893</v>
      </c>
    </row>
    <row r="819" spans="2:12">
      <c r="B819" s="1">
        <v>49457</v>
      </c>
      <c r="C819" t="s">
        <v>31</v>
      </c>
      <c r="D819">
        <v>18.7</v>
      </c>
      <c r="E819">
        <v>0</v>
      </c>
      <c r="F819">
        <f t="shared" si="824"/>
        <v>0</v>
      </c>
      <c r="G819">
        <f t="shared" ref="G819" si="874">D815+D816+D817+D818+D819</f>
        <v>98.3</v>
      </c>
      <c r="H819">
        <f t="shared" si="823"/>
        <v>2035</v>
      </c>
      <c r="I819">
        <v>1</v>
      </c>
      <c r="J819">
        <f t="shared" si="826"/>
        <v>92.212099999999893</v>
      </c>
      <c r="K819">
        <f t="shared" si="827"/>
        <v>0</v>
      </c>
      <c r="L819">
        <f t="shared" si="828"/>
        <v>92.212099999999893</v>
      </c>
    </row>
    <row r="820" spans="2:12">
      <c r="B820" s="1">
        <v>49458</v>
      </c>
      <c r="C820" t="s">
        <v>45</v>
      </c>
      <c r="D820">
        <v>17.8</v>
      </c>
      <c r="E820">
        <v>0.3</v>
      </c>
      <c r="F820">
        <f t="shared" si="824"/>
        <v>0</v>
      </c>
      <c r="G820">
        <f t="shared" ref="G820" si="875">D815+D816+D817+D818+D819+D820</f>
        <v>116.1</v>
      </c>
      <c r="H820">
        <f t="shared" si="823"/>
        <v>2035</v>
      </c>
      <c r="I820">
        <v>1</v>
      </c>
      <c r="J820">
        <f t="shared" si="826"/>
        <v>92.212099999999893</v>
      </c>
      <c r="K820">
        <f t="shared" si="827"/>
        <v>0</v>
      </c>
      <c r="L820">
        <f t="shared" si="828"/>
        <v>92.212099999999893</v>
      </c>
    </row>
    <row r="821" spans="2:12">
      <c r="B821" s="1">
        <v>49459</v>
      </c>
      <c r="C821" t="s">
        <v>24</v>
      </c>
      <c r="D821">
        <v>24.7</v>
      </c>
      <c r="E821">
        <v>42.9</v>
      </c>
      <c r="F821">
        <f t="shared" si="824"/>
        <v>10.596299999999999</v>
      </c>
      <c r="G821">
        <f t="shared" ref="G821" si="876">D815+D816+D817+D818+D819+D820+D821</f>
        <v>140.79999999999998</v>
      </c>
      <c r="H821">
        <f t="shared" si="823"/>
        <v>2035</v>
      </c>
      <c r="I821">
        <v>1</v>
      </c>
      <c r="J821">
        <f t="shared" si="826"/>
        <v>102.80839999999989</v>
      </c>
      <c r="K821">
        <f t="shared" si="827"/>
        <v>1</v>
      </c>
      <c r="L821">
        <f t="shared" si="828"/>
        <v>2.8083999999998923</v>
      </c>
    </row>
    <row r="822" spans="2:12">
      <c r="B822" s="1">
        <v>49460</v>
      </c>
      <c r="C822" t="s">
        <v>24</v>
      </c>
      <c r="D822">
        <v>28.7</v>
      </c>
      <c r="E822">
        <v>33.799999999999997</v>
      </c>
      <c r="F822">
        <f t="shared" si="824"/>
        <v>9.7005999999999997</v>
      </c>
      <c r="G822">
        <f t="shared" ref="G822:G885" si="877">D822</f>
        <v>28.7</v>
      </c>
      <c r="H822">
        <f t="shared" si="823"/>
        <v>2035</v>
      </c>
      <c r="I822">
        <v>1</v>
      </c>
      <c r="J822">
        <f t="shared" si="826"/>
        <v>12.508999999999892</v>
      </c>
      <c r="K822">
        <f t="shared" si="827"/>
        <v>0</v>
      </c>
      <c r="L822">
        <f t="shared" si="828"/>
        <v>12.508999999999892</v>
      </c>
    </row>
    <row r="823" spans="2:12">
      <c r="B823" s="1">
        <v>49461</v>
      </c>
      <c r="C823" t="s">
        <v>47</v>
      </c>
      <c r="D823">
        <v>12.3</v>
      </c>
      <c r="E823">
        <v>1.7</v>
      </c>
      <c r="F823">
        <f t="shared" si="824"/>
        <v>0.20910000000000001</v>
      </c>
      <c r="G823">
        <f t="shared" ref="G823:G886" si="878">D822+D823</f>
        <v>41</v>
      </c>
      <c r="H823">
        <f t="shared" si="823"/>
        <v>2035</v>
      </c>
      <c r="I823">
        <v>1</v>
      </c>
      <c r="J823">
        <f t="shared" si="826"/>
        <v>12.718099999999891</v>
      </c>
      <c r="K823">
        <f t="shared" si="827"/>
        <v>0</v>
      </c>
      <c r="L823">
        <f t="shared" si="828"/>
        <v>12.718099999999891</v>
      </c>
    </row>
    <row r="824" spans="2:12">
      <c r="B824" s="1">
        <v>49462</v>
      </c>
      <c r="C824" t="s">
        <v>50</v>
      </c>
      <c r="D824">
        <v>22.9</v>
      </c>
      <c r="E824">
        <v>0</v>
      </c>
      <c r="F824">
        <f t="shared" si="824"/>
        <v>0</v>
      </c>
      <c r="G824">
        <f t="shared" ref="G824" si="879">D822+D823+D824</f>
        <v>63.9</v>
      </c>
      <c r="H824">
        <f t="shared" si="823"/>
        <v>2035</v>
      </c>
      <c r="I824">
        <v>1</v>
      </c>
      <c r="J824">
        <f t="shared" si="826"/>
        <v>12.718099999999891</v>
      </c>
      <c r="K824">
        <f t="shared" si="827"/>
        <v>0</v>
      </c>
      <c r="L824">
        <f t="shared" si="828"/>
        <v>12.718099999999891</v>
      </c>
    </row>
    <row r="825" spans="2:12">
      <c r="B825" s="1">
        <v>49463</v>
      </c>
      <c r="C825" t="s">
        <v>42</v>
      </c>
      <c r="D825">
        <v>20</v>
      </c>
      <c r="E825">
        <v>3</v>
      </c>
      <c r="F825">
        <f t="shared" si="824"/>
        <v>0.6</v>
      </c>
      <c r="G825">
        <f t="shared" ref="G825" si="880">D822+D823+D824+D825</f>
        <v>83.9</v>
      </c>
      <c r="H825">
        <f t="shared" si="823"/>
        <v>2035</v>
      </c>
      <c r="I825">
        <v>1</v>
      </c>
      <c r="J825">
        <f t="shared" si="826"/>
        <v>13.318099999999891</v>
      </c>
      <c r="K825">
        <f t="shared" si="827"/>
        <v>0</v>
      </c>
      <c r="L825">
        <f t="shared" si="828"/>
        <v>13.318099999999891</v>
      </c>
    </row>
    <row r="826" spans="2:12">
      <c r="B826" s="1">
        <v>49464</v>
      </c>
      <c r="C826" t="s">
        <v>24</v>
      </c>
      <c r="D826">
        <v>27.3</v>
      </c>
      <c r="E826">
        <v>0</v>
      </c>
      <c r="F826">
        <f t="shared" si="824"/>
        <v>0</v>
      </c>
      <c r="G826">
        <f t="shared" ref="G826" si="881">D822+D823+D824+D825+D826</f>
        <v>111.2</v>
      </c>
      <c r="H826">
        <f t="shared" si="823"/>
        <v>2035</v>
      </c>
      <c r="I826">
        <v>1</v>
      </c>
      <c r="J826">
        <f t="shared" si="826"/>
        <v>13.318099999999891</v>
      </c>
      <c r="K826">
        <f t="shared" si="827"/>
        <v>0</v>
      </c>
      <c r="L826">
        <f t="shared" si="828"/>
        <v>13.318099999999891</v>
      </c>
    </row>
    <row r="827" spans="2:12">
      <c r="B827" s="1">
        <v>49465</v>
      </c>
      <c r="C827" t="s">
        <v>27</v>
      </c>
      <c r="D827">
        <v>29.9</v>
      </c>
      <c r="E827">
        <v>7.7</v>
      </c>
      <c r="F827">
        <f t="shared" si="824"/>
        <v>2.3022999999999998</v>
      </c>
      <c r="G827">
        <f t="shared" ref="G827" si="882">D822+D823+D824+D825+D826+D827</f>
        <v>141.1</v>
      </c>
      <c r="H827">
        <f t="shared" si="823"/>
        <v>2035</v>
      </c>
      <c r="I827">
        <v>1</v>
      </c>
      <c r="J827">
        <f t="shared" si="826"/>
        <v>15.62039999999989</v>
      </c>
      <c r="K827">
        <f t="shared" si="827"/>
        <v>0</v>
      </c>
      <c r="L827">
        <f t="shared" si="828"/>
        <v>15.62039999999989</v>
      </c>
    </row>
    <row r="828" spans="2:12">
      <c r="B828" s="1">
        <v>49466</v>
      </c>
      <c r="C828" t="s">
        <v>26</v>
      </c>
      <c r="D828">
        <v>27.5</v>
      </c>
      <c r="E828">
        <v>2.7</v>
      </c>
      <c r="F828">
        <f t="shared" si="824"/>
        <v>0.74250000000000005</v>
      </c>
      <c r="G828">
        <f t="shared" ref="G828" si="883">D822+D823+D824+D825+D826+D827+D828</f>
        <v>168.6</v>
      </c>
      <c r="H828">
        <f t="shared" si="823"/>
        <v>2035</v>
      </c>
      <c r="I828">
        <v>1</v>
      </c>
      <c r="J828">
        <f t="shared" si="826"/>
        <v>16.36289999999989</v>
      </c>
      <c r="K828">
        <f t="shared" si="827"/>
        <v>0</v>
      </c>
      <c r="L828">
        <f t="shared" si="828"/>
        <v>16.36289999999989</v>
      </c>
    </row>
    <row r="829" spans="2:12">
      <c r="B829" s="1">
        <v>49467</v>
      </c>
      <c r="C829" t="s">
        <v>47</v>
      </c>
      <c r="D829">
        <v>16.5</v>
      </c>
      <c r="E829">
        <v>13.3</v>
      </c>
      <c r="F829">
        <f t="shared" si="824"/>
        <v>2.1945000000000001</v>
      </c>
      <c r="G829">
        <f t="shared" ref="G829:G892" si="884">D829</f>
        <v>16.5</v>
      </c>
      <c r="H829">
        <f t="shared" si="823"/>
        <v>2035</v>
      </c>
      <c r="I829">
        <v>1</v>
      </c>
      <c r="J829">
        <f t="shared" si="826"/>
        <v>18.557399999999891</v>
      </c>
      <c r="K829">
        <f t="shared" si="827"/>
        <v>0</v>
      </c>
      <c r="L829">
        <f t="shared" si="828"/>
        <v>18.557399999999891</v>
      </c>
    </row>
    <row r="830" spans="2:12">
      <c r="B830" s="1">
        <v>49468</v>
      </c>
      <c r="C830" t="s">
        <v>15</v>
      </c>
      <c r="D830">
        <v>23.5</v>
      </c>
      <c r="E830">
        <v>5.9</v>
      </c>
      <c r="F830">
        <f t="shared" si="824"/>
        <v>1.3865000000000001</v>
      </c>
      <c r="G830">
        <f t="shared" ref="G830:G893" si="885">D829+D830</f>
        <v>40</v>
      </c>
      <c r="H830">
        <f t="shared" si="823"/>
        <v>2035</v>
      </c>
      <c r="I830">
        <v>1</v>
      </c>
      <c r="J830">
        <f t="shared" si="826"/>
        <v>19.943899999999893</v>
      </c>
      <c r="K830">
        <f t="shared" si="827"/>
        <v>0</v>
      </c>
      <c r="L830">
        <f t="shared" si="828"/>
        <v>19.943899999999893</v>
      </c>
    </row>
    <row r="831" spans="2:12">
      <c r="B831" s="1">
        <v>49469</v>
      </c>
      <c r="C831" t="s">
        <v>15</v>
      </c>
      <c r="D831">
        <v>21.5</v>
      </c>
      <c r="E831">
        <v>4.0999999999999996</v>
      </c>
      <c r="F831">
        <f t="shared" si="824"/>
        <v>0.88149999999999995</v>
      </c>
      <c r="G831">
        <f t="shared" ref="G831" si="886">D829+D830+D831</f>
        <v>61.5</v>
      </c>
      <c r="H831">
        <f t="shared" si="823"/>
        <v>2035</v>
      </c>
      <c r="I831">
        <v>1</v>
      </c>
      <c r="J831">
        <f t="shared" si="826"/>
        <v>20.825399999999892</v>
      </c>
      <c r="K831">
        <f t="shared" si="827"/>
        <v>0</v>
      </c>
      <c r="L831">
        <f t="shared" si="828"/>
        <v>20.825399999999892</v>
      </c>
    </row>
    <row r="832" spans="2:12">
      <c r="B832" s="1">
        <v>49470</v>
      </c>
      <c r="C832" t="s">
        <v>32</v>
      </c>
      <c r="D832">
        <v>10.3</v>
      </c>
      <c r="E832">
        <v>15.6</v>
      </c>
      <c r="F832">
        <f t="shared" si="824"/>
        <v>1.6068</v>
      </c>
      <c r="G832">
        <f t="shared" ref="G832" si="887">D829+D830+D831+D832</f>
        <v>71.8</v>
      </c>
      <c r="H832">
        <f t="shared" si="823"/>
        <v>2035</v>
      </c>
      <c r="I832">
        <v>1</v>
      </c>
      <c r="J832">
        <f t="shared" si="826"/>
        <v>22.432199999999892</v>
      </c>
      <c r="K832">
        <f t="shared" si="827"/>
        <v>0</v>
      </c>
      <c r="L832">
        <f t="shared" si="828"/>
        <v>22.432199999999892</v>
      </c>
    </row>
    <row r="833" spans="2:12">
      <c r="B833" s="1">
        <v>49471</v>
      </c>
      <c r="C833" t="s">
        <v>24</v>
      </c>
      <c r="D833">
        <v>15</v>
      </c>
      <c r="E833">
        <v>0</v>
      </c>
      <c r="F833">
        <f t="shared" si="824"/>
        <v>0</v>
      </c>
      <c r="G833">
        <f t="shared" ref="G833" si="888">D829+D830+D831+D832+D833</f>
        <v>86.8</v>
      </c>
      <c r="H833">
        <f t="shared" si="823"/>
        <v>2035</v>
      </c>
      <c r="I833">
        <v>1</v>
      </c>
      <c r="J833">
        <f t="shared" si="826"/>
        <v>22.432199999999892</v>
      </c>
      <c r="K833">
        <f t="shared" si="827"/>
        <v>0</v>
      </c>
      <c r="L833">
        <f t="shared" si="828"/>
        <v>22.432199999999892</v>
      </c>
    </row>
    <row r="834" spans="2:12">
      <c r="B834" s="1">
        <v>49472</v>
      </c>
      <c r="C834" t="s">
        <v>17</v>
      </c>
      <c r="D834">
        <v>23.3</v>
      </c>
      <c r="E834">
        <v>5.3</v>
      </c>
      <c r="F834">
        <f t="shared" si="824"/>
        <v>1.2348999999999999</v>
      </c>
      <c r="G834">
        <f t="shared" ref="G834" si="889">D829+D830+D831+D832+D833+D834</f>
        <v>110.1</v>
      </c>
      <c r="H834">
        <f t="shared" si="823"/>
        <v>2035</v>
      </c>
      <c r="I834">
        <v>1</v>
      </c>
      <c r="J834">
        <f t="shared" si="826"/>
        <v>23.667099999999891</v>
      </c>
      <c r="K834">
        <f t="shared" si="827"/>
        <v>0</v>
      </c>
      <c r="L834">
        <f t="shared" si="828"/>
        <v>23.667099999999891</v>
      </c>
    </row>
    <row r="835" spans="2:12">
      <c r="B835" s="1">
        <v>49473</v>
      </c>
      <c r="C835" t="s">
        <v>32</v>
      </c>
      <c r="D835">
        <v>10.5</v>
      </c>
      <c r="E835">
        <v>14.4</v>
      </c>
      <c r="F835">
        <f t="shared" si="824"/>
        <v>1.5120000000000002</v>
      </c>
      <c r="G835">
        <f t="shared" ref="G835" si="890">D829+D830+D831+D832+D833+D834+D835</f>
        <v>120.6</v>
      </c>
      <c r="H835">
        <f t="shared" si="823"/>
        <v>2035</v>
      </c>
      <c r="I835">
        <v>1</v>
      </c>
      <c r="J835">
        <f t="shared" si="826"/>
        <v>25.179099999999892</v>
      </c>
      <c r="K835">
        <f t="shared" si="827"/>
        <v>0</v>
      </c>
      <c r="L835">
        <f t="shared" si="828"/>
        <v>25.179099999999892</v>
      </c>
    </row>
    <row r="836" spans="2:12">
      <c r="B836" s="1">
        <v>49474</v>
      </c>
      <c r="C836" t="s">
        <v>24</v>
      </c>
      <c r="D836">
        <v>18.5</v>
      </c>
      <c r="E836">
        <v>0</v>
      </c>
      <c r="F836">
        <f t="shared" si="824"/>
        <v>0</v>
      </c>
      <c r="G836">
        <f t="shared" ref="G836:G899" si="891">D836</f>
        <v>18.5</v>
      </c>
      <c r="H836">
        <f t="shared" ref="H836:H899" si="892">YEAR(B836)</f>
        <v>2035</v>
      </c>
      <c r="I836">
        <v>1</v>
      </c>
      <c r="J836">
        <f t="shared" si="826"/>
        <v>25.179099999999892</v>
      </c>
      <c r="K836">
        <f t="shared" si="827"/>
        <v>0</v>
      </c>
      <c r="L836">
        <f t="shared" si="828"/>
        <v>25.179099999999892</v>
      </c>
    </row>
    <row r="837" spans="2:12">
      <c r="B837" s="1">
        <v>49475</v>
      </c>
      <c r="C837" t="s">
        <v>31</v>
      </c>
      <c r="D837">
        <v>20.2</v>
      </c>
      <c r="E837">
        <v>5.4</v>
      </c>
      <c r="F837">
        <f t="shared" ref="F837:F900" si="893">IF(E837&gt;=1,D837*E837/100,0)</f>
        <v>1.0908</v>
      </c>
      <c r="G837">
        <f t="shared" ref="G837:G900" si="894">D836+D837</f>
        <v>38.700000000000003</v>
      </c>
      <c r="H837">
        <f t="shared" si="892"/>
        <v>2035</v>
      </c>
      <c r="I837">
        <v>1</v>
      </c>
      <c r="J837">
        <f t="shared" ref="J837:J900" si="895">L836+F837</f>
        <v>26.269899999999893</v>
      </c>
      <c r="K837">
        <f t="shared" ref="K837:K900" si="896">IF(J837&gt;=100,1,0)</f>
        <v>0</v>
      </c>
      <c r="L837">
        <f t="shared" ref="L837:L900" si="897">IF(K837=1,J837-100,J837)</f>
        <v>26.269899999999893</v>
      </c>
    </row>
    <row r="838" spans="2:12">
      <c r="B838" s="1">
        <v>49476</v>
      </c>
      <c r="C838" t="s">
        <v>35</v>
      </c>
      <c r="D838">
        <v>29</v>
      </c>
      <c r="E838">
        <v>4.2</v>
      </c>
      <c r="F838">
        <f t="shared" si="893"/>
        <v>1.2180000000000002</v>
      </c>
      <c r="G838">
        <f t="shared" ref="G838" si="898">D836+D837+D838</f>
        <v>67.7</v>
      </c>
      <c r="H838">
        <f t="shared" si="892"/>
        <v>2035</v>
      </c>
      <c r="I838">
        <v>1</v>
      </c>
      <c r="J838">
        <f t="shared" si="895"/>
        <v>27.487899999999893</v>
      </c>
      <c r="K838">
        <f t="shared" si="896"/>
        <v>0</v>
      </c>
      <c r="L838">
        <f t="shared" si="897"/>
        <v>27.487899999999893</v>
      </c>
    </row>
    <row r="839" spans="2:12">
      <c r="B839" s="1">
        <v>49477</v>
      </c>
      <c r="C839" t="s">
        <v>32</v>
      </c>
      <c r="D839">
        <v>12.1</v>
      </c>
      <c r="E839">
        <v>18.100000000000001</v>
      </c>
      <c r="F839">
        <f t="shared" si="893"/>
        <v>2.1901000000000002</v>
      </c>
      <c r="G839">
        <f t="shared" ref="G839" si="899">D836+D837+D838+D839</f>
        <v>79.8</v>
      </c>
      <c r="H839">
        <f t="shared" si="892"/>
        <v>2035</v>
      </c>
      <c r="I839">
        <v>1</v>
      </c>
      <c r="J839">
        <f t="shared" si="895"/>
        <v>29.677999999999894</v>
      </c>
      <c r="K839">
        <f t="shared" si="896"/>
        <v>0</v>
      </c>
      <c r="L839">
        <f t="shared" si="897"/>
        <v>29.677999999999894</v>
      </c>
    </row>
    <row r="840" spans="2:12">
      <c r="B840" s="1">
        <v>49478</v>
      </c>
      <c r="C840" t="s">
        <v>27</v>
      </c>
      <c r="D840">
        <v>14.1</v>
      </c>
      <c r="E840">
        <v>5.6</v>
      </c>
      <c r="F840">
        <f t="shared" si="893"/>
        <v>0.78959999999999997</v>
      </c>
      <c r="G840">
        <f t="shared" ref="G840" si="900">D836+D837+D838+D839+D840</f>
        <v>93.899999999999991</v>
      </c>
      <c r="H840">
        <f t="shared" si="892"/>
        <v>2035</v>
      </c>
      <c r="I840">
        <v>1</v>
      </c>
      <c r="J840">
        <f t="shared" si="895"/>
        <v>30.467599999999894</v>
      </c>
      <c r="K840">
        <f t="shared" si="896"/>
        <v>0</v>
      </c>
      <c r="L840">
        <f t="shared" si="897"/>
        <v>30.467599999999894</v>
      </c>
    </row>
    <row r="841" spans="2:12">
      <c r="B841" s="1">
        <v>49479</v>
      </c>
      <c r="C841" t="s">
        <v>24</v>
      </c>
      <c r="D841">
        <v>19.5</v>
      </c>
      <c r="E841">
        <v>2.7</v>
      </c>
      <c r="F841">
        <f t="shared" si="893"/>
        <v>0.52650000000000008</v>
      </c>
      <c r="G841">
        <f t="shared" ref="G841" si="901">D836+D837+D838+D839+D840+D841</f>
        <v>113.39999999999999</v>
      </c>
      <c r="H841">
        <f t="shared" si="892"/>
        <v>2035</v>
      </c>
      <c r="I841">
        <v>1</v>
      </c>
      <c r="J841">
        <f t="shared" si="895"/>
        <v>30.994099999999893</v>
      </c>
      <c r="K841">
        <f t="shared" si="896"/>
        <v>0</v>
      </c>
      <c r="L841">
        <f t="shared" si="897"/>
        <v>30.994099999999893</v>
      </c>
    </row>
    <row r="842" spans="2:12">
      <c r="B842" s="1">
        <v>49480</v>
      </c>
      <c r="C842" t="s">
        <v>38</v>
      </c>
      <c r="D842">
        <v>28.7</v>
      </c>
      <c r="E842">
        <v>0.3</v>
      </c>
      <c r="F842">
        <f t="shared" si="893"/>
        <v>0</v>
      </c>
      <c r="G842">
        <f t="shared" ref="G842" si="902">D836+D837+D838+D839+D840+D841+D842</f>
        <v>142.1</v>
      </c>
      <c r="H842">
        <f t="shared" si="892"/>
        <v>2035</v>
      </c>
      <c r="I842">
        <v>1</v>
      </c>
      <c r="J842">
        <f t="shared" si="895"/>
        <v>30.994099999999893</v>
      </c>
      <c r="K842">
        <f t="shared" si="896"/>
        <v>0</v>
      </c>
      <c r="L842">
        <f t="shared" si="897"/>
        <v>30.994099999999893</v>
      </c>
    </row>
    <row r="843" spans="2:12">
      <c r="B843" s="1">
        <v>49481</v>
      </c>
      <c r="C843" t="s">
        <v>50</v>
      </c>
      <c r="D843">
        <v>20.3</v>
      </c>
      <c r="E843">
        <v>15</v>
      </c>
      <c r="F843">
        <f t="shared" si="893"/>
        <v>3.0449999999999999</v>
      </c>
      <c r="G843">
        <f t="shared" ref="G843:G906" si="903">D843</f>
        <v>20.3</v>
      </c>
      <c r="H843">
        <f t="shared" si="892"/>
        <v>2035</v>
      </c>
      <c r="I843">
        <v>1</v>
      </c>
      <c r="J843">
        <f t="shared" si="895"/>
        <v>34.039099999999891</v>
      </c>
      <c r="K843">
        <f t="shared" si="896"/>
        <v>0</v>
      </c>
      <c r="L843">
        <f t="shared" si="897"/>
        <v>34.039099999999891</v>
      </c>
    </row>
    <row r="844" spans="2:12">
      <c r="B844" s="1">
        <v>49482</v>
      </c>
      <c r="C844" t="s">
        <v>18</v>
      </c>
      <c r="D844">
        <v>25.9</v>
      </c>
      <c r="E844">
        <v>4.7</v>
      </c>
      <c r="F844">
        <f t="shared" si="893"/>
        <v>1.2173</v>
      </c>
      <c r="G844">
        <f t="shared" ref="G844:G907" si="904">D843+D844</f>
        <v>46.2</v>
      </c>
      <c r="H844">
        <f t="shared" si="892"/>
        <v>2035</v>
      </c>
      <c r="I844">
        <v>1</v>
      </c>
      <c r="J844">
        <f t="shared" si="895"/>
        <v>35.256399999999893</v>
      </c>
      <c r="K844">
        <f t="shared" si="896"/>
        <v>0</v>
      </c>
      <c r="L844">
        <f t="shared" si="897"/>
        <v>35.256399999999893</v>
      </c>
    </row>
    <row r="845" spans="2:12">
      <c r="B845" s="1">
        <v>49483</v>
      </c>
      <c r="C845" t="s">
        <v>18</v>
      </c>
      <c r="D845">
        <v>25.3</v>
      </c>
      <c r="E845">
        <v>0</v>
      </c>
      <c r="F845">
        <f t="shared" si="893"/>
        <v>0</v>
      </c>
      <c r="G845">
        <f t="shared" ref="G845" si="905">D843+D844+D845</f>
        <v>71.5</v>
      </c>
      <c r="H845">
        <f t="shared" si="892"/>
        <v>2035</v>
      </c>
      <c r="I845">
        <v>1</v>
      </c>
      <c r="J845">
        <f t="shared" si="895"/>
        <v>35.256399999999893</v>
      </c>
      <c r="K845">
        <f t="shared" si="896"/>
        <v>0</v>
      </c>
      <c r="L845">
        <f t="shared" si="897"/>
        <v>35.256399999999893</v>
      </c>
    </row>
    <row r="846" spans="2:12">
      <c r="B846" s="1">
        <v>49484</v>
      </c>
      <c r="C846" t="s">
        <v>40</v>
      </c>
      <c r="D846">
        <v>22.8</v>
      </c>
      <c r="E846">
        <v>0.6</v>
      </c>
      <c r="F846">
        <f t="shared" si="893"/>
        <v>0</v>
      </c>
      <c r="G846">
        <f t="shared" ref="G846" si="906">D843+D844+D845+D846</f>
        <v>94.3</v>
      </c>
      <c r="H846">
        <f t="shared" si="892"/>
        <v>2035</v>
      </c>
      <c r="I846">
        <v>1</v>
      </c>
      <c r="J846">
        <f t="shared" si="895"/>
        <v>35.256399999999893</v>
      </c>
      <c r="K846">
        <f t="shared" si="896"/>
        <v>0</v>
      </c>
      <c r="L846">
        <f t="shared" si="897"/>
        <v>35.256399999999893</v>
      </c>
    </row>
    <row r="847" spans="2:12">
      <c r="B847" s="1">
        <v>49485</v>
      </c>
      <c r="C847" t="s">
        <v>43</v>
      </c>
      <c r="D847">
        <v>28.4</v>
      </c>
      <c r="E847">
        <v>2.2999999999999998</v>
      </c>
      <c r="F847">
        <f t="shared" si="893"/>
        <v>0.65319999999999989</v>
      </c>
      <c r="G847">
        <f t="shared" ref="G847" si="907">D843+D844+D845+D846+D847</f>
        <v>122.69999999999999</v>
      </c>
      <c r="H847">
        <f t="shared" si="892"/>
        <v>2035</v>
      </c>
      <c r="I847">
        <v>1</v>
      </c>
      <c r="J847">
        <f t="shared" si="895"/>
        <v>35.909599999999891</v>
      </c>
      <c r="K847">
        <f t="shared" si="896"/>
        <v>0</v>
      </c>
      <c r="L847">
        <f t="shared" si="897"/>
        <v>35.909599999999891</v>
      </c>
    </row>
    <row r="848" spans="2:12">
      <c r="B848" s="1">
        <v>49486</v>
      </c>
      <c r="C848" t="s">
        <v>43</v>
      </c>
      <c r="D848">
        <v>29.7</v>
      </c>
      <c r="E848">
        <v>0</v>
      </c>
      <c r="F848">
        <f t="shared" si="893"/>
        <v>0</v>
      </c>
      <c r="G848">
        <f t="shared" ref="G848" si="908">D843+D844+D845+D846+D847+D848</f>
        <v>152.39999999999998</v>
      </c>
      <c r="H848">
        <f t="shared" si="892"/>
        <v>2035</v>
      </c>
      <c r="I848">
        <v>1</v>
      </c>
      <c r="J848">
        <f t="shared" si="895"/>
        <v>35.909599999999891</v>
      </c>
      <c r="K848">
        <f t="shared" si="896"/>
        <v>0</v>
      </c>
      <c r="L848">
        <f t="shared" si="897"/>
        <v>35.909599999999891</v>
      </c>
    </row>
    <row r="849" spans="2:12">
      <c r="B849" s="1">
        <v>49487</v>
      </c>
      <c r="C849" t="s">
        <v>32</v>
      </c>
      <c r="D849">
        <v>11.7</v>
      </c>
      <c r="E849">
        <v>6.4</v>
      </c>
      <c r="F849">
        <f t="shared" si="893"/>
        <v>0.74879999999999991</v>
      </c>
      <c r="G849">
        <f t="shared" ref="G849" si="909">D843+D844+D845+D846+D847+D848+D849</f>
        <v>164.09999999999997</v>
      </c>
      <c r="H849">
        <f t="shared" si="892"/>
        <v>2035</v>
      </c>
      <c r="I849">
        <v>1</v>
      </c>
      <c r="J849">
        <f t="shared" si="895"/>
        <v>36.658399999999894</v>
      </c>
      <c r="K849">
        <f t="shared" si="896"/>
        <v>0</v>
      </c>
      <c r="L849">
        <f t="shared" si="897"/>
        <v>36.658399999999894</v>
      </c>
    </row>
    <row r="850" spans="2:12">
      <c r="B850" s="1">
        <v>49488</v>
      </c>
      <c r="C850" t="s">
        <v>43</v>
      </c>
      <c r="D850">
        <v>12.8</v>
      </c>
      <c r="E850">
        <v>6.9</v>
      </c>
      <c r="F850">
        <f t="shared" si="893"/>
        <v>0.8832000000000001</v>
      </c>
      <c r="G850">
        <f t="shared" ref="G850:G913" si="910">D850</f>
        <v>12.8</v>
      </c>
      <c r="H850">
        <f t="shared" si="892"/>
        <v>2035</v>
      </c>
      <c r="I850">
        <v>1</v>
      </c>
      <c r="J850">
        <f t="shared" si="895"/>
        <v>37.541599999999896</v>
      </c>
      <c r="K850">
        <f t="shared" si="896"/>
        <v>0</v>
      </c>
      <c r="L850">
        <f t="shared" si="897"/>
        <v>37.541599999999896</v>
      </c>
    </row>
    <row r="851" spans="2:12">
      <c r="B851" s="1">
        <v>49489</v>
      </c>
      <c r="C851" t="s">
        <v>24</v>
      </c>
      <c r="D851">
        <v>11</v>
      </c>
      <c r="E851">
        <v>0</v>
      </c>
      <c r="F851">
        <f t="shared" si="893"/>
        <v>0</v>
      </c>
      <c r="G851">
        <f t="shared" ref="G851:G914" si="911">D850+D851</f>
        <v>23.8</v>
      </c>
      <c r="H851">
        <f t="shared" si="892"/>
        <v>2035</v>
      </c>
      <c r="I851">
        <v>1</v>
      </c>
      <c r="J851">
        <f t="shared" si="895"/>
        <v>37.541599999999896</v>
      </c>
      <c r="K851">
        <f t="shared" si="896"/>
        <v>0</v>
      </c>
      <c r="L851">
        <f t="shared" si="897"/>
        <v>37.541599999999896</v>
      </c>
    </row>
    <row r="852" spans="2:12">
      <c r="B852" s="1">
        <v>49490</v>
      </c>
      <c r="C852" t="s">
        <v>48</v>
      </c>
      <c r="D852">
        <v>14.7</v>
      </c>
      <c r="E852">
        <v>0.5</v>
      </c>
      <c r="F852">
        <f t="shared" si="893"/>
        <v>0</v>
      </c>
      <c r="G852">
        <f t="shared" ref="G852" si="912">D850+D851+D852</f>
        <v>38.5</v>
      </c>
      <c r="H852">
        <f t="shared" si="892"/>
        <v>2035</v>
      </c>
      <c r="I852">
        <v>1</v>
      </c>
      <c r="J852">
        <f t="shared" si="895"/>
        <v>37.541599999999896</v>
      </c>
      <c r="K852">
        <f t="shared" si="896"/>
        <v>0</v>
      </c>
      <c r="L852">
        <f t="shared" si="897"/>
        <v>37.541599999999896</v>
      </c>
    </row>
    <row r="853" spans="2:12">
      <c r="B853" s="1">
        <v>49491</v>
      </c>
      <c r="C853" t="s">
        <v>36</v>
      </c>
      <c r="D853">
        <v>13.2</v>
      </c>
      <c r="E853">
        <v>2.5</v>
      </c>
      <c r="F853">
        <f t="shared" si="893"/>
        <v>0.33</v>
      </c>
      <c r="G853">
        <f t="shared" ref="G853" si="913">D850+D851+D852+D853</f>
        <v>51.7</v>
      </c>
      <c r="H853">
        <f t="shared" si="892"/>
        <v>2035</v>
      </c>
      <c r="I853">
        <v>1</v>
      </c>
      <c r="J853">
        <f t="shared" si="895"/>
        <v>37.871599999999894</v>
      </c>
      <c r="K853">
        <f t="shared" si="896"/>
        <v>0</v>
      </c>
      <c r="L853">
        <f t="shared" si="897"/>
        <v>37.871599999999894</v>
      </c>
    </row>
    <row r="854" spans="2:12">
      <c r="B854" s="1">
        <v>49492</v>
      </c>
      <c r="C854" t="s">
        <v>36</v>
      </c>
      <c r="D854">
        <v>28</v>
      </c>
      <c r="E854">
        <v>3.8</v>
      </c>
      <c r="F854">
        <f t="shared" si="893"/>
        <v>1.0639999999999998</v>
      </c>
      <c r="G854">
        <f t="shared" ref="G854" si="914">D850+D851+D852+D853+D854</f>
        <v>79.7</v>
      </c>
      <c r="H854">
        <f t="shared" si="892"/>
        <v>2035</v>
      </c>
      <c r="I854">
        <v>1</v>
      </c>
      <c r="J854">
        <f t="shared" si="895"/>
        <v>38.935599999999894</v>
      </c>
      <c r="K854">
        <f t="shared" si="896"/>
        <v>0</v>
      </c>
      <c r="L854">
        <f t="shared" si="897"/>
        <v>38.935599999999894</v>
      </c>
    </row>
    <row r="855" spans="2:12">
      <c r="B855" s="1">
        <v>49493</v>
      </c>
      <c r="C855" t="s">
        <v>25</v>
      </c>
      <c r="D855">
        <v>27.5</v>
      </c>
      <c r="E855">
        <v>10.3</v>
      </c>
      <c r="F855">
        <f t="shared" si="893"/>
        <v>2.8325</v>
      </c>
      <c r="G855">
        <f t="shared" ref="G855" si="915">D850+D851+D852+D853+D854+D855</f>
        <v>107.2</v>
      </c>
      <c r="H855">
        <f t="shared" si="892"/>
        <v>2035</v>
      </c>
      <c r="I855">
        <v>1</v>
      </c>
      <c r="J855">
        <f t="shared" si="895"/>
        <v>41.768099999999897</v>
      </c>
      <c r="K855">
        <f t="shared" si="896"/>
        <v>0</v>
      </c>
      <c r="L855">
        <f t="shared" si="897"/>
        <v>41.768099999999897</v>
      </c>
    </row>
    <row r="856" spans="2:12">
      <c r="B856" s="1">
        <v>49494</v>
      </c>
      <c r="C856" t="s">
        <v>36</v>
      </c>
      <c r="D856">
        <v>12.1</v>
      </c>
      <c r="E856">
        <v>4.7</v>
      </c>
      <c r="F856">
        <f t="shared" si="893"/>
        <v>0.56869999999999998</v>
      </c>
      <c r="G856">
        <f t="shared" ref="G856" si="916">D850+D851+D852+D853+D854+D855+D856</f>
        <v>119.3</v>
      </c>
      <c r="H856">
        <f t="shared" si="892"/>
        <v>2035</v>
      </c>
      <c r="I856">
        <v>1</v>
      </c>
      <c r="J856">
        <f t="shared" si="895"/>
        <v>42.336799999999897</v>
      </c>
      <c r="K856">
        <f t="shared" si="896"/>
        <v>0</v>
      </c>
      <c r="L856">
        <f t="shared" si="897"/>
        <v>42.336799999999897</v>
      </c>
    </row>
    <row r="857" spans="2:12">
      <c r="B857" s="1">
        <v>49495</v>
      </c>
      <c r="C857" t="s">
        <v>32</v>
      </c>
      <c r="D857">
        <v>24.7</v>
      </c>
      <c r="E857">
        <v>7.2</v>
      </c>
      <c r="F857">
        <f t="shared" si="893"/>
        <v>1.7784</v>
      </c>
      <c r="G857">
        <f t="shared" ref="G857:G920" si="917">D857</f>
        <v>24.7</v>
      </c>
      <c r="H857">
        <f t="shared" si="892"/>
        <v>2035</v>
      </c>
      <c r="I857">
        <v>1</v>
      </c>
      <c r="J857">
        <f t="shared" si="895"/>
        <v>44.115199999999895</v>
      </c>
      <c r="K857">
        <f t="shared" si="896"/>
        <v>0</v>
      </c>
      <c r="L857">
        <f t="shared" si="897"/>
        <v>44.115199999999895</v>
      </c>
    </row>
    <row r="858" spans="2:12">
      <c r="B858" s="1">
        <v>49496</v>
      </c>
      <c r="C858" t="s">
        <v>49</v>
      </c>
      <c r="D858">
        <v>27.1</v>
      </c>
      <c r="E858">
        <v>2.6</v>
      </c>
      <c r="F858">
        <f t="shared" si="893"/>
        <v>0.70460000000000012</v>
      </c>
      <c r="G858">
        <f t="shared" ref="G858:G921" si="918">D857+D858</f>
        <v>51.8</v>
      </c>
      <c r="H858">
        <f t="shared" si="892"/>
        <v>2035</v>
      </c>
      <c r="I858">
        <v>1</v>
      </c>
      <c r="J858">
        <f t="shared" si="895"/>
        <v>44.819799999999894</v>
      </c>
      <c r="K858">
        <f t="shared" si="896"/>
        <v>0</v>
      </c>
      <c r="L858">
        <f t="shared" si="897"/>
        <v>44.819799999999894</v>
      </c>
    </row>
    <row r="859" spans="2:12">
      <c r="B859" s="1">
        <v>49497</v>
      </c>
      <c r="C859" t="s">
        <v>18</v>
      </c>
      <c r="D859">
        <v>28.7</v>
      </c>
      <c r="E859">
        <v>3</v>
      </c>
      <c r="F859">
        <f t="shared" si="893"/>
        <v>0.86099999999999999</v>
      </c>
      <c r="G859">
        <f t="shared" ref="G859" si="919">D857+D858+D859</f>
        <v>80.5</v>
      </c>
      <c r="H859">
        <f t="shared" si="892"/>
        <v>2035</v>
      </c>
      <c r="I859">
        <v>1</v>
      </c>
      <c r="J859">
        <f t="shared" si="895"/>
        <v>45.680799999999891</v>
      </c>
      <c r="K859">
        <f t="shared" si="896"/>
        <v>0</v>
      </c>
      <c r="L859">
        <f t="shared" si="897"/>
        <v>45.680799999999891</v>
      </c>
    </row>
    <row r="860" spans="2:12">
      <c r="B860" s="1">
        <v>49498</v>
      </c>
      <c r="C860" t="s">
        <v>24</v>
      </c>
      <c r="D860">
        <v>15</v>
      </c>
      <c r="E860">
        <v>21.4</v>
      </c>
      <c r="F860">
        <f t="shared" si="893"/>
        <v>3.21</v>
      </c>
      <c r="G860">
        <f t="shared" ref="G860" si="920">D857+D858+D859+D860</f>
        <v>95.5</v>
      </c>
      <c r="H860">
        <f t="shared" si="892"/>
        <v>2035</v>
      </c>
      <c r="I860">
        <v>1</v>
      </c>
      <c r="J860">
        <f t="shared" si="895"/>
        <v>48.890799999999892</v>
      </c>
      <c r="K860">
        <f t="shared" si="896"/>
        <v>0</v>
      </c>
      <c r="L860">
        <f t="shared" si="897"/>
        <v>48.890799999999892</v>
      </c>
    </row>
    <row r="861" spans="2:12">
      <c r="B861" s="1">
        <v>49499</v>
      </c>
      <c r="C861" t="s">
        <v>25</v>
      </c>
      <c r="D861">
        <v>11.6</v>
      </c>
      <c r="E861">
        <v>3.7</v>
      </c>
      <c r="F861">
        <f t="shared" si="893"/>
        <v>0.42920000000000003</v>
      </c>
      <c r="G861">
        <f t="shared" ref="G861" si="921">D857+D858+D859+D860+D861</f>
        <v>107.1</v>
      </c>
      <c r="H861">
        <f t="shared" si="892"/>
        <v>2035</v>
      </c>
      <c r="I861">
        <v>1</v>
      </c>
      <c r="J861">
        <f t="shared" si="895"/>
        <v>49.319999999999894</v>
      </c>
      <c r="K861">
        <f t="shared" si="896"/>
        <v>0</v>
      </c>
      <c r="L861">
        <f t="shared" si="897"/>
        <v>49.319999999999894</v>
      </c>
    </row>
    <row r="862" spans="2:12">
      <c r="B862" s="1">
        <v>49500</v>
      </c>
      <c r="C862" t="s">
        <v>24</v>
      </c>
      <c r="D862">
        <v>13.1</v>
      </c>
      <c r="E862">
        <v>0</v>
      </c>
      <c r="F862">
        <f t="shared" si="893"/>
        <v>0</v>
      </c>
      <c r="G862">
        <f t="shared" ref="G862" si="922">D857+D858+D859+D860+D861+D862</f>
        <v>120.19999999999999</v>
      </c>
      <c r="H862">
        <f t="shared" si="892"/>
        <v>2035</v>
      </c>
      <c r="I862">
        <v>1</v>
      </c>
      <c r="J862">
        <f t="shared" si="895"/>
        <v>49.319999999999894</v>
      </c>
      <c r="K862">
        <f t="shared" si="896"/>
        <v>0</v>
      </c>
      <c r="L862">
        <f t="shared" si="897"/>
        <v>49.319999999999894</v>
      </c>
    </row>
    <row r="863" spans="2:12">
      <c r="B863" s="1">
        <v>49501</v>
      </c>
      <c r="C863" t="s">
        <v>36</v>
      </c>
      <c r="D863">
        <v>25.5</v>
      </c>
      <c r="E863">
        <v>0</v>
      </c>
      <c r="F863">
        <f t="shared" si="893"/>
        <v>0</v>
      </c>
      <c r="G863">
        <f t="shared" ref="G863" si="923">D857+D858+D859+D860+D861+D862+D863</f>
        <v>145.69999999999999</v>
      </c>
      <c r="H863">
        <f t="shared" si="892"/>
        <v>2035</v>
      </c>
      <c r="I863">
        <v>1</v>
      </c>
      <c r="J863">
        <f t="shared" si="895"/>
        <v>49.319999999999894</v>
      </c>
      <c r="K863">
        <f t="shared" si="896"/>
        <v>0</v>
      </c>
      <c r="L863">
        <f t="shared" si="897"/>
        <v>49.319999999999894</v>
      </c>
    </row>
    <row r="864" spans="2:12">
      <c r="B864" s="1">
        <v>49502</v>
      </c>
      <c r="C864" t="s">
        <v>23</v>
      </c>
      <c r="D864">
        <v>19.399999999999999</v>
      </c>
      <c r="E864">
        <v>0.7</v>
      </c>
      <c r="F864">
        <f t="shared" si="893"/>
        <v>0</v>
      </c>
      <c r="G864">
        <f t="shared" ref="G864:G927" si="924">D864</f>
        <v>19.399999999999999</v>
      </c>
      <c r="H864">
        <f t="shared" si="892"/>
        <v>2035</v>
      </c>
      <c r="I864">
        <v>1</v>
      </c>
      <c r="J864">
        <f t="shared" si="895"/>
        <v>49.319999999999894</v>
      </c>
      <c r="K864">
        <f t="shared" si="896"/>
        <v>0</v>
      </c>
      <c r="L864">
        <f t="shared" si="897"/>
        <v>49.319999999999894</v>
      </c>
    </row>
    <row r="865" spans="2:12">
      <c r="B865" s="1">
        <v>49503</v>
      </c>
      <c r="C865" t="s">
        <v>18</v>
      </c>
      <c r="D865">
        <v>27.3</v>
      </c>
      <c r="E865">
        <v>2.6</v>
      </c>
      <c r="F865">
        <f t="shared" si="893"/>
        <v>0.70979999999999999</v>
      </c>
      <c r="G865">
        <f t="shared" ref="G865:G928" si="925">D864+D865</f>
        <v>46.7</v>
      </c>
      <c r="H865">
        <f t="shared" si="892"/>
        <v>2035</v>
      </c>
      <c r="I865">
        <v>1</v>
      </c>
      <c r="J865">
        <f t="shared" si="895"/>
        <v>50.029799999999895</v>
      </c>
      <c r="K865">
        <f t="shared" si="896"/>
        <v>0</v>
      </c>
      <c r="L865">
        <f t="shared" si="897"/>
        <v>50.029799999999895</v>
      </c>
    </row>
    <row r="866" spans="2:12">
      <c r="B866" s="1">
        <v>49504</v>
      </c>
      <c r="C866" t="s">
        <v>24</v>
      </c>
      <c r="D866">
        <v>21</v>
      </c>
      <c r="E866">
        <v>27.8</v>
      </c>
      <c r="F866">
        <f t="shared" si="893"/>
        <v>5.838000000000001</v>
      </c>
      <c r="G866">
        <f t="shared" ref="G866" si="926">D864+D865+D866</f>
        <v>67.7</v>
      </c>
      <c r="H866">
        <f t="shared" si="892"/>
        <v>2035</v>
      </c>
      <c r="I866">
        <v>1</v>
      </c>
      <c r="J866">
        <f t="shared" si="895"/>
        <v>55.867799999999896</v>
      </c>
      <c r="K866">
        <f t="shared" si="896"/>
        <v>0</v>
      </c>
      <c r="L866">
        <f t="shared" si="897"/>
        <v>55.867799999999896</v>
      </c>
    </row>
    <row r="867" spans="2:12">
      <c r="B867" s="1">
        <v>49505</v>
      </c>
      <c r="C867" t="s">
        <v>31</v>
      </c>
      <c r="D867">
        <v>11.5</v>
      </c>
      <c r="E867">
        <v>0</v>
      </c>
      <c r="F867">
        <f t="shared" si="893"/>
        <v>0</v>
      </c>
      <c r="G867">
        <f t="shared" ref="G867" si="927">D864+D865+D866+D867</f>
        <v>79.2</v>
      </c>
      <c r="H867">
        <f t="shared" si="892"/>
        <v>2035</v>
      </c>
      <c r="I867">
        <v>1</v>
      </c>
      <c r="J867">
        <f t="shared" si="895"/>
        <v>55.867799999999896</v>
      </c>
      <c r="K867">
        <f t="shared" si="896"/>
        <v>0</v>
      </c>
      <c r="L867">
        <f t="shared" si="897"/>
        <v>55.867799999999896</v>
      </c>
    </row>
    <row r="868" spans="2:12">
      <c r="B868" s="1">
        <v>49506</v>
      </c>
      <c r="C868" t="s">
        <v>46</v>
      </c>
      <c r="D868">
        <v>13.6</v>
      </c>
      <c r="E868">
        <v>2.7</v>
      </c>
      <c r="F868">
        <f t="shared" si="893"/>
        <v>0.36719999999999997</v>
      </c>
      <c r="G868">
        <f t="shared" ref="G868" si="928">D864+D865+D866+D867+D868</f>
        <v>92.8</v>
      </c>
      <c r="H868">
        <f t="shared" si="892"/>
        <v>2035</v>
      </c>
      <c r="I868">
        <v>1</v>
      </c>
      <c r="J868">
        <f t="shared" si="895"/>
        <v>56.234999999999893</v>
      </c>
      <c r="K868">
        <f t="shared" si="896"/>
        <v>0</v>
      </c>
      <c r="L868">
        <f t="shared" si="897"/>
        <v>56.234999999999893</v>
      </c>
    </row>
    <row r="869" spans="2:12">
      <c r="B869" s="1">
        <v>49507</v>
      </c>
      <c r="C869" t="s">
        <v>19</v>
      </c>
      <c r="D869">
        <v>17.8</v>
      </c>
      <c r="E869">
        <v>0.3</v>
      </c>
      <c r="F869">
        <f t="shared" si="893"/>
        <v>0</v>
      </c>
      <c r="G869">
        <f t="shared" ref="G869" si="929">D864+D865+D866+D867+D868+D869</f>
        <v>110.6</v>
      </c>
      <c r="H869">
        <f t="shared" si="892"/>
        <v>2035</v>
      </c>
      <c r="I869">
        <v>1</v>
      </c>
      <c r="J869">
        <f t="shared" si="895"/>
        <v>56.234999999999893</v>
      </c>
      <c r="K869">
        <f t="shared" si="896"/>
        <v>0</v>
      </c>
      <c r="L869">
        <f t="shared" si="897"/>
        <v>56.234999999999893</v>
      </c>
    </row>
    <row r="870" spans="2:12">
      <c r="B870" s="1">
        <v>49508</v>
      </c>
      <c r="C870" t="s">
        <v>19</v>
      </c>
      <c r="D870">
        <v>10.8</v>
      </c>
      <c r="E870">
        <v>0</v>
      </c>
      <c r="F870">
        <f t="shared" si="893"/>
        <v>0</v>
      </c>
      <c r="G870">
        <f t="shared" ref="G870" si="930">D864+D865+D866+D867+D868+D869+D870</f>
        <v>121.39999999999999</v>
      </c>
      <c r="H870">
        <f t="shared" si="892"/>
        <v>2035</v>
      </c>
      <c r="I870">
        <v>1</v>
      </c>
      <c r="J870">
        <f t="shared" si="895"/>
        <v>56.234999999999893</v>
      </c>
      <c r="K870">
        <f t="shared" si="896"/>
        <v>0</v>
      </c>
      <c r="L870">
        <f t="shared" si="897"/>
        <v>56.234999999999893</v>
      </c>
    </row>
    <row r="871" spans="2:12">
      <c r="B871" s="1">
        <v>49509</v>
      </c>
      <c r="C871" t="s">
        <v>24</v>
      </c>
      <c r="D871">
        <v>23</v>
      </c>
      <c r="E871">
        <v>3.3</v>
      </c>
      <c r="F871">
        <f t="shared" si="893"/>
        <v>0.7589999999999999</v>
      </c>
      <c r="G871">
        <f t="shared" ref="G871:G934" si="931">D871</f>
        <v>23</v>
      </c>
      <c r="H871">
        <f t="shared" si="892"/>
        <v>2035</v>
      </c>
      <c r="I871">
        <v>1</v>
      </c>
      <c r="J871">
        <f t="shared" si="895"/>
        <v>56.993999999999893</v>
      </c>
      <c r="K871">
        <f t="shared" si="896"/>
        <v>0</v>
      </c>
      <c r="L871">
        <f t="shared" si="897"/>
        <v>56.993999999999893</v>
      </c>
    </row>
    <row r="872" spans="2:12">
      <c r="B872" s="1">
        <v>49510</v>
      </c>
      <c r="C872" t="s">
        <v>25</v>
      </c>
      <c r="D872">
        <v>14</v>
      </c>
      <c r="E872">
        <v>18.100000000000001</v>
      </c>
      <c r="F872">
        <f t="shared" si="893"/>
        <v>2.5340000000000003</v>
      </c>
      <c r="G872">
        <f t="shared" ref="G872:G935" si="932">D871+D872</f>
        <v>37</v>
      </c>
      <c r="H872">
        <f t="shared" si="892"/>
        <v>2035</v>
      </c>
      <c r="I872">
        <v>1</v>
      </c>
      <c r="J872">
        <f t="shared" si="895"/>
        <v>59.527999999999892</v>
      </c>
      <c r="K872">
        <f t="shared" si="896"/>
        <v>0</v>
      </c>
      <c r="L872">
        <f t="shared" si="897"/>
        <v>59.527999999999892</v>
      </c>
    </row>
    <row r="873" spans="2:12">
      <c r="B873" s="1">
        <v>49511</v>
      </c>
      <c r="C873" t="s">
        <v>36</v>
      </c>
      <c r="D873">
        <v>10.7</v>
      </c>
      <c r="E873">
        <v>0.4</v>
      </c>
      <c r="F873">
        <f t="shared" si="893"/>
        <v>0</v>
      </c>
      <c r="G873">
        <f t="shared" ref="G873" si="933">D871+D872+D873</f>
        <v>47.7</v>
      </c>
      <c r="H873">
        <f t="shared" si="892"/>
        <v>2035</v>
      </c>
      <c r="I873">
        <v>1</v>
      </c>
      <c r="J873">
        <f t="shared" si="895"/>
        <v>59.527999999999892</v>
      </c>
      <c r="K873">
        <f t="shared" si="896"/>
        <v>0</v>
      </c>
      <c r="L873">
        <f t="shared" si="897"/>
        <v>59.527999999999892</v>
      </c>
    </row>
    <row r="874" spans="2:12">
      <c r="B874" s="1">
        <v>49512</v>
      </c>
      <c r="C874" t="s">
        <v>27</v>
      </c>
      <c r="D874">
        <v>24.7</v>
      </c>
      <c r="E874">
        <v>9.1</v>
      </c>
      <c r="F874">
        <f t="shared" si="893"/>
        <v>2.2477</v>
      </c>
      <c r="G874">
        <f t="shared" ref="G874" si="934">D871+D872+D873+D874</f>
        <v>72.400000000000006</v>
      </c>
      <c r="H874">
        <f t="shared" si="892"/>
        <v>2035</v>
      </c>
      <c r="I874">
        <v>1</v>
      </c>
      <c r="J874">
        <f t="shared" si="895"/>
        <v>61.775699999999894</v>
      </c>
      <c r="K874">
        <f t="shared" si="896"/>
        <v>0</v>
      </c>
      <c r="L874">
        <f t="shared" si="897"/>
        <v>61.775699999999894</v>
      </c>
    </row>
    <row r="875" spans="2:12">
      <c r="B875" s="1">
        <v>49513</v>
      </c>
      <c r="C875" t="s">
        <v>50</v>
      </c>
      <c r="D875">
        <v>12.2</v>
      </c>
      <c r="E875">
        <v>18.600000000000001</v>
      </c>
      <c r="F875">
        <f t="shared" si="893"/>
        <v>2.2692000000000001</v>
      </c>
      <c r="G875">
        <f t="shared" ref="G875" si="935">D871+D872+D873+D874+D875</f>
        <v>84.600000000000009</v>
      </c>
      <c r="H875">
        <f t="shared" si="892"/>
        <v>2035</v>
      </c>
      <c r="I875">
        <v>1</v>
      </c>
      <c r="J875">
        <f t="shared" si="895"/>
        <v>64.044899999999899</v>
      </c>
      <c r="K875">
        <f t="shared" si="896"/>
        <v>0</v>
      </c>
      <c r="L875">
        <f t="shared" si="897"/>
        <v>64.044899999999899</v>
      </c>
    </row>
    <row r="876" spans="2:12">
      <c r="B876" s="1">
        <v>49514</v>
      </c>
      <c r="C876" t="s">
        <v>17</v>
      </c>
      <c r="D876">
        <v>23.8</v>
      </c>
      <c r="E876">
        <v>7.7</v>
      </c>
      <c r="F876">
        <f t="shared" si="893"/>
        <v>1.8326000000000002</v>
      </c>
      <c r="G876">
        <f t="shared" ref="G876" si="936">D871+D872+D873+D874+D875+D876</f>
        <v>108.4</v>
      </c>
      <c r="H876">
        <f t="shared" si="892"/>
        <v>2035</v>
      </c>
      <c r="I876">
        <v>1</v>
      </c>
      <c r="J876">
        <f t="shared" si="895"/>
        <v>65.877499999999898</v>
      </c>
      <c r="K876">
        <f t="shared" si="896"/>
        <v>0</v>
      </c>
      <c r="L876">
        <f t="shared" si="897"/>
        <v>65.877499999999898</v>
      </c>
    </row>
    <row r="877" spans="2:12">
      <c r="B877" s="1">
        <v>49515</v>
      </c>
      <c r="C877" t="s">
        <v>26</v>
      </c>
      <c r="D877">
        <v>18.5</v>
      </c>
      <c r="E877">
        <v>0</v>
      </c>
      <c r="F877">
        <f t="shared" si="893"/>
        <v>0</v>
      </c>
      <c r="G877">
        <f t="shared" ref="G877" si="937">D871+D872+D873+D874+D875+D876+D877</f>
        <v>126.9</v>
      </c>
      <c r="H877">
        <f t="shared" si="892"/>
        <v>2035</v>
      </c>
      <c r="I877">
        <v>1</v>
      </c>
      <c r="J877">
        <f t="shared" si="895"/>
        <v>65.877499999999898</v>
      </c>
      <c r="K877">
        <f t="shared" si="896"/>
        <v>0</v>
      </c>
      <c r="L877">
        <f t="shared" si="897"/>
        <v>65.877499999999898</v>
      </c>
    </row>
    <row r="878" spans="2:12">
      <c r="B878" s="1">
        <v>49516</v>
      </c>
      <c r="C878" t="s">
        <v>42</v>
      </c>
      <c r="D878">
        <v>24.6</v>
      </c>
      <c r="E878">
        <v>0.4</v>
      </c>
      <c r="F878">
        <f t="shared" si="893"/>
        <v>0</v>
      </c>
      <c r="G878">
        <f t="shared" ref="G878:G941" si="938">D878</f>
        <v>24.6</v>
      </c>
      <c r="H878">
        <f t="shared" si="892"/>
        <v>2035</v>
      </c>
      <c r="I878">
        <v>1</v>
      </c>
      <c r="J878">
        <f t="shared" si="895"/>
        <v>65.877499999999898</v>
      </c>
      <c r="K878">
        <f t="shared" si="896"/>
        <v>0</v>
      </c>
      <c r="L878">
        <f t="shared" si="897"/>
        <v>65.877499999999898</v>
      </c>
    </row>
    <row r="879" spans="2:12">
      <c r="B879" s="1">
        <v>49517</v>
      </c>
      <c r="C879" t="s">
        <v>50</v>
      </c>
      <c r="D879">
        <v>24.6</v>
      </c>
      <c r="E879">
        <v>10.4</v>
      </c>
      <c r="F879">
        <f t="shared" si="893"/>
        <v>2.5584000000000002</v>
      </c>
      <c r="G879">
        <f t="shared" ref="G879:G942" si="939">D878+D879</f>
        <v>49.2</v>
      </c>
      <c r="H879">
        <f t="shared" si="892"/>
        <v>2035</v>
      </c>
      <c r="I879">
        <v>1</v>
      </c>
      <c r="J879">
        <f t="shared" si="895"/>
        <v>68.435899999999904</v>
      </c>
      <c r="K879">
        <f t="shared" si="896"/>
        <v>0</v>
      </c>
      <c r="L879">
        <f t="shared" si="897"/>
        <v>68.435899999999904</v>
      </c>
    </row>
    <row r="880" spans="2:12">
      <c r="B880" s="1">
        <v>49518</v>
      </c>
      <c r="C880" t="s">
        <v>26</v>
      </c>
      <c r="D880">
        <v>25.4</v>
      </c>
      <c r="E880">
        <v>11.2</v>
      </c>
      <c r="F880">
        <f t="shared" si="893"/>
        <v>2.8447999999999998</v>
      </c>
      <c r="G880">
        <f t="shared" ref="G880" si="940">D878+D879+D880</f>
        <v>74.599999999999994</v>
      </c>
      <c r="H880">
        <f t="shared" si="892"/>
        <v>2035</v>
      </c>
      <c r="I880">
        <v>1</v>
      </c>
      <c r="J880">
        <f t="shared" si="895"/>
        <v>71.280699999999911</v>
      </c>
      <c r="K880">
        <f t="shared" si="896"/>
        <v>0</v>
      </c>
      <c r="L880">
        <f t="shared" si="897"/>
        <v>71.280699999999911</v>
      </c>
    </row>
    <row r="881" spans="2:12">
      <c r="B881" s="1">
        <v>49519</v>
      </c>
      <c r="C881" t="s">
        <v>25</v>
      </c>
      <c r="D881">
        <v>13.1</v>
      </c>
      <c r="E881">
        <v>22.2</v>
      </c>
      <c r="F881">
        <f t="shared" si="893"/>
        <v>2.9081999999999999</v>
      </c>
      <c r="G881">
        <f t="shared" ref="G881" si="941">D878+D879+D880+D881</f>
        <v>87.699999999999989</v>
      </c>
      <c r="H881">
        <f t="shared" si="892"/>
        <v>2035</v>
      </c>
      <c r="I881">
        <v>1</v>
      </c>
      <c r="J881">
        <f t="shared" si="895"/>
        <v>74.188899999999904</v>
      </c>
      <c r="K881">
        <f t="shared" si="896"/>
        <v>0</v>
      </c>
      <c r="L881">
        <f t="shared" si="897"/>
        <v>74.188899999999904</v>
      </c>
    </row>
    <row r="882" spans="2:12">
      <c r="B882" s="1">
        <v>49520</v>
      </c>
      <c r="C882" t="s">
        <v>24</v>
      </c>
      <c r="D882">
        <v>10.1</v>
      </c>
      <c r="E882">
        <v>11.6</v>
      </c>
      <c r="F882">
        <f t="shared" si="893"/>
        <v>1.1716</v>
      </c>
      <c r="G882">
        <f t="shared" ref="G882" si="942">D878+D879+D880+D881+D882</f>
        <v>97.799999999999983</v>
      </c>
      <c r="H882">
        <f t="shared" si="892"/>
        <v>2035</v>
      </c>
      <c r="I882">
        <v>1</v>
      </c>
      <c r="J882">
        <f t="shared" si="895"/>
        <v>75.360499999999902</v>
      </c>
      <c r="K882">
        <f t="shared" si="896"/>
        <v>0</v>
      </c>
      <c r="L882">
        <f t="shared" si="897"/>
        <v>75.360499999999902</v>
      </c>
    </row>
    <row r="883" spans="2:12">
      <c r="B883" s="1">
        <v>49521</v>
      </c>
      <c r="C883" t="s">
        <v>32</v>
      </c>
      <c r="D883">
        <v>25</v>
      </c>
      <c r="E883">
        <v>0</v>
      </c>
      <c r="F883">
        <f t="shared" si="893"/>
        <v>0</v>
      </c>
      <c r="G883">
        <f t="shared" ref="G883" si="943">D878+D879+D880+D881+D882+D883</f>
        <v>122.79999999999998</v>
      </c>
      <c r="H883">
        <f t="shared" si="892"/>
        <v>2035</v>
      </c>
      <c r="I883">
        <v>1</v>
      </c>
      <c r="J883">
        <f t="shared" si="895"/>
        <v>75.360499999999902</v>
      </c>
      <c r="K883">
        <f t="shared" si="896"/>
        <v>0</v>
      </c>
      <c r="L883">
        <f t="shared" si="897"/>
        <v>75.360499999999902</v>
      </c>
    </row>
    <row r="884" spans="2:12">
      <c r="B884" s="1">
        <v>49522</v>
      </c>
      <c r="C884" t="s">
        <v>47</v>
      </c>
      <c r="D884">
        <v>20.9</v>
      </c>
      <c r="E884">
        <v>11.4</v>
      </c>
      <c r="F884">
        <f t="shared" si="893"/>
        <v>2.3826000000000001</v>
      </c>
      <c r="G884">
        <f t="shared" ref="G884" si="944">D878+D879+D880+D881+D882+D883+D884</f>
        <v>143.69999999999999</v>
      </c>
      <c r="H884">
        <f t="shared" si="892"/>
        <v>2035</v>
      </c>
      <c r="I884">
        <v>1</v>
      </c>
      <c r="J884">
        <f t="shared" si="895"/>
        <v>77.743099999999899</v>
      </c>
      <c r="K884">
        <f t="shared" si="896"/>
        <v>0</v>
      </c>
      <c r="L884">
        <f t="shared" si="897"/>
        <v>77.743099999999899</v>
      </c>
    </row>
    <row r="885" spans="2:12">
      <c r="B885" s="1">
        <v>49523</v>
      </c>
      <c r="C885" t="s">
        <v>31</v>
      </c>
      <c r="D885">
        <v>27.6</v>
      </c>
      <c r="E885">
        <v>2.5</v>
      </c>
      <c r="F885">
        <f t="shared" si="893"/>
        <v>0.69</v>
      </c>
      <c r="G885">
        <f t="shared" ref="G885:G948" si="945">D885</f>
        <v>27.6</v>
      </c>
      <c r="H885">
        <f t="shared" si="892"/>
        <v>2035</v>
      </c>
      <c r="I885">
        <v>1</v>
      </c>
      <c r="J885">
        <f t="shared" si="895"/>
        <v>78.433099999999897</v>
      </c>
      <c r="K885">
        <f t="shared" si="896"/>
        <v>0</v>
      </c>
      <c r="L885">
        <f t="shared" si="897"/>
        <v>78.433099999999897</v>
      </c>
    </row>
    <row r="886" spans="2:12">
      <c r="B886" s="1">
        <v>49524</v>
      </c>
      <c r="C886" t="s">
        <v>24</v>
      </c>
      <c r="D886">
        <v>22.8</v>
      </c>
      <c r="E886">
        <v>0</v>
      </c>
      <c r="F886">
        <f t="shared" si="893"/>
        <v>0</v>
      </c>
      <c r="G886">
        <f t="shared" ref="G886:G949" si="946">D885+D886</f>
        <v>50.400000000000006</v>
      </c>
      <c r="H886">
        <f t="shared" si="892"/>
        <v>2035</v>
      </c>
      <c r="I886">
        <v>1</v>
      </c>
      <c r="J886">
        <f t="shared" si="895"/>
        <v>78.433099999999897</v>
      </c>
      <c r="K886">
        <f t="shared" si="896"/>
        <v>0</v>
      </c>
      <c r="L886">
        <f t="shared" si="897"/>
        <v>78.433099999999897</v>
      </c>
    </row>
    <row r="887" spans="2:12">
      <c r="B887" s="1">
        <v>49525</v>
      </c>
      <c r="C887" t="s">
        <v>21</v>
      </c>
      <c r="D887">
        <v>12</v>
      </c>
      <c r="E887">
        <v>0</v>
      </c>
      <c r="F887">
        <f t="shared" si="893"/>
        <v>0</v>
      </c>
      <c r="G887">
        <f t="shared" ref="G887" si="947">D885+D886+D887</f>
        <v>62.400000000000006</v>
      </c>
      <c r="H887">
        <f t="shared" si="892"/>
        <v>2035</v>
      </c>
      <c r="I887">
        <v>1</v>
      </c>
      <c r="J887">
        <f t="shared" si="895"/>
        <v>78.433099999999897</v>
      </c>
      <c r="K887">
        <f t="shared" si="896"/>
        <v>0</v>
      </c>
      <c r="L887">
        <f t="shared" si="897"/>
        <v>78.433099999999897</v>
      </c>
    </row>
    <row r="888" spans="2:12">
      <c r="B888" s="1">
        <v>49526</v>
      </c>
      <c r="C888" t="s">
        <v>35</v>
      </c>
      <c r="D888">
        <v>16.8</v>
      </c>
      <c r="E888">
        <v>4.9000000000000004</v>
      </c>
      <c r="F888">
        <f t="shared" si="893"/>
        <v>0.82320000000000004</v>
      </c>
      <c r="G888">
        <f t="shared" ref="G888" si="948">D885+D886+D887+D888</f>
        <v>79.2</v>
      </c>
      <c r="H888">
        <f t="shared" si="892"/>
        <v>2035</v>
      </c>
      <c r="I888">
        <v>1</v>
      </c>
      <c r="J888">
        <f t="shared" si="895"/>
        <v>79.256299999999896</v>
      </c>
      <c r="K888">
        <f t="shared" si="896"/>
        <v>0</v>
      </c>
      <c r="L888">
        <f t="shared" si="897"/>
        <v>79.256299999999896</v>
      </c>
    </row>
    <row r="889" spans="2:12">
      <c r="B889" s="1">
        <v>49527</v>
      </c>
      <c r="C889" t="s">
        <v>40</v>
      </c>
      <c r="D889">
        <v>12.9</v>
      </c>
      <c r="E889">
        <v>3</v>
      </c>
      <c r="F889">
        <f t="shared" si="893"/>
        <v>0.38700000000000001</v>
      </c>
      <c r="G889">
        <f t="shared" ref="G889" si="949">D885+D886+D887+D888+D889</f>
        <v>92.100000000000009</v>
      </c>
      <c r="H889">
        <f t="shared" si="892"/>
        <v>2035</v>
      </c>
      <c r="I889">
        <v>1</v>
      </c>
      <c r="J889">
        <f t="shared" si="895"/>
        <v>79.643299999999897</v>
      </c>
      <c r="K889">
        <f t="shared" si="896"/>
        <v>0</v>
      </c>
      <c r="L889">
        <f t="shared" si="897"/>
        <v>79.643299999999897</v>
      </c>
    </row>
    <row r="890" spans="2:12">
      <c r="B890" s="1">
        <v>49528</v>
      </c>
      <c r="C890" t="s">
        <v>24</v>
      </c>
      <c r="D890">
        <v>18</v>
      </c>
      <c r="E890">
        <v>13.6</v>
      </c>
      <c r="F890">
        <f t="shared" si="893"/>
        <v>2.448</v>
      </c>
      <c r="G890">
        <f t="shared" ref="G890" si="950">D885+D886+D887+D888+D889+D890</f>
        <v>110.10000000000001</v>
      </c>
      <c r="H890">
        <f t="shared" si="892"/>
        <v>2035</v>
      </c>
      <c r="I890">
        <v>1</v>
      </c>
      <c r="J890">
        <f t="shared" si="895"/>
        <v>82.09129999999989</v>
      </c>
      <c r="K890">
        <f t="shared" si="896"/>
        <v>0</v>
      </c>
      <c r="L890">
        <f t="shared" si="897"/>
        <v>82.09129999999989</v>
      </c>
    </row>
    <row r="891" spans="2:12">
      <c r="B891" s="1">
        <v>49529</v>
      </c>
      <c r="C891" t="s">
        <v>50</v>
      </c>
      <c r="D891">
        <v>26</v>
      </c>
      <c r="E891">
        <v>30.4</v>
      </c>
      <c r="F891">
        <f t="shared" si="893"/>
        <v>7.9039999999999999</v>
      </c>
      <c r="G891">
        <f t="shared" ref="G891" si="951">D885+D886+D887+D888+D889+D890+D891</f>
        <v>136.10000000000002</v>
      </c>
      <c r="H891">
        <f t="shared" si="892"/>
        <v>2035</v>
      </c>
      <c r="I891">
        <v>1</v>
      </c>
      <c r="J891">
        <f t="shared" si="895"/>
        <v>89.995299999999887</v>
      </c>
      <c r="K891">
        <f t="shared" si="896"/>
        <v>0</v>
      </c>
      <c r="L891">
        <f t="shared" si="897"/>
        <v>89.995299999999887</v>
      </c>
    </row>
    <row r="892" spans="2:12">
      <c r="B892" s="1">
        <v>49530</v>
      </c>
      <c r="C892" t="s">
        <v>32</v>
      </c>
      <c r="D892">
        <v>21.3</v>
      </c>
      <c r="E892">
        <v>0</v>
      </c>
      <c r="F892">
        <f t="shared" si="893"/>
        <v>0</v>
      </c>
      <c r="G892">
        <f t="shared" ref="G892:G955" si="952">D892</f>
        <v>21.3</v>
      </c>
      <c r="H892">
        <f t="shared" si="892"/>
        <v>2035</v>
      </c>
      <c r="I892">
        <v>1</v>
      </c>
      <c r="J892">
        <f t="shared" si="895"/>
        <v>89.995299999999887</v>
      </c>
      <c r="K892">
        <f t="shared" si="896"/>
        <v>0</v>
      </c>
      <c r="L892">
        <f t="shared" si="897"/>
        <v>89.995299999999887</v>
      </c>
    </row>
    <row r="893" spans="2:12">
      <c r="B893" s="1">
        <v>49531</v>
      </c>
      <c r="C893" t="s">
        <v>25</v>
      </c>
      <c r="D893">
        <v>15.7</v>
      </c>
      <c r="E893">
        <v>5.9</v>
      </c>
      <c r="F893">
        <f t="shared" si="893"/>
        <v>0.9262999999999999</v>
      </c>
      <c r="G893">
        <f t="shared" ref="G893:G956" si="953">D892+D893</f>
        <v>37</v>
      </c>
      <c r="H893">
        <f t="shared" si="892"/>
        <v>2035</v>
      </c>
      <c r="I893">
        <v>1</v>
      </c>
      <c r="J893">
        <f t="shared" si="895"/>
        <v>90.921599999999884</v>
      </c>
      <c r="K893">
        <f t="shared" si="896"/>
        <v>0</v>
      </c>
      <c r="L893">
        <f t="shared" si="897"/>
        <v>90.921599999999884</v>
      </c>
    </row>
    <row r="894" spans="2:12">
      <c r="B894" s="1">
        <v>49532</v>
      </c>
      <c r="C894" t="s">
        <v>24</v>
      </c>
      <c r="D894">
        <v>19.100000000000001</v>
      </c>
      <c r="E894">
        <v>0</v>
      </c>
      <c r="F894">
        <f t="shared" si="893"/>
        <v>0</v>
      </c>
      <c r="G894">
        <f t="shared" ref="G894" si="954">D892+D893+D894</f>
        <v>56.1</v>
      </c>
      <c r="H894">
        <f t="shared" si="892"/>
        <v>2035</v>
      </c>
      <c r="I894">
        <v>1</v>
      </c>
      <c r="J894">
        <f t="shared" si="895"/>
        <v>90.921599999999884</v>
      </c>
      <c r="K894">
        <f t="shared" si="896"/>
        <v>0</v>
      </c>
      <c r="L894">
        <f t="shared" si="897"/>
        <v>90.921599999999884</v>
      </c>
    </row>
    <row r="895" spans="2:12">
      <c r="B895" s="1">
        <v>49533</v>
      </c>
      <c r="C895" t="s">
        <v>50</v>
      </c>
      <c r="D895">
        <v>24.6</v>
      </c>
      <c r="E895">
        <v>12.3</v>
      </c>
      <c r="F895">
        <f t="shared" si="893"/>
        <v>3.0258000000000003</v>
      </c>
      <c r="G895">
        <f t="shared" ref="G895" si="955">D892+D893+D894+D895</f>
        <v>80.7</v>
      </c>
      <c r="H895">
        <f t="shared" si="892"/>
        <v>2035</v>
      </c>
      <c r="I895">
        <v>1</v>
      </c>
      <c r="J895">
        <f t="shared" si="895"/>
        <v>93.947399999999888</v>
      </c>
      <c r="K895">
        <f t="shared" si="896"/>
        <v>0</v>
      </c>
      <c r="L895">
        <f t="shared" si="897"/>
        <v>93.947399999999888</v>
      </c>
    </row>
    <row r="896" spans="2:12">
      <c r="B896" s="1">
        <v>49534</v>
      </c>
      <c r="C896" t="s">
        <v>24</v>
      </c>
      <c r="D896">
        <v>18.7</v>
      </c>
      <c r="E896">
        <v>17.8</v>
      </c>
      <c r="F896">
        <f t="shared" si="893"/>
        <v>3.3286000000000002</v>
      </c>
      <c r="G896">
        <f t="shared" ref="G896" si="956">D892+D893+D894+D895+D896</f>
        <v>99.4</v>
      </c>
      <c r="H896">
        <f t="shared" si="892"/>
        <v>2035</v>
      </c>
      <c r="I896">
        <v>1</v>
      </c>
      <c r="J896">
        <f t="shared" si="895"/>
        <v>97.275999999999883</v>
      </c>
      <c r="K896">
        <f t="shared" si="896"/>
        <v>0</v>
      </c>
      <c r="L896">
        <f t="shared" si="897"/>
        <v>97.275999999999883</v>
      </c>
    </row>
    <row r="897" spans="2:12">
      <c r="B897" s="1">
        <v>49535</v>
      </c>
      <c r="C897" t="s">
        <v>21</v>
      </c>
      <c r="D897">
        <v>13.2</v>
      </c>
      <c r="E897">
        <v>3.2</v>
      </c>
      <c r="F897">
        <f t="shared" si="893"/>
        <v>0.4224</v>
      </c>
      <c r="G897">
        <f t="shared" ref="G897" si="957">D892+D893+D894+D895+D896+D897</f>
        <v>112.60000000000001</v>
      </c>
      <c r="H897">
        <f t="shared" si="892"/>
        <v>2035</v>
      </c>
      <c r="I897">
        <v>1</v>
      </c>
      <c r="J897">
        <f t="shared" si="895"/>
        <v>97.698399999999879</v>
      </c>
      <c r="K897">
        <f t="shared" si="896"/>
        <v>0</v>
      </c>
      <c r="L897">
        <f t="shared" si="897"/>
        <v>97.698399999999879</v>
      </c>
    </row>
    <row r="898" spans="2:12">
      <c r="B898" s="1">
        <v>49536</v>
      </c>
      <c r="C898" t="s">
        <v>26</v>
      </c>
      <c r="D898">
        <v>24.8</v>
      </c>
      <c r="E898">
        <v>2.2999999999999998</v>
      </c>
      <c r="F898">
        <f t="shared" si="893"/>
        <v>0.57040000000000002</v>
      </c>
      <c r="G898">
        <f t="shared" ref="G898" si="958">D892+D893+D894+D895+D896+D897+D898</f>
        <v>137.4</v>
      </c>
      <c r="H898">
        <f t="shared" si="892"/>
        <v>2035</v>
      </c>
      <c r="I898">
        <v>1</v>
      </c>
      <c r="J898">
        <f t="shared" si="895"/>
        <v>98.268799999999885</v>
      </c>
      <c r="K898">
        <f t="shared" si="896"/>
        <v>0</v>
      </c>
      <c r="L898">
        <f t="shared" si="897"/>
        <v>98.268799999999885</v>
      </c>
    </row>
    <row r="899" spans="2:12">
      <c r="B899" s="1">
        <v>49537</v>
      </c>
      <c r="C899" t="s">
        <v>32</v>
      </c>
      <c r="D899">
        <v>19.3</v>
      </c>
      <c r="E899">
        <v>1.8</v>
      </c>
      <c r="F899">
        <f t="shared" si="893"/>
        <v>0.34740000000000004</v>
      </c>
      <c r="G899">
        <f t="shared" ref="G899:G962" si="959">D899</f>
        <v>19.3</v>
      </c>
      <c r="H899">
        <f t="shared" si="892"/>
        <v>2035</v>
      </c>
      <c r="I899">
        <v>1</v>
      </c>
      <c r="J899">
        <f t="shared" si="895"/>
        <v>98.616199999999878</v>
      </c>
      <c r="K899">
        <f t="shared" si="896"/>
        <v>0</v>
      </c>
      <c r="L899">
        <f t="shared" si="897"/>
        <v>98.616199999999878</v>
      </c>
    </row>
    <row r="900" spans="2:12">
      <c r="B900" s="1">
        <v>49538</v>
      </c>
      <c r="C900" t="s">
        <v>47</v>
      </c>
      <c r="D900">
        <v>22.7</v>
      </c>
      <c r="E900">
        <v>0</v>
      </c>
      <c r="F900">
        <f t="shared" si="893"/>
        <v>0</v>
      </c>
      <c r="G900">
        <f t="shared" ref="G900:G963" si="960">D899+D900</f>
        <v>42</v>
      </c>
      <c r="H900">
        <f t="shared" ref="H900:H963" si="961">YEAR(B900)</f>
        <v>2035</v>
      </c>
      <c r="I900">
        <v>1</v>
      </c>
      <c r="J900">
        <f t="shared" si="895"/>
        <v>98.616199999999878</v>
      </c>
      <c r="K900">
        <f t="shared" si="896"/>
        <v>0</v>
      </c>
      <c r="L900">
        <f t="shared" si="897"/>
        <v>98.616199999999878</v>
      </c>
    </row>
    <row r="901" spans="2:12">
      <c r="B901" s="1">
        <v>49539</v>
      </c>
      <c r="C901" t="s">
        <v>25</v>
      </c>
      <c r="D901">
        <v>15.2</v>
      </c>
      <c r="E901">
        <v>0</v>
      </c>
      <c r="F901">
        <f t="shared" ref="F901:F964" si="962">IF(E901&gt;=1,D901*E901/100,0)</f>
        <v>0</v>
      </c>
      <c r="G901">
        <f t="shared" ref="G901" si="963">D899+D900+D901</f>
        <v>57.2</v>
      </c>
      <c r="H901">
        <f t="shared" si="961"/>
        <v>2035</v>
      </c>
      <c r="I901">
        <v>1</v>
      </c>
      <c r="J901">
        <f t="shared" ref="J901:J964" si="964">L900+F901</f>
        <v>98.616199999999878</v>
      </c>
      <c r="K901">
        <f t="shared" ref="K901:K964" si="965">IF(J901&gt;=100,1,0)</f>
        <v>0</v>
      </c>
      <c r="L901">
        <f t="shared" ref="L901:L964" si="966">IF(K901=1,J901-100,J901)</f>
        <v>98.616199999999878</v>
      </c>
    </row>
    <row r="902" spans="2:12">
      <c r="B902" s="1">
        <v>49540</v>
      </c>
      <c r="C902" t="s">
        <v>35</v>
      </c>
      <c r="D902">
        <v>28.6</v>
      </c>
      <c r="E902">
        <v>0.2</v>
      </c>
      <c r="F902">
        <f t="shared" si="962"/>
        <v>0</v>
      </c>
      <c r="G902">
        <f t="shared" ref="G902" si="967">D899+D900+D901+D902</f>
        <v>85.800000000000011</v>
      </c>
      <c r="H902">
        <f t="shared" si="961"/>
        <v>2035</v>
      </c>
      <c r="I902">
        <v>1</v>
      </c>
      <c r="J902">
        <f t="shared" si="964"/>
        <v>98.616199999999878</v>
      </c>
      <c r="K902">
        <f t="shared" si="965"/>
        <v>0</v>
      </c>
      <c r="L902">
        <f t="shared" si="966"/>
        <v>98.616199999999878</v>
      </c>
    </row>
    <row r="903" spans="2:12">
      <c r="B903" s="1">
        <v>49541</v>
      </c>
      <c r="C903" t="s">
        <v>18</v>
      </c>
      <c r="D903">
        <v>17.899999999999999</v>
      </c>
      <c r="E903">
        <v>18.600000000000001</v>
      </c>
      <c r="F903">
        <f t="shared" si="962"/>
        <v>3.3294000000000001</v>
      </c>
      <c r="G903">
        <f t="shared" ref="G903" si="968">D899+D900+D901+D902+D903</f>
        <v>103.70000000000002</v>
      </c>
      <c r="H903">
        <f t="shared" si="961"/>
        <v>2035</v>
      </c>
      <c r="I903">
        <v>1</v>
      </c>
      <c r="J903">
        <f t="shared" si="964"/>
        <v>101.94559999999989</v>
      </c>
      <c r="K903">
        <f t="shared" si="965"/>
        <v>1</v>
      </c>
      <c r="L903">
        <f t="shared" si="966"/>
        <v>1.9455999999998852</v>
      </c>
    </row>
    <row r="904" spans="2:12">
      <c r="B904" s="1">
        <v>49542</v>
      </c>
      <c r="C904" t="s">
        <v>41</v>
      </c>
      <c r="D904">
        <v>11.6</v>
      </c>
      <c r="E904">
        <v>0</v>
      </c>
      <c r="F904">
        <f t="shared" si="962"/>
        <v>0</v>
      </c>
      <c r="G904">
        <f t="shared" ref="G904" si="969">D899+D900+D901+D902+D903+D904</f>
        <v>115.30000000000001</v>
      </c>
      <c r="H904">
        <f t="shared" si="961"/>
        <v>2035</v>
      </c>
      <c r="I904">
        <v>1</v>
      </c>
      <c r="J904">
        <f t="shared" si="964"/>
        <v>1.9455999999998852</v>
      </c>
      <c r="K904">
        <f t="shared" si="965"/>
        <v>0</v>
      </c>
      <c r="L904">
        <f t="shared" si="966"/>
        <v>1.9455999999998852</v>
      </c>
    </row>
    <row r="905" spans="2:12">
      <c r="B905" s="1">
        <v>49543</v>
      </c>
      <c r="C905" t="s">
        <v>46</v>
      </c>
      <c r="D905">
        <v>19</v>
      </c>
      <c r="E905">
        <v>2.2000000000000002</v>
      </c>
      <c r="F905">
        <f t="shared" si="962"/>
        <v>0.41800000000000004</v>
      </c>
      <c r="G905">
        <f t="shared" ref="G905" si="970">D899+D900+D901+D902+D903+D904+D905</f>
        <v>134.30000000000001</v>
      </c>
      <c r="H905">
        <f t="shared" si="961"/>
        <v>2035</v>
      </c>
      <c r="I905">
        <v>1</v>
      </c>
      <c r="J905">
        <f t="shared" si="964"/>
        <v>2.3635999999998853</v>
      </c>
      <c r="K905">
        <f t="shared" si="965"/>
        <v>0</v>
      </c>
      <c r="L905">
        <f t="shared" si="966"/>
        <v>2.3635999999998853</v>
      </c>
    </row>
    <row r="906" spans="2:12">
      <c r="B906" s="1">
        <v>49544</v>
      </c>
      <c r="C906" t="s">
        <v>26</v>
      </c>
      <c r="D906">
        <v>17.600000000000001</v>
      </c>
      <c r="E906">
        <v>7.2</v>
      </c>
      <c r="F906">
        <f t="shared" si="962"/>
        <v>1.2672000000000001</v>
      </c>
      <c r="G906">
        <f t="shared" ref="G906:G969" si="971">D906</f>
        <v>17.600000000000001</v>
      </c>
      <c r="H906">
        <f t="shared" si="961"/>
        <v>2035</v>
      </c>
      <c r="I906">
        <v>1</v>
      </c>
      <c r="J906">
        <f t="shared" si="964"/>
        <v>3.6307999999998852</v>
      </c>
      <c r="K906">
        <f t="shared" si="965"/>
        <v>0</v>
      </c>
      <c r="L906">
        <f t="shared" si="966"/>
        <v>3.6307999999998852</v>
      </c>
    </row>
    <row r="907" spans="2:12">
      <c r="B907" s="1">
        <v>49545</v>
      </c>
      <c r="C907" t="s">
        <v>18</v>
      </c>
      <c r="D907">
        <v>12.1</v>
      </c>
      <c r="E907">
        <v>7.2</v>
      </c>
      <c r="F907">
        <f t="shared" si="962"/>
        <v>0.87120000000000009</v>
      </c>
      <c r="G907">
        <f t="shared" ref="G907:G970" si="972">D906+D907</f>
        <v>29.700000000000003</v>
      </c>
      <c r="H907">
        <f t="shared" si="961"/>
        <v>2035</v>
      </c>
      <c r="I907">
        <v>1</v>
      </c>
      <c r="J907">
        <f t="shared" si="964"/>
        <v>4.5019999999998852</v>
      </c>
      <c r="K907">
        <f t="shared" si="965"/>
        <v>0</v>
      </c>
      <c r="L907">
        <f t="shared" si="966"/>
        <v>4.5019999999998852</v>
      </c>
    </row>
    <row r="908" spans="2:12">
      <c r="B908" s="1">
        <v>49546</v>
      </c>
      <c r="C908" t="s">
        <v>27</v>
      </c>
      <c r="D908">
        <v>28.3</v>
      </c>
      <c r="E908">
        <v>1.8</v>
      </c>
      <c r="F908">
        <f t="shared" si="962"/>
        <v>0.50940000000000007</v>
      </c>
      <c r="G908">
        <f t="shared" ref="G908" si="973">D906+D907+D908</f>
        <v>58</v>
      </c>
      <c r="H908">
        <f t="shared" si="961"/>
        <v>2035</v>
      </c>
      <c r="I908">
        <v>1</v>
      </c>
      <c r="J908">
        <f t="shared" si="964"/>
        <v>5.0113999999998855</v>
      </c>
      <c r="K908">
        <f t="shared" si="965"/>
        <v>0</v>
      </c>
      <c r="L908">
        <f t="shared" si="966"/>
        <v>5.0113999999998855</v>
      </c>
    </row>
    <row r="909" spans="2:12">
      <c r="B909" s="1">
        <v>49547</v>
      </c>
      <c r="C909" t="s">
        <v>47</v>
      </c>
      <c r="D909">
        <v>13.3</v>
      </c>
      <c r="E909">
        <v>0</v>
      </c>
      <c r="F909">
        <f t="shared" si="962"/>
        <v>0</v>
      </c>
      <c r="G909">
        <f t="shared" ref="G909" si="974">D906+D907+D908+D909</f>
        <v>71.3</v>
      </c>
      <c r="H909">
        <f t="shared" si="961"/>
        <v>2035</v>
      </c>
      <c r="I909">
        <v>1</v>
      </c>
      <c r="J909">
        <f t="shared" si="964"/>
        <v>5.0113999999998855</v>
      </c>
      <c r="K909">
        <f t="shared" si="965"/>
        <v>0</v>
      </c>
      <c r="L909">
        <f t="shared" si="966"/>
        <v>5.0113999999998855</v>
      </c>
    </row>
    <row r="910" spans="2:12">
      <c r="B910" s="1">
        <v>49548</v>
      </c>
      <c r="C910" t="s">
        <v>25</v>
      </c>
      <c r="D910">
        <v>21</v>
      </c>
      <c r="E910">
        <v>4.2</v>
      </c>
      <c r="F910">
        <f t="shared" si="962"/>
        <v>0.88200000000000001</v>
      </c>
      <c r="G910">
        <f t="shared" ref="G910" si="975">D906+D907+D908+D909+D910</f>
        <v>92.3</v>
      </c>
      <c r="H910">
        <f t="shared" si="961"/>
        <v>2035</v>
      </c>
      <c r="I910">
        <v>1</v>
      </c>
      <c r="J910">
        <f t="shared" si="964"/>
        <v>5.8933999999998852</v>
      </c>
      <c r="K910">
        <f t="shared" si="965"/>
        <v>0</v>
      </c>
      <c r="L910">
        <f t="shared" si="966"/>
        <v>5.8933999999998852</v>
      </c>
    </row>
    <row r="911" spans="2:12">
      <c r="B911" s="1">
        <v>49549</v>
      </c>
      <c r="C911" t="s">
        <v>24</v>
      </c>
      <c r="D911">
        <v>12</v>
      </c>
      <c r="E911">
        <v>2.2000000000000002</v>
      </c>
      <c r="F911">
        <f t="shared" si="962"/>
        <v>0.26400000000000001</v>
      </c>
      <c r="G911">
        <f t="shared" ref="G911" si="976">D906+D907+D908+D909+D910+D911</f>
        <v>104.3</v>
      </c>
      <c r="H911">
        <f t="shared" si="961"/>
        <v>2035</v>
      </c>
      <c r="I911">
        <v>1</v>
      </c>
      <c r="J911">
        <f t="shared" si="964"/>
        <v>6.1573999999998854</v>
      </c>
      <c r="K911">
        <f t="shared" si="965"/>
        <v>0</v>
      </c>
      <c r="L911">
        <f t="shared" si="966"/>
        <v>6.1573999999998854</v>
      </c>
    </row>
    <row r="912" spans="2:12">
      <c r="B912" s="1">
        <v>49550</v>
      </c>
      <c r="C912" t="s">
        <v>50</v>
      </c>
      <c r="D912">
        <v>12.1</v>
      </c>
      <c r="E912">
        <v>0</v>
      </c>
      <c r="F912">
        <f t="shared" si="962"/>
        <v>0</v>
      </c>
      <c r="G912">
        <f t="shared" ref="G912" si="977">D906+D907+D908+D909+D910+D911+D912</f>
        <v>116.39999999999999</v>
      </c>
      <c r="H912">
        <f t="shared" si="961"/>
        <v>2035</v>
      </c>
      <c r="I912">
        <v>1</v>
      </c>
      <c r="J912">
        <f t="shared" si="964"/>
        <v>6.1573999999998854</v>
      </c>
      <c r="K912">
        <f t="shared" si="965"/>
        <v>0</v>
      </c>
      <c r="L912">
        <f t="shared" si="966"/>
        <v>6.1573999999998854</v>
      </c>
    </row>
    <row r="913" spans="2:12">
      <c r="B913" s="1">
        <v>49551</v>
      </c>
      <c r="C913" t="s">
        <v>25</v>
      </c>
      <c r="D913">
        <v>15.8</v>
      </c>
      <c r="E913">
        <v>17.2</v>
      </c>
      <c r="F913">
        <f t="shared" si="962"/>
        <v>2.7176</v>
      </c>
      <c r="G913">
        <f t="shared" ref="G913:G976" si="978">D913</f>
        <v>15.8</v>
      </c>
      <c r="H913">
        <f t="shared" si="961"/>
        <v>2035</v>
      </c>
      <c r="I913">
        <v>1</v>
      </c>
      <c r="J913">
        <f t="shared" si="964"/>
        <v>8.8749999999998863</v>
      </c>
      <c r="K913">
        <f t="shared" si="965"/>
        <v>0</v>
      </c>
      <c r="L913">
        <f t="shared" si="966"/>
        <v>8.8749999999998863</v>
      </c>
    </row>
    <row r="914" spans="2:12">
      <c r="B914" s="1">
        <v>49552</v>
      </c>
      <c r="C914" t="s">
        <v>26</v>
      </c>
      <c r="D914">
        <v>25.7</v>
      </c>
      <c r="E914">
        <v>5.9</v>
      </c>
      <c r="F914">
        <f t="shared" si="962"/>
        <v>1.5163</v>
      </c>
      <c r="G914">
        <f t="shared" ref="G914:G977" si="979">D913+D914</f>
        <v>41.5</v>
      </c>
      <c r="H914">
        <f t="shared" si="961"/>
        <v>2035</v>
      </c>
      <c r="I914">
        <v>1</v>
      </c>
      <c r="J914">
        <f t="shared" si="964"/>
        <v>10.391299999999886</v>
      </c>
      <c r="K914">
        <f t="shared" si="965"/>
        <v>0</v>
      </c>
      <c r="L914">
        <f t="shared" si="966"/>
        <v>10.391299999999886</v>
      </c>
    </row>
    <row r="915" spans="2:12">
      <c r="B915" s="1">
        <v>49553</v>
      </c>
      <c r="C915" t="s">
        <v>24</v>
      </c>
      <c r="D915">
        <v>20.5</v>
      </c>
      <c r="E915">
        <v>26</v>
      </c>
      <c r="F915">
        <f t="shared" si="962"/>
        <v>5.33</v>
      </c>
      <c r="G915">
        <f t="shared" ref="G915" si="980">D913+D914+D915</f>
        <v>62</v>
      </c>
      <c r="H915">
        <f t="shared" si="961"/>
        <v>2035</v>
      </c>
      <c r="I915">
        <v>1</v>
      </c>
      <c r="J915">
        <f t="shared" si="964"/>
        <v>15.721299999999886</v>
      </c>
      <c r="K915">
        <f t="shared" si="965"/>
        <v>0</v>
      </c>
      <c r="L915">
        <f t="shared" si="966"/>
        <v>15.721299999999886</v>
      </c>
    </row>
    <row r="916" spans="2:12">
      <c r="B916" s="1">
        <v>49554</v>
      </c>
      <c r="C916" t="s">
        <v>27</v>
      </c>
      <c r="D916">
        <v>23.5</v>
      </c>
      <c r="E916">
        <v>15.3</v>
      </c>
      <c r="F916">
        <f t="shared" si="962"/>
        <v>3.5954999999999999</v>
      </c>
      <c r="G916">
        <f t="shared" ref="G916" si="981">D913+D914+D915+D916</f>
        <v>85.5</v>
      </c>
      <c r="H916">
        <f t="shared" si="961"/>
        <v>2035</v>
      </c>
      <c r="I916">
        <v>1</v>
      </c>
      <c r="J916">
        <f t="shared" si="964"/>
        <v>19.316799999999887</v>
      </c>
      <c r="K916">
        <f t="shared" si="965"/>
        <v>0</v>
      </c>
      <c r="L916">
        <f t="shared" si="966"/>
        <v>19.316799999999887</v>
      </c>
    </row>
    <row r="917" spans="2:12">
      <c r="B917" s="1">
        <v>49555</v>
      </c>
      <c r="C917" t="s">
        <v>26</v>
      </c>
      <c r="D917">
        <v>21.7</v>
      </c>
      <c r="E917">
        <v>1.2</v>
      </c>
      <c r="F917">
        <f t="shared" si="962"/>
        <v>0.26039999999999996</v>
      </c>
      <c r="G917">
        <f t="shared" ref="G917" si="982">D913+D914+D915+D916+D917</f>
        <v>107.2</v>
      </c>
      <c r="H917">
        <f t="shared" si="961"/>
        <v>2035</v>
      </c>
      <c r="I917">
        <v>1</v>
      </c>
      <c r="J917">
        <f t="shared" si="964"/>
        <v>19.577199999999888</v>
      </c>
      <c r="K917">
        <f t="shared" si="965"/>
        <v>0</v>
      </c>
      <c r="L917">
        <f t="shared" si="966"/>
        <v>19.577199999999888</v>
      </c>
    </row>
    <row r="918" spans="2:12">
      <c r="B918" s="1">
        <v>49556</v>
      </c>
      <c r="C918" t="s">
        <v>24</v>
      </c>
      <c r="D918">
        <v>29.8</v>
      </c>
      <c r="E918">
        <v>0</v>
      </c>
      <c r="F918">
        <f t="shared" si="962"/>
        <v>0</v>
      </c>
      <c r="G918">
        <f t="shared" ref="G918" si="983">D913+D914+D915+D916+D917+D918</f>
        <v>137</v>
      </c>
      <c r="H918">
        <f t="shared" si="961"/>
        <v>2035</v>
      </c>
      <c r="I918">
        <v>1</v>
      </c>
      <c r="J918">
        <f t="shared" si="964"/>
        <v>19.577199999999888</v>
      </c>
      <c r="K918">
        <f t="shared" si="965"/>
        <v>0</v>
      </c>
      <c r="L918">
        <f t="shared" si="966"/>
        <v>19.577199999999888</v>
      </c>
    </row>
    <row r="919" spans="2:12">
      <c r="B919" s="1">
        <v>49557</v>
      </c>
      <c r="C919" t="s">
        <v>18</v>
      </c>
      <c r="D919">
        <v>27.1</v>
      </c>
      <c r="E919">
        <v>0</v>
      </c>
      <c r="F919">
        <f t="shared" si="962"/>
        <v>0</v>
      </c>
      <c r="G919">
        <f t="shared" ref="G919" si="984">D913+D914+D915+D916+D917+D918+D919</f>
        <v>164.1</v>
      </c>
      <c r="H919">
        <f t="shared" si="961"/>
        <v>2035</v>
      </c>
      <c r="I919">
        <v>1</v>
      </c>
      <c r="J919">
        <f t="shared" si="964"/>
        <v>19.577199999999888</v>
      </c>
      <c r="K919">
        <f t="shared" si="965"/>
        <v>0</v>
      </c>
      <c r="L919">
        <f t="shared" si="966"/>
        <v>19.577199999999888</v>
      </c>
    </row>
    <row r="920" spans="2:12">
      <c r="B920" s="1">
        <v>49558</v>
      </c>
      <c r="C920" t="s">
        <v>26</v>
      </c>
      <c r="D920">
        <v>27.3</v>
      </c>
      <c r="E920">
        <v>0</v>
      </c>
      <c r="F920">
        <f t="shared" si="962"/>
        <v>0</v>
      </c>
      <c r="G920">
        <f t="shared" ref="G920:G983" si="985">D920</f>
        <v>27.3</v>
      </c>
      <c r="H920">
        <f t="shared" si="961"/>
        <v>2035</v>
      </c>
      <c r="I920">
        <v>1</v>
      </c>
      <c r="J920">
        <f t="shared" si="964"/>
        <v>19.577199999999888</v>
      </c>
      <c r="K920">
        <f t="shared" si="965"/>
        <v>0</v>
      </c>
      <c r="L920">
        <f t="shared" si="966"/>
        <v>19.577199999999888</v>
      </c>
    </row>
    <row r="921" spans="2:12">
      <c r="B921" s="1">
        <v>49559</v>
      </c>
      <c r="C921" t="s">
        <v>50</v>
      </c>
      <c r="D921">
        <v>15.5</v>
      </c>
      <c r="E921">
        <v>27.6</v>
      </c>
      <c r="F921">
        <f t="shared" si="962"/>
        <v>4.2780000000000005</v>
      </c>
      <c r="G921">
        <f t="shared" ref="G921:G984" si="986">D920+D921</f>
        <v>42.8</v>
      </c>
      <c r="H921">
        <f t="shared" si="961"/>
        <v>2035</v>
      </c>
      <c r="I921">
        <v>1</v>
      </c>
      <c r="J921">
        <f t="shared" si="964"/>
        <v>23.85519999999989</v>
      </c>
      <c r="K921">
        <f t="shared" si="965"/>
        <v>0</v>
      </c>
      <c r="L921">
        <f t="shared" si="966"/>
        <v>23.85519999999989</v>
      </c>
    </row>
    <row r="922" spans="2:12">
      <c r="B922" s="1">
        <v>49560</v>
      </c>
      <c r="C922" t="s">
        <v>27</v>
      </c>
      <c r="D922">
        <v>27.9</v>
      </c>
      <c r="E922">
        <v>5.0999999999999996</v>
      </c>
      <c r="F922">
        <f t="shared" si="962"/>
        <v>1.4228999999999998</v>
      </c>
      <c r="G922">
        <f t="shared" ref="G922" si="987">D920+D921+D922</f>
        <v>70.699999999999989</v>
      </c>
      <c r="H922">
        <f t="shared" si="961"/>
        <v>2035</v>
      </c>
      <c r="I922">
        <v>1</v>
      </c>
      <c r="J922">
        <f t="shared" si="964"/>
        <v>25.278099999999888</v>
      </c>
      <c r="K922">
        <f t="shared" si="965"/>
        <v>0</v>
      </c>
      <c r="L922">
        <f t="shared" si="966"/>
        <v>25.278099999999888</v>
      </c>
    </row>
    <row r="923" spans="2:12">
      <c r="B923" s="1">
        <v>49561</v>
      </c>
      <c r="C923" t="s">
        <v>24</v>
      </c>
      <c r="D923">
        <v>19.7</v>
      </c>
      <c r="E923">
        <v>21.4</v>
      </c>
      <c r="F923">
        <f t="shared" si="962"/>
        <v>4.2157999999999998</v>
      </c>
      <c r="G923">
        <f t="shared" ref="G923" si="988">D920+D921+D922+D923</f>
        <v>90.399999999999991</v>
      </c>
      <c r="H923">
        <f t="shared" si="961"/>
        <v>2035</v>
      </c>
      <c r="I923">
        <v>1</v>
      </c>
      <c r="J923">
        <f t="shared" si="964"/>
        <v>29.49389999999989</v>
      </c>
      <c r="K923">
        <f t="shared" si="965"/>
        <v>0</v>
      </c>
      <c r="L923">
        <f t="shared" si="966"/>
        <v>29.49389999999989</v>
      </c>
    </row>
    <row r="924" spans="2:12">
      <c r="B924" s="1">
        <v>49562</v>
      </c>
      <c r="C924" t="s">
        <v>24</v>
      </c>
      <c r="D924">
        <v>27.8</v>
      </c>
      <c r="E924">
        <v>27.6</v>
      </c>
      <c r="F924">
        <f t="shared" si="962"/>
        <v>7.6728000000000005</v>
      </c>
      <c r="G924">
        <f t="shared" ref="G924" si="989">D920+D921+D922+D923+D924</f>
        <v>118.19999999999999</v>
      </c>
      <c r="H924">
        <f t="shared" si="961"/>
        <v>2035</v>
      </c>
      <c r="I924">
        <v>1</v>
      </c>
      <c r="J924">
        <f t="shared" si="964"/>
        <v>37.166699999999892</v>
      </c>
      <c r="K924">
        <f t="shared" si="965"/>
        <v>0</v>
      </c>
      <c r="L924">
        <f t="shared" si="966"/>
        <v>37.166699999999892</v>
      </c>
    </row>
    <row r="925" spans="2:12">
      <c r="B925" s="1">
        <v>49563</v>
      </c>
      <c r="C925" t="s">
        <v>43</v>
      </c>
      <c r="D925">
        <v>12.3</v>
      </c>
      <c r="E925">
        <v>2.9</v>
      </c>
      <c r="F925">
        <f t="shared" si="962"/>
        <v>0.35670000000000002</v>
      </c>
      <c r="G925">
        <f t="shared" ref="G925" si="990">D920+D921+D922+D923+D924+D925</f>
        <v>130.5</v>
      </c>
      <c r="H925">
        <f t="shared" si="961"/>
        <v>2035</v>
      </c>
      <c r="I925">
        <v>1</v>
      </c>
      <c r="J925">
        <f t="shared" si="964"/>
        <v>37.523399999999896</v>
      </c>
      <c r="K925">
        <f t="shared" si="965"/>
        <v>0</v>
      </c>
      <c r="L925">
        <f t="shared" si="966"/>
        <v>37.523399999999896</v>
      </c>
    </row>
    <row r="926" spans="2:12">
      <c r="B926" s="1">
        <v>49564</v>
      </c>
      <c r="C926" t="s">
        <v>47</v>
      </c>
      <c r="D926">
        <v>12.8</v>
      </c>
      <c r="E926">
        <v>8.8000000000000007</v>
      </c>
      <c r="F926">
        <f t="shared" si="962"/>
        <v>1.1264000000000001</v>
      </c>
      <c r="G926">
        <f t="shared" ref="G926" si="991">D920+D921+D922+D923+D924+D925+D926</f>
        <v>143.30000000000001</v>
      </c>
      <c r="H926">
        <f t="shared" si="961"/>
        <v>2035</v>
      </c>
      <c r="I926">
        <v>1</v>
      </c>
      <c r="J926">
        <f t="shared" si="964"/>
        <v>38.649799999999892</v>
      </c>
      <c r="K926">
        <f t="shared" si="965"/>
        <v>0</v>
      </c>
      <c r="L926">
        <f t="shared" si="966"/>
        <v>38.649799999999892</v>
      </c>
    </row>
    <row r="927" spans="2:12">
      <c r="B927" s="1">
        <v>49565</v>
      </c>
      <c r="C927" t="s">
        <v>24</v>
      </c>
      <c r="D927">
        <v>15</v>
      </c>
      <c r="E927">
        <v>0</v>
      </c>
      <c r="F927">
        <f t="shared" si="962"/>
        <v>0</v>
      </c>
      <c r="G927">
        <f t="shared" ref="G927:G990" si="992">D927</f>
        <v>15</v>
      </c>
      <c r="H927">
        <f t="shared" si="961"/>
        <v>2035</v>
      </c>
      <c r="I927">
        <v>1</v>
      </c>
      <c r="J927">
        <f t="shared" si="964"/>
        <v>38.649799999999892</v>
      </c>
      <c r="K927">
        <f t="shared" si="965"/>
        <v>0</v>
      </c>
      <c r="L927">
        <f t="shared" si="966"/>
        <v>38.649799999999892</v>
      </c>
    </row>
    <row r="928" spans="2:12">
      <c r="B928" s="1">
        <v>49566</v>
      </c>
      <c r="C928" t="s">
        <v>35</v>
      </c>
      <c r="D928">
        <v>27.6</v>
      </c>
      <c r="E928">
        <v>4.7</v>
      </c>
      <c r="F928">
        <f t="shared" si="962"/>
        <v>1.2971999999999999</v>
      </c>
      <c r="G928">
        <f t="shared" ref="G928:G991" si="993">D927+D928</f>
        <v>42.6</v>
      </c>
      <c r="H928">
        <f t="shared" si="961"/>
        <v>2035</v>
      </c>
      <c r="I928">
        <v>1</v>
      </c>
      <c r="J928">
        <f t="shared" si="964"/>
        <v>39.946999999999889</v>
      </c>
      <c r="K928">
        <f t="shared" si="965"/>
        <v>0</v>
      </c>
      <c r="L928">
        <f t="shared" si="966"/>
        <v>39.946999999999889</v>
      </c>
    </row>
    <row r="929" spans="2:12">
      <c r="B929" s="1">
        <v>49567</v>
      </c>
      <c r="C929" t="s">
        <v>24</v>
      </c>
      <c r="D929">
        <v>19.600000000000001</v>
      </c>
      <c r="E929">
        <v>0</v>
      </c>
      <c r="F929">
        <f t="shared" si="962"/>
        <v>0</v>
      </c>
      <c r="G929">
        <f t="shared" ref="G929" si="994">D927+D928+D929</f>
        <v>62.2</v>
      </c>
      <c r="H929">
        <f t="shared" si="961"/>
        <v>2035</v>
      </c>
      <c r="I929">
        <v>1</v>
      </c>
      <c r="J929">
        <f t="shared" si="964"/>
        <v>39.946999999999889</v>
      </c>
      <c r="K929">
        <f t="shared" si="965"/>
        <v>0</v>
      </c>
      <c r="L929">
        <f t="shared" si="966"/>
        <v>39.946999999999889</v>
      </c>
    </row>
    <row r="930" spans="2:12">
      <c r="B930" s="1">
        <v>49568</v>
      </c>
      <c r="C930" t="s">
        <v>39</v>
      </c>
      <c r="D930">
        <v>16</v>
      </c>
      <c r="E930">
        <v>0.4</v>
      </c>
      <c r="F930">
        <f t="shared" si="962"/>
        <v>0</v>
      </c>
      <c r="G930">
        <f t="shared" ref="G930" si="995">D927+D928+D929+D930</f>
        <v>78.2</v>
      </c>
      <c r="H930">
        <f t="shared" si="961"/>
        <v>2035</v>
      </c>
      <c r="I930">
        <v>1</v>
      </c>
      <c r="J930">
        <f t="shared" si="964"/>
        <v>39.946999999999889</v>
      </c>
      <c r="K930">
        <f t="shared" si="965"/>
        <v>0</v>
      </c>
      <c r="L930">
        <f t="shared" si="966"/>
        <v>39.946999999999889</v>
      </c>
    </row>
    <row r="931" spans="2:12">
      <c r="B931" s="1">
        <v>49569</v>
      </c>
      <c r="C931" t="s">
        <v>24</v>
      </c>
      <c r="D931">
        <v>10.3</v>
      </c>
      <c r="E931">
        <v>0</v>
      </c>
      <c r="F931">
        <f t="shared" si="962"/>
        <v>0</v>
      </c>
      <c r="G931">
        <f t="shared" ref="G931" si="996">D927+D928+D929+D930+D931</f>
        <v>88.5</v>
      </c>
      <c r="H931">
        <f t="shared" si="961"/>
        <v>2035</v>
      </c>
      <c r="I931">
        <v>1</v>
      </c>
      <c r="J931">
        <f t="shared" si="964"/>
        <v>39.946999999999889</v>
      </c>
      <c r="K931">
        <f t="shared" si="965"/>
        <v>0</v>
      </c>
      <c r="L931">
        <f t="shared" si="966"/>
        <v>39.946999999999889</v>
      </c>
    </row>
    <row r="932" spans="2:12">
      <c r="B932" s="1">
        <v>49570</v>
      </c>
      <c r="C932" t="s">
        <v>47</v>
      </c>
      <c r="D932">
        <v>20.2</v>
      </c>
      <c r="E932">
        <v>13.9</v>
      </c>
      <c r="F932">
        <f t="shared" si="962"/>
        <v>2.8077999999999999</v>
      </c>
      <c r="G932">
        <f t="shared" ref="G932" si="997">D927+D928+D929+D930+D931+D932</f>
        <v>108.7</v>
      </c>
      <c r="H932">
        <f t="shared" si="961"/>
        <v>2035</v>
      </c>
      <c r="I932">
        <v>1</v>
      </c>
      <c r="J932">
        <f t="shared" si="964"/>
        <v>42.754799999999889</v>
      </c>
      <c r="K932">
        <f t="shared" si="965"/>
        <v>0</v>
      </c>
      <c r="L932">
        <f t="shared" si="966"/>
        <v>42.754799999999889</v>
      </c>
    </row>
    <row r="933" spans="2:12">
      <c r="B933" s="1">
        <v>49571</v>
      </c>
      <c r="C933" t="s">
        <v>36</v>
      </c>
      <c r="D933">
        <v>26.4</v>
      </c>
      <c r="E933">
        <v>6.8</v>
      </c>
      <c r="F933">
        <f t="shared" si="962"/>
        <v>1.7951999999999999</v>
      </c>
      <c r="G933">
        <f t="shared" ref="G933" si="998">D927+D928+D929+D930+D931+D932+D933</f>
        <v>135.1</v>
      </c>
      <c r="H933">
        <f t="shared" si="961"/>
        <v>2035</v>
      </c>
      <c r="I933">
        <v>1</v>
      </c>
      <c r="J933">
        <f t="shared" si="964"/>
        <v>44.549999999999891</v>
      </c>
      <c r="K933">
        <f t="shared" si="965"/>
        <v>0</v>
      </c>
      <c r="L933">
        <f t="shared" si="966"/>
        <v>44.549999999999891</v>
      </c>
    </row>
    <row r="934" spans="2:12">
      <c r="B934" s="1">
        <v>49572</v>
      </c>
      <c r="C934" t="s">
        <v>42</v>
      </c>
      <c r="D934">
        <v>20.6</v>
      </c>
      <c r="E934">
        <v>0</v>
      </c>
      <c r="F934">
        <f t="shared" si="962"/>
        <v>0</v>
      </c>
      <c r="G934">
        <f t="shared" ref="G934:G997" si="999">D934</f>
        <v>20.6</v>
      </c>
      <c r="H934">
        <f t="shared" si="961"/>
        <v>2035</v>
      </c>
      <c r="I934">
        <v>1</v>
      </c>
      <c r="J934">
        <f t="shared" si="964"/>
        <v>44.549999999999891</v>
      </c>
      <c r="K934">
        <f t="shared" si="965"/>
        <v>0</v>
      </c>
      <c r="L934">
        <f t="shared" si="966"/>
        <v>44.549999999999891</v>
      </c>
    </row>
    <row r="935" spans="2:12">
      <c r="B935" s="1">
        <v>49573</v>
      </c>
      <c r="C935" t="s">
        <v>50</v>
      </c>
      <c r="D935">
        <v>12.3</v>
      </c>
      <c r="E935">
        <v>0.2</v>
      </c>
      <c r="F935">
        <f t="shared" si="962"/>
        <v>0</v>
      </c>
      <c r="G935">
        <f t="shared" ref="G935:G998" si="1000">D934+D935</f>
        <v>32.900000000000006</v>
      </c>
      <c r="H935">
        <f t="shared" si="961"/>
        <v>2035</v>
      </c>
      <c r="I935">
        <v>1</v>
      </c>
      <c r="J935">
        <f t="shared" si="964"/>
        <v>44.549999999999891</v>
      </c>
      <c r="K935">
        <f t="shared" si="965"/>
        <v>0</v>
      </c>
      <c r="L935">
        <f t="shared" si="966"/>
        <v>44.549999999999891</v>
      </c>
    </row>
    <row r="936" spans="2:12">
      <c r="B936" s="1">
        <v>49574</v>
      </c>
      <c r="C936" t="s">
        <v>50</v>
      </c>
      <c r="D936">
        <v>11.2</v>
      </c>
      <c r="E936">
        <v>36.200000000000003</v>
      </c>
      <c r="F936">
        <f t="shared" si="962"/>
        <v>4.0544000000000002</v>
      </c>
      <c r="G936">
        <f t="shared" ref="G936" si="1001">D934+D935+D936</f>
        <v>44.100000000000009</v>
      </c>
      <c r="H936">
        <f t="shared" si="961"/>
        <v>2035</v>
      </c>
      <c r="I936">
        <v>1</v>
      </c>
      <c r="J936">
        <f t="shared" si="964"/>
        <v>48.604399999999892</v>
      </c>
      <c r="K936">
        <f t="shared" si="965"/>
        <v>0</v>
      </c>
      <c r="L936">
        <f t="shared" si="966"/>
        <v>48.604399999999892</v>
      </c>
    </row>
    <row r="937" spans="2:12">
      <c r="B937" s="1">
        <v>49575</v>
      </c>
      <c r="C937" t="s">
        <v>19</v>
      </c>
      <c r="D937">
        <v>22.6</v>
      </c>
      <c r="E937">
        <v>2.4</v>
      </c>
      <c r="F937">
        <f t="shared" si="962"/>
        <v>0.54239999999999999</v>
      </c>
      <c r="G937">
        <f t="shared" ref="G937" si="1002">D934+D935+D936+D937</f>
        <v>66.700000000000017</v>
      </c>
      <c r="H937">
        <f t="shared" si="961"/>
        <v>2035</v>
      </c>
      <c r="I937">
        <v>1</v>
      </c>
      <c r="J937">
        <f t="shared" si="964"/>
        <v>49.146799999999892</v>
      </c>
      <c r="K937">
        <f t="shared" si="965"/>
        <v>0</v>
      </c>
      <c r="L937">
        <f t="shared" si="966"/>
        <v>49.146799999999892</v>
      </c>
    </row>
    <row r="938" spans="2:12">
      <c r="B938" s="1">
        <v>49576</v>
      </c>
      <c r="C938" t="s">
        <v>49</v>
      </c>
      <c r="D938">
        <v>16.399999999999999</v>
      </c>
      <c r="E938">
        <v>0.1</v>
      </c>
      <c r="F938">
        <f t="shared" si="962"/>
        <v>0</v>
      </c>
      <c r="G938">
        <f t="shared" ref="G938" si="1003">D934+D935+D936+D937+D938</f>
        <v>83.100000000000023</v>
      </c>
      <c r="H938">
        <f t="shared" si="961"/>
        <v>2035</v>
      </c>
      <c r="I938">
        <v>1</v>
      </c>
      <c r="J938">
        <f t="shared" si="964"/>
        <v>49.146799999999892</v>
      </c>
      <c r="K938">
        <f t="shared" si="965"/>
        <v>0</v>
      </c>
      <c r="L938">
        <f t="shared" si="966"/>
        <v>49.146799999999892</v>
      </c>
    </row>
    <row r="939" spans="2:12">
      <c r="B939" s="1">
        <v>49577</v>
      </c>
      <c r="C939" t="s">
        <v>38</v>
      </c>
      <c r="D939">
        <v>23.4</v>
      </c>
      <c r="E939">
        <v>0</v>
      </c>
      <c r="F939">
        <f t="shared" si="962"/>
        <v>0</v>
      </c>
      <c r="G939">
        <f t="shared" ref="G939" si="1004">D934+D935+D936+D937+D938+D939</f>
        <v>106.50000000000003</v>
      </c>
      <c r="H939">
        <f t="shared" si="961"/>
        <v>2035</v>
      </c>
      <c r="I939">
        <v>1</v>
      </c>
      <c r="J939">
        <f t="shared" si="964"/>
        <v>49.146799999999892</v>
      </c>
      <c r="K939">
        <f t="shared" si="965"/>
        <v>0</v>
      </c>
      <c r="L939">
        <f t="shared" si="966"/>
        <v>49.146799999999892</v>
      </c>
    </row>
    <row r="940" spans="2:12">
      <c r="B940" s="1">
        <v>49578</v>
      </c>
      <c r="C940" t="s">
        <v>35</v>
      </c>
      <c r="D940">
        <v>20.2</v>
      </c>
      <c r="E940">
        <v>0.3</v>
      </c>
      <c r="F940">
        <f t="shared" si="962"/>
        <v>0</v>
      </c>
      <c r="G940">
        <f t="shared" ref="G940" si="1005">D934+D935+D936+D937+D938+D939+D940</f>
        <v>126.70000000000003</v>
      </c>
      <c r="H940">
        <f t="shared" si="961"/>
        <v>2035</v>
      </c>
      <c r="I940">
        <v>1</v>
      </c>
      <c r="J940">
        <f t="shared" si="964"/>
        <v>49.146799999999892</v>
      </c>
      <c r="K940">
        <f t="shared" si="965"/>
        <v>0</v>
      </c>
      <c r="L940">
        <f t="shared" si="966"/>
        <v>49.146799999999892</v>
      </c>
    </row>
    <row r="941" spans="2:12">
      <c r="B941" s="1">
        <v>49579</v>
      </c>
      <c r="C941" t="s">
        <v>25</v>
      </c>
      <c r="D941">
        <v>17.600000000000001</v>
      </c>
      <c r="E941">
        <v>15</v>
      </c>
      <c r="F941">
        <f t="shared" si="962"/>
        <v>2.64</v>
      </c>
      <c r="G941">
        <f t="shared" ref="G941:G1004" si="1006">D941</f>
        <v>17.600000000000001</v>
      </c>
      <c r="H941">
        <f t="shared" si="961"/>
        <v>2035</v>
      </c>
      <c r="I941">
        <v>1</v>
      </c>
      <c r="J941">
        <f t="shared" si="964"/>
        <v>51.786799999999893</v>
      </c>
      <c r="K941">
        <f t="shared" si="965"/>
        <v>0</v>
      </c>
      <c r="L941">
        <f t="shared" si="966"/>
        <v>51.786799999999893</v>
      </c>
    </row>
    <row r="942" spans="2:12">
      <c r="B942" s="1">
        <v>49580</v>
      </c>
      <c r="C942" t="s">
        <v>24</v>
      </c>
      <c r="D942">
        <v>21.7</v>
      </c>
      <c r="E942">
        <v>33.299999999999997</v>
      </c>
      <c r="F942">
        <f t="shared" si="962"/>
        <v>7.2260999999999989</v>
      </c>
      <c r="G942">
        <f t="shared" ref="G942:G1005" si="1007">D941+D942</f>
        <v>39.299999999999997</v>
      </c>
      <c r="H942">
        <f t="shared" si="961"/>
        <v>2035</v>
      </c>
      <c r="I942">
        <v>1</v>
      </c>
      <c r="J942">
        <f t="shared" si="964"/>
        <v>59.012899999999888</v>
      </c>
      <c r="K942">
        <f t="shared" si="965"/>
        <v>0</v>
      </c>
      <c r="L942">
        <f t="shared" si="966"/>
        <v>59.012899999999888</v>
      </c>
    </row>
    <row r="943" spans="2:12">
      <c r="B943" s="1">
        <v>49581</v>
      </c>
      <c r="C943" t="s">
        <v>24</v>
      </c>
      <c r="D943">
        <v>18.399999999999999</v>
      </c>
      <c r="E943">
        <v>19.3</v>
      </c>
      <c r="F943">
        <f t="shared" si="962"/>
        <v>3.5512000000000001</v>
      </c>
      <c r="G943">
        <f t="shared" ref="G943" si="1008">D941+D942+D943</f>
        <v>57.699999999999996</v>
      </c>
      <c r="H943">
        <f t="shared" si="961"/>
        <v>2035</v>
      </c>
      <c r="I943">
        <v>1</v>
      </c>
      <c r="J943">
        <f t="shared" si="964"/>
        <v>62.56409999999989</v>
      </c>
      <c r="K943">
        <f t="shared" si="965"/>
        <v>0</v>
      </c>
      <c r="L943">
        <f t="shared" si="966"/>
        <v>62.56409999999989</v>
      </c>
    </row>
    <row r="944" spans="2:12">
      <c r="B944" s="1">
        <v>49582</v>
      </c>
      <c r="C944" t="s">
        <v>18</v>
      </c>
      <c r="D944">
        <v>20.100000000000001</v>
      </c>
      <c r="E944">
        <v>15.4</v>
      </c>
      <c r="F944">
        <f t="shared" si="962"/>
        <v>3.0954000000000002</v>
      </c>
      <c r="G944">
        <f t="shared" ref="G944" si="1009">D941+D942+D943+D944</f>
        <v>77.8</v>
      </c>
      <c r="H944">
        <f t="shared" si="961"/>
        <v>2035</v>
      </c>
      <c r="I944">
        <v>1</v>
      </c>
      <c r="J944">
        <f t="shared" si="964"/>
        <v>65.659499999999895</v>
      </c>
      <c r="K944">
        <f t="shared" si="965"/>
        <v>0</v>
      </c>
      <c r="L944">
        <f t="shared" si="966"/>
        <v>65.659499999999895</v>
      </c>
    </row>
    <row r="945" spans="2:12">
      <c r="B945" s="1">
        <v>49583</v>
      </c>
      <c r="C945" t="s">
        <v>47</v>
      </c>
      <c r="D945">
        <v>16.5</v>
      </c>
      <c r="E945">
        <v>14.7</v>
      </c>
      <c r="F945">
        <f t="shared" si="962"/>
        <v>2.4255</v>
      </c>
      <c r="G945">
        <f t="shared" ref="G945" si="1010">D941+D942+D943+D944+D945</f>
        <v>94.3</v>
      </c>
      <c r="H945">
        <f t="shared" si="961"/>
        <v>2035</v>
      </c>
      <c r="I945">
        <v>1</v>
      </c>
      <c r="J945">
        <f t="shared" si="964"/>
        <v>68.084999999999894</v>
      </c>
      <c r="K945">
        <f t="shared" si="965"/>
        <v>0</v>
      </c>
      <c r="L945">
        <f t="shared" si="966"/>
        <v>68.084999999999894</v>
      </c>
    </row>
    <row r="946" spans="2:12">
      <c r="B946" s="1">
        <v>49584</v>
      </c>
      <c r="C946" t="s">
        <v>24</v>
      </c>
      <c r="D946">
        <v>12.3</v>
      </c>
      <c r="E946">
        <v>30.2</v>
      </c>
      <c r="F946">
        <f t="shared" si="962"/>
        <v>3.7146000000000003</v>
      </c>
      <c r="G946">
        <f t="shared" ref="G946" si="1011">D941+D942+D943+D944+D945+D946</f>
        <v>106.6</v>
      </c>
      <c r="H946">
        <f t="shared" si="961"/>
        <v>2035</v>
      </c>
      <c r="I946">
        <v>1</v>
      </c>
      <c r="J946">
        <f t="shared" si="964"/>
        <v>71.799599999999899</v>
      </c>
      <c r="K946">
        <f t="shared" si="965"/>
        <v>0</v>
      </c>
      <c r="L946">
        <f t="shared" si="966"/>
        <v>71.799599999999899</v>
      </c>
    </row>
    <row r="947" spans="2:12">
      <c r="B947" s="1">
        <v>49585</v>
      </c>
      <c r="C947" t="s">
        <v>24</v>
      </c>
      <c r="D947">
        <v>29.6</v>
      </c>
      <c r="E947">
        <v>42.8</v>
      </c>
      <c r="F947">
        <f t="shared" si="962"/>
        <v>12.668799999999999</v>
      </c>
      <c r="G947">
        <f t="shared" ref="G947" si="1012">D941+D942+D943+D944+D945+D946+D947</f>
        <v>136.19999999999999</v>
      </c>
      <c r="H947">
        <f t="shared" si="961"/>
        <v>2035</v>
      </c>
      <c r="I947">
        <v>1</v>
      </c>
      <c r="J947">
        <f t="shared" si="964"/>
        <v>84.468399999999903</v>
      </c>
      <c r="K947">
        <f t="shared" si="965"/>
        <v>0</v>
      </c>
      <c r="L947">
        <f t="shared" si="966"/>
        <v>84.468399999999903</v>
      </c>
    </row>
    <row r="948" spans="2:12">
      <c r="B948" s="1">
        <v>49586</v>
      </c>
      <c r="C948" t="s">
        <v>26</v>
      </c>
      <c r="D948">
        <v>26.6</v>
      </c>
      <c r="E948">
        <v>9.1999999999999993</v>
      </c>
      <c r="F948">
        <f t="shared" si="962"/>
        <v>2.4472</v>
      </c>
      <c r="G948">
        <f t="shared" ref="G948:G1011" si="1013">D948</f>
        <v>26.6</v>
      </c>
      <c r="H948">
        <f t="shared" si="961"/>
        <v>2035</v>
      </c>
      <c r="I948">
        <v>1</v>
      </c>
      <c r="J948">
        <f t="shared" si="964"/>
        <v>86.915599999999898</v>
      </c>
      <c r="K948">
        <f t="shared" si="965"/>
        <v>0</v>
      </c>
      <c r="L948">
        <f t="shared" si="966"/>
        <v>86.915599999999898</v>
      </c>
    </row>
    <row r="949" spans="2:12">
      <c r="B949" s="1">
        <v>49587</v>
      </c>
      <c r="C949" t="s">
        <v>47</v>
      </c>
      <c r="D949">
        <v>26.7</v>
      </c>
      <c r="E949">
        <v>4</v>
      </c>
      <c r="F949">
        <f t="shared" si="962"/>
        <v>1.0680000000000001</v>
      </c>
      <c r="G949">
        <f t="shared" ref="G949:G1012" si="1014">D948+D949</f>
        <v>53.3</v>
      </c>
      <c r="H949">
        <f t="shared" si="961"/>
        <v>2035</v>
      </c>
      <c r="I949">
        <v>1</v>
      </c>
      <c r="J949">
        <f t="shared" si="964"/>
        <v>87.983599999999896</v>
      </c>
      <c r="K949">
        <f t="shared" si="965"/>
        <v>0</v>
      </c>
      <c r="L949">
        <f t="shared" si="966"/>
        <v>87.983599999999896</v>
      </c>
    </row>
    <row r="950" spans="2:12">
      <c r="B950" s="1">
        <v>49588</v>
      </c>
      <c r="C950" t="s">
        <v>32</v>
      </c>
      <c r="D950">
        <v>23.6</v>
      </c>
      <c r="E950">
        <v>0</v>
      </c>
      <c r="F950">
        <f t="shared" si="962"/>
        <v>0</v>
      </c>
      <c r="G950">
        <f t="shared" ref="G950" si="1015">D948+D949+D950</f>
        <v>76.900000000000006</v>
      </c>
      <c r="H950">
        <f t="shared" si="961"/>
        <v>2035</v>
      </c>
      <c r="I950">
        <v>1</v>
      </c>
      <c r="J950">
        <f t="shared" si="964"/>
        <v>87.983599999999896</v>
      </c>
      <c r="K950">
        <f t="shared" si="965"/>
        <v>0</v>
      </c>
      <c r="L950">
        <f t="shared" si="966"/>
        <v>87.983599999999896</v>
      </c>
    </row>
    <row r="951" spans="2:12">
      <c r="B951" s="1">
        <v>49589</v>
      </c>
      <c r="C951" t="s">
        <v>49</v>
      </c>
      <c r="D951">
        <v>13.6</v>
      </c>
      <c r="E951">
        <v>2.8</v>
      </c>
      <c r="F951">
        <f t="shared" si="962"/>
        <v>0.38079999999999997</v>
      </c>
      <c r="G951">
        <f t="shared" ref="G951" si="1016">D948+D949+D950+D951</f>
        <v>90.5</v>
      </c>
      <c r="H951">
        <f t="shared" si="961"/>
        <v>2035</v>
      </c>
      <c r="I951">
        <v>1</v>
      </c>
      <c r="J951">
        <f t="shared" si="964"/>
        <v>88.36439999999989</v>
      </c>
      <c r="K951">
        <f t="shared" si="965"/>
        <v>0</v>
      </c>
      <c r="L951">
        <f t="shared" si="966"/>
        <v>88.36439999999989</v>
      </c>
    </row>
    <row r="952" spans="2:12">
      <c r="B952" s="1">
        <v>49590</v>
      </c>
      <c r="C952" t="s">
        <v>15</v>
      </c>
      <c r="D952">
        <v>13.8</v>
      </c>
      <c r="E952">
        <v>6.5</v>
      </c>
      <c r="F952">
        <f t="shared" si="962"/>
        <v>0.89700000000000002</v>
      </c>
      <c r="G952">
        <f t="shared" ref="G952" si="1017">D948+D949+D950+D951+D952</f>
        <v>104.3</v>
      </c>
      <c r="H952">
        <f t="shared" si="961"/>
        <v>2035</v>
      </c>
      <c r="I952">
        <v>1</v>
      </c>
      <c r="J952">
        <f t="shared" si="964"/>
        <v>89.261399999999895</v>
      </c>
      <c r="K952">
        <f t="shared" si="965"/>
        <v>0</v>
      </c>
      <c r="L952">
        <f t="shared" si="966"/>
        <v>89.261399999999895</v>
      </c>
    </row>
    <row r="953" spans="2:12">
      <c r="B953" s="1">
        <v>49591</v>
      </c>
      <c r="C953" t="s">
        <v>17</v>
      </c>
      <c r="D953">
        <v>12.3</v>
      </c>
      <c r="E953">
        <v>0</v>
      </c>
      <c r="F953">
        <f t="shared" si="962"/>
        <v>0</v>
      </c>
      <c r="G953">
        <f t="shared" ref="G953" si="1018">D948+D949+D950+D951+D952+D953</f>
        <v>116.6</v>
      </c>
      <c r="H953">
        <f t="shared" si="961"/>
        <v>2035</v>
      </c>
      <c r="I953">
        <v>1</v>
      </c>
      <c r="J953">
        <f t="shared" si="964"/>
        <v>89.261399999999895</v>
      </c>
      <c r="K953">
        <f t="shared" si="965"/>
        <v>0</v>
      </c>
      <c r="L953">
        <f t="shared" si="966"/>
        <v>89.261399999999895</v>
      </c>
    </row>
    <row r="954" spans="2:12">
      <c r="B954" s="1">
        <v>49592</v>
      </c>
      <c r="C954" t="s">
        <v>18</v>
      </c>
      <c r="D954">
        <v>12.3</v>
      </c>
      <c r="E954">
        <v>0</v>
      </c>
      <c r="F954">
        <f t="shared" si="962"/>
        <v>0</v>
      </c>
      <c r="G954">
        <f t="shared" ref="G954" si="1019">D948+D949+D950+D951+D952+D953+D954</f>
        <v>128.9</v>
      </c>
      <c r="H954">
        <f t="shared" si="961"/>
        <v>2035</v>
      </c>
      <c r="I954">
        <v>1</v>
      </c>
      <c r="J954">
        <f t="shared" si="964"/>
        <v>89.261399999999895</v>
      </c>
      <c r="K954">
        <f t="shared" si="965"/>
        <v>0</v>
      </c>
      <c r="L954">
        <f t="shared" si="966"/>
        <v>89.261399999999895</v>
      </c>
    </row>
    <row r="955" spans="2:12">
      <c r="B955" s="1">
        <v>49593</v>
      </c>
      <c r="C955" t="s">
        <v>47</v>
      </c>
      <c r="D955">
        <v>22.7</v>
      </c>
      <c r="E955">
        <v>10.3</v>
      </c>
      <c r="F955">
        <f t="shared" si="962"/>
        <v>2.3380999999999998</v>
      </c>
      <c r="G955">
        <f t="shared" ref="G955:G1018" si="1020">D955</f>
        <v>22.7</v>
      </c>
      <c r="H955">
        <f t="shared" si="961"/>
        <v>2035</v>
      </c>
      <c r="I955">
        <v>1</v>
      </c>
      <c r="J955">
        <f t="shared" si="964"/>
        <v>91.599499999999892</v>
      </c>
      <c r="K955">
        <f t="shared" si="965"/>
        <v>0</v>
      </c>
      <c r="L955">
        <f t="shared" si="966"/>
        <v>91.599499999999892</v>
      </c>
    </row>
    <row r="956" spans="2:12">
      <c r="B956" s="1">
        <v>49594</v>
      </c>
      <c r="C956" t="s">
        <v>24</v>
      </c>
      <c r="D956">
        <v>19</v>
      </c>
      <c r="E956">
        <v>0</v>
      </c>
      <c r="F956">
        <f t="shared" si="962"/>
        <v>0</v>
      </c>
      <c r="G956">
        <f t="shared" ref="G956:G1019" si="1021">D955+D956</f>
        <v>41.7</v>
      </c>
      <c r="H956">
        <f t="shared" si="961"/>
        <v>2035</v>
      </c>
      <c r="I956">
        <v>1</v>
      </c>
      <c r="J956">
        <f t="shared" si="964"/>
        <v>91.599499999999892</v>
      </c>
      <c r="K956">
        <f t="shared" si="965"/>
        <v>0</v>
      </c>
      <c r="L956">
        <f t="shared" si="966"/>
        <v>91.599499999999892</v>
      </c>
    </row>
    <row r="957" spans="2:12">
      <c r="B957" s="1">
        <v>49595</v>
      </c>
      <c r="C957" t="s">
        <v>19</v>
      </c>
      <c r="D957">
        <v>23.4</v>
      </c>
      <c r="E957">
        <v>0</v>
      </c>
      <c r="F957">
        <f t="shared" si="962"/>
        <v>0</v>
      </c>
      <c r="G957">
        <f t="shared" ref="G957" si="1022">D955+D956+D957</f>
        <v>65.099999999999994</v>
      </c>
      <c r="H957">
        <f t="shared" si="961"/>
        <v>2035</v>
      </c>
      <c r="I957">
        <v>1</v>
      </c>
      <c r="J957">
        <f t="shared" si="964"/>
        <v>91.599499999999892</v>
      </c>
      <c r="K957">
        <f t="shared" si="965"/>
        <v>0</v>
      </c>
      <c r="L957">
        <f t="shared" si="966"/>
        <v>91.599499999999892</v>
      </c>
    </row>
    <row r="958" spans="2:12">
      <c r="B958" s="1">
        <v>49596</v>
      </c>
      <c r="C958" t="s">
        <v>32</v>
      </c>
      <c r="D958">
        <v>28.2</v>
      </c>
      <c r="E958">
        <v>0</v>
      </c>
      <c r="F958">
        <f t="shared" si="962"/>
        <v>0</v>
      </c>
      <c r="G958">
        <f t="shared" ref="G958" si="1023">D955+D956+D957+D958</f>
        <v>93.3</v>
      </c>
      <c r="H958">
        <f t="shared" si="961"/>
        <v>2035</v>
      </c>
      <c r="I958">
        <v>1</v>
      </c>
      <c r="J958">
        <f t="shared" si="964"/>
        <v>91.599499999999892</v>
      </c>
      <c r="K958">
        <f t="shared" si="965"/>
        <v>0</v>
      </c>
      <c r="L958">
        <f t="shared" si="966"/>
        <v>91.599499999999892</v>
      </c>
    </row>
    <row r="959" spans="2:12">
      <c r="B959" s="1">
        <v>49597</v>
      </c>
      <c r="C959" t="s">
        <v>32</v>
      </c>
      <c r="D959">
        <v>20.100000000000001</v>
      </c>
      <c r="E959">
        <v>9.6999999999999993</v>
      </c>
      <c r="F959">
        <f t="shared" si="962"/>
        <v>1.9497</v>
      </c>
      <c r="G959">
        <f t="shared" ref="G959" si="1024">D955+D956+D957+D958+D959</f>
        <v>113.4</v>
      </c>
      <c r="H959">
        <f t="shared" si="961"/>
        <v>2035</v>
      </c>
      <c r="I959">
        <v>1</v>
      </c>
      <c r="J959">
        <f t="shared" si="964"/>
        <v>93.5491999999999</v>
      </c>
      <c r="K959">
        <f t="shared" si="965"/>
        <v>0</v>
      </c>
      <c r="L959">
        <f t="shared" si="966"/>
        <v>93.5491999999999</v>
      </c>
    </row>
    <row r="960" spans="2:12">
      <c r="B960" s="1">
        <v>49598</v>
      </c>
      <c r="C960" t="s">
        <v>42</v>
      </c>
      <c r="D960">
        <v>29.6</v>
      </c>
      <c r="E960">
        <v>0</v>
      </c>
      <c r="F960">
        <f t="shared" si="962"/>
        <v>0</v>
      </c>
      <c r="G960">
        <f t="shared" ref="G960" si="1025">D955+D956+D957+D958+D959+D960</f>
        <v>143</v>
      </c>
      <c r="H960">
        <f t="shared" si="961"/>
        <v>2035</v>
      </c>
      <c r="I960">
        <v>1</v>
      </c>
      <c r="J960">
        <f t="shared" si="964"/>
        <v>93.5491999999999</v>
      </c>
      <c r="K960">
        <f t="shared" si="965"/>
        <v>0</v>
      </c>
      <c r="L960">
        <f t="shared" si="966"/>
        <v>93.5491999999999</v>
      </c>
    </row>
    <row r="961" spans="2:12">
      <c r="B961" s="1">
        <v>49599</v>
      </c>
      <c r="C961" t="s">
        <v>18</v>
      </c>
      <c r="D961">
        <v>25.8</v>
      </c>
      <c r="E961">
        <v>0</v>
      </c>
      <c r="F961">
        <f t="shared" si="962"/>
        <v>0</v>
      </c>
      <c r="G961">
        <f t="shared" ref="G961" si="1026">D955+D956+D957+D958+D959+D960+D961</f>
        <v>168.8</v>
      </c>
      <c r="H961">
        <f t="shared" si="961"/>
        <v>2035</v>
      </c>
      <c r="I961">
        <v>1</v>
      </c>
      <c r="J961">
        <f t="shared" si="964"/>
        <v>93.5491999999999</v>
      </c>
      <c r="K961">
        <f t="shared" si="965"/>
        <v>0</v>
      </c>
      <c r="L961">
        <f t="shared" si="966"/>
        <v>93.5491999999999</v>
      </c>
    </row>
    <row r="962" spans="2:12">
      <c r="B962" s="1">
        <v>49600</v>
      </c>
      <c r="C962" t="s">
        <v>24</v>
      </c>
      <c r="D962">
        <v>19.600000000000001</v>
      </c>
      <c r="E962">
        <v>18.5</v>
      </c>
      <c r="F962">
        <f t="shared" si="962"/>
        <v>3.6260000000000003</v>
      </c>
      <c r="G962">
        <f t="shared" ref="G962:G1025" si="1027">D962</f>
        <v>19.600000000000001</v>
      </c>
      <c r="H962">
        <f t="shared" si="961"/>
        <v>2035</v>
      </c>
      <c r="I962">
        <v>1</v>
      </c>
      <c r="J962">
        <f t="shared" si="964"/>
        <v>97.175199999999904</v>
      </c>
      <c r="K962">
        <f t="shared" si="965"/>
        <v>0</v>
      </c>
      <c r="L962">
        <f t="shared" si="966"/>
        <v>97.175199999999904</v>
      </c>
    </row>
    <row r="963" spans="2:12">
      <c r="B963" s="1">
        <v>49601</v>
      </c>
      <c r="C963" t="s">
        <v>50</v>
      </c>
      <c r="D963">
        <v>21.5</v>
      </c>
      <c r="E963">
        <v>3</v>
      </c>
      <c r="F963">
        <f t="shared" si="962"/>
        <v>0.64500000000000002</v>
      </c>
      <c r="G963">
        <f t="shared" ref="G963:G1026" si="1028">D962+D963</f>
        <v>41.1</v>
      </c>
      <c r="H963">
        <f t="shared" si="961"/>
        <v>2035</v>
      </c>
      <c r="I963">
        <v>1</v>
      </c>
      <c r="J963">
        <f t="shared" si="964"/>
        <v>97.8201999999999</v>
      </c>
      <c r="K963">
        <f t="shared" si="965"/>
        <v>0</v>
      </c>
      <c r="L963">
        <f t="shared" si="966"/>
        <v>97.8201999999999</v>
      </c>
    </row>
    <row r="964" spans="2:12">
      <c r="B964" s="1">
        <v>49602</v>
      </c>
      <c r="C964" t="s">
        <v>32</v>
      </c>
      <c r="D964">
        <v>24.2</v>
      </c>
      <c r="E964">
        <v>17.399999999999999</v>
      </c>
      <c r="F964">
        <f t="shared" si="962"/>
        <v>4.210799999999999</v>
      </c>
      <c r="G964">
        <f t="shared" ref="G964" si="1029">D962+D963+D964</f>
        <v>65.3</v>
      </c>
      <c r="H964">
        <f t="shared" ref="H964:H1027" si="1030">YEAR(B964)</f>
        <v>2035</v>
      </c>
      <c r="I964">
        <v>1</v>
      </c>
      <c r="J964">
        <f t="shared" si="964"/>
        <v>102.03099999999989</v>
      </c>
      <c r="K964">
        <f t="shared" si="965"/>
        <v>1</v>
      </c>
      <c r="L964">
        <f t="shared" si="966"/>
        <v>2.0309999999998922</v>
      </c>
    </row>
    <row r="965" spans="2:12">
      <c r="B965" s="1">
        <v>49603</v>
      </c>
      <c r="C965" t="s">
        <v>38</v>
      </c>
      <c r="D965">
        <v>12</v>
      </c>
      <c r="E965">
        <v>0</v>
      </c>
      <c r="F965">
        <f t="shared" ref="F965:F1028" si="1031">IF(E965&gt;=1,D965*E965/100,0)</f>
        <v>0</v>
      </c>
      <c r="G965">
        <f t="shared" ref="G965" si="1032">D962+D963+D964+D965</f>
        <v>77.3</v>
      </c>
      <c r="H965">
        <f t="shared" si="1030"/>
        <v>2035</v>
      </c>
      <c r="I965">
        <v>1</v>
      </c>
      <c r="J965">
        <f t="shared" ref="J965:J1028" si="1033">L964+F965</f>
        <v>2.0309999999998922</v>
      </c>
      <c r="K965">
        <f t="shared" ref="K965:K1028" si="1034">IF(J965&gt;=100,1,0)</f>
        <v>0</v>
      </c>
      <c r="L965">
        <f t="shared" ref="L965:L1028" si="1035">IF(K965=1,J965-100,J965)</f>
        <v>2.0309999999998922</v>
      </c>
    </row>
    <row r="966" spans="2:12">
      <c r="B966" s="1">
        <v>49604</v>
      </c>
      <c r="C966" t="s">
        <v>48</v>
      </c>
      <c r="D966">
        <v>23</v>
      </c>
      <c r="E966">
        <v>0</v>
      </c>
      <c r="F966">
        <f t="shared" si="1031"/>
        <v>0</v>
      </c>
      <c r="G966">
        <f t="shared" ref="G966" si="1036">D962+D963+D964+D965+D966</f>
        <v>100.3</v>
      </c>
      <c r="H966">
        <f t="shared" si="1030"/>
        <v>2035</v>
      </c>
      <c r="I966">
        <v>1</v>
      </c>
      <c r="J966">
        <f t="shared" si="1033"/>
        <v>2.0309999999998922</v>
      </c>
      <c r="K966">
        <f t="shared" si="1034"/>
        <v>0</v>
      </c>
      <c r="L966">
        <f t="shared" si="1035"/>
        <v>2.0309999999998922</v>
      </c>
    </row>
    <row r="967" spans="2:12">
      <c r="B967" s="1">
        <v>49605</v>
      </c>
      <c r="C967" t="s">
        <v>50</v>
      </c>
      <c r="D967">
        <v>19.8</v>
      </c>
      <c r="E967">
        <v>29.2</v>
      </c>
      <c r="F967">
        <f t="shared" si="1031"/>
        <v>5.7816000000000001</v>
      </c>
      <c r="G967">
        <f t="shared" ref="G967" si="1037">D962+D963+D964+D965+D966+D967</f>
        <v>120.1</v>
      </c>
      <c r="H967">
        <f t="shared" si="1030"/>
        <v>2035</v>
      </c>
      <c r="I967">
        <v>1</v>
      </c>
      <c r="J967">
        <f t="shared" si="1033"/>
        <v>7.8125999999998923</v>
      </c>
      <c r="K967">
        <f t="shared" si="1034"/>
        <v>0</v>
      </c>
      <c r="L967">
        <f t="shared" si="1035"/>
        <v>7.8125999999998923</v>
      </c>
    </row>
    <row r="968" spans="2:12">
      <c r="B968" s="1">
        <v>49606</v>
      </c>
      <c r="C968" t="s">
        <v>15</v>
      </c>
      <c r="D968">
        <v>14.9</v>
      </c>
      <c r="E968">
        <v>0.8</v>
      </c>
      <c r="F968">
        <f t="shared" si="1031"/>
        <v>0</v>
      </c>
      <c r="G968">
        <f t="shared" ref="G968" si="1038">D962+D963+D964+D965+D966+D967+D968</f>
        <v>135</v>
      </c>
      <c r="H968">
        <f t="shared" si="1030"/>
        <v>2035</v>
      </c>
      <c r="I968">
        <v>1</v>
      </c>
      <c r="J968">
        <f t="shared" si="1033"/>
        <v>7.8125999999998923</v>
      </c>
      <c r="K968">
        <f t="shared" si="1034"/>
        <v>0</v>
      </c>
      <c r="L968">
        <f t="shared" si="1035"/>
        <v>7.8125999999998923</v>
      </c>
    </row>
    <row r="969" spans="2:12">
      <c r="B969" s="1">
        <v>49607</v>
      </c>
      <c r="C969" t="s">
        <v>32</v>
      </c>
      <c r="D969">
        <v>17.899999999999999</v>
      </c>
      <c r="E969">
        <v>10.3</v>
      </c>
      <c r="F969">
        <f t="shared" si="1031"/>
        <v>1.8437000000000001</v>
      </c>
      <c r="G969">
        <f t="shared" ref="G969:G1032" si="1039">D969</f>
        <v>17.899999999999999</v>
      </c>
      <c r="H969">
        <f t="shared" si="1030"/>
        <v>2035</v>
      </c>
      <c r="I969">
        <v>1</v>
      </c>
      <c r="J969">
        <f t="shared" si="1033"/>
        <v>9.6562999999998915</v>
      </c>
      <c r="K969">
        <f t="shared" si="1034"/>
        <v>0</v>
      </c>
      <c r="L969">
        <f t="shared" si="1035"/>
        <v>9.6562999999998915</v>
      </c>
    </row>
    <row r="970" spans="2:12">
      <c r="B970" s="1">
        <v>49608</v>
      </c>
      <c r="C970" t="s">
        <v>18</v>
      </c>
      <c r="D970">
        <v>26</v>
      </c>
      <c r="E970">
        <v>0</v>
      </c>
      <c r="F970">
        <f t="shared" si="1031"/>
        <v>0</v>
      </c>
      <c r="G970">
        <f t="shared" ref="G970:G1033" si="1040">D969+D970</f>
        <v>43.9</v>
      </c>
      <c r="H970">
        <f t="shared" si="1030"/>
        <v>2035</v>
      </c>
      <c r="I970">
        <v>1</v>
      </c>
      <c r="J970">
        <f t="shared" si="1033"/>
        <v>9.6562999999998915</v>
      </c>
      <c r="K970">
        <f t="shared" si="1034"/>
        <v>0</v>
      </c>
      <c r="L970">
        <f t="shared" si="1035"/>
        <v>9.6562999999998915</v>
      </c>
    </row>
    <row r="971" spans="2:12">
      <c r="B971" s="1">
        <v>49609</v>
      </c>
      <c r="C971" t="s">
        <v>26</v>
      </c>
      <c r="D971">
        <v>21.5</v>
      </c>
      <c r="E971">
        <v>9.3000000000000007</v>
      </c>
      <c r="F971">
        <f t="shared" si="1031"/>
        <v>1.9995000000000003</v>
      </c>
      <c r="G971">
        <f t="shared" ref="G971" si="1041">D969+D970+D971</f>
        <v>65.400000000000006</v>
      </c>
      <c r="H971">
        <f t="shared" si="1030"/>
        <v>2035</v>
      </c>
      <c r="I971">
        <v>1</v>
      </c>
      <c r="J971">
        <f t="shared" si="1033"/>
        <v>11.655799999999893</v>
      </c>
      <c r="K971">
        <f t="shared" si="1034"/>
        <v>0</v>
      </c>
      <c r="L971">
        <f t="shared" si="1035"/>
        <v>11.655799999999893</v>
      </c>
    </row>
    <row r="972" spans="2:12">
      <c r="B972" s="1">
        <v>49610</v>
      </c>
      <c r="C972" t="s">
        <v>50</v>
      </c>
      <c r="D972">
        <v>29.9</v>
      </c>
      <c r="E972">
        <v>2.4</v>
      </c>
      <c r="F972">
        <f t="shared" si="1031"/>
        <v>0.7175999999999999</v>
      </c>
      <c r="G972">
        <f t="shared" ref="G972" si="1042">D969+D970+D971+D972</f>
        <v>95.300000000000011</v>
      </c>
      <c r="H972">
        <f t="shared" si="1030"/>
        <v>2035</v>
      </c>
      <c r="I972">
        <v>1</v>
      </c>
      <c r="J972">
        <f t="shared" si="1033"/>
        <v>12.373399999999892</v>
      </c>
      <c r="K972">
        <f t="shared" si="1034"/>
        <v>0</v>
      </c>
      <c r="L972">
        <f t="shared" si="1035"/>
        <v>12.373399999999892</v>
      </c>
    </row>
    <row r="973" spans="2:12">
      <c r="B973" s="1">
        <v>49611</v>
      </c>
      <c r="C973" t="s">
        <v>24</v>
      </c>
      <c r="D973">
        <v>12.3</v>
      </c>
      <c r="E973">
        <v>35.1</v>
      </c>
      <c r="F973">
        <f t="shared" si="1031"/>
        <v>4.3173000000000004</v>
      </c>
      <c r="G973">
        <f t="shared" ref="G973" si="1043">D969+D970+D971+D972+D973</f>
        <v>107.60000000000001</v>
      </c>
      <c r="H973">
        <f t="shared" si="1030"/>
        <v>2035</v>
      </c>
      <c r="I973">
        <v>1</v>
      </c>
      <c r="J973">
        <f t="shared" si="1033"/>
        <v>16.690699999999893</v>
      </c>
      <c r="K973">
        <f t="shared" si="1034"/>
        <v>0</v>
      </c>
      <c r="L973">
        <f t="shared" si="1035"/>
        <v>16.690699999999893</v>
      </c>
    </row>
    <row r="974" spans="2:12">
      <c r="B974" s="1">
        <v>49612</v>
      </c>
      <c r="C974" t="s">
        <v>42</v>
      </c>
      <c r="D974">
        <v>21.7</v>
      </c>
      <c r="E974">
        <v>3.9</v>
      </c>
      <c r="F974">
        <f t="shared" si="1031"/>
        <v>0.84629999999999994</v>
      </c>
      <c r="G974">
        <f t="shared" ref="G974" si="1044">D969+D970+D971+D972+D973+D974</f>
        <v>129.30000000000001</v>
      </c>
      <c r="H974">
        <f t="shared" si="1030"/>
        <v>2035</v>
      </c>
      <c r="I974">
        <v>1</v>
      </c>
      <c r="J974">
        <f t="shared" si="1033"/>
        <v>17.536999999999892</v>
      </c>
      <c r="K974">
        <f t="shared" si="1034"/>
        <v>0</v>
      </c>
      <c r="L974">
        <f t="shared" si="1035"/>
        <v>17.536999999999892</v>
      </c>
    </row>
    <row r="975" spans="2:12">
      <c r="B975" s="1">
        <v>49613</v>
      </c>
      <c r="C975" t="s">
        <v>24</v>
      </c>
      <c r="D975">
        <v>10.7</v>
      </c>
      <c r="E975">
        <v>0</v>
      </c>
      <c r="F975">
        <f t="shared" si="1031"/>
        <v>0</v>
      </c>
      <c r="G975">
        <f t="shared" ref="G975" si="1045">D969+D970+D971+D972+D973+D974+D975</f>
        <v>140</v>
      </c>
      <c r="H975">
        <f t="shared" si="1030"/>
        <v>2035</v>
      </c>
      <c r="I975">
        <v>1</v>
      </c>
      <c r="J975">
        <f t="shared" si="1033"/>
        <v>17.536999999999892</v>
      </c>
      <c r="K975">
        <f t="shared" si="1034"/>
        <v>0</v>
      </c>
      <c r="L975">
        <f t="shared" si="1035"/>
        <v>17.536999999999892</v>
      </c>
    </row>
    <row r="976" spans="2:12">
      <c r="B976" s="1">
        <v>49614</v>
      </c>
      <c r="C976" t="s">
        <v>15</v>
      </c>
      <c r="D976">
        <v>21.5</v>
      </c>
      <c r="E976">
        <v>0</v>
      </c>
      <c r="F976">
        <f t="shared" si="1031"/>
        <v>0</v>
      </c>
      <c r="G976">
        <f t="shared" ref="G976:G1039" si="1046">D976</f>
        <v>21.5</v>
      </c>
      <c r="H976">
        <f t="shared" si="1030"/>
        <v>2035</v>
      </c>
      <c r="I976">
        <v>1</v>
      </c>
      <c r="J976">
        <f t="shared" si="1033"/>
        <v>17.536999999999892</v>
      </c>
      <c r="K976">
        <f t="shared" si="1034"/>
        <v>0</v>
      </c>
      <c r="L976">
        <f t="shared" si="1035"/>
        <v>17.536999999999892</v>
      </c>
    </row>
    <row r="977" spans="2:12">
      <c r="B977" s="1">
        <v>49615</v>
      </c>
      <c r="C977" t="s">
        <v>24</v>
      </c>
      <c r="D977">
        <v>26</v>
      </c>
      <c r="E977">
        <v>33.799999999999997</v>
      </c>
      <c r="F977">
        <f t="shared" si="1031"/>
        <v>8.7880000000000003</v>
      </c>
      <c r="G977">
        <f t="shared" ref="G977:G1040" si="1047">D976+D977</f>
        <v>47.5</v>
      </c>
      <c r="H977">
        <f t="shared" si="1030"/>
        <v>2035</v>
      </c>
      <c r="I977">
        <v>1</v>
      </c>
      <c r="J977">
        <f t="shared" si="1033"/>
        <v>26.324999999999893</v>
      </c>
      <c r="K977">
        <f t="shared" si="1034"/>
        <v>0</v>
      </c>
      <c r="L977">
        <f t="shared" si="1035"/>
        <v>26.324999999999893</v>
      </c>
    </row>
    <row r="978" spans="2:12">
      <c r="B978" s="1">
        <v>49616</v>
      </c>
      <c r="C978" t="s">
        <v>32</v>
      </c>
      <c r="D978">
        <v>24.4</v>
      </c>
      <c r="E978">
        <v>15.4</v>
      </c>
      <c r="F978">
        <f t="shared" si="1031"/>
        <v>3.7576000000000001</v>
      </c>
      <c r="G978">
        <f t="shared" ref="G978" si="1048">D976+D977+D978</f>
        <v>71.900000000000006</v>
      </c>
      <c r="H978">
        <f t="shared" si="1030"/>
        <v>2035</v>
      </c>
      <c r="I978">
        <v>1</v>
      </c>
      <c r="J978">
        <f t="shared" si="1033"/>
        <v>30.082599999999893</v>
      </c>
      <c r="K978">
        <f t="shared" si="1034"/>
        <v>0</v>
      </c>
      <c r="L978">
        <f t="shared" si="1035"/>
        <v>30.082599999999893</v>
      </c>
    </row>
    <row r="979" spans="2:12">
      <c r="B979" s="1">
        <v>49617</v>
      </c>
      <c r="C979" t="s">
        <v>15</v>
      </c>
      <c r="D979">
        <v>20.8</v>
      </c>
      <c r="E979">
        <v>0</v>
      </c>
      <c r="F979">
        <f t="shared" si="1031"/>
        <v>0</v>
      </c>
      <c r="G979">
        <f t="shared" ref="G979" si="1049">D976+D977+D978+D979</f>
        <v>92.7</v>
      </c>
      <c r="H979">
        <f t="shared" si="1030"/>
        <v>2035</v>
      </c>
      <c r="I979">
        <v>1</v>
      </c>
      <c r="J979">
        <f t="shared" si="1033"/>
        <v>30.082599999999893</v>
      </c>
      <c r="K979">
        <f t="shared" si="1034"/>
        <v>0</v>
      </c>
      <c r="L979">
        <f t="shared" si="1035"/>
        <v>30.082599999999893</v>
      </c>
    </row>
    <row r="980" spans="2:12">
      <c r="B980" s="1">
        <v>49618</v>
      </c>
      <c r="C980" t="s">
        <v>27</v>
      </c>
      <c r="D980">
        <v>18.2</v>
      </c>
      <c r="E980">
        <v>15.7</v>
      </c>
      <c r="F980">
        <f t="shared" si="1031"/>
        <v>2.8573999999999997</v>
      </c>
      <c r="G980">
        <f t="shared" ref="G980" si="1050">D976+D977+D978+D979+D980</f>
        <v>110.9</v>
      </c>
      <c r="H980">
        <f t="shared" si="1030"/>
        <v>2035</v>
      </c>
      <c r="I980">
        <v>1</v>
      </c>
      <c r="J980">
        <f t="shared" si="1033"/>
        <v>32.939999999999891</v>
      </c>
      <c r="K980">
        <f t="shared" si="1034"/>
        <v>0</v>
      </c>
      <c r="L980">
        <f t="shared" si="1035"/>
        <v>32.939999999999891</v>
      </c>
    </row>
    <row r="981" spans="2:12">
      <c r="B981" s="1">
        <v>49619</v>
      </c>
      <c r="C981" t="s">
        <v>42</v>
      </c>
      <c r="D981">
        <v>25.6</v>
      </c>
      <c r="E981">
        <v>7</v>
      </c>
      <c r="F981">
        <f t="shared" si="1031"/>
        <v>1.7920000000000003</v>
      </c>
      <c r="G981">
        <f t="shared" ref="G981" si="1051">D976+D977+D978+D979+D980+D981</f>
        <v>136.5</v>
      </c>
      <c r="H981">
        <f t="shared" si="1030"/>
        <v>2035</v>
      </c>
      <c r="I981">
        <v>1</v>
      </c>
      <c r="J981">
        <f t="shared" si="1033"/>
        <v>34.731999999999893</v>
      </c>
      <c r="K981">
        <f t="shared" si="1034"/>
        <v>0</v>
      </c>
      <c r="L981">
        <f t="shared" si="1035"/>
        <v>34.731999999999893</v>
      </c>
    </row>
    <row r="982" spans="2:12">
      <c r="B982" s="1">
        <v>49620</v>
      </c>
      <c r="C982" t="s">
        <v>25</v>
      </c>
      <c r="D982">
        <v>25.2</v>
      </c>
      <c r="E982">
        <v>0</v>
      </c>
      <c r="F982">
        <f t="shared" si="1031"/>
        <v>0</v>
      </c>
      <c r="G982">
        <f t="shared" ref="G982" si="1052">D976+D977+D978+D979+D980+D981+D982</f>
        <v>161.69999999999999</v>
      </c>
      <c r="H982">
        <f t="shared" si="1030"/>
        <v>2035</v>
      </c>
      <c r="I982">
        <v>1</v>
      </c>
      <c r="J982">
        <f t="shared" si="1033"/>
        <v>34.731999999999893</v>
      </c>
      <c r="K982">
        <f t="shared" si="1034"/>
        <v>0</v>
      </c>
      <c r="L982">
        <f t="shared" si="1035"/>
        <v>34.731999999999893</v>
      </c>
    </row>
    <row r="983" spans="2:12">
      <c r="B983" s="1">
        <v>49621</v>
      </c>
      <c r="C983" t="s">
        <v>26</v>
      </c>
      <c r="D983">
        <v>19.5</v>
      </c>
      <c r="E983">
        <v>5.3</v>
      </c>
      <c r="F983">
        <f t="shared" si="1031"/>
        <v>1.0334999999999999</v>
      </c>
      <c r="G983">
        <f t="shared" ref="G983:G1046" si="1053">D983</f>
        <v>19.5</v>
      </c>
      <c r="H983">
        <f t="shared" si="1030"/>
        <v>2035</v>
      </c>
      <c r="I983">
        <v>1</v>
      </c>
      <c r="J983">
        <f t="shared" si="1033"/>
        <v>35.765499999999889</v>
      </c>
      <c r="K983">
        <f t="shared" si="1034"/>
        <v>0</v>
      </c>
      <c r="L983">
        <f t="shared" si="1035"/>
        <v>35.765499999999889</v>
      </c>
    </row>
    <row r="984" spans="2:12">
      <c r="B984" s="1">
        <v>49622</v>
      </c>
      <c r="C984" t="s">
        <v>37</v>
      </c>
      <c r="D984">
        <v>15.2</v>
      </c>
      <c r="E984">
        <v>2.1</v>
      </c>
      <c r="F984">
        <f t="shared" si="1031"/>
        <v>0.31919999999999998</v>
      </c>
      <c r="G984">
        <f t="shared" ref="G984:G1047" si="1054">D983+D984</f>
        <v>34.700000000000003</v>
      </c>
      <c r="H984">
        <f t="shared" si="1030"/>
        <v>2035</v>
      </c>
      <c r="I984">
        <v>1</v>
      </c>
      <c r="J984">
        <f t="shared" si="1033"/>
        <v>36.084699999999891</v>
      </c>
      <c r="K984">
        <f t="shared" si="1034"/>
        <v>0</v>
      </c>
      <c r="L984">
        <f t="shared" si="1035"/>
        <v>36.084699999999891</v>
      </c>
    </row>
    <row r="985" spans="2:12">
      <c r="B985" s="1">
        <v>49623</v>
      </c>
      <c r="C985" t="s">
        <v>32</v>
      </c>
      <c r="D985">
        <v>21.3</v>
      </c>
      <c r="E985">
        <v>11.4</v>
      </c>
      <c r="F985">
        <f t="shared" si="1031"/>
        <v>2.4282000000000004</v>
      </c>
      <c r="G985">
        <f t="shared" ref="G985" si="1055">D983+D984+D985</f>
        <v>56</v>
      </c>
      <c r="H985">
        <f t="shared" si="1030"/>
        <v>2035</v>
      </c>
      <c r="I985">
        <v>1</v>
      </c>
      <c r="J985">
        <f t="shared" si="1033"/>
        <v>38.512899999999888</v>
      </c>
      <c r="K985">
        <f t="shared" si="1034"/>
        <v>0</v>
      </c>
      <c r="L985">
        <f t="shared" si="1035"/>
        <v>38.512899999999888</v>
      </c>
    </row>
    <row r="986" spans="2:12">
      <c r="B986" s="1">
        <v>49624</v>
      </c>
      <c r="C986" t="s">
        <v>32</v>
      </c>
      <c r="D986">
        <v>21.8</v>
      </c>
      <c r="E986">
        <v>17.399999999999999</v>
      </c>
      <c r="F986">
        <f t="shared" si="1031"/>
        <v>3.7932000000000001</v>
      </c>
      <c r="G986">
        <f t="shared" ref="G986" si="1056">D983+D984+D985+D986</f>
        <v>77.8</v>
      </c>
      <c r="H986">
        <f t="shared" si="1030"/>
        <v>2035</v>
      </c>
      <c r="I986">
        <v>1</v>
      </c>
      <c r="J986">
        <f t="shared" si="1033"/>
        <v>42.306099999999887</v>
      </c>
      <c r="K986">
        <f t="shared" si="1034"/>
        <v>0</v>
      </c>
      <c r="L986">
        <f t="shared" si="1035"/>
        <v>42.306099999999887</v>
      </c>
    </row>
    <row r="987" spans="2:12">
      <c r="B987" s="1">
        <v>49625</v>
      </c>
      <c r="C987" t="s">
        <v>33</v>
      </c>
      <c r="D987">
        <v>27.7</v>
      </c>
      <c r="E987">
        <v>0.5</v>
      </c>
      <c r="F987">
        <f t="shared" si="1031"/>
        <v>0</v>
      </c>
      <c r="G987">
        <f t="shared" ref="G987" si="1057">D983+D984+D985+D986+D987</f>
        <v>105.5</v>
      </c>
      <c r="H987">
        <f t="shared" si="1030"/>
        <v>2035</v>
      </c>
      <c r="I987">
        <v>1</v>
      </c>
      <c r="J987">
        <f t="shared" si="1033"/>
        <v>42.306099999999887</v>
      </c>
      <c r="K987">
        <f t="shared" si="1034"/>
        <v>0</v>
      </c>
      <c r="L987">
        <f t="shared" si="1035"/>
        <v>42.306099999999887</v>
      </c>
    </row>
    <row r="988" spans="2:12">
      <c r="B988" s="1">
        <v>49626</v>
      </c>
      <c r="C988" t="s">
        <v>24</v>
      </c>
      <c r="D988">
        <v>28.5</v>
      </c>
      <c r="E988">
        <v>46</v>
      </c>
      <c r="F988">
        <f t="shared" si="1031"/>
        <v>13.11</v>
      </c>
      <c r="G988">
        <f t="shared" ref="G988" si="1058">D983+D984+D985+D986+D987+D988</f>
        <v>134</v>
      </c>
      <c r="H988">
        <f t="shared" si="1030"/>
        <v>2035</v>
      </c>
      <c r="I988">
        <v>1</v>
      </c>
      <c r="J988">
        <f t="shared" si="1033"/>
        <v>55.416099999999886</v>
      </c>
      <c r="K988">
        <f t="shared" si="1034"/>
        <v>0</v>
      </c>
      <c r="L988">
        <f t="shared" si="1035"/>
        <v>55.416099999999886</v>
      </c>
    </row>
    <row r="989" spans="2:12">
      <c r="B989" s="1">
        <v>49627</v>
      </c>
      <c r="C989" t="s">
        <v>38</v>
      </c>
      <c r="D989">
        <v>25.7</v>
      </c>
      <c r="E989">
        <v>0</v>
      </c>
      <c r="F989">
        <f t="shared" si="1031"/>
        <v>0</v>
      </c>
      <c r="G989">
        <f t="shared" ref="G989" si="1059">D983+D984+D985+D986+D987+D988+D989</f>
        <v>159.69999999999999</v>
      </c>
      <c r="H989">
        <f t="shared" si="1030"/>
        <v>2035</v>
      </c>
      <c r="I989">
        <v>1</v>
      </c>
      <c r="J989">
        <f t="shared" si="1033"/>
        <v>55.416099999999886</v>
      </c>
      <c r="K989">
        <f t="shared" si="1034"/>
        <v>0</v>
      </c>
      <c r="L989">
        <f t="shared" si="1035"/>
        <v>55.416099999999886</v>
      </c>
    </row>
    <row r="990" spans="2:12">
      <c r="B990" s="1">
        <v>49628</v>
      </c>
      <c r="C990" t="s">
        <v>24</v>
      </c>
      <c r="D990">
        <v>18</v>
      </c>
      <c r="E990">
        <v>0.5</v>
      </c>
      <c r="F990">
        <f t="shared" si="1031"/>
        <v>0</v>
      </c>
      <c r="G990">
        <f t="shared" ref="G990:G1053" si="1060">D990</f>
        <v>18</v>
      </c>
      <c r="H990">
        <f t="shared" si="1030"/>
        <v>2035</v>
      </c>
      <c r="I990">
        <v>1</v>
      </c>
      <c r="J990">
        <f t="shared" si="1033"/>
        <v>55.416099999999886</v>
      </c>
      <c r="K990">
        <f t="shared" si="1034"/>
        <v>0</v>
      </c>
      <c r="L990">
        <f t="shared" si="1035"/>
        <v>55.416099999999886</v>
      </c>
    </row>
    <row r="991" spans="2:12">
      <c r="B991" s="1">
        <v>49629</v>
      </c>
      <c r="C991" t="s">
        <v>17</v>
      </c>
      <c r="D991">
        <v>29.5</v>
      </c>
      <c r="E991">
        <v>0</v>
      </c>
      <c r="F991">
        <f t="shared" si="1031"/>
        <v>0</v>
      </c>
      <c r="G991">
        <f t="shared" ref="G991:G1054" si="1061">D990+D991</f>
        <v>47.5</v>
      </c>
      <c r="H991">
        <f t="shared" si="1030"/>
        <v>2035</v>
      </c>
      <c r="I991">
        <v>1</v>
      </c>
      <c r="J991">
        <f t="shared" si="1033"/>
        <v>55.416099999999886</v>
      </c>
      <c r="K991">
        <f t="shared" si="1034"/>
        <v>0</v>
      </c>
      <c r="L991">
        <f t="shared" si="1035"/>
        <v>55.416099999999886</v>
      </c>
    </row>
    <row r="992" spans="2:12">
      <c r="B992" s="1">
        <v>49630</v>
      </c>
      <c r="C992" t="s">
        <v>47</v>
      </c>
      <c r="D992">
        <v>21</v>
      </c>
      <c r="E992">
        <v>10.3</v>
      </c>
      <c r="F992">
        <f t="shared" si="1031"/>
        <v>2.1630000000000003</v>
      </c>
      <c r="G992">
        <f t="shared" ref="G992" si="1062">D990+D991+D992</f>
        <v>68.5</v>
      </c>
      <c r="H992">
        <f t="shared" si="1030"/>
        <v>2035</v>
      </c>
      <c r="I992">
        <v>1</v>
      </c>
      <c r="J992">
        <f t="shared" si="1033"/>
        <v>57.579099999999883</v>
      </c>
      <c r="K992">
        <f t="shared" si="1034"/>
        <v>0</v>
      </c>
      <c r="L992">
        <f t="shared" si="1035"/>
        <v>57.579099999999883</v>
      </c>
    </row>
    <row r="993" spans="2:12">
      <c r="B993" s="1">
        <v>49631</v>
      </c>
      <c r="C993" t="s">
        <v>40</v>
      </c>
      <c r="D993">
        <v>11.4</v>
      </c>
      <c r="E993">
        <v>3.2</v>
      </c>
      <c r="F993">
        <f t="shared" si="1031"/>
        <v>0.36480000000000001</v>
      </c>
      <c r="G993">
        <f t="shared" ref="G993" si="1063">D990+D991+D992+D993</f>
        <v>79.900000000000006</v>
      </c>
      <c r="H993">
        <f t="shared" si="1030"/>
        <v>2035</v>
      </c>
      <c r="I993">
        <v>1</v>
      </c>
      <c r="J993">
        <f t="shared" si="1033"/>
        <v>57.943899999999886</v>
      </c>
      <c r="K993">
        <f t="shared" si="1034"/>
        <v>0</v>
      </c>
      <c r="L993">
        <f t="shared" si="1035"/>
        <v>57.943899999999886</v>
      </c>
    </row>
    <row r="994" spans="2:12">
      <c r="B994" s="1">
        <v>49632</v>
      </c>
      <c r="C994" t="s">
        <v>24</v>
      </c>
      <c r="D994">
        <v>12.7</v>
      </c>
      <c r="E994">
        <v>0</v>
      </c>
      <c r="F994">
        <f t="shared" si="1031"/>
        <v>0</v>
      </c>
      <c r="G994">
        <f t="shared" ref="G994" si="1064">D990+D991+D992+D993+D994</f>
        <v>92.600000000000009</v>
      </c>
      <c r="H994">
        <f t="shared" si="1030"/>
        <v>2035</v>
      </c>
      <c r="I994">
        <v>1</v>
      </c>
      <c r="J994">
        <f t="shared" si="1033"/>
        <v>57.943899999999886</v>
      </c>
      <c r="K994">
        <f t="shared" si="1034"/>
        <v>0</v>
      </c>
      <c r="L994">
        <f t="shared" si="1035"/>
        <v>57.943899999999886</v>
      </c>
    </row>
    <row r="995" spans="2:12">
      <c r="B995" s="1">
        <v>49633</v>
      </c>
      <c r="C995" t="s">
        <v>15</v>
      </c>
      <c r="D995">
        <v>14.1</v>
      </c>
      <c r="E995">
        <v>6.2</v>
      </c>
      <c r="F995">
        <f t="shared" si="1031"/>
        <v>0.87419999999999998</v>
      </c>
      <c r="G995">
        <f t="shared" ref="G995" si="1065">D990+D991+D992+D993+D994+D995</f>
        <v>106.7</v>
      </c>
      <c r="H995">
        <f t="shared" si="1030"/>
        <v>2035</v>
      </c>
      <c r="I995">
        <v>1</v>
      </c>
      <c r="J995">
        <f t="shared" si="1033"/>
        <v>58.818099999999887</v>
      </c>
      <c r="K995">
        <f t="shared" si="1034"/>
        <v>0</v>
      </c>
      <c r="L995">
        <f t="shared" si="1035"/>
        <v>58.818099999999887</v>
      </c>
    </row>
    <row r="996" spans="2:12">
      <c r="B996" s="1">
        <v>49634</v>
      </c>
      <c r="C996" t="s">
        <v>24</v>
      </c>
      <c r="D996">
        <v>29.5</v>
      </c>
      <c r="E996">
        <v>29.9</v>
      </c>
      <c r="F996">
        <f t="shared" si="1031"/>
        <v>8.8204999999999991</v>
      </c>
      <c r="G996">
        <f t="shared" ref="G996" si="1066">D990+D991+D992+D993+D994+D995+D996</f>
        <v>136.19999999999999</v>
      </c>
      <c r="H996">
        <f t="shared" si="1030"/>
        <v>2035</v>
      </c>
      <c r="I996">
        <v>1</v>
      </c>
      <c r="J996">
        <f t="shared" si="1033"/>
        <v>67.638599999999883</v>
      </c>
      <c r="K996">
        <f t="shared" si="1034"/>
        <v>0</v>
      </c>
      <c r="L996">
        <f t="shared" si="1035"/>
        <v>67.638599999999883</v>
      </c>
    </row>
    <row r="997" spans="2:12">
      <c r="B997" s="1">
        <v>49635</v>
      </c>
      <c r="C997" t="s">
        <v>43</v>
      </c>
      <c r="D997">
        <v>18.399999999999999</v>
      </c>
      <c r="E997">
        <v>0</v>
      </c>
      <c r="F997">
        <f t="shared" si="1031"/>
        <v>0</v>
      </c>
      <c r="G997">
        <f t="shared" ref="G997:G1060" si="1067">D997</f>
        <v>18.399999999999999</v>
      </c>
      <c r="H997">
        <f t="shared" si="1030"/>
        <v>2035</v>
      </c>
      <c r="I997">
        <v>1</v>
      </c>
      <c r="J997">
        <f t="shared" si="1033"/>
        <v>67.638599999999883</v>
      </c>
      <c r="K997">
        <f t="shared" si="1034"/>
        <v>0</v>
      </c>
      <c r="L997">
        <f t="shared" si="1035"/>
        <v>67.638599999999883</v>
      </c>
    </row>
    <row r="998" spans="2:12">
      <c r="B998" s="1">
        <v>49636</v>
      </c>
      <c r="C998" t="s">
        <v>24</v>
      </c>
      <c r="D998">
        <v>29.6</v>
      </c>
      <c r="E998">
        <v>43.9</v>
      </c>
      <c r="F998">
        <f t="shared" si="1031"/>
        <v>12.994400000000001</v>
      </c>
      <c r="G998">
        <f t="shared" ref="G998:G1061" si="1068">D997+D998</f>
        <v>48</v>
      </c>
      <c r="H998">
        <f t="shared" si="1030"/>
        <v>2035</v>
      </c>
      <c r="I998">
        <v>1</v>
      </c>
      <c r="J998">
        <f t="shared" si="1033"/>
        <v>80.632999999999882</v>
      </c>
      <c r="K998">
        <f t="shared" si="1034"/>
        <v>0</v>
      </c>
      <c r="L998">
        <f t="shared" si="1035"/>
        <v>80.632999999999882</v>
      </c>
    </row>
    <row r="999" spans="2:12">
      <c r="B999" s="1">
        <v>49637</v>
      </c>
      <c r="C999" t="s">
        <v>32</v>
      </c>
      <c r="D999">
        <v>22.6</v>
      </c>
      <c r="E999">
        <v>14.6</v>
      </c>
      <c r="F999">
        <f t="shared" si="1031"/>
        <v>3.2996000000000003</v>
      </c>
      <c r="G999">
        <f t="shared" ref="G999" si="1069">D997+D998+D999</f>
        <v>70.599999999999994</v>
      </c>
      <c r="H999">
        <f t="shared" si="1030"/>
        <v>2035</v>
      </c>
      <c r="I999">
        <v>1</v>
      </c>
      <c r="J999">
        <f t="shared" si="1033"/>
        <v>83.93259999999988</v>
      </c>
      <c r="K999">
        <f t="shared" si="1034"/>
        <v>0</v>
      </c>
      <c r="L999">
        <f t="shared" si="1035"/>
        <v>83.93259999999988</v>
      </c>
    </row>
    <row r="1000" spans="2:12">
      <c r="B1000" s="1">
        <v>49638</v>
      </c>
      <c r="C1000" t="s">
        <v>31</v>
      </c>
      <c r="D1000">
        <v>13.2</v>
      </c>
      <c r="E1000">
        <v>6.7</v>
      </c>
      <c r="F1000">
        <f t="shared" si="1031"/>
        <v>0.88439999999999996</v>
      </c>
      <c r="G1000">
        <f t="shared" ref="G1000" si="1070">D997+D998+D999+D1000</f>
        <v>83.8</v>
      </c>
      <c r="H1000">
        <f t="shared" si="1030"/>
        <v>2035</v>
      </c>
      <c r="I1000">
        <v>1</v>
      </c>
      <c r="J1000">
        <f t="shared" si="1033"/>
        <v>84.816999999999879</v>
      </c>
      <c r="K1000">
        <f t="shared" si="1034"/>
        <v>0</v>
      </c>
      <c r="L1000">
        <f t="shared" si="1035"/>
        <v>84.816999999999879</v>
      </c>
    </row>
    <row r="1001" spans="2:12">
      <c r="B1001" s="1">
        <v>49639</v>
      </c>
      <c r="C1001" t="s">
        <v>17</v>
      </c>
      <c r="D1001">
        <v>10.4</v>
      </c>
      <c r="E1001">
        <v>8.5</v>
      </c>
      <c r="F1001">
        <f t="shared" si="1031"/>
        <v>0.88400000000000001</v>
      </c>
      <c r="G1001">
        <f t="shared" ref="G1001" si="1071">D997+D998+D999+D1000+D1001</f>
        <v>94.2</v>
      </c>
      <c r="H1001">
        <f t="shared" si="1030"/>
        <v>2035</v>
      </c>
      <c r="I1001">
        <v>1</v>
      </c>
      <c r="J1001">
        <f t="shared" si="1033"/>
        <v>85.70099999999988</v>
      </c>
      <c r="K1001">
        <f t="shared" si="1034"/>
        <v>0</v>
      </c>
      <c r="L1001">
        <f t="shared" si="1035"/>
        <v>85.70099999999988</v>
      </c>
    </row>
    <row r="1002" spans="2:12">
      <c r="B1002" s="1">
        <v>49640</v>
      </c>
      <c r="C1002" t="s">
        <v>27</v>
      </c>
      <c r="D1002">
        <v>16.899999999999999</v>
      </c>
      <c r="E1002">
        <v>16.399999999999999</v>
      </c>
      <c r="F1002">
        <f t="shared" si="1031"/>
        <v>2.7715999999999998</v>
      </c>
      <c r="G1002">
        <f t="shared" ref="G1002" si="1072">D997+D998+D999+D1000+D1001+D1002</f>
        <v>111.1</v>
      </c>
      <c r="H1002">
        <f t="shared" si="1030"/>
        <v>2035</v>
      </c>
      <c r="I1002">
        <v>1</v>
      </c>
      <c r="J1002">
        <f t="shared" si="1033"/>
        <v>88.472599999999886</v>
      </c>
      <c r="K1002">
        <f t="shared" si="1034"/>
        <v>0</v>
      </c>
      <c r="L1002">
        <f t="shared" si="1035"/>
        <v>88.472599999999886</v>
      </c>
    </row>
    <row r="1003" spans="2:12">
      <c r="B1003" s="1">
        <v>49641</v>
      </c>
      <c r="C1003" t="s">
        <v>32</v>
      </c>
      <c r="D1003">
        <v>19.399999999999999</v>
      </c>
      <c r="E1003">
        <v>0</v>
      </c>
      <c r="F1003">
        <f t="shared" si="1031"/>
        <v>0</v>
      </c>
      <c r="G1003">
        <f t="shared" ref="G1003" si="1073">D997+D998+D999+D1000+D1001+D1002+D1003</f>
        <v>130.5</v>
      </c>
      <c r="H1003">
        <f t="shared" si="1030"/>
        <v>2035</v>
      </c>
      <c r="I1003">
        <v>1</v>
      </c>
      <c r="J1003">
        <f t="shared" si="1033"/>
        <v>88.472599999999886</v>
      </c>
      <c r="K1003">
        <f t="shared" si="1034"/>
        <v>0</v>
      </c>
      <c r="L1003">
        <f t="shared" si="1035"/>
        <v>88.472599999999886</v>
      </c>
    </row>
    <row r="1004" spans="2:12">
      <c r="B1004" s="1">
        <v>49642</v>
      </c>
      <c r="C1004" t="s">
        <v>37</v>
      </c>
      <c r="D1004">
        <v>16.899999999999999</v>
      </c>
      <c r="E1004">
        <v>1</v>
      </c>
      <c r="F1004">
        <f t="shared" si="1031"/>
        <v>0.16899999999999998</v>
      </c>
      <c r="G1004">
        <f t="shared" ref="G1004:G1067" si="1074">D1004</f>
        <v>16.899999999999999</v>
      </c>
      <c r="H1004">
        <f t="shared" si="1030"/>
        <v>2035</v>
      </c>
      <c r="I1004">
        <v>1</v>
      </c>
      <c r="J1004">
        <f t="shared" si="1033"/>
        <v>88.641599999999883</v>
      </c>
      <c r="K1004">
        <f t="shared" si="1034"/>
        <v>0</v>
      </c>
      <c r="L1004">
        <f t="shared" si="1035"/>
        <v>88.641599999999883</v>
      </c>
    </row>
    <row r="1005" spans="2:12">
      <c r="B1005" s="1">
        <v>49643</v>
      </c>
      <c r="C1005" t="s">
        <v>24</v>
      </c>
      <c r="D1005">
        <v>18.399999999999999</v>
      </c>
      <c r="E1005">
        <v>0</v>
      </c>
      <c r="F1005">
        <f t="shared" si="1031"/>
        <v>0</v>
      </c>
      <c r="G1005">
        <f t="shared" ref="G1005:G1068" si="1075">D1004+D1005</f>
        <v>35.299999999999997</v>
      </c>
      <c r="H1005">
        <f t="shared" si="1030"/>
        <v>2035</v>
      </c>
      <c r="I1005">
        <v>1</v>
      </c>
      <c r="J1005">
        <f t="shared" si="1033"/>
        <v>88.641599999999883</v>
      </c>
      <c r="K1005">
        <f t="shared" si="1034"/>
        <v>0</v>
      </c>
      <c r="L1005">
        <f t="shared" si="1035"/>
        <v>88.641599999999883</v>
      </c>
    </row>
    <row r="1006" spans="2:12">
      <c r="B1006" s="1">
        <v>49644</v>
      </c>
      <c r="C1006" t="s">
        <v>32</v>
      </c>
      <c r="D1006">
        <v>13.4</v>
      </c>
      <c r="E1006">
        <v>12.8</v>
      </c>
      <c r="F1006">
        <f t="shared" si="1031"/>
        <v>1.7152000000000001</v>
      </c>
      <c r="G1006">
        <f t="shared" ref="G1006" si="1076">D1004+D1005+D1006</f>
        <v>48.699999999999996</v>
      </c>
      <c r="H1006">
        <f t="shared" si="1030"/>
        <v>2035</v>
      </c>
      <c r="I1006">
        <v>1</v>
      </c>
      <c r="J1006">
        <f t="shared" si="1033"/>
        <v>90.356799999999879</v>
      </c>
      <c r="K1006">
        <f t="shared" si="1034"/>
        <v>0</v>
      </c>
      <c r="L1006">
        <f t="shared" si="1035"/>
        <v>90.356799999999879</v>
      </c>
    </row>
    <row r="1007" spans="2:12">
      <c r="B1007" s="1">
        <v>49645</v>
      </c>
      <c r="C1007" t="s">
        <v>18</v>
      </c>
      <c r="D1007">
        <v>28.8</v>
      </c>
      <c r="E1007">
        <v>0</v>
      </c>
      <c r="F1007">
        <f t="shared" si="1031"/>
        <v>0</v>
      </c>
      <c r="G1007">
        <f t="shared" ref="G1007" si="1077">D1004+D1005+D1006+D1007</f>
        <v>77.5</v>
      </c>
      <c r="H1007">
        <f t="shared" si="1030"/>
        <v>2035</v>
      </c>
      <c r="I1007">
        <v>1</v>
      </c>
      <c r="J1007">
        <f t="shared" si="1033"/>
        <v>90.356799999999879</v>
      </c>
      <c r="K1007">
        <f t="shared" si="1034"/>
        <v>0</v>
      </c>
      <c r="L1007">
        <f t="shared" si="1035"/>
        <v>90.356799999999879</v>
      </c>
    </row>
    <row r="1008" spans="2:12">
      <c r="B1008" s="1">
        <v>49646</v>
      </c>
      <c r="C1008" t="s">
        <v>27</v>
      </c>
      <c r="D1008">
        <v>19.5</v>
      </c>
      <c r="E1008">
        <v>1.3</v>
      </c>
      <c r="F1008">
        <f t="shared" si="1031"/>
        <v>0.2535</v>
      </c>
      <c r="G1008">
        <f t="shared" ref="G1008" si="1078">D1004+D1005+D1006+D1007+D1008</f>
        <v>97</v>
      </c>
      <c r="H1008">
        <f t="shared" si="1030"/>
        <v>2035</v>
      </c>
      <c r="I1008">
        <v>1</v>
      </c>
      <c r="J1008">
        <f t="shared" si="1033"/>
        <v>90.610299999999881</v>
      </c>
      <c r="K1008">
        <f t="shared" si="1034"/>
        <v>0</v>
      </c>
      <c r="L1008">
        <f t="shared" si="1035"/>
        <v>90.610299999999881</v>
      </c>
    </row>
    <row r="1009" spans="2:12">
      <c r="B1009" s="1">
        <v>49647</v>
      </c>
      <c r="C1009" t="s">
        <v>25</v>
      </c>
      <c r="D1009">
        <v>29</v>
      </c>
      <c r="E1009">
        <v>14</v>
      </c>
      <c r="F1009">
        <f t="shared" si="1031"/>
        <v>4.0599999999999996</v>
      </c>
      <c r="G1009">
        <f t="shared" ref="G1009" si="1079">D1004+D1005+D1006+D1007+D1008+D1009</f>
        <v>126</v>
      </c>
      <c r="H1009">
        <f t="shared" si="1030"/>
        <v>2035</v>
      </c>
      <c r="I1009">
        <v>1</v>
      </c>
      <c r="J1009">
        <f t="shared" si="1033"/>
        <v>94.670299999999884</v>
      </c>
      <c r="K1009">
        <f t="shared" si="1034"/>
        <v>0</v>
      </c>
      <c r="L1009">
        <f t="shared" si="1035"/>
        <v>94.670299999999884</v>
      </c>
    </row>
    <row r="1010" spans="2:12">
      <c r="B1010" s="1">
        <v>49648</v>
      </c>
      <c r="C1010" t="s">
        <v>24</v>
      </c>
      <c r="D1010">
        <v>29.6</v>
      </c>
      <c r="E1010">
        <v>28.7</v>
      </c>
      <c r="F1010">
        <f t="shared" si="1031"/>
        <v>8.4952000000000005</v>
      </c>
      <c r="G1010">
        <f t="shared" ref="G1010" si="1080">D1004+D1005+D1006+D1007+D1008+D1009+D1010</f>
        <v>155.6</v>
      </c>
      <c r="H1010">
        <f t="shared" si="1030"/>
        <v>2035</v>
      </c>
      <c r="I1010">
        <v>1</v>
      </c>
      <c r="J1010">
        <f t="shared" si="1033"/>
        <v>103.16549999999988</v>
      </c>
      <c r="K1010">
        <f t="shared" si="1034"/>
        <v>1</v>
      </c>
      <c r="L1010">
        <f t="shared" si="1035"/>
        <v>3.1654999999998807</v>
      </c>
    </row>
    <row r="1011" spans="2:12">
      <c r="B1011" s="1">
        <v>49649</v>
      </c>
      <c r="C1011" t="s">
        <v>17</v>
      </c>
      <c r="D1011">
        <v>26.5</v>
      </c>
      <c r="E1011">
        <v>0</v>
      </c>
      <c r="F1011">
        <f t="shared" si="1031"/>
        <v>0</v>
      </c>
      <c r="G1011">
        <f t="shared" ref="G1011:G1074" si="1081">D1011</f>
        <v>26.5</v>
      </c>
      <c r="H1011">
        <f t="shared" si="1030"/>
        <v>2035</v>
      </c>
      <c r="I1011">
        <v>1</v>
      </c>
      <c r="J1011">
        <f t="shared" si="1033"/>
        <v>3.1654999999998807</v>
      </c>
      <c r="K1011">
        <f t="shared" si="1034"/>
        <v>0</v>
      </c>
      <c r="L1011">
        <f t="shared" si="1035"/>
        <v>3.1654999999998807</v>
      </c>
    </row>
    <row r="1012" spans="2:12">
      <c r="B1012" s="1">
        <v>49650</v>
      </c>
      <c r="C1012" t="s">
        <v>47</v>
      </c>
      <c r="D1012">
        <v>24.8</v>
      </c>
      <c r="E1012">
        <v>12.1</v>
      </c>
      <c r="F1012">
        <f t="shared" si="1031"/>
        <v>3.0007999999999999</v>
      </c>
      <c r="G1012">
        <f t="shared" ref="G1012:G1075" si="1082">D1011+D1012</f>
        <v>51.3</v>
      </c>
      <c r="H1012">
        <f t="shared" si="1030"/>
        <v>2035</v>
      </c>
      <c r="I1012">
        <v>1</v>
      </c>
      <c r="J1012">
        <f t="shared" si="1033"/>
        <v>6.1662999999998807</v>
      </c>
      <c r="K1012">
        <f t="shared" si="1034"/>
        <v>0</v>
      </c>
      <c r="L1012">
        <f t="shared" si="1035"/>
        <v>6.1662999999998807</v>
      </c>
    </row>
    <row r="1013" spans="2:12">
      <c r="B1013" s="1">
        <v>49651</v>
      </c>
      <c r="C1013" t="s">
        <v>24</v>
      </c>
      <c r="D1013">
        <v>20</v>
      </c>
      <c r="E1013">
        <v>14.7</v>
      </c>
      <c r="F1013">
        <f t="shared" si="1031"/>
        <v>2.94</v>
      </c>
      <c r="G1013">
        <f t="shared" ref="G1013" si="1083">D1011+D1012+D1013</f>
        <v>71.3</v>
      </c>
      <c r="H1013">
        <f t="shared" si="1030"/>
        <v>2035</v>
      </c>
      <c r="I1013">
        <v>1</v>
      </c>
      <c r="J1013">
        <f t="shared" si="1033"/>
        <v>9.1062999999998802</v>
      </c>
      <c r="K1013">
        <f t="shared" si="1034"/>
        <v>0</v>
      </c>
      <c r="L1013">
        <f t="shared" si="1035"/>
        <v>9.1062999999998802</v>
      </c>
    </row>
    <row r="1014" spans="2:12">
      <c r="B1014" s="1">
        <v>49652</v>
      </c>
      <c r="C1014" t="s">
        <v>50</v>
      </c>
      <c r="D1014">
        <v>16.899999999999999</v>
      </c>
      <c r="E1014">
        <v>38.299999999999997</v>
      </c>
      <c r="F1014">
        <f t="shared" si="1031"/>
        <v>6.4726999999999988</v>
      </c>
      <c r="G1014">
        <f t="shared" ref="G1014" si="1084">D1011+D1012+D1013+D1014</f>
        <v>88.199999999999989</v>
      </c>
      <c r="H1014">
        <f t="shared" si="1030"/>
        <v>2035</v>
      </c>
      <c r="I1014">
        <v>1</v>
      </c>
      <c r="J1014">
        <f t="shared" si="1033"/>
        <v>15.57899999999988</v>
      </c>
      <c r="K1014">
        <f t="shared" si="1034"/>
        <v>0</v>
      </c>
      <c r="L1014">
        <f t="shared" si="1035"/>
        <v>15.57899999999988</v>
      </c>
    </row>
    <row r="1015" spans="2:12">
      <c r="B1015" s="1">
        <v>49653</v>
      </c>
      <c r="C1015" t="s">
        <v>24</v>
      </c>
      <c r="D1015">
        <v>11.5</v>
      </c>
      <c r="E1015">
        <v>24.7</v>
      </c>
      <c r="F1015">
        <f t="shared" si="1031"/>
        <v>2.8405</v>
      </c>
      <c r="G1015">
        <f t="shared" ref="G1015" si="1085">D1011+D1012+D1013+D1014+D1015</f>
        <v>99.699999999999989</v>
      </c>
      <c r="H1015">
        <f t="shared" si="1030"/>
        <v>2035</v>
      </c>
      <c r="I1015">
        <v>1</v>
      </c>
      <c r="J1015">
        <f t="shared" si="1033"/>
        <v>18.419499999999879</v>
      </c>
      <c r="K1015">
        <f t="shared" si="1034"/>
        <v>0</v>
      </c>
      <c r="L1015">
        <f t="shared" si="1035"/>
        <v>18.419499999999879</v>
      </c>
    </row>
    <row r="1016" spans="2:12">
      <c r="B1016" s="1">
        <v>49654</v>
      </c>
      <c r="C1016" t="s">
        <v>27</v>
      </c>
      <c r="D1016">
        <v>11.4</v>
      </c>
      <c r="E1016">
        <v>0</v>
      </c>
      <c r="F1016">
        <f t="shared" si="1031"/>
        <v>0</v>
      </c>
      <c r="G1016">
        <f t="shared" ref="G1016" si="1086">D1011+D1012+D1013+D1014+D1015+D1016</f>
        <v>111.1</v>
      </c>
      <c r="H1016">
        <f t="shared" si="1030"/>
        <v>2035</v>
      </c>
      <c r="I1016">
        <v>1</v>
      </c>
      <c r="J1016">
        <f t="shared" si="1033"/>
        <v>18.419499999999879</v>
      </c>
      <c r="K1016">
        <f t="shared" si="1034"/>
        <v>0</v>
      </c>
      <c r="L1016">
        <f t="shared" si="1035"/>
        <v>18.419499999999879</v>
      </c>
    </row>
    <row r="1017" spans="2:12">
      <c r="B1017" s="1">
        <v>49655</v>
      </c>
      <c r="C1017" t="s">
        <v>17</v>
      </c>
      <c r="D1017">
        <v>28.5</v>
      </c>
      <c r="E1017">
        <v>0</v>
      </c>
      <c r="F1017">
        <f t="shared" si="1031"/>
        <v>0</v>
      </c>
      <c r="G1017">
        <f t="shared" ref="G1017" si="1087">D1011+D1012+D1013+D1014+D1015+D1016+D1017</f>
        <v>139.6</v>
      </c>
      <c r="H1017">
        <f t="shared" si="1030"/>
        <v>2035</v>
      </c>
      <c r="I1017">
        <v>1</v>
      </c>
      <c r="J1017">
        <f t="shared" si="1033"/>
        <v>18.419499999999879</v>
      </c>
      <c r="K1017">
        <f t="shared" si="1034"/>
        <v>0</v>
      </c>
      <c r="L1017">
        <f t="shared" si="1035"/>
        <v>18.419499999999879</v>
      </c>
    </row>
    <row r="1018" spans="2:12">
      <c r="B1018" s="1">
        <v>49656</v>
      </c>
      <c r="C1018" t="s">
        <v>43</v>
      </c>
      <c r="D1018">
        <v>27.9</v>
      </c>
      <c r="E1018">
        <v>0.7</v>
      </c>
      <c r="F1018">
        <f t="shared" si="1031"/>
        <v>0</v>
      </c>
      <c r="G1018">
        <f t="shared" ref="G1018:G1081" si="1088">D1018</f>
        <v>27.9</v>
      </c>
      <c r="H1018">
        <f t="shared" si="1030"/>
        <v>2035</v>
      </c>
      <c r="I1018">
        <v>1</v>
      </c>
      <c r="J1018">
        <f t="shared" si="1033"/>
        <v>18.419499999999879</v>
      </c>
      <c r="K1018">
        <f t="shared" si="1034"/>
        <v>0</v>
      </c>
      <c r="L1018">
        <f t="shared" si="1035"/>
        <v>18.419499999999879</v>
      </c>
    </row>
    <row r="1019" spans="2:12">
      <c r="B1019" s="1">
        <v>49657</v>
      </c>
      <c r="C1019" t="s">
        <v>18</v>
      </c>
      <c r="D1019">
        <v>26.7</v>
      </c>
      <c r="E1019">
        <v>15.5</v>
      </c>
      <c r="F1019">
        <f t="shared" si="1031"/>
        <v>4.1384999999999996</v>
      </c>
      <c r="G1019">
        <f t="shared" ref="G1019:G1082" si="1089">D1018+D1019</f>
        <v>54.599999999999994</v>
      </c>
      <c r="H1019">
        <f t="shared" si="1030"/>
        <v>2035</v>
      </c>
      <c r="I1019">
        <v>1</v>
      </c>
      <c r="J1019">
        <f t="shared" si="1033"/>
        <v>22.557999999999879</v>
      </c>
      <c r="K1019">
        <f t="shared" si="1034"/>
        <v>0</v>
      </c>
      <c r="L1019">
        <f t="shared" si="1035"/>
        <v>22.557999999999879</v>
      </c>
    </row>
    <row r="1020" spans="2:12">
      <c r="B1020" s="1">
        <v>49658</v>
      </c>
      <c r="C1020" t="s">
        <v>47</v>
      </c>
      <c r="D1020">
        <v>28.3</v>
      </c>
      <c r="E1020">
        <v>6.8</v>
      </c>
      <c r="F1020">
        <f t="shared" si="1031"/>
        <v>1.9243999999999999</v>
      </c>
      <c r="G1020">
        <f t="shared" ref="G1020" si="1090">D1018+D1019+D1020</f>
        <v>82.899999999999991</v>
      </c>
      <c r="H1020">
        <f t="shared" si="1030"/>
        <v>2035</v>
      </c>
      <c r="I1020">
        <v>1</v>
      </c>
      <c r="J1020">
        <f t="shared" si="1033"/>
        <v>24.482399999999878</v>
      </c>
      <c r="K1020">
        <f t="shared" si="1034"/>
        <v>0</v>
      </c>
      <c r="L1020">
        <f t="shared" si="1035"/>
        <v>24.482399999999878</v>
      </c>
    </row>
    <row r="1021" spans="2:12">
      <c r="B1021" s="1">
        <v>49659</v>
      </c>
      <c r="C1021" t="s">
        <v>24</v>
      </c>
      <c r="D1021">
        <v>28.9</v>
      </c>
      <c r="E1021">
        <v>0</v>
      </c>
      <c r="F1021">
        <f t="shared" si="1031"/>
        <v>0</v>
      </c>
      <c r="G1021">
        <f t="shared" ref="G1021" si="1091">D1018+D1019+D1020+D1021</f>
        <v>111.79999999999998</v>
      </c>
      <c r="H1021">
        <f t="shared" si="1030"/>
        <v>2035</v>
      </c>
      <c r="I1021">
        <v>1</v>
      </c>
      <c r="J1021">
        <f t="shared" si="1033"/>
        <v>24.482399999999878</v>
      </c>
      <c r="K1021">
        <f t="shared" si="1034"/>
        <v>0</v>
      </c>
      <c r="L1021">
        <f t="shared" si="1035"/>
        <v>24.482399999999878</v>
      </c>
    </row>
    <row r="1022" spans="2:12">
      <c r="B1022" s="1">
        <v>49660</v>
      </c>
      <c r="C1022" t="s">
        <v>40</v>
      </c>
      <c r="D1022">
        <v>21.6</v>
      </c>
      <c r="E1022">
        <v>4</v>
      </c>
      <c r="F1022">
        <f t="shared" si="1031"/>
        <v>0.8640000000000001</v>
      </c>
      <c r="G1022">
        <f t="shared" ref="G1022" si="1092">D1018+D1019+D1020+D1021+D1022</f>
        <v>133.39999999999998</v>
      </c>
      <c r="H1022">
        <f t="shared" si="1030"/>
        <v>2035</v>
      </c>
      <c r="I1022">
        <v>1</v>
      </c>
      <c r="J1022">
        <f t="shared" si="1033"/>
        <v>25.346399999999878</v>
      </c>
      <c r="K1022">
        <f t="shared" si="1034"/>
        <v>0</v>
      </c>
      <c r="L1022">
        <f t="shared" si="1035"/>
        <v>25.346399999999878</v>
      </c>
    </row>
    <row r="1023" spans="2:12">
      <c r="B1023" s="1">
        <v>49661</v>
      </c>
      <c r="C1023" t="s">
        <v>35</v>
      </c>
      <c r="D1023">
        <v>16.5</v>
      </c>
      <c r="E1023">
        <v>4.2</v>
      </c>
      <c r="F1023">
        <f t="shared" si="1031"/>
        <v>0.69299999999999995</v>
      </c>
      <c r="G1023">
        <f t="shared" ref="G1023" si="1093">D1018+D1019+D1020+D1021+D1022+D1023</f>
        <v>149.89999999999998</v>
      </c>
      <c r="H1023">
        <f t="shared" si="1030"/>
        <v>2035</v>
      </c>
      <c r="I1023">
        <v>1</v>
      </c>
      <c r="J1023">
        <f t="shared" si="1033"/>
        <v>26.03939999999988</v>
      </c>
      <c r="K1023">
        <f t="shared" si="1034"/>
        <v>0</v>
      </c>
      <c r="L1023">
        <f t="shared" si="1035"/>
        <v>26.03939999999988</v>
      </c>
    </row>
    <row r="1024" spans="2:12">
      <c r="B1024" s="1">
        <v>49662</v>
      </c>
      <c r="C1024" t="s">
        <v>27</v>
      </c>
      <c r="D1024">
        <v>24.6</v>
      </c>
      <c r="E1024">
        <v>10.6</v>
      </c>
      <c r="F1024">
        <f t="shared" si="1031"/>
        <v>2.6075999999999997</v>
      </c>
      <c r="G1024">
        <f t="shared" ref="G1024" si="1094">D1018+D1019+D1020+D1021+D1022+D1023+D1024</f>
        <v>174.49999999999997</v>
      </c>
      <c r="H1024">
        <f t="shared" si="1030"/>
        <v>2035</v>
      </c>
      <c r="I1024">
        <v>1</v>
      </c>
      <c r="J1024">
        <f t="shared" si="1033"/>
        <v>28.646999999999878</v>
      </c>
      <c r="K1024">
        <f t="shared" si="1034"/>
        <v>0</v>
      </c>
      <c r="L1024">
        <f t="shared" si="1035"/>
        <v>28.646999999999878</v>
      </c>
    </row>
    <row r="1025" spans="2:12">
      <c r="B1025" s="1">
        <v>49663</v>
      </c>
      <c r="C1025" t="s">
        <v>24</v>
      </c>
      <c r="D1025">
        <v>28.9</v>
      </c>
      <c r="E1025">
        <v>40.799999999999997</v>
      </c>
      <c r="F1025">
        <f t="shared" si="1031"/>
        <v>11.791199999999998</v>
      </c>
      <c r="G1025">
        <f t="shared" ref="G1025:G1088" si="1095">D1025</f>
        <v>28.9</v>
      </c>
      <c r="H1025">
        <f t="shared" si="1030"/>
        <v>2035</v>
      </c>
      <c r="I1025">
        <v>1</v>
      </c>
      <c r="J1025">
        <f t="shared" si="1033"/>
        <v>40.438199999999874</v>
      </c>
      <c r="K1025">
        <f t="shared" si="1034"/>
        <v>0</v>
      </c>
      <c r="L1025">
        <f t="shared" si="1035"/>
        <v>40.438199999999874</v>
      </c>
    </row>
    <row r="1026" spans="2:12">
      <c r="B1026" s="1">
        <v>49664</v>
      </c>
      <c r="C1026" t="s">
        <v>24</v>
      </c>
      <c r="D1026">
        <v>22.1</v>
      </c>
      <c r="E1026">
        <v>10</v>
      </c>
      <c r="F1026">
        <f t="shared" si="1031"/>
        <v>2.21</v>
      </c>
      <c r="G1026">
        <f t="shared" ref="G1026:G1089" si="1096">D1025+D1026</f>
        <v>51</v>
      </c>
      <c r="H1026">
        <f t="shared" si="1030"/>
        <v>2035</v>
      </c>
      <c r="I1026">
        <v>1</v>
      </c>
      <c r="J1026">
        <f t="shared" si="1033"/>
        <v>42.648199999999875</v>
      </c>
      <c r="K1026">
        <f t="shared" si="1034"/>
        <v>0</v>
      </c>
      <c r="L1026">
        <f t="shared" si="1035"/>
        <v>42.648199999999875</v>
      </c>
    </row>
    <row r="1027" spans="2:12">
      <c r="B1027" s="1">
        <v>49665</v>
      </c>
      <c r="C1027" t="s">
        <v>46</v>
      </c>
      <c r="D1027">
        <v>29.3</v>
      </c>
      <c r="E1027">
        <v>0</v>
      </c>
      <c r="F1027">
        <f t="shared" si="1031"/>
        <v>0</v>
      </c>
      <c r="G1027">
        <f t="shared" ref="G1027" si="1097">D1025+D1026+D1027</f>
        <v>80.3</v>
      </c>
      <c r="H1027">
        <f t="shared" si="1030"/>
        <v>2035</v>
      </c>
      <c r="I1027">
        <v>1</v>
      </c>
      <c r="J1027">
        <f t="shared" si="1033"/>
        <v>42.648199999999875</v>
      </c>
      <c r="K1027">
        <f t="shared" si="1034"/>
        <v>0</v>
      </c>
      <c r="L1027">
        <f t="shared" si="1035"/>
        <v>42.648199999999875</v>
      </c>
    </row>
    <row r="1028" spans="2:12">
      <c r="B1028" s="1">
        <v>49666</v>
      </c>
      <c r="C1028" t="s">
        <v>47</v>
      </c>
      <c r="D1028">
        <v>18.8</v>
      </c>
      <c r="E1028">
        <v>4.7</v>
      </c>
      <c r="F1028">
        <f t="shared" si="1031"/>
        <v>0.88360000000000016</v>
      </c>
      <c r="G1028">
        <f t="shared" ref="G1028" si="1098">D1025+D1026+D1027+D1028</f>
        <v>99.1</v>
      </c>
      <c r="H1028">
        <f t="shared" ref="H1028:H1091" si="1099">YEAR(B1028)</f>
        <v>2035</v>
      </c>
      <c r="I1028">
        <v>1</v>
      </c>
      <c r="J1028">
        <f t="shared" si="1033"/>
        <v>43.531799999999876</v>
      </c>
      <c r="K1028">
        <f t="shared" si="1034"/>
        <v>0</v>
      </c>
      <c r="L1028">
        <f t="shared" si="1035"/>
        <v>43.531799999999876</v>
      </c>
    </row>
    <row r="1029" spans="2:12">
      <c r="B1029" s="1">
        <v>49667</v>
      </c>
      <c r="C1029" t="s">
        <v>50</v>
      </c>
      <c r="D1029">
        <v>26.5</v>
      </c>
      <c r="E1029">
        <v>7.3</v>
      </c>
      <c r="F1029">
        <f t="shared" ref="F1029:F1092" si="1100">IF(E1029&gt;=1,D1029*E1029/100,0)</f>
        <v>1.9344999999999999</v>
      </c>
      <c r="G1029">
        <f t="shared" ref="G1029" si="1101">D1025+D1026+D1027+D1028+D1029</f>
        <v>125.6</v>
      </c>
      <c r="H1029">
        <f t="shared" si="1099"/>
        <v>2035</v>
      </c>
      <c r="I1029">
        <v>1</v>
      </c>
      <c r="J1029">
        <f t="shared" ref="J1029:J1092" si="1102">L1028+F1029</f>
        <v>45.466299999999876</v>
      </c>
      <c r="K1029">
        <f t="shared" ref="K1029:K1092" si="1103">IF(J1029&gt;=100,1,0)</f>
        <v>0</v>
      </c>
      <c r="L1029">
        <f t="shared" ref="L1029:L1092" si="1104">IF(K1029=1,J1029-100,J1029)</f>
        <v>45.466299999999876</v>
      </c>
    </row>
    <row r="1030" spans="2:12">
      <c r="B1030" s="1">
        <v>49668</v>
      </c>
      <c r="C1030" t="s">
        <v>25</v>
      </c>
      <c r="D1030">
        <v>24</v>
      </c>
      <c r="E1030">
        <v>0</v>
      </c>
      <c r="F1030">
        <f t="shared" si="1100"/>
        <v>0</v>
      </c>
      <c r="G1030">
        <f t="shared" ref="G1030" si="1105">D1025+D1026+D1027+D1028+D1029+D1030</f>
        <v>149.6</v>
      </c>
      <c r="H1030">
        <f t="shared" si="1099"/>
        <v>2035</v>
      </c>
      <c r="I1030">
        <v>1</v>
      </c>
      <c r="J1030">
        <f t="shared" si="1102"/>
        <v>45.466299999999876</v>
      </c>
      <c r="K1030">
        <f t="shared" si="1103"/>
        <v>0</v>
      </c>
      <c r="L1030">
        <f t="shared" si="1104"/>
        <v>45.466299999999876</v>
      </c>
    </row>
    <row r="1031" spans="2:12">
      <c r="B1031" s="1">
        <v>49669</v>
      </c>
      <c r="C1031" t="s">
        <v>50</v>
      </c>
      <c r="D1031">
        <v>21</v>
      </c>
      <c r="E1031">
        <v>12.2</v>
      </c>
      <c r="F1031">
        <f t="shared" si="1100"/>
        <v>2.5619999999999998</v>
      </c>
      <c r="G1031">
        <f t="shared" ref="G1031" si="1106">D1025+D1026+D1027+D1028+D1029+D1030+D1031</f>
        <v>170.6</v>
      </c>
      <c r="H1031">
        <f t="shared" si="1099"/>
        <v>2035</v>
      </c>
      <c r="I1031">
        <v>1</v>
      </c>
      <c r="J1031">
        <f t="shared" si="1102"/>
        <v>48.028299999999874</v>
      </c>
      <c r="K1031">
        <f t="shared" si="1103"/>
        <v>0</v>
      </c>
      <c r="L1031">
        <f t="shared" si="1104"/>
        <v>48.028299999999874</v>
      </c>
    </row>
    <row r="1032" spans="2:12">
      <c r="B1032" s="1">
        <v>49670</v>
      </c>
      <c r="C1032" t="s">
        <v>42</v>
      </c>
      <c r="D1032">
        <v>28.1</v>
      </c>
      <c r="E1032">
        <v>6.7</v>
      </c>
      <c r="F1032">
        <f t="shared" si="1100"/>
        <v>1.8827</v>
      </c>
      <c r="G1032">
        <f t="shared" ref="G1032:G1095" si="1107">D1032</f>
        <v>28.1</v>
      </c>
      <c r="H1032">
        <f t="shared" si="1099"/>
        <v>2035</v>
      </c>
      <c r="I1032">
        <v>1</v>
      </c>
      <c r="J1032">
        <f t="shared" si="1102"/>
        <v>49.910999999999873</v>
      </c>
      <c r="K1032">
        <f t="shared" si="1103"/>
        <v>0</v>
      </c>
      <c r="L1032">
        <f t="shared" si="1104"/>
        <v>49.910999999999873</v>
      </c>
    </row>
    <row r="1033" spans="2:12">
      <c r="B1033" s="1">
        <v>49671</v>
      </c>
      <c r="C1033" t="s">
        <v>31</v>
      </c>
      <c r="D1033">
        <v>23.3</v>
      </c>
      <c r="E1033">
        <v>4.8</v>
      </c>
      <c r="F1033">
        <f t="shared" si="1100"/>
        <v>1.1184000000000001</v>
      </c>
      <c r="G1033">
        <f t="shared" ref="G1033:G1096" si="1108">D1032+D1033</f>
        <v>51.400000000000006</v>
      </c>
      <c r="H1033">
        <f t="shared" si="1099"/>
        <v>2035</v>
      </c>
      <c r="I1033">
        <v>1</v>
      </c>
      <c r="J1033">
        <f t="shared" si="1102"/>
        <v>51.029399999999875</v>
      </c>
      <c r="K1033">
        <f t="shared" si="1103"/>
        <v>0</v>
      </c>
      <c r="L1033">
        <f t="shared" si="1104"/>
        <v>51.029399999999875</v>
      </c>
    </row>
    <row r="1034" spans="2:12">
      <c r="B1034" s="1">
        <v>49672</v>
      </c>
      <c r="C1034" t="s">
        <v>42</v>
      </c>
      <c r="D1034">
        <v>14.3</v>
      </c>
      <c r="E1034">
        <v>1.5</v>
      </c>
      <c r="F1034">
        <f t="shared" si="1100"/>
        <v>0.21450000000000002</v>
      </c>
      <c r="G1034">
        <f t="shared" ref="G1034" si="1109">D1032+D1033+D1034</f>
        <v>65.7</v>
      </c>
      <c r="H1034">
        <f t="shared" si="1099"/>
        <v>2035</v>
      </c>
      <c r="I1034">
        <v>1</v>
      </c>
      <c r="J1034">
        <f t="shared" si="1102"/>
        <v>51.243899999999876</v>
      </c>
      <c r="K1034">
        <f t="shared" si="1103"/>
        <v>0</v>
      </c>
      <c r="L1034">
        <f t="shared" si="1104"/>
        <v>51.243899999999876</v>
      </c>
    </row>
    <row r="1035" spans="2:12">
      <c r="B1035" s="1">
        <v>49673</v>
      </c>
      <c r="C1035" t="s">
        <v>49</v>
      </c>
      <c r="D1035">
        <v>12.6</v>
      </c>
      <c r="E1035">
        <v>1.1000000000000001</v>
      </c>
      <c r="F1035">
        <f t="shared" si="1100"/>
        <v>0.1386</v>
      </c>
      <c r="G1035">
        <f t="shared" ref="G1035" si="1110">D1032+D1033+D1034+D1035</f>
        <v>78.3</v>
      </c>
      <c r="H1035">
        <f t="shared" si="1099"/>
        <v>2035</v>
      </c>
      <c r="I1035">
        <v>1</v>
      </c>
      <c r="J1035">
        <f t="shared" si="1102"/>
        <v>51.382499999999872</v>
      </c>
      <c r="K1035">
        <f t="shared" si="1103"/>
        <v>0</v>
      </c>
      <c r="L1035">
        <f t="shared" si="1104"/>
        <v>51.382499999999872</v>
      </c>
    </row>
    <row r="1036" spans="2:12">
      <c r="B1036" s="1">
        <v>49674</v>
      </c>
      <c r="C1036" t="s">
        <v>50</v>
      </c>
      <c r="D1036">
        <v>18.100000000000001</v>
      </c>
      <c r="E1036">
        <v>0</v>
      </c>
      <c r="F1036">
        <f t="shared" si="1100"/>
        <v>0</v>
      </c>
      <c r="G1036">
        <f t="shared" ref="G1036" si="1111">D1032+D1033+D1034+D1035+D1036</f>
        <v>96.4</v>
      </c>
      <c r="H1036">
        <f t="shared" si="1099"/>
        <v>2035</v>
      </c>
      <c r="I1036">
        <v>1</v>
      </c>
      <c r="J1036">
        <f t="shared" si="1102"/>
        <v>51.382499999999872</v>
      </c>
      <c r="K1036">
        <f t="shared" si="1103"/>
        <v>0</v>
      </c>
      <c r="L1036">
        <f t="shared" si="1104"/>
        <v>51.382499999999872</v>
      </c>
    </row>
    <row r="1037" spans="2:12">
      <c r="B1037" s="1">
        <v>49675</v>
      </c>
      <c r="C1037" t="s">
        <v>32</v>
      </c>
      <c r="D1037">
        <v>19</v>
      </c>
      <c r="E1037">
        <v>11</v>
      </c>
      <c r="F1037">
        <f t="shared" si="1100"/>
        <v>2.09</v>
      </c>
      <c r="G1037">
        <f t="shared" ref="G1037" si="1112">D1032+D1033+D1034+D1035+D1036+D1037</f>
        <v>115.4</v>
      </c>
      <c r="H1037">
        <f t="shared" si="1099"/>
        <v>2036</v>
      </c>
      <c r="I1037">
        <v>1</v>
      </c>
      <c r="J1037">
        <f t="shared" si="1102"/>
        <v>53.472499999999869</v>
      </c>
      <c r="K1037">
        <f t="shared" si="1103"/>
        <v>0</v>
      </c>
      <c r="L1037">
        <f t="shared" si="1104"/>
        <v>53.472499999999869</v>
      </c>
    </row>
    <row r="1038" spans="2:12">
      <c r="B1038" s="1">
        <v>49676</v>
      </c>
      <c r="C1038" t="s">
        <v>31</v>
      </c>
      <c r="D1038">
        <v>13.1</v>
      </c>
      <c r="E1038">
        <v>0</v>
      </c>
      <c r="F1038">
        <f t="shared" si="1100"/>
        <v>0</v>
      </c>
      <c r="G1038">
        <f t="shared" ref="G1038" si="1113">D1032+D1033+D1034+D1035+D1036+D1037+D1038</f>
        <v>128.5</v>
      </c>
      <c r="H1038">
        <f t="shared" si="1099"/>
        <v>2036</v>
      </c>
      <c r="I1038">
        <v>1</v>
      </c>
      <c r="J1038">
        <f t="shared" si="1102"/>
        <v>53.472499999999869</v>
      </c>
      <c r="K1038">
        <f t="shared" si="1103"/>
        <v>0</v>
      </c>
      <c r="L1038">
        <f t="shared" si="1104"/>
        <v>53.472499999999869</v>
      </c>
    </row>
    <row r="1039" spans="2:12">
      <c r="B1039" s="1">
        <v>49677</v>
      </c>
      <c r="C1039" t="s">
        <v>27</v>
      </c>
      <c r="D1039">
        <v>17.3</v>
      </c>
      <c r="E1039">
        <v>1.1000000000000001</v>
      </c>
      <c r="F1039">
        <f t="shared" si="1100"/>
        <v>0.19030000000000002</v>
      </c>
      <c r="G1039">
        <f t="shared" ref="G1039:G1102" si="1114">D1039</f>
        <v>17.3</v>
      </c>
      <c r="H1039">
        <f t="shared" si="1099"/>
        <v>2036</v>
      </c>
      <c r="I1039">
        <v>1</v>
      </c>
      <c r="J1039">
        <f t="shared" si="1102"/>
        <v>53.662799999999869</v>
      </c>
      <c r="K1039">
        <f t="shared" si="1103"/>
        <v>0</v>
      </c>
      <c r="L1039">
        <f t="shared" si="1104"/>
        <v>53.662799999999869</v>
      </c>
    </row>
    <row r="1040" spans="2:12">
      <c r="B1040" s="1">
        <v>49678</v>
      </c>
      <c r="C1040" t="s">
        <v>42</v>
      </c>
      <c r="D1040">
        <v>23.7</v>
      </c>
      <c r="E1040">
        <v>5.9</v>
      </c>
      <c r="F1040">
        <f t="shared" si="1100"/>
        <v>1.3983000000000001</v>
      </c>
      <c r="G1040">
        <f t="shared" ref="G1040:G1103" si="1115">D1039+D1040</f>
        <v>41</v>
      </c>
      <c r="H1040">
        <f t="shared" si="1099"/>
        <v>2036</v>
      </c>
      <c r="I1040">
        <v>1</v>
      </c>
      <c r="J1040">
        <f t="shared" si="1102"/>
        <v>55.061099999999868</v>
      </c>
      <c r="K1040">
        <f t="shared" si="1103"/>
        <v>0</v>
      </c>
      <c r="L1040">
        <f t="shared" si="1104"/>
        <v>55.061099999999868</v>
      </c>
    </row>
    <row r="1041" spans="2:12">
      <c r="B1041" s="1">
        <v>49679</v>
      </c>
      <c r="C1041" t="s">
        <v>48</v>
      </c>
      <c r="D1041">
        <v>26.3</v>
      </c>
      <c r="E1041">
        <v>0</v>
      </c>
      <c r="F1041">
        <f t="shared" si="1100"/>
        <v>0</v>
      </c>
      <c r="G1041">
        <f t="shared" ref="G1041" si="1116">D1039+D1040+D1041</f>
        <v>67.3</v>
      </c>
      <c r="H1041">
        <f t="shared" si="1099"/>
        <v>2036</v>
      </c>
      <c r="I1041">
        <v>1</v>
      </c>
      <c r="J1041">
        <f t="shared" si="1102"/>
        <v>55.061099999999868</v>
      </c>
      <c r="K1041">
        <f t="shared" si="1103"/>
        <v>0</v>
      </c>
      <c r="L1041">
        <f t="shared" si="1104"/>
        <v>55.061099999999868</v>
      </c>
    </row>
    <row r="1042" spans="2:12">
      <c r="B1042" s="1">
        <v>49680</v>
      </c>
      <c r="C1042" t="s">
        <v>32</v>
      </c>
      <c r="D1042">
        <v>16.399999999999999</v>
      </c>
      <c r="E1042">
        <v>0</v>
      </c>
      <c r="F1042">
        <f t="shared" si="1100"/>
        <v>0</v>
      </c>
      <c r="G1042">
        <f t="shared" ref="G1042" si="1117">D1039+D1040+D1041+D1042</f>
        <v>83.699999999999989</v>
      </c>
      <c r="H1042">
        <f t="shared" si="1099"/>
        <v>2036</v>
      </c>
      <c r="I1042">
        <v>1</v>
      </c>
      <c r="J1042">
        <f t="shared" si="1102"/>
        <v>55.061099999999868</v>
      </c>
      <c r="K1042">
        <f t="shared" si="1103"/>
        <v>0</v>
      </c>
      <c r="L1042">
        <f t="shared" si="1104"/>
        <v>55.061099999999868</v>
      </c>
    </row>
    <row r="1043" spans="2:12">
      <c r="B1043" s="1">
        <v>49681</v>
      </c>
      <c r="C1043" t="s">
        <v>21</v>
      </c>
      <c r="D1043">
        <v>13</v>
      </c>
      <c r="E1043">
        <v>0</v>
      </c>
      <c r="F1043">
        <f t="shared" si="1100"/>
        <v>0</v>
      </c>
      <c r="G1043">
        <f t="shared" ref="G1043" si="1118">D1039+D1040+D1041+D1042+D1043</f>
        <v>96.699999999999989</v>
      </c>
      <c r="H1043">
        <f t="shared" si="1099"/>
        <v>2036</v>
      </c>
      <c r="I1043">
        <v>1</v>
      </c>
      <c r="J1043">
        <f t="shared" si="1102"/>
        <v>55.061099999999868</v>
      </c>
      <c r="K1043">
        <f t="shared" si="1103"/>
        <v>0</v>
      </c>
      <c r="L1043">
        <f t="shared" si="1104"/>
        <v>55.061099999999868</v>
      </c>
    </row>
    <row r="1044" spans="2:12">
      <c r="B1044" s="1">
        <v>49682</v>
      </c>
      <c r="C1044" t="s">
        <v>25</v>
      </c>
      <c r="D1044">
        <v>28.6</v>
      </c>
      <c r="E1044">
        <v>1</v>
      </c>
      <c r="F1044">
        <f t="shared" si="1100"/>
        <v>0.28600000000000003</v>
      </c>
      <c r="G1044">
        <f t="shared" ref="G1044" si="1119">D1039+D1040+D1041+D1042+D1043+D1044</f>
        <v>125.29999999999998</v>
      </c>
      <c r="H1044">
        <f t="shared" si="1099"/>
        <v>2036</v>
      </c>
      <c r="I1044">
        <v>1</v>
      </c>
      <c r="J1044">
        <f t="shared" si="1102"/>
        <v>55.34709999999987</v>
      </c>
      <c r="K1044">
        <f t="shared" si="1103"/>
        <v>0</v>
      </c>
      <c r="L1044">
        <f t="shared" si="1104"/>
        <v>55.34709999999987</v>
      </c>
    </row>
    <row r="1045" spans="2:12">
      <c r="B1045" s="1">
        <v>49683</v>
      </c>
      <c r="C1045" t="s">
        <v>24</v>
      </c>
      <c r="D1045">
        <v>11.1</v>
      </c>
      <c r="E1045">
        <v>2.4</v>
      </c>
      <c r="F1045">
        <f t="shared" si="1100"/>
        <v>0.26639999999999997</v>
      </c>
      <c r="G1045">
        <f t="shared" ref="G1045" si="1120">D1039+D1040+D1041+D1042+D1043+D1044+D1045</f>
        <v>136.39999999999998</v>
      </c>
      <c r="H1045">
        <f t="shared" si="1099"/>
        <v>2036</v>
      </c>
      <c r="I1045">
        <v>1</v>
      </c>
      <c r="J1045">
        <f t="shared" si="1102"/>
        <v>55.613499999999867</v>
      </c>
      <c r="K1045">
        <f t="shared" si="1103"/>
        <v>0</v>
      </c>
      <c r="L1045">
        <f t="shared" si="1104"/>
        <v>55.613499999999867</v>
      </c>
    </row>
    <row r="1046" spans="2:12">
      <c r="B1046" s="1">
        <v>49684</v>
      </c>
      <c r="C1046" t="s">
        <v>37</v>
      </c>
      <c r="D1046">
        <v>12.9</v>
      </c>
      <c r="E1046">
        <v>2.9</v>
      </c>
      <c r="F1046">
        <f t="shared" si="1100"/>
        <v>0.37409999999999999</v>
      </c>
      <c r="G1046">
        <f t="shared" ref="G1046:G1109" si="1121">D1046</f>
        <v>12.9</v>
      </c>
      <c r="H1046">
        <f t="shared" si="1099"/>
        <v>2036</v>
      </c>
      <c r="I1046">
        <v>1</v>
      </c>
      <c r="J1046">
        <f t="shared" si="1102"/>
        <v>55.987599999999865</v>
      </c>
      <c r="K1046">
        <f t="shared" si="1103"/>
        <v>0</v>
      </c>
      <c r="L1046">
        <f t="shared" si="1104"/>
        <v>55.987599999999865</v>
      </c>
    </row>
    <row r="1047" spans="2:12">
      <c r="B1047" s="1">
        <v>49685</v>
      </c>
      <c r="C1047" t="s">
        <v>39</v>
      </c>
      <c r="D1047">
        <v>28.4</v>
      </c>
      <c r="E1047">
        <v>0.9</v>
      </c>
      <c r="F1047">
        <f t="shared" si="1100"/>
        <v>0</v>
      </c>
      <c r="G1047">
        <f t="shared" ref="G1047:G1110" si="1122">D1046+D1047</f>
        <v>41.3</v>
      </c>
      <c r="H1047">
        <f t="shared" si="1099"/>
        <v>2036</v>
      </c>
      <c r="I1047">
        <v>1</v>
      </c>
      <c r="J1047">
        <f t="shared" si="1102"/>
        <v>55.987599999999865</v>
      </c>
      <c r="K1047">
        <f t="shared" si="1103"/>
        <v>0</v>
      </c>
      <c r="L1047">
        <f t="shared" si="1104"/>
        <v>55.987599999999865</v>
      </c>
    </row>
    <row r="1048" spans="2:12">
      <c r="B1048" s="1">
        <v>49686</v>
      </c>
      <c r="C1048" t="s">
        <v>50</v>
      </c>
      <c r="D1048">
        <v>21.8</v>
      </c>
      <c r="E1048">
        <v>3.4</v>
      </c>
      <c r="F1048">
        <f t="shared" si="1100"/>
        <v>0.74120000000000008</v>
      </c>
      <c r="G1048">
        <f t="shared" ref="G1048" si="1123">D1046+D1047+D1048</f>
        <v>63.099999999999994</v>
      </c>
      <c r="H1048">
        <f t="shared" si="1099"/>
        <v>2036</v>
      </c>
      <c r="I1048">
        <v>1</v>
      </c>
      <c r="J1048">
        <f t="shared" si="1102"/>
        <v>56.728799999999865</v>
      </c>
      <c r="K1048">
        <f t="shared" si="1103"/>
        <v>0</v>
      </c>
      <c r="L1048">
        <f t="shared" si="1104"/>
        <v>56.728799999999865</v>
      </c>
    </row>
    <row r="1049" spans="2:12">
      <c r="B1049" s="1">
        <v>49687</v>
      </c>
      <c r="C1049" t="s">
        <v>17</v>
      </c>
      <c r="D1049">
        <v>20.8</v>
      </c>
      <c r="E1049">
        <v>11.8</v>
      </c>
      <c r="F1049">
        <f t="shared" si="1100"/>
        <v>2.4544000000000001</v>
      </c>
      <c r="G1049">
        <f t="shared" ref="G1049" si="1124">D1046+D1047+D1048+D1049</f>
        <v>83.899999999999991</v>
      </c>
      <c r="H1049">
        <f t="shared" si="1099"/>
        <v>2036</v>
      </c>
      <c r="I1049">
        <v>1</v>
      </c>
      <c r="J1049">
        <f t="shared" si="1102"/>
        <v>59.183199999999864</v>
      </c>
      <c r="K1049">
        <f t="shared" si="1103"/>
        <v>0</v>
      </c>
      <c r="L1049">
        <f t="shared" si="1104"/>
        <v>59.183199999999864</v>
      </c>
    </row>
    <row r="1050" spans="2:12">
      <c r="B1050" s="1">
        <v>49688</v>
      </c>
      <c r="C1050" t="s">
        <v>27</v>
      </c>
      <c r="D1050">
        <v>17.399999999999999</v>
      </c>
      <c r="E1050">
        <v>0</v>
      </c>
      <c r="F1050">
        <f t="shared" si="1100"/>
        <v>0</v>
      </c>
      <c r="G1050">
        <f t="shared" ref="G1050" si="1125">D1046+D1047+D1048+D1049+D1050</f>
        <v>101.29999999999998</v>
      </c>
      <c r="H1050">
        <f t="shared" si="1099"/>
        <v>2036</v>
      </c>
      <c r="I1050">
        <v>1</v>
      </c>
      <c r="J1050">
        <f t="shared" si="1102"/>
        <v>59.183199999999864</v>
      </c>
      <c r="K1050">
        <f t="shared" si="1103"/>
        <v>0</v>
      </c>
      <c r="L1050">
        <f t="shared" si="1104"/>
        <v>59.183199999999864</v>
      </c>
    </row>
    <row r="1051" spans="2:12">
      <c r="B1051" s="1">
        <v>49689</v>
      </c>
      <c r="C1051" t="s">
        <v>17</v>
      </c>
      <c r="D1051">
        <v>24.8</v>
      </c>
      <c r="E1051">
        <v>0</v>
      </c>
      <c r="F1051">
        <f t="shared" si="1100"/>
        <v>0</v>
      </c>
      <c r="G1051">
        <f t="shared" ref="G1051" si="1126">D1046+D1047+D1048+D1049+D1050+D1051</f>
        <v>126.09999999999998</v>
      </c>
      <c r="H1051">
        <f t="shared" si="1099"/>
        <v>2036</v>
      </c>
      <c r="I1051">
        <v>1</v>
      </c>
      <c r="J1051">
        <f t="shared" si="1102"/>
        <v>59.183199999999864</v>
      </c>
      <c r="K1051">
        <f t="shared" si="1103"/>
        <v>0</v>
      </c>
      <c r="L1051">
        <f t="shared" si="1104"/>
        <v>59.183199999999864</v>
      </c>
    </row>
    <row r="1052" spans="2:12">
      <c r="B1052" s="1">
        <v>49690</v>
      </c>
      <c r="C1052" t="s">
        <v>21</v>
      </c>
      <c r="D1052">
        <v>12.9</v>
      </c>
      <c r="E1052">
        <v>0</v>
      </c>
      <c r="F1052">
        <f t="shared" si="1100"/>
        <v>0</v>
      </c>
      <c r="G1052">
        <f t="shared" ref="G1052" si="1127">D1046+D1047+D1048+D1049+D1050+D1051+D1052</f>
        <v>138.99999999999997</v>
      </c>
      <c r="H1052">
        <f t="shared" si="1099"/>
        <v>2036</v>
      </c>
      <c r="I1052">
        <v>1</v>
      </c>
      <c r="J1052">
        <f t="shared" si="1102"/>
        <v>59.183199999999864</v>
      </c>
      <c r="K1052">
        <f t="shared" si="1103"/>
        <v>0</v>
      </c>
      <c r="L1052">
        <f t="shared" si="1104"/>
        <v>59.183199999999864</v>
      </c>
    </row>
    <row r="1053" spans="2:12">
      <c r="B1053" s="1">
        <v>49691</v>
      </c>
      <c r="C1053" t="s">
        <v>42</v>
      </c>
      <c r="D1053">
        <v>25.9</v>
      </c>
      <c r="E1053">
        <v>0</v>
      </c>
      <c r="F1053">
        <f t="shared" si="1100"/>
        <v>0</v>
      </c>
      <c r="G1053">
        <f t="shared" ref="G1053:G1116" si="1128">D1053</f>
        <v>25.9</v>
      </c>
      <c r="H1053">
        <f t="shared" si="1099"/>
        <v>2036</v>
      </c>
      <c r="I1053">
        <v>1</v>
      </c>
      <c r="J1053">
        <f t="shared" si="1102"/>
        <v>59.183199999999864</v>
      </c>
      <c r="K1053">
        <f t="shared" si="1103"/>
        <v>0</v>
      </c>
      <c r="L1053">
        <f t="shared" si="1104"/>
        <v>59.183199999999864</v>
      </c>
    </row>
    <row r="1054" spans="2:12">
      <c r="B1054" s="1">
        <v>49692</v>
      </c>
      <c r="C1054" t="s">
        <v>24</v>
      </c>
      <c r="D1054">
        <v>11.5</v>
      </c>
      <c r="E1054">
        <v>23.2</v>
      </c>
      <c r="F1054">
        <f t="shared" si="1100"/>
        <v>2.6680000000000001</v>
      </c>
      <c r="G1054">
        <f t="shared" ref="G1054:G1117" si="1129">D1053+D1054</f>
        <v>37.4</v>
      </c>
      <c r="H1054">
        <f t="shared" si="1099"/>
        <v>2036</v>
      </c>
      <c r="I1054">
        <v>1</v>
      </c>
      <c r="J1054">
        <f t="shared" si="1102"/>
        <v>61.851199999999864</v>
      </c>
      <c r="K1054">
        <f t="shared" si="1103"/>
        <v>0</v>
      </c>
      <c r="L1054">
        <f t="shared" si="1104"/>
        <v>61.851199999999864</v>
      </c>
    </row>
    <row r="1055" spans="2:12">
      <c r="B1055" s="1">
        <v>49693</v>
      </c>
      <c r="C1055" t="s">
        <v>40</v>
      </c>
      <c r="D1055">
        <v>25.5</v>
      </c>
      <c r="E1055">
        <v>0</v>
      </c>
      <c r="F1055">
        <f t="shared" si="1100"/>
        <v>0</v>
      </c>
      <c r="G1055">
        <f t="shared" ref="G1055" si="1130">D1053+D1054+D1055</f>
        <v>62.9</v>
      </c>
      <c r="H1055">
        <f t="shared" si="1099"/>
        <v>2036</v>
      </c>
      <c r="I1055">
        <v>1</v>
      </c>
      <c r="J1055">
        <f t="shared" si="1102"/>
        <v>61.851199999999864</v>
      </c>
      <c r="K1055">
        <f t="shared" si="1103"/>
        <v>0</v>
      </c>
      <c r="L1055">
        <f t="shared" si="1104"/>
        <v>61.851199999999864</v>
      </c>
    </row>
    <row r="1056" spans="2:12">
      <c r="B1056" s="1">
        <v>49694</v>
      </c>
      <c r="C1056" t="s">
        <v>48</v>
      </c>
      <c r="D1056">
        <v>22.6</v>
      </c>
      <c r="E1056">
        <v>2.2000000000000002</v>
      </c>
      <c r="F1056">
        <f t="shared" si="1100"/>
        <v>0.49720000000000009</v>
      </c>
      <c r="G1056">
        <f t="shared" ref="G1056" si="1131">D1053+D1054+D1055+D1056</f>
        <v>85.5</v>
      </c>
      <c r="H1056">
        <f t="shared" si="1099"/>
        <v>2036</v>
      </c>
      <c r="I1056">
        <v>1</v>
      </c>
      <c r="J1056">
        <f t="shared" si="1102"/>
        <v>62.348399999999863</v>
      </c>
      <c r="K1056">
        <f t="shared" si="1103"/>
        <v>0</v>
      </c>
      <c r="L1056">
        <f t="shared" si="1104"/>
        <v>62.348399999999863</v>
      </c>
    </row>
    <row r="1057" spans="2:12">
      <c r="B1057" s="1">
        <v>49695</v>
      </c>
      <c r="C1057" t="s">
        <v>24</v>
      </c>
      <c r="D1057">
        <v>14.2</v>
      </c>
      <c r="E1057">
        <v>0</v>
      </c>
      <c r="F1057">
        <f t="shared" si="1100"/>
        <v>0</v>
      </c>
      <c r="G1057">
        <f t="shared" ref="G1057" si="1132">D1053+D1054+D1055+D1056+D1057</f>
        <v>99.7</v>
      </c>
      <c r="H1057">
        <f t="shared" si="1099"/>
        <v>2036</v>
      </c>
      <c r="I1057">
        <v>1</v>
      </c>
      <c r="J1057">
        <f t="shared" si="1102"/>
        <v>62.348399999999863</v>
      </c>
      <c r="K1057">
        <f t="shared" si="1103"/>
        <v>0</v>
      </c>
      <c r="L1057">
        <f t="shared" si="1104"/>
        <v>62.348399999999863</v>
      </c>
    </row>
    <row r="1058" spans="2:12">
      <c r="B1058" s="1">
        <v>49696</v>
      </c>
      <c r="C1058" t="s">
        <v>27</v>
      </c>
      <c r="D1058">
        <v>26.9</v>
      </c>
      <c r="E1058">
        <v>9.1999999999999993</v>
      </c>
      <c r="F1058">
        <f t="shared" si="1100"/>
        <v>2.4747999999999997</v>
      </c>
      <c r="G1058">
        <f t="shared" ref="G1058" si="1133">D1053+D1054+D1055+D1056+D1057+D1058</f>
        <v>126.6</v>
      </c>
      <c r="H1058">
        <f t="shared" si="1099"/>
        <v>2036</v>
      </c>
      <c r="I1058">
        <v>1</v>
      </c>
      <c r="J1058">
        <f t="shared" si="1102"/>
        <v>64.823199999999858</v>
      </c>
      <c r="K1058">
        <f t="shared" si="1103"/>
        <v>0</v>
      </c>
      <c r="L1058">
        <f t="shared" si="1104"/>
        <v>64.823199999999858</v>
      </c>
    </row>
    <row r="1059" spans="2:12">
      <c r="B1059" s="1">
        <v>49697</v>
      </c>
      <c r="C1059" t="s">
        <v>50</v>
      </c>
      <c r="D1059">
        <v>30</v>
      </c>
      <c r="E1059">
        <v>32.299999999999997</v>
      </c>
      <c r="F1059">
        <f t="shared" si="1100"/>
        <v>9.69</v>
      </c>
      <c r="G1059">
        <f t="shared" ref="G1059" si="1134">D1053+D1054+D1055+D1056+D1057+D1058+D1059</f>
        <v>156.6</v>
      </c>
      <c r="H1059">
        <f t="shared" si="1099"/>
        <v>2036</v>
      </c>
      <c r="I1059">
        <v>1</v>
      </c>
      <c r="J1059">
        <f t="shared" si="1102"/>
        <v>74.513199999999856</v>
      </c>
      <c r="K1059">
        <f t="shared" si="1103"/>
        <v>0</v>
      </c>
      <c r="L1059">
        <f t="shared" si="1104"/>
        <v>74.513199999999856</v>
      </c>
    </row>
    <row r="1060" spans="2:12">
      <c r="B1060" s="1">
        <v>49698</v>
      </c>
      <c r="C1060" t="s">
        <v>38</v>
      </c>
      <c r="D1060">
        <v>16.2</v>
      </c>
      <c r="E1060">
        <v>5.2</v>
      </c>
      <c r="F1060">
        <f t="shared" si="1100"/>
        <v>0.84239999999999993</v>
      </c>
      <c r="G1060">
        <f t="shared" ref="G1060:G1123" si="1135">D1060</f>
        <v>16.2</v>
      </c>
      <c r="H1060">
        <f t="shared" si="1099"/>
        <v>2036</v>
      </c>
      <c r="I1060">
        <v>1</v>
      </c>
      <c r="J1060">
        <f t="shared" si="1102"/>
        <v>75.355599999999853</v>
      </c>
      <c r="K1060">
        <f t="shared" si="1103"/>
        <v>0</v>
      </c>
      <c r="L1060">
        <f t="shared" si="1104"/>
        <v>75.355599999999853</v>
      </c>
    </row>
    <row r="1061" spans="2:12">
      <c r="B1061" s="1">
        <v>49699</v>
      </c>
      <c r="C1061" t="s">
        <v>25</v>
      </c>
      <c r="D1061">
        <v>12.2</v>
      </c>
      <c r="E1061">
        <v>0</v>
      </c>
      <c r="F1061">
        <f t="shared" si="1100"/>
        <v>0</v>
      </c>
      <c r="G1061">
        <f t="shared" ref="G1061:G1124" si="1136">D1060+D1061</f>
        <v>28.4</v>
      </c>
      <c r="H1061">
        <f t="shared" si="1099"/>
        <v>2036</v>
      </c>
      <c r="I1061">
        <v>1</v>
      </c>
      <c r="J1061">
        <f t="shared" si="1102"/>
        <v>75.355599999999853</v>
      </c>
      <c r="K1061">
        <f t="shared" si="1103"/>
        <v>0</v>
      </c>
      <c r="L1061">
        <f t="shared" si="1104"/>
        <v>75.355599999999853</v>
      </c>
    </row>
    <row r="1062" spans="2:12">
      <c r="B1062" s="1">
        <v>49700</v>
      </c>
      <c r="C1062" t="s">
        <v>32</v>
      </c>
      <c r="D1062">
        <v>28.7</v>
      </c>
      <c r="E1062">
        <v>0.5</v>
      </c>
      <c r="F1062">
        <f t="shared" si="1100"/>
        <v>0</v>
      </c>
      <c r="G1062">
        <f t="shared" ref="G1062" si="1137">D1060+D1061+D1062</f>
        <v>57.099999999999994</v>
      </c>
      <c r="H1062">
        <f t="shared" si="1099"/>
        <v>2036</v>
      </c>
      <c r="I1062">
        <v>1</v>
      </c>
      <c r="J1062">
        <f t="shared" si="1102"/>
        <v>75.355599999999853</v>
      </c>
      <c r="K1062">
        <f t="shared" si="1103"/>
        <v>0</v>
      </c>
      <c r="L1062">
        <f t="shared" si="1104"/>
        <v>75.355599999999853</v>
      </c>
    </row>
    <row r="1063" spans="2:12">
      <c r="B1063" s="1">
        <v>49701</v>
      </c>
      <c r="C1063" t="s">
        <v>17</v>
      </c>
      <c r="D1063">
        <v>23.3</v>
      </c>
      <c r="E1063">
        <v>11.1</v>
      </c>
      <c r="F1063">
        <f t="shared" si="1100"/>
        <v>2.5863</v>
      </c>
      <c r="G1063">
        <f t="shared" ref="G1063" si="1138">D1060+D1061+D1062+D1063</f>
        <v>80.399999999999991</v>
      </c>
      <c r="H1063">
        <f t="shared" si="1099"/>
        <v>2036</v>
      </c>
      <c r="I1063">
        <v>1</v>
      </c>
      <c r="J1063">
        <f t="shared" si="1102"/>
        <v>77.941899999999848</v>
      </c>
      <c r="K1063">
        <f t="shared" si="1103"/>
        <v>0</v>
      </c>
      <c r="L1063">
        <f t="shared" si="1104"/>
        <v>77.941899999999848</v>
      </c>
    </row>
    <row r="1064" spans="2:12">
      <c r="B1064" s="1">
        <v>49702</v>
      </c>
      <c r="C1064" t="s">
        <v>32</v>
      </c>
      <c r="D1064">
        <v>30</v>
      </c>
      <c r="E1064">
        <v>16.100000000000001</v>
      </c>
      <c r="F1064">
        <f t="shared" si="1100"/>
        <v>4.830000000000001</v>
      </c>
      <c r="G1064">
        <f t="shared" ref="G1064" si="1139">D1060+D1061+D1062+D1063+D1064</f>
        <v>110.39999999999999</v>
      </c>
      <c r="H1064">
        <f t="shared" si="1099"/>
        <v>2036</v>
      </c>
      <c r="I1064">
        <v>1</v>
      </c>
      <c r="J1064">
        <f t="shared" si="1102"/>
        <v>82.771899999999846</v>
      </c>
      <c r="K1064">
        <f t="shared" si="1103"/>
        <v>0</v>
      </c>
      <c r="L1064">
        <f t="shared" si="1104"/>
        <v>82.771899999999846</v>
      </c>
    </row>
    <row r="1065" spans="2:12">
      <c r="B1065" s="1">
        <v>49703</v>
      </c>
      <c r="C1065" t="s">
        <v>47</v>
      </c>
      <c r="D1065">
        <v>16</v>
      </c>
      <c r="E1065">
        <v>9.8000000000000007</v>
      </c>
      <c r="F1065">
        <f t="shared" si="1100"/>
        <v>1.5680000000000001</v>
      </c>
      <c r="G1065">
        <f t="shared" ref="G1065" si="1140">D1060+D1061+D1062+D1063+D1064+D1065</f>
        <v>126.39999999999999</v>
      </c>
      <c r="H1065">
        <f t="shared" si="1099"/>
        <v>2036</v>
      </c>
      <c r="I1065">
        <v>1</v>
      </c>
      <c r="J1065">
        <f t="shared" si="1102"/>
        <v>84.339899999999844</v>
      </c>
      <c r="K1065">
        <f t="shared" si="1103"/>
        <v>0</v>
      </c>
      <c r="L1065">
        <f t="shared" si="1104"/>
        <v>84.339899999999844</v>
      </c>
    </row>
    <row r="1066" spans="2:12">
      <c r="B1066" s="1">
        <v>49704</v>
      </c>
      <c r="C1066" t="s">
        <v>40</v>
      </c>
      <c r="D1066">
        <v>21.6</v>
      </c>
      <c r="E1066">
        <v>3.4</v>
      </c>
      <c r="F1066">
        <f t="shared" si="1100"/>
        <v>0.73439999999999994</v>
      </c>
      <c r="G1066">
        <f t="shared" ref="G1066" si="1141">D1060+D1061+D1062+D1063+D1064+D1065+D1066</f>
        <v>148</v>
      </c>
      <c r="H1066">
        <f t="shared" si="1099"/>
        <v>2036</v>
      </c>
      <c r="I1066">
        <v>1</v>
      </c>
      <c r="J1066">
        <f t="shared" si="1102"/>
        <v>85.074299999999837</v>
      </c>
      <c r="K1066">
        <f t="shared" si="1103"/>
        <v>0</v>
      </c>
      <c r="L1066">
        <f t="shared" si="1104"/>
        <v>85.074299999999837</v>
      </c>
    </row>
    <row r="1067" spans="2:12">
      <c r="B1067" s="1">
        <v>49705</v>
      </c>
      <c r="C1067" t="s">
        <v>50</v>
      </c>
      <c r="D1067">
        <v>27.9</v>
      </c>
      <c r="E1067">
        <v>4.8</v>
      </c>
      <c r="F1067">
        <f t="shared" si="1100"/>
        <v>1.3391999999999999</v>
      </c>
      <c r="G1067">
        <f t="shared" ref="G1067:G1130" si="1142">D1067</f>
        <v>27.9</v>
      </c>
      <c r="H1067">
        <f t="shared" si="1099"/>
        <v>2036</v>
      </c>
      <c r="I1067">
        <v>1</v>
      </c>
      <c r="J1067">
        <f t="shared" si="1102"/>
        <v>86.413499999999843</v>
      </c>
      <c r="K1067">
        <f t="shared" si="1103"/>
        <v>0</v>
      </c>
      <c r="L1067">
        <f t="shared" si="1104"/>
        <v>86.413499999999843</v>
      </c>
    </row>
    <row r="1068" spans="2:12">
      <c r="B1068" s="1">
        <v>49706</v>
      </c>
      <c r="C1068" t="s">
        <v>27</v>
      </c>
      <c r="D1068">
        <v>17.5</v>
      </c>
      <c r="E1068">
        <v>14.7</v>
      </c>
      <c r="F1068">
        <f t="shared" si="1100"/>
        <v>2.5724999999999998</v>
      </c>
      <c r="G1068">
        <f t="shared" ref="G1068:G1131" si="1143">D1067+D1068</f>
        <v>45.4</v>
      </c>
      <c r="H1068">
        <f t="shared" si="1099"/>
        <v>2036</v>
      </c>
      <c r="I1068">
        <v>1</v>
      </c>
      <c r="J1068">
        <f t="shared" si="1102"/>
        <v>88.985999999999848</v>
      </c>
      <c r="K1068">
        <f t="shared" si="1103"/>
        <v>0</v>
      </c>
      <c r="L1068">
        <f t="shared" si="1104"/>
        <v>88.985999999999848</v>
      </c>
    </row>
    <row r="1069" spans="2:12">
      <c r="B1069" s="1">
        <v>49707</v>
      </c>
      <c r="C1069" t="s">
        <v>18</v>
      </c>
      <c r="D1069">
        <v>20.7</v>
      </c>
      <c r="E1069">
        <v>0</v>
      </c>
      <c r="F1069">
        <f t="shared" si="1100"/>
        <v>0</v>
      </c>
      <c r="G1069">
        <f t="shared" ref="G1069" si="1144">D1067+D1068+D1069</f>
        <v>66.099999999999994</v>
      </c>
      <c r="H1069">
        <f t="shared" si="1099"/>
        <v>2036</v>
      </c>
      <c r="I1069">
        <v>1</v>
      </c>
      <c r="J1069">
        <f t="shared" si="1102"/>
        <v>88.985999999999848</v>
      </c>
      <c r="K1069">
        <f t="shared" si="1103"/>
        <v>0</v>
      </c>
      <c r="L1069">
        <f t="shared" si="1104"/>
        <v>88.985999999999848</v>
      </c>
    </row>
    <row r="1070" spans="2:12">
      <c r="B1070" s="1">
        <v>49708</v>
      </c>
      <c r="C1070" t="s">
        <v>24</v>
      </c>
      <c r="D1070">
        <v>10.8</v>
      </c>
      <c r="E1070">
        <v>36.4</v>
      </c>
      <c r="F1070">
        <f t="shared" si="1100"/>
        <v>3.9312</v>
      </c>
      <c r="G1070">
        <f t="shared" ref="G1070" si="1145">D1067+D1068+D1069+D1070</f>
        <v>76.899999999999991</v>
      </c>
      <c r="H1070">
        <f t="shared" si="1099"/>
        <v>2036</v>
      </c>
      <c r="I1070">
        <v>1</v>
      </c>
      <c r="J1070">
        <f t="shared" si="1102"/>
        <v>92.917199999999852</v>
      </c>
      <c r="K1070">
        <f t="shared" si="1103"/>
        <v>0</v>
      </c>
      <c r="L1070">
        <f t="shared" si="1104"/>
        <v>92.917199999999852</v>
      </c>
    </row>
    <row r="1071" spans="2:12">
      <c r="B1071" s="1">
        <v>49709</v>
      </c>
      <c r="C1071" t="s">
        <v>50</v>
      </c>
      <c r="D1071">
        <v>27.6</v>
      </c>
      <c r="E1071">
        <v>32.799999999999997</v>
      </c>
      <c r="F1071">
        <f t="shared" si="1100"/>
        <v>9.0527999999999995</v>
      </c>
      <c r="G1071">
        <f t="shared" ref="G1071" si="1146">D1067+D1068+D1069+D1070+D1071</f>
        <v>104.5</v>
      </c>
      <c r="H1071">
        <f t="shared" si="1099"/>
        <v>2036</v>
      </c>
      <c r="I1071">
        <v>1</v>
      </c>
      <c r="J1071">
        <f t="shared" si="1102"/>
        <v>101.96999999999986</v>
      </c>
      <c r="K1071">
        <f t="shared" si="1103"/>
        <v>1</v>
      </c>
      <c r="L1071">
        <f t="shared" si="1104"/>
        <v>1.9699999999998568</v>
      </c>
    </row>
    <row r="1072" spans="2:12">
      <c r="B1072" s="1">
        <v>49710</v>
      </c>
      <c r="C1072" t="s">
        <v>25</v>
      </c>
      <c r="D1072">
        <v>10.8</v>
      </c>
      <c r="E1072">
        <v>11.6</v>
      </c>
      <c r="F1072">
        <f t="shared" si="1100"/>
        <v>1.2527999999999999</v>
      </c>
      <c r="G1072">
        <f t="shared" ref="G1072" si="1147">D1067+D1068+D1069+D1070+D1071+D1072</f>
        <v>115.3</v>
      </c>
      <c r="H1072">
        <f t="shared" si="1099"/>
        <v>2036</v>
      </c>
      <c r="I1072">
        <v>1</v>
      </c>
      <c r="J1072">
        <f t="shared" si="1102"/>
        <v>3.2227999999998564</v>
      </c>
      <c r="K1072">
        <f t="shared" si="1103"/>
        <v>0</v>
      </c>
      <c r="L1072">
        <f t="shared" si="1104"/>
        <v>3.2227999999998564</v>
      </c>
    </row>
    <row r="1073" spans="2:12">
      <c r="B1073" s="1">
        <v>49711</v>
      </c>
      <c r="C1073" t="s">
        <v>42</v>
      </c>
      <c r="D1073">
        <v>13.7</v>
      </c>
      <c r="E1073">
        <v>0</v>
      </c>
      <c r="F1073">
        <f t="shared" si="1100"/>
        <v>0</v>
      </c>
      <c r="G1073">
        <f t="shared" ref="G1073" si="1148">D1067+D1068+D1069+D1070+D1071+D1072+D1073</f>
        <v>129</v>
      </c>
      <c r="H1073">
        <f t="shared" si="1099"/>
        <v>2036</v>
      </c>
      <c r="I1073">
        <v>1</v>
      </c>
      <c r="J1073">
        <f t="shared" si="1102"/>
        <v>3.2227999999998564</v>
      </c>
      <c r="K1073">
        <f t="shared" si="1103"/>
        <v>0</v>
      </c>
      <c r="L1073">
        <f t="shared" si="1104"/>
        <v>3.2227999999998564</v>
      </c>
    </row>
    <row r="1074" spans="2:12">
      <c r="B1074" s="1">
        <v>49712</v>
      </c>
      <c r="C1074" t="s">
        <v>47</v>
      </c>
      <c r="D1074">
        <v>19.5</v>
      </c>
      <c r="E1074">
        <v>0</v>
      </c>
      <c r="F1074">
        <f t="shared" si="1100"/>
        <v>0</v>
      </c>
      <c r="G1074">
        <f t="shared" ref="G1074:G1137" si="1149">D1074</f>
        <v>19.5</v>
      </c>
      <c r="H1074">
        <f t="shared" si="1099"/>
        <v>2036</v>
      </c>
      <c r="I1074">
        <v>1</v>
      </c>
      <c r="J1074">
        <f t="shared" si="1102"/>
        <v>3.2227999999998564</v>
      </c>
      <c r="K1074">
        <f t="shared" si="1103"/>
        <v>0</v>
      </c>
      <c r="L1074">
        <f t="shared" si="1104"/>
        <v>3.2227999999998564</v>
      </c>
    </row>
    <row r="1075" spans="2:12">
      <c r="B1075" s="1">
        <v>49713</v>
      </c>
      <c r="C1075" t="s">
        <v>21</v>
      </c>
      <c r="D1075">
        <v>21.6</v>
      </c>
      <c r="E1075">
        <v>11.6</v>
      </c>
      <c r="F1075">
        <f t="shared" si="1100"/>
        <v>2.5055999999999998</v>
      </c>
      <c r="G1075">
        <f t="shared" ref="G1075:G1138" si="1150">D1074+D1075</f>
        <v>41.1</v>
      </c>
      <c r="H1075">
        <f t="shared" si="1099"/>
        <v>2036</v>
      </c>
      <c r="I1075">
        <v>1</v>
      </c>
      <c r="J1075">
        <f t="shared" si="1102"/>
        <v>5.7283999999998567</v>
      </c>
      <c r="K1075">
        <f t="shared" si="1103"/>
        <v>0</v>
      </c>
      <c r="L1075">
        <f t="shared" si="1104"/>
        <v>5.7283999999998567</v>
      </c>
    </row>
    <row r="1076" spans="2:12">
      <c r="B1076" s="1">
        <v>49714</v>
      </c>
      <c r="C1076" t="s">
        <v>42</v>
      </c>
      <c r="D1076">
        <v>21.6</v>
      </c>
      <c r="E1076">
        <v>2.7</v>
      </c>
      <c r="F1076">
        <f t="shared" si="1100"/>
        <v>0.58320000000000005</v>
      </c>
      <c r="G1076">
        <f t="shared" ref="G1076" si="1151">D1074+D1075+D1076</f>
        <v>62.7</v>
      </c>
      <c r="H1076">
        <f t="shared" si="1099"/>
        <v>2036</v>
      </c>
      <c r="I1076">
        <v>1</v>
      </c>
      <c r="J1076">
        <f t="shared" si="1102"/>
        <v>6.3115999999998564</v>
      </c>
      <c r="K1076">
        <f t="shared" si="1103"/>
        <v>0</v>
      </c>
      <c r="L1076">
        <f t="shared" si="1104"/>
        <v>6.3115999999998564</v>
      </c>
    </row>
    <row r="1077" spans="2:12">
      <c r="B1077" s="1">
        <v>49715</v>
      </c>
      <c r="C1077" t="s">
        <v>37</v>
      </c>
      <c r="D1077">
        <v>16.100000000000001</v>
      </c>
      <c r="E1077">
        <v>0</v>
      </c>
      <c r="F1077">
        <f t="shared" si="1100"/>
        <v>0</v>
      </c>
      <c r="G1077">
        <f t="shared" ref="G1077" si="1152">D1074+D1075+D1076+D1077</f>
        <v>78.800000000000011</v>
      </c>
      <c r="H1077">
        <f t="shared" si="1099"/>
        <v>2036</v>
      </c>
      <c r="I1077">
        <v>1</v>
      </c>
      <c r="J1077">
        <f t="shared" si="1102"/>
        <v>6.3115999999998564</v>
      </c>
      <c r="K1077">
        <f t="shared" si="1103"/>
        <v>0</v>
      </c>
      <c r="L1077">
        <f t="shared" si="1104"/>
        <v>6.3115999999998564</v>
      </c>
    </row>
    <row r="1078" spans="2:12">
      <c r="B1078" s="1">
        <v>49716</v>
      </c>
      <c r="C1078" t="s">
        <v>17</v>
      </c>
      <c r="D1078">
        <v>29.4</v>
      </c>
      <c r="E1078">
        <v>12.5</v>
      </c>
      <c r="F1078">
        <f t="shared" si="1100"/>
        <v>3.6749999999999998</v>
      </c>
      <c r="G1078">
        <f t="shared" ref="G1078" si="1153">D1074+D1075+D1076+D1077+D1078</f>
        <v>108.20000000000002</v>
      </c>
      <c r="H1078">
        <f t="shared" si="1099"/>
        <v>2036</v>
      </c>
      <c r="I1078">
        <v>1</v>
      </c>
      <c r="J1078">
        <f t="shared" si="1102"/>
        <v>9.9865999999998571</v>
      </c>
      <c r="K1078">
        <f t="shared" si="1103"/>
        <v>0</v>
      </c>
      <c r="L1078">
        <f t="shared" si="1104"/>
        <v>9.9865999999998571</v>
      </c>
    </row>
    <row r="1079" spans="2:12">
      <c r="B1079" s="1">
        <v>49717</v>
      </c>
      <c r="C1079" t="s">
        <v>36</v>
      </c>
      <c r="D1079">
        <v>17.8</v>
      </c>
      <c r="E1079">
        <v>5.9</v>
      </c>
      <c r="F1079">
        <f t="shared" si="1100"/>
        <v>1.0502</v>
      </c>
      <c r="G1079">
        <f t="shared" ref="G1079" si="1154">D1074+D1075+D1076+D1077+D1078+D1079</f>
        <v>126.00000000000001</v>
      </c>
      <c r="H1079">
        <f t="shared" si="1099"/>
        <v>2036</v>
      </c>
      <c r="I1079">
        <v>1</v>
      </c>
      <c r="J1079">
        <f t="shared" si="1102"/>
        <v>11.036799999999857</v>
      </c>
      <c r="K1079">
        <f t="shared" si="1103"/>
        <v>0</v>
      </c>
      <c r="L1079">
        <f t="shared" si="1104"/>
        <v>11.036799999999857</v>
      </c>
    </row>
    <row r="1080" spans="2:12">
      <c r="B1080" s="1">
        <v>49718</v>
      </c>
      <c r="C1080" t="s">
        <v>50</v>
      </c>
      <c r="D1080">
        <v>26.1</v>
      </c>
      <c r="E1080">
        <v>14.8</v>
      </c>
      <c r="F1080">
        <f t="shared" si="1100"/>
        <v>3.8628000000000005</v>
      </c>
      <c r="G1080">
        <f t="shared" ref="G1080" si="1155">D1074+D1075+D1076+D1077+D1078+D1079+D1080</f>
        <v>152.10000000000002</v>
      </c>
      <c r="H1080">
        <f t="shared" si="1099"/>
        <v>2036</v>
      </c>
      <c r="I1080">
        <v>1</v>
      </c>
      <c r="J1080">
        <f t="shared" si="1102"/>
        <v>14.899599999999857</v>
      </c>
      <c r="K1080">
        <f t="shared" si="1103"/>
        <v>0</v>
      </c>
      <c r="L1080">
        <f t="shared" si="1104"/>
        <v>14.899599999999857</v>
      </c>
    </row>
    <row r="1081" spans="2:12">
      <c r="B1081" s="1">
        <v>49719</v>
      </c>
      <c r="C1081" t="s">
        <v>24</v>
      </c>
      <c r="D1081">
        <v>13.8</v>
      </c>
      <c r="E1081">
        <v>0</v>
      </c>
      <c r="F1081">
        <f t="shared" si="1100"/>
        <v>0</v>
      </c>
      <c r="G1081">
        <f t="shared" ref="G1081:G1144" si="1156">D1081</f>
        <v>13.8</v>
      </c>
      <c r="H1081">
        <f t="shared" si="1099"/>
        <v>2036</v>
      </c>
      <c r="I1081">
        <v>1</v>
      </c>
      <c r="J1081">
        <f t="shared" si="1102"/>
        <v>14.899599999999857</v>
      </c>
      <c r="K1081">
        <f t="shared" si="1103"/>
        <v>0</v>
      </c>
      <c r="L1081">
        <f t="shared" si="1104"/>
        <v>14.899599999999857</v>
      </c>
    </row>
    <row r="1082" spans="2:12">
      <c r="B1082" s="1">
        <v>49720</v>
      </c>
      <c r="C1082" t="s">
        <v>26</v>
      </c>
      <c r="D1082">
        <v>16.100000000000001</v>
      </c>
      <c r="E1082">
        <v>6.2</v>
      </c>
      <c r="F1082">
        <f t="shared" si="1100"/>
        <v>0.99820000000000009</v>
      </c>
      <c r="G1082">
        <f t="shared" ref="G1082:G1145" si="1157">D1081+D1082</f>
        <v>29.900000000000002</v>
      </c>
      <c r="H1082">
        <f t="shared" si="1099"/>
        <v>2036</v>
      </c>
      <c r="I1082">
        <v>1</v>
      </c>
      <c r="J1082">
        <f t="shared" si="1102"/>
        <v>15.897799999999858</v>
      </c>
      <c r="K1082">
        <f t="shared" si="1103"/>
        <v>0</v>
      </c>
      <c r="L1082">
        <f t="shared" si="1104"/>
        <v>15.897799999999858</v>
      </c>
    </row>
    <row r="1083" spans="2:12">
      <c r="B1083" s="1">
        <v>49721</v>
      </c>
      <c r="C1083" t="s">
        <v>24</v>
      </c>
      <c r="D1083">
        <v>23.2</v>
      </c>
      <c r="E1083">
        <v>45.8</v>
      </c>
      <c r="F1083">
        <f t="shared" si="1100"/>
        <v>10.625599999999999</v>
      </c>
      <c r="G1083">
        <f t="shared" ref="G1083" si="1158">D1081+D1082+D1083</f>
        <v>53.1</v>
      </c>
      <c r="H1083">
        <f t="shared" si="1099"/>
        <v>2036</v>
      </c>
      <c r="I1083">
        <v>1</v>
      </c>
      <c r="J1083">
        <f t="shared" si="1102"/>
        <v>26.523399999999857</v>
      </c>
      <c r="K1083">
        <f t="shared" si="1103"/>
        <v>0</v>
      </c>
      <c r="L1083">
        <f t="shared" si="1104"/>
        <v>26.523399999999857</v>
      </c>
    </row>
    <row r="1084" spans="2:12">
      <c r="B1084" s="1">
        <v>49722</v>
      </c>
      <c r="C1084" t="s">
        <v>26</v>
      </c>
      <c r="D1084">
        <v>18.899999999999999</v>
      </c>
      <c r="E1084">
        <v>0</v>
      </c>
      <c r="F1084">
        <f t="shared" si="1100"/>
        <v>0</v>
      </c>
      <c r="G1084">
        <f t="shared" ref="G1084" si="1159">D1081+D1082+D1083+D1084</f>
        <v>72</v>
      </c>
      <c r="H1084">
        <f t="shared" si="1099"/>
        <v>2036</v>
      </c>
      <c r="I1084">
        <v>1</v>
      </c>
      <c r="J1084">
        <f t="shared" si="1102"/>
        <v>26.523399999999857</v>
      </c>
      <c r="K1084">
        <f t="shared" si="1103"/>
        <v>0</v>
      </c>
      <c r="L1084">
        <f t="shared" si="1104"/>
        <v>26.523399999999857</v>
      </c>
    </row>
    <row r="1085" spans="2:12">
      <c r="B1085" s="1">
        <v>49723</v>
      </c>
      <c r="C1085" t="s">
        <v>50</v>
      </c>
      <c r="D1085">
        <v>28.9</v>
      </c>
      <c r="E1085">
        <v>34.1</v>
      </c>
      <c r="F1085">
        <f t="shared" si="1100"/>
        <v>9.8549000000000007</v>
      </c>
      <c r="G1085">
        <f t="shared" ref="G1085" si="1160">D1081+D1082+D1083+D1084+D1085</f>
        <v>100.9</v>
      </c>
      <c r="H1085">
        <f t="shared" si="1099"/>
        <v>2036</v>
      </c>
      <c r="I1085">
        <v>1</v>
      </c>
      <c r="J1085">
        <f t="shared" si="1102"/>
        <v>36.378299999999854</v>
      </c>
      <c r="K1085">
        <f t="shared" si="1103"/>
        <v>0</v>
      </c>
      <c r="L1085">
        <f t="shared" si="1104"/>
        <v>36.378299999999854</v>
      </c>
    </row>
    <row r="1086" spans="2:12">
      <c r="B1086" s="1">
        <v>49724</v>
      </c>
      <c r="C1086" t="s">
        <v>24</v>
      </c>
      <c r="D1086">
        <v>19.3</v>
      </c>
      <c r="E1086">
        <v>49.6</v>
      </c>
      <c r="F1086">
        <f t="shared" si="1100"/>
        <v>9.5728000000000009</v>
      </c>
      <c r="G1086">
        <f t="shared" ref="G1086" si="1161">D1081+D1082+D1083+D1084+D1085+D1086</f>
        <v>120.2</v>
      </c>
      <c r="H1086">
        <f t="shared" si="1099"/>
        <v>2036</v>
      </c>
      <c r="I1086">
        <v>1</v>
      </c>
      <c r="J1086">
        <f t="shared" si="1102"/>
        <v>45.951099999999855</v>
      </c>
      <c r="K1086">
        <f t="shared" si="1103"/>
        <v>0</v>
      </c>
      <c r="L1086">
        <f t="shared" si="1104"/>
        <v>45.951099999999855</v>
      </c>
    </row>
    <row r="1087" spans="2:12">
      <c r="B1087" s="1">
        <v>49725</v>
      </c>
      <c r="C1087" t="s">
        <v>47</v>
      </c>
      <c r="D1087">
        <v>23.9</v>
      </c>
      <c r="E1087">
        <v>11.7</v>
      </c>
      <c r="F1087">
        <f t="shared" si="1100"/>
        <v>2.7962999999999996</v>
      </c>
      <c r="G1087">
        <f t="shared" ref="G1087" si="1162">D1081+D1082+D1083+D1084+D1085+D1086+D1087</f>
        <v>144.1</v>
      </c>
      <c r="H1087">
        <f t="shared" si="1099"/>
        <v>2036</v>
      </c>
      <c r="I1087">
        <v>1</v>
      </c>
      <c r="J1087">
        <f t="shared" si="1102"/>
        <v>48.747399999999857</v>
      </c>
      <c r="K1087">
        <f t="shared" si="1103"/>
        <v>0</v>
      </c>
      <c r="L1087">
        <f t="shared" si="1104"/>
        <v>48.747399999999857</v>
      </c>
    </row>
    <row r="1088" spans="2:12">
      <c r="B1088" s="1">
        <v>49726</v>
      </c>
      <c r="C1088" t="s">
        <v>27</v>
      </c>
      <c r="D1088">
        <v>28.6</v>
      </c>
      <c r="E1088">
        <v>11.5</v>
      </c>
      <c r="F1088">
        <f t="shared" si="1100"/>
        <v>3.2890000000000001</v>
      </c>
      <c r="G1088">
        <f t="shared" ref="G1088:G1151" si="1163">D1088</f>
        <v>28.6</v>
      </c>
      <c r="H1088">
        <f t="shared" si="1099"/>
        <v>2036</v>
      </c>
      <c r="I1088">
        <v>1</v>
      </c>
      <c r="J1088">
        <f t="shared" si="1102"/>
        <v>52.036399999999858</v>
      </c>
      <c r="K1088">
        <f t="shared" si="1103"/>
        <v>0</v>
      </c>
      <c r="L1088">
        <f t="shared" si="1104"/>
        <v>52.036399999999858</v>
      </c>
    </row>
    <row r="1089" spans="2:12">
      <c r="B1089" s="1">
        <v>49727</v>
      </c>
      <c r="C1089" t="s">
        <v>36</v>
      </c>
      <c r="D1089">
        <v>14.5</v>
      </c>
      <c r="E1089">
        <v>0.3</v>
      </c>
      <c r="F1089">
        <f t="shared" si="1100"/>
        <v>0</v>
      </c>
      <c r="G1089">
        <f t="shared" ref="G1089:G1152" si="1164">D1088+D1089</f>
        <v>43.1</v>
      </c>
      <c r="H1089">
        <f t="shared" si="1099"/>
        <v>2036</v>
      </c>
      <c r="I1089">
        <v>1</v>
      </c>
      <c r="J1089">
        <f t="shared" si="1102"/>
        <v>52.036399999999858</v>
      </c>
      <c r="K1089">
        <f t="shared" si="1103"/>
        <v>0</v>
      </c>
      <c r="L1089">
        <f t="shared" si="1104"/>
        <v>52.036399999999858</v>
      </c>
    </row>
    <row r="1090" spans="2:12">
      <c r="B1090" s="1">
        <v>49728</v>
      </c>
      <c r="C1090" t="s">
        <v>24</v>
      </c>
      <c r="D1090">
        <v>13</v>
      </c>
      <c r="E1090">
        <v>0</v>
      </c>
      <c r="F1090">
        <f t="shared" si="1100"/>
        <v>0</v>
      </c>
      <c r="G1090">
        <f t="shared" ref="G1090" si="1165">D1088+D1089+D1090</f>
        <v>56.1</v>
      </c>
      <c r="H1090">
        <f t="shared" si="1099"/>
        <v>2036</v>
      </c>
      <c r="I1090">
        <v>1</v>
      </c>
      <c r="J1090">
        <f t="shared" si="1102"/>
        <v>52.036399999999858</v>
      </c>
      <c r="K1090">
        <f t="shared" si="1103"/>
        <v>0</v>
      </c>
      <c r="L1090">
        <f t="shared" si="1104"/>
        <v>52.036399999999858</v>
      </c>
    </row>
    <row r="1091" spans="2:12">
      <c r="B1091" s="1">
        <v>49729</v>
      </c>
      <c r="C1091" t="s">
        <v>50</v>
      </c>
      <c r="D1091">
        <v>16.2</v>
      </c>
      <c r="E1091">
        <v>9.1999999999999993</v>
      </c>
      <c r="F1091">
        <f t="shared" si="1100"/>
        <v>1.4903999999999999</v>
      </c>
      <c r="G1091">
        <f t="shared" ref="G1091" si="1166">D1088+D1089+D1090+D1091</f>
        <v>72.3</v>
      </c>
      <c r="H1091">
        <f t="shared" si="1099"/>
        <v>2036</v>
      </c>
      <c r="I1091">
        <v>1</v>
      </c>
      <c r="J1091">
        <f t="shared" si="1102"/>
        <v>53.526799999999859</v>
      </c>
      <c r="K1091">
        <f t="shared" si="1103"/>
        <v>0</v>
      </c>
      <c r="L1091">
        <f t="shared" si="1104"/>
        <v>53.526799999999859</v>
      </c>
    </row>
    <row r="1092" spans="2:12">
      <c r="B1092" s="1">
        <v>49730</v>
      </c>
      <c r="C1092" t="s">
        <v>32</v>
      </c>
      <c r="D1092">
        <v>27.1</v>
      </c>
      <c r="E1092">
        <v>6.3</v>
      </c>
      <c r="F1092">
        <f t="shared" si="1100"/>
        <v>1.7073000000000003</v>
      </c>
      <c r="G1092">
        <f t="shared" ref="G1092" si="1167">D1088+D1089+D1090+D1091+D1092</f>
        <v>99.4</v>
      </c>
      <c r="H1092">
        <f t="shared" ref="H1092:H1155" si="1168">YEAR(B1092)</f>
        <v>2036</v>
      </c>
      <c r="I1092">
        <v>1</v>
      </c>
      <c r="J1092">
        <f t="shared" si="1102"/>
        <v>55.234099999999863</v>
      </c>
      <c r="K1092">
        <f t="shared" si="1103"/>
        <v>0</v>
      </c>
      <c r="L1092">
        <f t="shared" si="1104"/>
        <v>55.234099999999863</v>
      </c>
    </row>
    <row r="1093" spans="2:12">
      <c r="B1093" s="1">
        <v>49731</v>
      </c>
      <c r="C1093" t="s">
        <v>24</v>
      </c>
      <c r="D1093">
        <v>15.6</v>
      </c>
      <c r="E1093">
        <v>28</v>
      </c>
      <c r="F1093">
        <f t="shared" ref="F1093:F1156" si="1169">IF(E1093&gt;=1,D1093*E1093/100,0)</f>
        <v>4.3680000000000003</v>
      </c>
      <c r="G1093">
        <f t="shared" ref="G1093" si="1170">D1088+D1089+D1090+D1091+D1092+D1093</f>
        <v>115</v>
      </c>
      <c r="H1093">
        <f t="shared" si="1168"/>
        <v>2036</v>
      </c>
      <c r="I1093">
        <v>1</v>
      </c>
      <c r="J1093">
        <f t="shared" ref="J1093:J1156" si="1171">L1092+F1093</f>
        <v>59.602099999999865</v>
      </c>
      <c r="K1093">
        <f t="shared" ref="K1093:K1156" si="1172">IF(J1093&gt;=100,1,0)</f>
        <v>0</v>
      </c>
      <c r="L1093">
        <f t="shared" ref="L1093:L1156" si="1173">IF(K1093=1,J1093-100,J1093)</f>
        <v>59.602099999999865</v>
      </c>
    </row>
    <row r="1094" spans="2:12">
      <c r="B1094" s="1">
        <v>49732</v>
      </c>
      <c r="C1094" t="s">
        <v>36</v>
      </c>
      <c r="D1094">
        <v>28.9</v>
      </c>
      <c r="E1094">
        <v>6.8</v>
      </c>
      <c r="F1094">
        <f t="shared" si="1169"/>
        <v>1.9651999999999998</v>
      </c>
      <c r="G1094">
        <f t="shared" ref="G1094" si="1174">D1088+D1089+D1090+D1091+D1092+D1093+D1094</f>
        <v>143.9</v>
      </c>
      <c r="H1094">
        <f t="shared" si="1168"/>
        <v>2036</v>
      </c>
      <c r="I1094">
        <v>1</v>
      </c>
      <c r="J1094">
        <f t="shared" si="1171"/>
        <v>61.567299999999868</v>
      </c>
      <c r="K1094">
        <f t="shared" si="1172"/>
        <v>0</v>
      </c>
      <c r="L1094">
        <f t="shared" si="1173"/>
        <v>61.567299999999868</v>
      </c>
    </row>
    <row r="1095" spans="2:12">
      <c r="B1095" s="1">
        <v>49733</v>
      </c>
      <c r="C1095" t="s">
        <v>17</v>
      </c>
      <c r="D1095">
        <v>13.8</v>
      </c>
      <c r="E1095">
        <v>11.9</v>
      </c>
      <c r="F1095">
        <f t="shared" si="1169"/>
        <v>1.6422000000000003</v>
      </c>
      <c r="G1095">
        <f t="shared" ref="G1095:G1158" si="1175">D1095</f>
        <v>13.8</v>
      </c>
      <c r="H1095">
        <f t="shared" si="1168"/>
        <v>2036</v>
      </c>
      <c r="I1095">
        <v>1</v>
      </c>
      <c r="J1095">
        <f t="shared" si="1171"/>
        <v>63.209499999999871</v>
      </c>
      <c r="K1095">
        <f t="shared" si="1172"/>
        <v>0</v>
      </c>
      <c r="L1095">
        <f t="shared" si="1173"/>
        <v>63.209499999999871</v>
      </c>
    </row>
    <row r="1096" spans="2:12">
      <c r="B1096" s="1">
        <v>49734</v>
      </c>
      <c r="C1096" t="s">
        <v>17</v>
      </c>
      <c r="D1096">
        <v>17.8</v>
      </c>
      <c r="E1096">
        <v>1.5</v>
      </c>
      <c r="F1096">
        <f t="shared" si="1169"/>
        <v>0.26700000000000002</v>
      </c>
      <c r="G1096">
        <f t="shared" ref="G1096:G1159" si="1176">D1095+D1096</f>
        <v>31.6</v>
      </c>
      <c r="H1096">
        <f t="shared" si="1168"/>
        <v>2036</v>
      </c>
      <c r="I1096">
        <v>1</v>
      </c>
      <c r="J1096">
        <f t="shared" si="1171"/>
        <v>63.476499999999874</v>
      </c>
      <c r="K1096">
        <f t="shared" si="1172"/>
        <v>0</v>
      </c>
      <c r="L1096">
        <f t="shared" si="1173"/>
        <v>63.476499999999874</v>
      </c>
    </row>
    <row r="1097" spans="2:12">
      <c r="B1097" s="1">
        <v>49735</v>
      </c>
      <c r="C1097" t="s">
        <v>43</v>
      </c>
      <c r="D1097">
        <v>25.1</v>
      </c>
      <c r="E1097">
        <v>0</v>
      </c>
      <c r="F1097">
        <f t="shared" si="1169"/>
        <v>0</v>
      </c>
      <c r="G1097">
        <f t="shared" ref="G1097" si="1177">D1095+D1096+D1097</f>
        <v>56.7</v>
      </c>
      <c r="H1097">
        <f t="shared" si="1168"/>
        <v>2036</v>
      </c>
      <c r="I1097">
        <v>1</v>
      </c>
      <c r="J1097">
        <f t="shared" si="1171"/>
        <v>63.476499999999874</v>
      </c>
      <c r="K1097">
        <f t="shared" si="1172"/>
        <v>0</v>
      </c>
      <c r="L1097">
        <f t="shared" si="1173"/>
        <v>63.476499999999874</v>
      </c>
    </row>
    <row r="1098" spans="2:12">
      <c r="B1098" s="1">
        <v>49736</v>
      </c>
      <c r="C1098" t="s">
        <v>43</v>
      </c>
      <c r="D1098">
        <v>29.5</v>
      </c>
      <c r="E1098">
        <v>0</v>
      </c>
      <c r="F1098">
        <f t="shared" si="1169"/>
        <v>0</v>
      </c>
      <c r="G1098">
        <f t="shared" ref="G1098" si="1178">D1095+D1096+D1097+D1098</f>
        <v>86.2</v>
      </c>
      <c r="H1098">
        <f t="shared" si="1168"/>
        <v>2036</v>
      </c>
      <c r="I1098">
        <v>1</v>
      </c>
      <c r="J1098">
        <f t="shared" si="1171"/>
        <v>63.476499999999874</v>
      </c>
      <c r="K1098">
        <f t="shared" si="1172"/>
        <v>0</v>
      </c>
      <c r="L1098">
        <f t="shared" si="1173"/>
        <v>63.476499999999874</v>
      </c>
    </row>
    <row r="1099" spans="2:12">
      <c r="B1099" s="1">
        <v>49737</v>
      </c>
      <c r="C1099" t="s">
        <v>36</v>
      </c>
      <c r="D1099">
        <v>16.100000000000001</v>
      </c>
      <c r="E1099">
        <v>7.1</v>
      </c>
      <c r="F1099">
        <f t="shared" si="1169"/>
        <v>1.1431</v>
      </c>
      <c r="G1099">
        <f t="shared" ref="G1099" si="1179">D1095+D1096+D1097+D1098+D1099</f>
        <v>102.30000000000001</v>
      </c>
      <c r="H1099">
        <f t="shared" si="1168"/>
        <v>2036</v>
      </c>
      <c r="I1099">
        <v>1</v>
      </c>
      <c r="J1099">
        <f t="shared" si="1171"/>
        <v>64.619599999999878</v>
      </c>
      <c r="K1099">
        <f t="shared" si="1172"/>
        <v>0</v>
      </c>
      <c r="L1099">
        <f t="shared" si="1173"/>
        <v>64.619599999999878</v>
      </c>
    </row>
    <row r="1100" spans="2:12">
      <c r="B1100" s="1">
        <v>49738</v>
      </c>
      <c r="C1100" t="s">
        <v>21</v>
      </c>
      <c r="D1100">
        <v>18</v>
      </c>
      <c r="E1100">
        <v>12</v>
      </c>
      <c r="F1100">
        <f t="shared" si="1169"/>
        <v>2.16</v>
      </c>
      <c r="G1100">
        <f t="shared" ref="G1100" si="1180">D1095+D1096+D1097+D1098+D1099+D1100</f>
        <v>120.30000000000001</v>
      </c>
      <c r="H1100">
        <f t="shared" si="1168"/>
        <v>2036</v>
      </c>
      <c r="I1100">
        <v>1</v>
      </c>
      <c r="J1100">
        <f t="shared" si="1171"/>
        <v>66.779599999999874</v>
      </c>
      <c r="K1100">
        <f t="shared" si="1172"/>
        <v>0</v>
      </c>
      <c r="L1100">
        <f t="shared" si="1173"/>
        <v>66.779599999999874</v>
      </c>
    </row>
    <row r="1101" spans="2:12">
      <c r="B1101" s="1">
        <v>49739</v>
      </c>
      <c r="C1101" t="s">
        <v>24</v>
      </c>
      <c r="D1101">
        <v>12.2</v>
      </c>
      <c r="E1101">
        <v>26.8</v>
      </c>
      <c r="F1101">
        <f t="shared" si="1169"/>
        <v>3.2695999999999996</v>
      </c>
      <c r="G1101">
        <f t="shared" ref="G1101" si="1181">D1095+D1096+D1097+D1098+D1099+D1100+D1101</f>
        <v>132.5</v>
      </c>
      <c r="H1101">
        <f t="shared" si="1168"/>
        <v>2036</v>
      </c>
      <c r="I1101">
        <v>1</v>
      </c>
      <c r="J1101">
        <f t="shared" si="1171"/>
        <v>70.049199999999871</v>
      </c>
      <c r="K1101">
        <f t="shared" si="1172"/>
        <v>0</v>
      </c>
      <c r="L1101">
        <f t="shared" si="1173"/>
        <v>70.049199999999871</v>
      </c>
    </row>
    <row r="1102" spans="2:12">
      <c r="B1102" s="1">
        <v>49740</v>
      </c>
      <c r="C1102" t="s">
        <v>31</v>
      </c>
      <c r="D1102">
        <v>20.7</v>
      </c>
      <c r="E1102">
        <v>4.7</v>
      </c>
      <c r="F1102">
        <f t="shared" si="1169"/>
        <v>0.9729000000000001</v>
      </c>
      <c r="G1102">
        <f t="shared" ref="G1102:G1165" si="1182">D1102</f>
        <v>20.7</v>
      </c>
      <c r="H1102">
        <f t="shared" si="1168"/>
        <v>2036</v>
      </c>
      <c r="I1102">
        <v>1</v>
      </c>
      <c r="J1102">
        <f t="shared" si="1171"/>
        <v>71.022099999999867</v>
      </c>
      <c r="K1102">
        <f t="shared" si="1172"/>
        <v>0</v>
      </c>
      <c r="L1102">
        <f t="shared" si="1173"/>
        <v>71.022099999999867</v>
      </c>
    </row>
    <row r="1103" spans="2:12">
      <c r="B1103" s="1">
        <v>49741</v>
      </c>
      <c r="C1103" t="s">
        <v>24</v>
      </c>
      <c r="D1103">
        <v>20.100000000000001</v>
      </c>
      <c r="E1103">
        <v>47.4</v>
      </c>
      <c r="F1103">
        <f t="shared" si="1169"/>
        <v>9.5274000000000001</v>
      </c>
      <c r="G1103">
        <f t="shared" ref="G1103:G1166" si="1183">D1102+D1103</f>
        <v>40.799999999999997</v>
      </c>
      <c r="H1103">
        <f t="shared" si="1168"/>
        <v>2036</v>
      </c>
      <c r="I1103">
        <v>1</v>
      </c>
      <c r="J1103">
        <f t="shared" si="1171"/>
        <v>80.549499999999867</v>
      </c>
      <c r="K1103">
        <f t="shared" si="1172"/>
        <v>0</v>
      </c>
      <c r="L1103">
        <f t="shared" si="1173"/>
        <v>80.549499999999867</v>
      </c>
    </row>
    <row r="1104" spans="2:12">
      <c r="B1104" s="1">
        <v>49742</v>
      </c>
      <c r="C1104" t="s">
        <v>24</v>
      </c>
      <c r="D1104">
        <v>14.9</v>
      </c>
      <c r="E1104">
        <v>43.8</v>
      </c>
      <c r="F1104">
        <f t="shared" si="1169"/>
        <v>6.5262000000000002</v>
      </c>
      <c r="G1104">
        <f t="shared" ref="G1104" si="1184">D1102+D1103+D1104</f>
        <v>55.699999999999996</v>
      </c>
      <c r="H1104">
        <f t="shared" si="1168"/>
        <v>2036</v>
      </c>
      <c r="I1104">
        <v>1</v>
      </c>
      <c r="J1104">
        <f t="shared" si="1171"/>
        <v>87.07569999999987</v>
      </c>
      <c r="K1104">
        <f t="shared" si="1172"/>
        <v>0</v>
      </c>
      <c r="L1104">
        <f t="shared" si="1173"/>
        <v>87.07569999999987</v>
      </c>
    </row>
    <row r="1105" spans="2:12">
      <c r="B1105" s="1">
        <v>49743</v>
      </c>
      <c r="C1105" t="s">
        <v>24</v>
      </c>
      <c r="D1105">
        <v>19</v>
      </c>
      <c r="E1105">
        <v>0</v>
      </c>
      <c r="F1105">
        <f t="shared" si="1169"/>
        <v>0</v>
      </c>
      <c r="G1105">
        <f t="shared" ref="G1105" si="1185">D1102+D1103+D1104+D1105</f>
        <v>74.699999999999989</v>
      </c>
      <c r="H1105">
        <f t="shared" si="1168"/>
        <v>2036</v>
      </c>
      <c r="I1105">
        <v>1</v>
      </c>
      <c r="J1105">
        <f t="shared" si="1171"/>
        <v>87.07569999999987</v>
      </c>
      <c r="K1105">
        <f t="shared" si="1172"/>
        <v>0</v>
      </c>
      <c r="L1105">
        <f t="shared" si="1173"/>
        <v>87.07569999999987</v>
      </c>
    </row>
    <row r="1106" spans="2:12">
      <c r="B1106" s="1">
        <v>49744</v>
      </c>
      <c r="C1106" t="s">
        <v>17</v>
      </c>
      <c r="D1106">
        <v>12.5</v>
      </c>
      <c r="E1106">
        <v>0</v>
      </c>
      <c r="F1106">
        <f t="shared" si="1169"/>
        <v>0</v>
      </c>
      <c r="G1106">
        <f t="shared" ref="G1106" si="1186">D1102+D1103+D1104+D1105+D1106</f>
        <v>87.199999999999989</v>
      </c>
      <c r="H1106">
        <f t="shared" si="1168"/>
        <v>2036</v>
      </c>
      <c r="I1106">
        <v>1</v>
      </c>
      <c r="J1106">
        <f t="shared" si="1171"/>
        <v>87.07569999999987</v>
      </c>
      <c r="K1106">
        <f t="shared" si="1172"/>
        <v>0</v>
      </c>
      <c r="L1106">
        <f t="shared" si="1173"/>
        <v>87.07569999999987</v>
      </c>
    </row>
    <row r="1107" spans="2:12">
      <c r="B1107" s="1">
        <v>49745</v>
      </c>
      <c r="C1107" t="s">
        <v>27</v>
      </c>
      <c r="D1107">
        <v>15.2</v>
      </c>
      <c r="E1107">
        <v>13.9</v>
      </c>
      <c r="F1107">
        <f t="shared" si="1169"/>
        <v>2.1128</v>
      </c>
      <c r="G1107">
        <f t="shared" ref="G1107" si="1187">D1102+D1103+D1104+D1105+D1106+D1107</f>
        <v>102.39999999999999</v>
      </c>
      <c r="H1107">
        <f t="shared" si="1168"/>
        <v>2036</v>
      </c>
      <c r="I1107">
        <v>1</v>
      </c>
      <c r="J1107">
        <f t="shared" si="1171"/>
        <v>89.188499999999863</v>
      </c>
      <c r="K1107">
        <f t="shared" si="1172"/>
        <v>0</v>
      </c>
      <c r="L1107">
        <f t="shared" si="1173"/>
        <v>89.188499999999863</v>
      </c>
    </row>
    <row r="1108" spans="2:12">
      <c r="B1108" s="1">
        <v>49746</v>
      </c>
      <c r="C1108" t="s">
        <v>50</v>
      </c>
      <c r="D1108">
        <v>29.2</v>
      </c>
      <c r="E1108">
        <v>26.8</v>
      </c>
      <c r="F1108">
        <f t="shared" si="1169"/>
        <v>7.8255999999999997</v>
      </c>
      <c r="G1108">
        <f t="shared" ref="G1108" si="1188">D1102+D1103+D1104+D1105+D1106+D1107+D1108</f>
        <v>131.6</v>
      </c>
      <c r="H1108">
        <f t="shared" si="1168"/>
        <v>2036</v>
      </c>
      <c r="I1108">
        <v>1</v>
      </c>
      <c r="J1108">
        <f t="shared" si="1171"/>
        <v>97.014099999999857</v>
      </c>
      <c r="K1108">
        <f t="shared" si="1172"/>
        <v>0</v>
      </c>
      <c r="L1108">
        <f t="shared" si="1173"/>
        <v>97.014099999999857</v>
      </c>
    </row>
    <row r="1109" spans="2:12">
      <c r="B1109" s="1">
        <v>49747</v>
      </c>
      <c r="C1109" t="s">
        <v>17</v>
      </c>
      <c r="D1109">
        <v>13.9</v>
      </c>
      <c r="E1109">
        <v>1.1000000000000001</v>
      </c>
      <c r="F1109">
        <f t="shared" si="1169"/>
        <v>0.15290000000000001</v>
      </c>
      <c r="G1109">
        <f t="shared" ref="G1109:G1172" si="1189">D1109</f>
        <v>13.9</v>
      </c>
      <c r="H1109">
        <f t="shared" si="1168"/>
        <v>2036</v>
      </c>
      <c r="I1109">
        <v>1</v>
      </c>
      <c r="J1109">
        <f t="shared" si="1171"/>
        <v>97.166999999999859</v>
      </c>
      <c r="K1109">
        <f t="shared" si="1172"/>
        <v>0</v>
      </c>
      <c r="L1109">
        <f t="shared" si="1173"/>
        <v>97.166999999999859</v>
      </c>
    </row>
    <row r="1110" spans="2:12">
      <c r="B1110" s="1">
        <v>49748</v>
      </c>
      <c r="C1110" t="s">
        <v>32</v>
      </c>
      <c r="D1110">
        <v>11.4</v>
      </c>
      <c r="E1110">
        <v>0</v>
      </c>
      <c r="F1110">
        <f t="shared" si="1169"/>
        <v>0</v>
      </c>
      <c r="G1110">
        <f t="shared" ref="G1110:G1173" si="1190">D1109+D1110</f>
        <v>25.3</v>
      </c>
      <c r="H1110">
        <f t="shared" si="1168"/>
        <v>2036</v>
      </c>
      <c r="I1110">
        <v>1</v>
      </c>
      <c r="J1110">
        <f t="shared" si="1171"/>
        <v>97.166999999999859</v>
      </c>
      <c r="K1110">
        <f t="shared" si="1172"/>
        <v>0</v>
      </c>
      <c r="L1110">
        <f t="shared" si="1173"/>
        <v>97.166999999999859</v>
      </c>
    </row>
    <row r="1111" spans="2:12">
      <c r="B1111" s="1">
        <v>49749</v>
      </c>
      <c r="C1111" t="s">
        <v>21</v>
      </c>
      <c r="D1111">
        <v>15.8</v>
      </c>
      <c r="E1111">
        <v>7</v>
      </c>
      <c r="F1111">
        <f t="shared" si="1169"/>
        <v>1.1060000000000001</v>
      </c>
      <c r="G1111">
        <f t="shared" ref="G1111" si="1191">D1109+D1110+D1111</f>
        <v>41.1</v>
      </c>
      <c r="H1111">
        <f t="shared" si="1168"/>
        <v>2036</v>
      </c>
      <c r="I1111">
        <v>1</v>
      </c>
      <c r="J1111">
        <f t="shared" si="1171"/>
        <v>98.272999999999854</v>
      </c>
      <c r="K1111">
        <f t="shared" si="1172"/>
        <v>0</v>
      </c>
      <c r="L1111">
        <f t="shared" si="1173"/>
        <v>98.272999999999854</v>
      </c>
    </row>
    <row r="1112" spans="2:12">
      <c r="B1112" s="1">
        <v>49750</v>
      </c>
      <c r="C1112" t="s">
        <v>24</v>
      </c>
      <c r="D1112">
        <v>10.199999999999999</v>
      </c>
      <c r="E1112">
        <v>43.3</v>
      </c>
      <c r="F1112">
        <f t="shared" si="1169"/>
        <v>4.4165999999999999</v>
      </c>
      <c r="G1112">
        <f t="shared" ref="G1112" si="1192">D1109+D1110+D1111+D1112</f>
        <v>51.3</v>
      </c>
      <c r="H1112">
        <f t="shared" si="1168"/>
        <v>2036</v>
      </c>
      <c r="I1112">
        <v>1</v>
      </c>
      <c r="J1112">
        <f t="shared" si="1171"/>
        <v>102.68959999999986</v>
      </c>
      <c r="K1112">
        <f t="shared" si="1172"/>
        <v>1</v>
      </c>
      <c r="L1112">
        <f t="shared" si="1173"/>
        <v>2.6895999999998565</v>
      </c>
    </row>
    <row r="1113" spans="2:12">
      <c r="B1113" s="1">
        <v>49751</v>
      </c>
      <c r="C1113" t="s">
        <v>27</v>
      </c>
      <c r="D1113">
        <v>19.600000000000001</v>
      </c>
      <c r="E1113">
        <v>8.9</v>
      </c>
      <c r="F1113">
        <f t="shared" si="1169"/>
        <v>1.7444000000000002</v>
      </c>
      <c r="G1113">
        <f t="shared" ref="G1113" si="1193">D1109+D1110+D1111+D1112+D1113</f>
        <v>70.900000000000006</v>
      </c>
      <c r="H1113">
        <f t="shared" si="1168"/>
        <v>2036</v>
      </c>
      <c r="I1113">
        <v>1</v>
      </c>
      <c r="J1113">
        <f t="shared" si="1171"/>
        <v>4.4339999999998572</v>
      </c>
      <c r="K1113">
        <f t="shared" si="1172"/>
        <v>0</v>
      </c>
      <c r="L1113">
        <f t="shared" si="1173"/>
        <v>4.4339999999998572</v>
      </c>
    </row>
    <row r="1114" spans="2:12">
      <c r="B1114" s="1">
        <v>49752</v>
      </c>
      <c r="C1114" t="s">
        <v>17</v>
      </c>
      <c r="D1114">
        <v>15.5</v>
      </c>
      <c r="E1114">
        <v>10.1</v>
      </c>
      <c r="F1114">
        <f t="shared" si="1169"/>
        <v>1.5654999999999999</v>
      </c>
      <c r="G1114">
        <f t="shared" ref="G1114" si="1194">D1109+D1110+D1111+D1112+D1113+D1114</f>
        <v>86.4</v>
      </c>
      <c r="H1114">
        <f t="shared" si="1168"/>
        <v>2036</v>
      </c>
      <c r="I1114">
        <v>1</v>
      </c>
      <c r="J1114">
        <f t="shared" si="1171"/>
        <v>5.9994999999998573</v>
      </c>
      <c r="K1114">
        <f t="shared" si="1172"/>
        <v>0</v>
      </c>
      <c r="L1114">
        <f t="shared" si="1173"/>
        <v>5.9994999999998573</v>
      </c>
    </row>
    <row r="1115" spans="2:12">
      <c r="B1115" s="1">
        <v>49753</v>
      </c>
      <c r="C1115" t="s">
        <v>32</v>
      </c>
      <c r="D1115">
        <v>19.899999999999999</v>
      </c>
      <c r="E1115">
        <v>16.2</v>
      </c>
      <c r="F1115">
        <f t="shared" si="1169"/>
        <v>3.2237999999999993</v>
      </c>
      <c r="G1115">
        <f t="shared" ref="G1115" si="1195">D1109+D1110+D1111+D1112+D1113+D1114+D1115</f>
        <v>106.30000000000001</v>
      </c>
      <c r="H1115">
        <f t="shared" si="1168"/>
        <v>2036</v>
      </c>
      <c r="I1115">
        <v>1</v>
      </c>
      <c r="J1115">
        <f t="shared" si="1171"/>
        <v>9.2232999999998562</v>
      </c>
      <c r="K1115">
        <f t="shared" si="1172"/>
        <v>0</v>
      </c>
      <c r="L1115">
        <f t="shared" si="1173"/>
        <v>9.2232999999998562</v>
      </c>
    </row>
    <row r="1116" spans="2:12">
      <c r="B1116" s="1">
        <v>49754</v>
      </c>
      <c r="C1116" t="s">
        <v>47</v>
      </c>
      <c r="D1116">
        <v>10.7</v>
      </c>
      <c r="E1116">
        <v>2.8</v>
      </c>
      <c r="F1116">
        <f t="shared" si="1169"/>
        <v>0.29959999999999998</v>
      </c>
      <c r="G1116">
        <f t="shared" ref="G1116:G1179" si="1196">D1116</f>
        <v>10.7</v>
      </c>
      <c r="H1116">
        <f t="shared" si="1168"/>
        <v>2036</v>
      </c>
      <c r="I1116">
        <v>1</v>
      </c>
      <c r="J1116">
        <f t="shared" si="1171"/>
        <v>9.522899999999856</v>
      </c>
      <c r="K1116">
        <f t="shared" si="1172"/>
        <v>0</v>
      </c>
      <c r="L1116">
        <f t="shared" si="1173"/>
        <v>9.522899999999856</v>
      </c>
    </row>
    <row r="1117" spans="2:12">
      <c r="B1117" s="1">
        <v>49755</v>
      </c>
      <c r="C1117" t="s">
        <v>36</v>
      </c>
      <c r="D1117">
        <v>11.5</v>
      </c>
      <c r="E1117">
        <v>5.9</v>
      </c>
      <c r="F1117">
        <f t="shared" si="1169"/>
        <v>0.6785000000000001</v>
      </c>
      <c r="G1117">
        <f t="shared" ref="G1117:G1180" si="1197">D1116+D1117</f>
        <v>22.2</v>
      </c>
      <c r="H1117">
        <f t="shared" si="1168"/>
        <v>2036</v>
      </c>
      <c r="I1117">
        <v>1</v>
      </c>
      <c r="J1117">
        <f t="shared" si="1171"/>
        <v>10.201399999999856</v>
      </c>
      <c r="K1117">
        <f t="shared" si="1172"/>
        <v>0</v>
      </c>
      <c r="L1117">
        <f t="shared" si="1173"/>
        <v>10.201399999999856</v>
      </c>
    </row>
    <row r="1118" spans="2:12">
      <c r="B1118" s="1">
        <v>49756</v>
      </c>
      <c r="C1118" t="s">
        <v>31</v>
      </c>
      <c r="D1118">
        <v>28.4</v>
      </c>
      <c r="E1118">
        <v>1</v>
      </c>
      <c r="F1118">
        <f t="shared" si="1169"/>
        <v>0.28399999999999997</v>
      </c>
      <c r="G1118">
        <f t="shared" ref="G1118" si="1198">D1116+D1117+D1118</f>
        <v>50.599999999999994</v>
      </c>
      <c r="H1118">
        <f t="shared" si="1168"/>
        <v>2036</v>
      </c>
      <c r="I1118">
        <v>1</v>
      </c>
      <c r="J1118">
        <f t="shared" si="1171"/>
        <v>10.485399999999856</v>
      </c>
      <c r="K1118">
        <f t="shared" si="1172"/>
        <v>0</v>
      </c>
      <c r="L1118">
        <f t="shared" si="1173"/>
        <v>10.485399999999856</v>
      </c>
    </row>
    <row r="1119" spans="2:12">
      <c r="B1119" s="1">
        <v>49757</v>
      </c>
      <c r="C1119" t="s">
        <v>50</v>
      </c>
      <c r="D1119">
        <v>22.3</v>
      </c>
      <c r="E1119">
        <v>5.0999999999999996</v>
      </c>
      <c r="F1119">
        <f t="shared" si="1169"/>
        <v>1.1373</v>
      </c>
      <c r="G1119">
        <f t="shared" ref="G1119" si="1199">D1116+D1117+D1118+D1119</f>
        <v>72.899999999999991</v>
      </c>
      <c r="H1119">
        <f t="shared" si="1168"/>
        <v>2036</v>
      </c>
      <c r="I1119">
        <v>1</v>
      </c>
      <c r="J1119">
        <f t="shared" si="1171"/>
        <v>11.622699999999856</v>
      </c>
      <c r="K1119">
        <f t="shared" si="1172"/>
        <v>0</v>
      </c>
      <c r="L1119">
        <f t="shared" si="1173"/>
        <v>11.622699999999856</v>
      </c>
    </row>
    <row r="1120" spans="2:12">
      <c r="B1120" s="1">
        <v>49758</v>
      </c>
      <c r="C1120" t="s">
        <v>27</v>
      </c>
      <c r="D1120">
        <v>28.7</v>
      </c>
      <c r="E1120">
        <v>11.5</v>
      </c>
      <c r="F1120">
        <f t="shared" si="1169"/>
        <v>3.3005</v>
      </c>
      <c r="G1120">
        <f t="shared" ref="G1120" si="1200">D1116+D1117+D1118+D1119+D1120</f>
        <v>101.6</v>
      </c>
      <c r="H1120">
        <f t="shared" si="1168"/>
        <v>2036</v>
      </c>
      <c r="I1120">
        <v>1</v>
      </c>
      <c r="J1120">
        <f t="shared" si="1171"/>
        <v>14.923199999999856</v>
      </c>
      <c r="K1120">
        <f t="shared" si="1172"/>
        <v>0</v>
      </c>
      <c r="L1120">
        <f t="shared" si="1173"/>
        <v>14.923199999999856</v>
      </c>
    </row>
    <row r="1121" spans="2:12">
      <c r="B1121" s="1">
        <v>49759</v>
      </c>
      <c r="C1121" t="s">
        <v>17</v>
      </c>
      <c r="D1121">
        <v>19.100000000000001</v>
      </c>
      <c r="E1121">
        <v>0</v>
      </c>
      <c r="F1121">
        <f t="shared" si="1169"/>
        <v>0</v>
      </c>
      <c r="G1121">
        <f t="shared" ref="G1121" si="1201">D1116+D1117+D1118+D1119+D1120+D1121</f>
        <v>120.69999999999999</v>
      </c>
      <c r="H1121">
        <f t="shared" si="1168"/>
        <v>2036</v>
      </c>
      <c r="I1121">
        <v>1</v>
      </c>
      <c r="J1121">
        <f t="shared" si="1171"/>
        <v>14.923199999999856</v>
      </c>
      <c r="K1121">
        <f t="shared" si="1172"/>
        <v>0</v>
      </c>
      <c r="L1121">
        <f t="shared" si="1173"/>
        <v>14.923199999999856</v>
      </c>
    </row>
    <row r="1122" spans="2:12">
      <c r="B1122" s="1">
        <v>49760</v>
      </c>
      <c r="C1122" t="s">
        <v>24</v>
      </c>
      <c r="D1122">
        <v>10.199999999999999</v>
      </c>
      <c r="E1122">
        <v>7.6</v>
      </c>
      <c r="F1122">
        <f t="shared" si="1169"/>
        <v>0.7752</v>
      </c>
      <c r="G1122">
        <f t="shared" ref="G1122" si="1202">D1116+D1117+D1118+D1119+D1120+D1121+D1122</f>
        <v>130.89999999999998</v>
      </c>
      <c r="H1122">
        <f t="shared" si="1168"/>
        <v>2036</v>
      </c>
      <c r="I1122">
        <v>1</v>
      </c>
      <c r="J1122">
        <f t="shared" si="1171"/>
        <v>15.698399999999856</v>
      </c>
      <c r="K1122">
        <f t="shared" si="1172"/>
        <v>0</v>
      </c>
      <c r="L1122">
        <f t="shared" si="1173"/>
        <v>15.698399999999856</v>
      </c>
    </row>
    <row r="1123" spans="2:12">
      <c r="B1123" s="1">
        <v>49761</v>
      </c>
      <c r="C1123" t="s">
        <v>24</v>
      </c>
      <c r="D1123">
        <v>18.399999999999999</v>
      </c>
      <c r="E1123">
        <v>0</v>
      </c>
      <c r="F1123">
        <f t="shared" si="1169"/>
        <v>0</v>
      </c>
      <c r="G1123">
        <f t="shared" ref="G1123:G1186" si="1203">D1123</f>
        <v>18.399999999999999</v>
      </c>
      <c r="H1123">
        <f t="shared" si="1168"/>
        <v>2036</v>
      </c>
      <c r="I1123">
        <v>1</v>
      </c>
      <c r="J1123">
        <f t="shared" si="1171"/>
        <v>15.698399999999856</v>
      </c>
      <c r="K1123">
        <f t="shared" si="1172"/>
        <v>0</v>
      </c>
      <c r="L1123">
        <f t="shared" si="1173"/>
        <v>15.698399999999856</v>
      </c>
    </row>
    <row r="1124" spans="2:12">
      <c r="B1124" s="1">
        <v>49762</v>
      </c>
      <c r="C1124" t="s">
        <v>50</v>
      </c>
      <c r="D1124">
        <v>29.3</v>
      </c>
      <c r="E1124">
        <v>0</v>
      </c>
      <c r="F1124">
        <f t="shared" si="1169"/>
        <v>0</v>
      </c>
      <c r="G1124">
        <f t="shared" ref="G1124:G1187" si="1204">D1123+D1124</f>
        <v>47.7</v>
      </c>
      <c r="H1124">
        <f t="shared" si="1168"/>
        <v>2036</v>
      </c>
      <c r="I1124">
        <v>1</v>
      </c>
      <c r="J1124">
        <f t="shared" si="1171"/>
        <v>15.698399999999856</v>
      </c>
      <c r="K1124">
        <f t="shared" si="1172"/>
        <v>0</v>
      </c>
      <c r="L1124">
        <f t="shared" si="1173"/>
        <v>15.698399999999856</v>
      </c>
    </row>
    <row r="1125" spans="2:12">
      <c r="B1125" s="1">
        <v>49763</v>
      </c>
      <c r="C1125" t="s">
        <v>42</v>
      </c>
      <c r="D1125">
        <v>26.7</v>
      </c>
      <c r="E1125">
        <v>5.7</v>
      </c>
      <c r="F1125">
        <f t="shared" si="1169"/>
        <v>1.5219</v>
      </c>
      <c r="G1125">
        <f t="shared" ref="G1125" si="1205">D1123+D1124+D1125</f>
        <v>74.400000000000006</v>
      </c>
      <c r="H1125">
        <f t="shared" si="1168"/>
        <v>2036</v>
      </c>
      <c r="I1125">
        <v>1</v>
      </c>
      <c r="J1125">
        <f t="shared" si="1171"/>
        <v>17.220299999999856</v>
      </c>
      <c r="K1125">
        <f t="shared" si="1172"/>
        <v>0</v>
      </c>
      <c r="L1125">
        <f t="shared" si="1173"/>
        <v>17.220299999999856</v>
      </c>
    </row>
    <row r="1126" spans="2:12">
      <c r="B1126" s="1">
        <v>49764</v>
      </c>
      <c r="C1126" t="s">
        <v>19</v>
      </c>
      <c r="D1126">
        <v>22.2</v>
      </c>
      <c r="E1126">
        <v>0.9</v>
      </c>
      <c r="F1126">
        <f t="shared" si="1169"/>
        <v>0</v>
      </c>
      <c r="G1126">
        <f t="shared" ref="G1126" si="1206">D1123+D1124+D1125+D1126</f>
        <v>96.600000000000009</v>
      </c>
      <c r="H1126">
        <f t="shared" si="1168"/>
        <v>2036</v>
      </c>
      <c r="I1126">
        <v>1</v>
      </c>
      <c r="J1126">
        <f t="shared" si="1171"/>
        <v>17.220299999999856</v>
      </c>
      <c r="K1126">
        <f t="shared" si="1172"/>
        <v>0</v>
      </c>
      <c r="L1126">
        <f t="shared" si="1173"/>
        <v>17.220299999999856</v>
      </c>
    </row>
    <row r="1127" spans="2:12">
      <c r="B1127" s="1">
        <v>49765</v>
      </c>
      <c r="C1127" t="s">
        <v>27</v>
      </c>
      <c r="D1127">
        <v>25.5</v>
      </c>
      <c r="E1127">
        <v>5.8</v>
      </c>
      <c r="F1127">
        <f t="shared" si="1169"/>
        <v>1.4790000000000001</v>
      </c>
      <c r="G1127">
        <f t="shared" ref="G1127" si="1207">D1123+D1124+D1125+D1126+D1127</f>
        <v>122.10000000000001</v>
      </c>
      <c r="H1127">
        <f t="shared" si="1168"/>
        <v>2036</v>
      </c>
      <c r="I1127">
        <v>1</v>
      </c>
      <c r="J1127">
        <f t="shared" si="1171"/>
        <v>18.699299999999855</v>
      </c>
      <c r="K1127">
        <f t="shared" si="1172"/>
        <v>0</v>
      </c>
      <c r="L1127">
        <f t="shared" si="1173"/>
        <v>18.699299999999855</v>
      </c>
    </row>
    <row r="1128" spans="2:12">
      <c r="B1128" s="1">
        <v>49766</v>
      </c>
      <c r="C1128" t="s">
        <v>50</v>
      </c>
      <c r="D1128">
        <v>23.5</v>
      </c>
      <c r="E1128">
        <v>32</v>
      </c>
      <c r="F1128">
        <f t="shared" si="1169"/>
        <v>7.52</v>
      </c>
      <c r="G1128">
        <f t="shared" ref="G1128" si="1208">D1123+D1124+D1125+D1126+D1127+D1128</f>
        <v>145.60000000000002</v>
      </c>
      <c r="H1128">
        <f t="shared" si="1168"/>
        <v>2036</v>
      </c>
      <c r="I1128">
        <v>1</v>
      </c>
      <c r="J1128">
        <f t="shared" si="1171"/>
        <v>26.219299999999855</v>
      </c>
      <c r="K1128">
        <f t="shared" si="1172"/>
        <v>0</v>
      </c>
      <c r="L1128">
        <f t="shared" si="1173"/>
        <v>26.219299999999855</v>
      </c>
    </row>
    <row r="1129" spans="2:12">
      <c r="B1129" s="1">
        <v>49767</v>
      </c>
      <c r="C1129" t="s">
        <v>15</v>
      </c>
      <c r="D1129">
        <v>28.4</v>
      </c>
      <c r="E1129">
        <v>5.7</v>
      </c>
      <c r="F1129">
        <f t="shared" si="1169"/>
        <v>1.6188</v>
      </c>
      <c r="G1129">
        <f t="shared" ref="G1129" si="1209">D1123+D1124+D1125+D1126+D1127+D1128+D1129</f>
        <v>174.00000000000003</v>
      </c>
      <c r="H1129">
        <f t="shared" si="1168"/>
        <v>2036</v>
      </c>
      <c r="I1129">
        <v>1</v>
      </c>
      <c r="J1129">
        <f t="shared" si="1171"/>
        <v>27.838099999999855</v>
      </c>
      <c r="K1129">
        <f t="shared" si="1172"/>
        <v>0</v>
      </c>
      <c r="L1129">
        <f t="shared" si="1173"/>
        <v>27.838099999999855</v>
      </c>
    </row>
    <row r="1130" spans="2:12">
      <c r="B1130" s="1">
        <v>49768</v>
      </c>
      <c r="C1130" t="s">
        <v>43</v>
      </c>
      <c r="D1130">
        <v>13.7</v>
      </c>
      <c r="E1130">
        <v>6</v>
      </c>
      <c r="F1130">
        <f t="shared" si="1169"/>
        <v>0.82199999999999984</v>
      </c>
      <c r="G1130">
        <f t="shared" ref="G1130:G1193" si="1210">D1130</f>
        <v>13.7</v>
      </c>
      <c r="H1130">
        <f t="shared" si="1168"/>
        <v>2036</v>
      </c>
      <c r="I1130">
        <v>1</v>
      </c>
      <c r="J1130">
        <f t="shared" si="1171"/>
        <v>28.660099999999854</v>
      </c>
      <c r="K1130">
        <f t="shared" si="1172"/>
        <v>0</v>
      </c>
      <c r="L1130">
        <f t="shared" si="1173"/>
        <v>28.660099999999854</v>
      </c>
    </row>
    <row r="1131" spans="2:12">
      <c r="B1131" s="1">
        <v>49769</v>
      </c>
      <c r="C1131" t="s">
        <v>21</v>
      </c>
      <c r="D1131">
        <v>22.1</v>
      </c>
      <c r="E1131">
        <v>11.7</v>
      </c>
      <c r="F1131">
        <f t="shared" si="1169"/>
        <v>2.5857000000000001</v>
      </c>
      <c r="G1131">
        <f t="shared" ref="G1131:G1194" si="1211">D1130+D1131</f>
        <v>35.799999999999997</v>
      </c>
      <c r="H1131">
        <f t="shared" si="1168"/>
        <v>2036</v>
      </c>
      <c r="I1131">
        <v>1</v>
      </c>
      <c r="J1131">
        <f t="shared" si="1171"/>
        <v>31.245799999999853</v>
      </c>
      <c r="K1131">
        <f t="shared" si="1172"/>
        <v>0</v>
      </c>
      <c r="L1131">
        <f t="shared" si="1173"/>
        <v>31.245799999999853</v>
      </c>
    </row>
    <row r="1132" spans="2:12">
      <c r="B1132" s="1">
        <v>49770</v>
      </c>
      <c r="C1132" t="s">
        <v>25</v>
      </c>
      <c r="D1132">
        <v>16.899999999999999</v>
      </c>
      <c r="E1132">
        <v>18.2</v>
      </c>
      <c r="F1132">
        <f t="shared" si="1169"/>
        <v>3.0757999999999996</v>
      </c>
      <c r="G1132">
        <f t="shared" ref="G1132" si="1212">D1130+D1131+D1132</f>
        <v>52.699999999999996</v>
      </c>
      <c r="H1132">
        <f t="shared" si="1168"/>
        <v>2036</v>
      </c>
      <c r="I1132">
        <v>1</v>
      </c>
      <c r="J1132">
        <f t="shared" si="1171"/>
        <v>34.321599999999854</v>
      </c>
      <c r="K1132">
        <f t="shared" si="1172"/>
        <v>0</v>
      </c>
      <c r="L1132">
        <f t="shared" si="1173"/>
        <v>34.321599999999854</v>
      </c>
    </row>
    <row r="1133" spans="2:12">
      <c r="B1133" s="1">
        <v>49771</v>
      </c>
      <c r="C1133" t="s">
        <v>43</v>
      </c>
      <c r="D1133">
        <v>28</v>
      </c>
      <c r="E1133">
        <v>0</v>
      </c>
      <c r="F1133">
        <f t="shared" si="1169"/>
        <v>0</v>
      </c>
      <c r="G1133">
        <f t="shared" ref="G1133" si="1213">D1130+D1131+D1132+D1133</f>
        <v>80.699999999999989</v>
      </c>
      <c r="H1133">
        <f t="shared" si="1168"/>
        <v>2036</v>
      </c>
      <c r="I1133">
        <v>1</v>
      </c>
      <c r="J1133">
        <f t="shared" si="1171"/>
        <v>34.321599999999854</v>
      </c>
      <c r="K1133">
        <f t="shared" si="1172"/>
        <v>0</v>
      </c>
      <c r="L1133">
        <f t="shared" si="1173"/>
        <v>34.321599999999854</v>
      </c>
    </row>
    <row r="1134" spans="2:12">
      <c r="B1134" s="1">
        <v>49772</v>
      </c>
      <c r="C1134" t="s">
        <v>24</v>
      </c>
      <c r="D1134">
        <v>13.5</v>
      </c>
      <c r="E1134">
        <v>3.7</v>
      </c>
      <c r="F1134">
        <f t="shared" si="1169"/>
        <v>0.49950000000000006</v>
      </c>
      <c r="G1134">
        <f t="shared" ref="G1134" si="1214">D1130+D1131+D1132+D1133+D1134</f>
        <v>94.199999999999989</v>
      </c>
      <c r="H1134">
        <f t="shared" si="1168"/>
        <v>2036</v>
      </c>
      <c r="I1134">
        <v>1</v>
      </c>
      <c r="J1134">
        <f t="shared" si="1171"/>
        <v>34.821099999999852</v>
      </c>
      <c r="K1134">
        <f t="shared" si="1172"/>
        <v>0</v>
      </c>
      <c r="L1134">
        <f t="shared" si="1173"/>
        <v>34.821099999999852</v>
      </c>
    </row>
    <row r="1135" spans="2:12">
      <c r="B1135" s="1">
        <v>49773</v>
      </c>
      <c r="C1135" t="s">
        <v>50</v>
      </c>
      <c r="D1135">
        <v>13.4</v>
      </c>
      <c r="E1135">
        <v>22.5</v>
      </c>
      <c r="F1135">
        <f t="shared" si="1169"/>
        <v>3.0150000000000001</v>
      </c>
      <c r="G1135">
        <f t="shared" ref="G1135" si="1215">D1130+D1131+D1132+D1133+D1134+D1135</f>
        <v>107.6</v>
      </c>
      <c r="H1135">
        <f t="shared" si="1168"/>
        <v>2036</v>
      </c>
      <c r="I1135">
        <v>1</v>
      </c>
      <c r="J1135">
        <f t="shared" si="1171"/>
        <v>37.836099999999853</v>
      </c>
      <c r="K1135">
        <f t="shared" si="1172"/>
        <v>0</v>
      </c>
      <c r="L1135">
        <f t="shared" si="1173"/>
        <v>37.836099999999853</v>
      </c>
    </row>
    <row r="1136" spans="2:12">
      <c r="B1136" s="1">
        <v>49774</v>
      </c>
      <c r="C1136" t="s">
        <v>17</v>
      </c>
      <c r="D1136">
        <v>19.899999999999999</v>
      </c>
      <c r="E1136">
        <v>11.6</v>
      </c>
      <c r="F1136">
        <f t="shared" si="1169"/>
        <v>2.3083999999999998</v>
      </c>
      <c r="G1136">
        <f t="shared" ref="G1136" si="1216">D1130+D1131+D1132+D1133+D1134+D1135+D1136</f>
        <v>127.5</v>
      </c>
      <c r="H1136">
        <f t="shared" si="1168"/>
        <v>2036</v>
      </c>
      <c r="I1136">
        <v>1</v>
      </c>
      <c r="J1136">
        <f t="shared" si="1171"/>
        <v>40.144499999999852</v>
      </c>
      <c r="K1136">
        <f t="shared" si="1172"/>
        <v>0</v>
      </c>
      <c r="L1136">
        <f t="shared" si="1173"/>
        <v>40.144499999999852</v>
      </c>
    </row>
    <row r="1137" spans="2:12">
      <c r="B1137" s="1">
        <v>49775</v>
      </c>
      <c r="C1137" t="s">
        <v>18</v>
      </c>
      <c r="D1137">
        <v>24.2</v>
      </c>
      <c r="E1137">
        <v>11</v>
      </c>
      <c r="F1137">
        <f t="shared" si="1169"/>
        <v>2.6619999999999999</v>
      </c>
      <c r="G1137">
        <f t="shared" ref="G1137:G1200" si="1217">D1137</f>
        <v>24.2</v>
      </c>
      <c r="H1137">
        <f t="shared" si="1168"/>
        <v>2036</v>
      </c>
      <c r="I1137">
        <v>1</v>
      </c>
      <c r="J1137">
        <f t="shared" si="1171"/>
        <v>42.806499999999851</v>
      </c>
      <c r="K1137">
        <f t="shared" si="1172"/>
        <v>0</v>
      </c>
      <c r="L1137">
        <f t="shared" si="1173"/>
        <v>42.806499999999851</v>
      </c>
    </row>
    <row r="1138" spans="2:12">
      <c r="B1138" s="1">
        <v>49776</v>
      </c>
      <c r="C1138" t="s">
        <v>38</v>
      </c>
      <c r="D1138">
        <v>20.399999999999999</v>
      </c>
      <c r="E1138">
        <v>0</v>
      </c>
      <c r="F1138">
        <f t="shared" si="1169"/>
        <v>0</v>
      </c>
      <c r="G1138">
        <f t="shared" ref="G1138:G1201" si="1218">D1137+D1138</f>
        <v>44.599999999999994</v>
      </c>
      <c r="H1138">
        <f t="shared" si="1168"/>
        <v>2036</v>
      </c>
      <c r="I1138">
        <v>1</v>
      </c>
      <c r="J1138">
        <f t="shared" si="1171"/>
        <v>42.806499999999851</v>
      </c>
      <c r="K1138">
        <f t="shared" si="1172"/>
        <v>0</v>
      </c>
      <c r="L1138">
        <f t="shared" si="1173"/>
        <v>42.806499999999851</v>
      </c>
    </row>
    <row r="1139" spans="2:12">
      <c r="B1139" s="1">
        <v>49777</v>
      </c>
      <c r="C1139" t="s">
        <v>38</v>
      </c>
      <c r="D1139">
        <v>16.600000000000001</v>
      </c>
      <c r="E1139">
        <v>3.9</v>
      </c>
      <c r="F1139">
        <f t="shared" si="1169"/>
        <v>0.64740000000000009</v>
      </c>
      <c r="G1139">
        <f t="shared" ref="G1139" si="1219">D1137+D1138+D1139</f>
        <v>61.199999999999996</v>
      </c>
      <c r="H1139">
        <f t="shared" si="1168"/>
        <v>2036</v>
      </c>
      <c r="I1139">
        <v>1</v>
      </c>
      <c r="J1139">
        <f t="shared" si="1171"/>
        <v>43.453899999999848</v>
      </c>
      <c r="K1139">
        <f t="shared" si="1172"/>
        <v>0</v>
      </c>
      <c r="L1139">
        <f t="shared" si="1173"/>
        <v>43.453899999999848</v>
      </c>
    </row>
    <row r="1140" spans="2:12">
      <c r="B1140" s="1">
        <v>49778</v>
      </c>
      <c r="C1140" t="s">
        <v>48</v>
      </c>
      <c r="D1140">
        <v>14.3</v>
      </c>
      <c r="E1140">
        <v>0</v>
      </c>
      <c r="F1140">
        <f t="shared" si="1169"/>
        <v>0</v>
      </c>
      <c r="G1140">
        <f t="shared" ref="G1140" si="1220">D1137+D1138+D1139+D1140</f>
        <v>75.5</v>
      </c>
      <c r="H1140">
        <f t="shared" si="1168"/>
        <v>2036</v>
      </c>
      <c r="I1140">
        <v>1</v>
      </c>
      <c r="J1140">
        <f t="shared" si="1171"/>
        <v>43.453899999999848</v>
      </c>
      <c r="K1140">
        <f t="shared" si="1172"/>
        <v>0</v>
      </c>
      <c r="L1140">
        <f t="shared" si="1173"/>
        <v>43.453899999999848</v>
      </c>
    </row>
    <row r="1141" spans="2:12">
      <c r="B1141" s="1">
        <v>49779</v>
      </c>
      <c r="C1141" t="s">
        <v>36</v>
      </c>
      <c r="D1141">
        <v>24.4</v>
      </c>
      <c r="E1141">
        <v>4.4000000000000004</v>
      </c>
      <c r="F1141">
        <f t="shared" si="1169"/>
        <v>1.0735999999999999</v>
      </c>
      <c r="G1141">
        <f t="shared" ref="G1141" si="1221">D1137+D1138+D1139+D1140+D1141</f>
        <v>99.9</v>
      </c>
      <c r="H1141">
        <f t="shared" si="1168"/>
        <v>2036</v>
      </c>
      <c r="I1141">
        <v>1</v>
      </c>
      <c r="J1141">
        <f t="shared" si="1171"/>
        <v>44.527499999999847</v>
      </c>
      <c r="K1141">
        <f t="shared" si="1172"/>
        <v>0</v>
      </c>
      <c r="L1141">
        <f t="shared" si="1173"/>
        <v>44.527499999999847</v>
      </c>
    </row>
    <row r="1142" spans="2:12">
      <c r="B1142" s="1">
        <v>49780</v>
      </c>
      <c r="C1142" t="s">
        <v>24</v>
      </c>
      <c r="D1142">
        <v>26.7</v>
      </c>
      <c r="E1142">
        <v>30.4</v>
      </c>
      <c r="F1142">
        <f t="shared" si="1169"/>
        <v>8.1167999999999996</v>
      </c>
      <c r="G1142">
        <f t="shared" ref="G1142" si="1222">D1137+D1138+D1139+D1140+D1141+D1142</f>
        <v>126.60000000000001</v>
      </c>
      <c r="H1142">
        <f t="shared" si="1168"/>
        <v>2036</v>
      </c>
      <c r="I1142">
        <v>1</v>
      </c>
      <c r="J1142">
        <f t="shared" si="1171"/>
        <v>52.644299999999845</v>
      </c>
      <c r="K1142">
        <f t="shared" si="1172"/>
        <v>0</v>
      </c>
      <c r="L1142">
        <f t="shared" si="1173"/>
        <v>52.644299999999845</v>
      </c>
    </row>
    <row r="1143" spans="2:12">
      <c r="B1143" s="1">
        <v>49781</v>
      </c>
      <c r="C1143" t="s">
        <v>27</v>
      </c>
      <c r="D1143">
        <v>20.100000000000001</v>
      </c>
      <c r="E1143">
        <v>3.1</v>
      </c>
      <c r="F1143">
        <f t="shared" si="1169"/>
        <v>0.6231000000000001</v>
      </c>
      <c r="G1143">
        <f t="shared" ref="G1143" si="1223">D1137+D1138+D1139+D1140+D1141+D1142+D1143</f>
        <v>146.70000000000002</v>
      </c>
      <c r="H1143">
        <f t="shared" si="1168"/>
        <v>2036</v>
      </c>
      <c r="I1143">
        <v>1</v>
      </c>
      <c r="J1143">
        <f t="shared" si="1171"/>
        <v>53.267399999999846</v>
      </c>
      <c r="K1143">
        <f t="shared" si="1172"/>
        <v>0</v>
      </c>
      <c r="L1143">
        <f t="shared" si="1173"/>
        <v>53.267399999999846</v>
      </c>
    </row>
    <row r="1144" spans="2:12">
      <c r="B1144" s="1">
        <v>49782</v>
      </c>
      <c r="C1144" t="s">
        <v>17</v>
      </c>
      <c r="D1144">
        <v>13.5</v>
      </c>
      <c r="E1144">
        <v>6.9</v>
      </c>
      <c r="F1144">
        <f t="shared" si="1169"/>
        <v>0.93150000000000011</v>
      </c>
      <c r="G1144">
        <f t="shared" ref="G1144:G1207" si="1224">D1144</f>
        <v>13.5</v>
      </c>
      <c r="H1144">
        <f t="shared" si="1168"/>
        <v>2036</v>
      </c>
      <c r="I1144">
        <v>1</v>
      </c>
      <c r="J1144">
        <f t="shared" si="1171"/>
        <v>54.198899999999846</v>
      </c>
      <c r="K1144">
        <f t="shared" si="1172"/>
        <v>0</v>
      </c>
      <c r="L1144">
        <f t="shared" si="1173"/>
        <v>54.198899999999846</v>
      </c>
    </row>
    <row r="1145" spans="2:12">
      <c r="B1145" s="1">
        <v>49783</v>
      </c>
      <c r="C1145" t="s">
        <v>18</v>
      </c>
      <c r="D1145">
        <v>18.8</v>
      </c>
      <c r="E1145">
        <v>21.5</v>
      </c>
      <c r="F1145">
        <f t="shared" si="1169"/>
        <v>4.0419999999999998</v>
      </c>
      <c r="G1145">
        <f t="shared" ref="G1145:G1208" si="1225">D1144+D1145</f>
        <v>32.299999999999997</v>
      </c>
      <c r="H1145">
        <f t="shared" si="1168"/>
        <v>2036</v>
      </c>
      <c r="I1145">
        <v>1</v>
      </c>
      <c r="J1145">
        <f t="shared" si="1171"/>
        <v>58.240899999999847</v>
      </c>
      <c r="K1145">
        <f t="shared" si="1172"/>
        <v>0</v>
      </c>
      <c r="L1145">
        <f t="shared" si="1173"/>
        <v>58.240899999999847</v>
      </c>
    </row>
    <row r="1146" spans="2:12">
      <c r="B1146" s="1">
        <v>49784</v>
      </c>
      <c r="C1146" t="s">
        <v>50</v>
      </c>
      <c r="D1146">
        <v>18</v>
      </c>
      <c r="E1146">
        <v>13.9</v>
      </c>
      <c r="F1146">
        <f t="shared" si="1169"/>
        <v>2.5020000000000002</v>
      </c>
      <c r="G1146">
        <f t="shared" ref="G1146" si="1226">D1144+D1145+D1146</f>
        <v>50.3</v>
      </c>
      <c r="H1146">
        <f t="shared" si="1168"/>
        <v>2036</v>
      </c>
      <c r="I1146">
        <v>1</v>
      </c>
      <c r="J1146">
        <f t="shared" si="1171"/>
        <v>60.74289999999985</v>
      </c>
      <c r="K1146">
        <f t="shared" si="1172"/>
        <v>0</v>
      </c>
      <c r="L1146">
        <f t="shared" si="1173"/>
        <v>60.74289999999985</v>
      </c>
    </row>
    <row r="1147" spans="2:12">
      <c r="B1147" s="1">
        <v>49785</v>
      </c>
      <c r="C1147" t="s">
        <v>38</v>
      </c>
      <c r="D1147">
        <v>16.899999999999999</v>
      </c>
      <c r="E1147">
        <v>1.8</v>
      </c>
      <c r="F1147">
        <f t="shared" si="1169"/>
        <v>0.30419999999999997</v>
      </c>
      <c r="G1147">
        <f t="shared" ref="G1147" si="1227">D1144+D1145+D1146+D1147</f>
        <v>67.199999999999989</v>
      </c>
      <c r="H1147">
        <f t="shared" si="1168"/>
        <v>2036</v>
      </c>
      <c r="I1147">
        <v>1</v>
      </c>
      <c r="J1147">
        <f t="shared" si="1171"/>
        <v>61.047099999999851</v>
      </c>
      <c r="K1147">
        <f t="shared" si="1172"/>
        <v>0</v>
      </c>
      <c r="L1147">
        <f t="shared" si="1173"/>
        <v>61.047099999999851</v>
      </c>
    </row>
    <row r="1148" spans="2:12">
      <c r="B1148" s="1">
        <v>49786</v>
      </c>
      <c r="C1148" t="s">
        <v>17</v>
      </c>
      <c r="D1148">
        <v>23.7</v>
      </c>
      <c r="E1148">
        <v>13</v>
      </c>
      <c r="F1148">
        <f t="shared" si="1169"/>
        <v>3.0809999999999995</v>
      </c>
      <c r="G1148">
        <f t="shared" ref="G1148" si="1228">D1144+D1145+D1146+D1147+D1148</f>
        <v>90.899999999999991</v>
      </c>
      <c r="H1148">
        <f t="shared" si="1168"/>
        <v>2036</v>
      </c>
      <c r="I1148">
        <v>1</v>
      </c>
      <c r="J1148">
        <f t="shared" si="1171"/>
        <v>64.128099999999847</v>
      </c>
      <c r="K1148">
        <f t="shared" si="1172"/>
        <v>0</v>
      </c>
      <c r="L1148">
        <f t="shared" si="1173"/>
        <v>64.128099999999847</v>
      </c>
    </row>
    <row r="1149" spans="2:12">
      <c r="B1149" s="1">
        <v>49787</v>
      </c>
      <c r="C1149" t="s">
        <v>45</v>
      </c>
      <c r="D1149">
        <v>17.600000000000001</v>
      </c>
      <c r="E1149">
        <v>0.6</v>
      </c>
      <c r="F1149">
        <f t="shared" si="1169"/>
        <v>0</v>
      </c>
      <c r="G1149">
        <f t="shared" ref="G1149" si="1229">D1144+D1145+D1146+D1147+D1148+D1149</f>
        <v>108.5</v>
      </c>
      <c r="H1149">
        <f t="shared" si="1168"/>
        <v>2036</v>
      </c>
      <c r="I1149">
        <v>1</v>
      </c>
      <c r="J1149">
        <f t="shared" si="1171"/>
        <v>64.128099999999847</v>
      </c>
      <c r="K1149">
        <f t="shared" si="1172"/>
        <v>0</v>
      </c>
      <c r="L1149">
        <f t="shared" si="1173"/>
        <v>64.128099999999847</v>
      </c>
    </row>
    <row r="1150" spans="2:12">
      <c r="B1150" s="1">
        <v>49788</v>
      </c>
      <c r="C1150" t="s">
        <v>18</v>
      </c>
      <c r="D1150">
        <v>29.1</v>
      </c>
      <c r="E1150">
        <v>8.3000000000000007</v>
      </c>
      <c r="F1150">
        <f t="shared" si="1169"/>
        <v>2.4153000000000002</v>
      </c>
      <c r="G1150">
        <f t="shared" ref="G1150" si="1230">D1144+D1145+D1146+D1147+D1148+D1149+D1150</f>
        <v>137.6</v>
      </c>
      <c r="H1150">
        <f t="shared" si="1168"/>
        <v>2036</v>
      </c>
      <c r="I1150">
        <v>1</v>
      </c>
      <c r="J1150">
        <f t="shared" si="1171"/>
        <v>66.543399999999849</v>
      </c>
      <c r="K1150">
        <f t="shared" si="1172"/>
        <v>0</v>
      </c>
      <c r="L1150">
        <f t="shared" si="1173"/>
        <v>66.543399999999849</v>
      </c>
    </row>
    <row r="1151" spans="2:12">
      <c r="B1151" s="1">
        <v>49789</v>
      </c>
      <c r="C1151" t="s">
        <v>21</v>
      </c>
      <c r="D1151">
        <v>26.8</v>
      </c>
      <c r="E1151">
        <v>11.2</v>
      </c>
      <c r="F1151">
        <f t="shared" si="1169"/>
        <v>3.0015999999999998</v>
      </c>
      <c r="G1151">
        <f t="shared" ref="G1151:G1214" si="1231">D1151</f>
        <v>26.8</v>
      </c>
      <c r="H1151">
        <f t="shared" si="1168"/>
        <v>2036</v>
      </c>
      <c r="I1151">
        <v>1</v>
      </c>
      <c r="J1151">
        <f t="shared" si="1171"/>
        <v>69.544999999999845</v>
      </c>
      <c r="K1151">
        <f t="shared" si="1172"/>
        <v>0</v>
      </c>
      <c r="L1151">
        <f t="shared" si="1173"/>
        <v>69.544999999999845</v>
      </c>
    </row>
    <row r="1152" spans="2:12">
      <c r="B1152" s="1">
        <v>49790</v>
      </c>
      <c r="C1152" t="s">
        <v>47</v>
      </c>
      <c r="D1152">
        <v>10.5</v>
      </c>
      <c r="E1152">
        <v>0</v>
      </c>
      <c r="F1152">
        <f t="shared" si="1169"/>
        <v>0</v>
      </c>
      <c r="G1152">
        <f t="shared" ref="G1152:G1215" si="1232">D1151+D1152</f>
        <v>37.299999999999997</v>
      </c>
      <c r="H1152">
        <f t="shared" si="1168"/>
        <v>2036</v>
      </c>
      <c r="I1152">
        <v>1</v>
      </c>
      <c r="J1152">
        <f t="shared" si="1171"/>
        <v>69.544999999999845</v>
      </c>
      <c r="K1152">
        <f t="shared" si="1172"/>
        <v>0</v>
      </c>
      <c r="L1152">
        <f t="shared" si="1173"/>
        <v>69.544999999999845</v>
      </c>
    </row>
    <row r="1153" spans="2:12">
      <c r="B1153" s="1">
        <v>49791</v>
      </c>
      <c r="C1153" t="s">
        <v>25</v>
      </c>
      <c r="D1153">
        <v>13.5</v>
      </c>
      <c r="E1153">
        <v>0</v>
      </c>
      <c r="F1153">
        <f t="shared" si="1169"/>
        <v>0</v>
      </c>
      <c r="G1153">
        <f t="shared" ref="G1153" si="1233">D1151+D1152+D1153</f>
        <v>50.8</v>
      </c>
      <c r="H1153">
        <f t="shared" si="1168"/>
        <v>2036</v>
      </c>
      <c r="I1153">
        <v>1</v>
      </c>
      <c r="J1153">
        <f t="shared" si="1171"/>
        <v>69.544999999999845</v>
      </c>
      <c r="K1153">
        <f t="shared" si="1172"/>
        <v>0</v>
      </c>
      <c r="L1153">
        <f t="shared" si="1173"/>
        <v>69.544999999999845</v>
      </c>
    </row>
    <row r="1154" spans="2:12">
      <c r="B1154" s="1">
        <v>49792</v>
      </c>
      <c r="C1154" t="s">
        <v>24</v>
      </c>
      <c r="D1154">
        <v>14</v>
      </c>
      <c r="E1154">
        <v>22</v>
      </c>
      <c r="F1154">
        <f t="shared" si="1169"/>
        <v>3.08</v>
      </c>
      <c r="G1154">
        <f t="shared" ref="G1154" si="1234">D1151+D1152+D1153+D1154</f>
        <v>64.8</v>
      </c>
      <c r="H1154">
        <f t="shared" si="1168"/>
        <v>2036</v>
      </c>
      <c r="I1154">
        <v>1</v>
      </c>
      <c r="J1154">
        <f t="shared" si="1171"/>
        <v>72.624999999999844</v>
      </c>
      <c r="K1154">
        <f t="shared" si="1172"/>
        <v>0</v>
      </c>
      <c r="L1154">
        <f t="shared" si="1173"/>
        <v>72.624999999999844</v>
      </c>
    </row>
    <row r="1155" spans="2:12">
      <c r="B1155" s="1">
        <v>49793</v>
      </c>
      <c r="C1155" t="s">
        <v>25</v>
      </c>
      <c r="D1155">
        <v>26.7</v>
      </c>
      <c r="E1155">
        <v>8</v>
      </c>
      <c r="F1155">
        <f t="shared" si="1169"/>
        <v>2.1360000000000001</v>
      </c>
      <c r="G1155">
        <f t="shared" ref="G1155" si="1235">D1151+D1152+D1153+D1154+D1155</f>
        <v>91.5</v>
      </c>
      <c r="H1155">
        <f t="shared" si="1168"/>
        <v>2036</v>
      </c>
      <c r="I1155">
        <v>1</v>
      </c>
      <c r="J1155">
        <f t="shared" si="1171"/>
        <v>74.760999999999839</v>
      </c>
      <c r="K1155">
        <f t="shared" si="1172"/>
        <v>0</v>
      </c>
      <c r="L1155">
        <f t="shared" si="1173"/>
        <v>74.760999999999839</v>
      </c>
    </row>
    <row r="1156" spans="2:12">
      <c r="B1156" s="1">
        <v>49794</v>
      </c>
      <c r="C1156" t="s">
        <v>36</v>
      </c>
      <c r="D1156">
        <v>11.2</v>
      </c>
      <c r="E1156">
        <v>6.1</v>
      </c>
      <c r="F1156">
        <f t="shared" si="1169"/>
        <v>0.68319999999999992</v>
      </c>
      <c r="G1156">
        <f t="shared" ref="G1156" si="1236">D1151+D1152+D1153+D1154+D1155+D1156</f>
        <v>102.7</v>
      </c>
      <c r="H1156">
        <f t="shared" ref="H1156:H1219" si="1237">YEAR(B1156)</f>
        <v>2036</v>
      </c>
      <c r="I1156">
        <v>1</v>
      </c>
      <c r="J1156">
        <f t="shared" si="1171"/>
        <v>75.444199999999839</v>
      </c>
      <c r="K1156">
        <f t="shared" si="1172"/>
        <v>0</v>
      </c>
      <c r="L1156">
        <f t="shared" si="1173"/>
        <v>75.444199999999839</v>
      </c>
    </row>
    <row r="1157" spans="2:12">
      <c r="B1157" s="1">
        <v>49795</v>
      </c>
      <c r="C1157" t="s">
        <v>38</v>
      </c>
      <c r="D1157">
        <v>24.7</v>
      </c>
      <c r="E1157">
        <v>0</v>
      </c>
      <c r="F1157">
        <f t="shared" ref="F1157:F1220" si="1238">IF(E1157&gt;=1,D1157*E1157/100,0)</f>
        <v>0</v>
      </c>
      <c r="G1157">
        <f t="shared" ref="G1157" si="1239">D1151+D1152+D1153+D1154+D1155+D1156+D1157</f>
        <v>127.4</v>
      </c>
      <c r="H1157">
        <f t="shared" si="1237"/>
        <v>2036</v>
      </c>
      <c r="I1157">
        <v>1</v>
      </c>
      <c r="J1157">
        <f t="shared" ref="J1157:J1220" si="1240">L1156+F1157</f>
        <v>75.444199999999839</v>
      </c>
      <c r="K1157">
        <f t="shared" ref="K1157:K1220" si="1241">IF(J1157&gt;=100,1,0)</f>
        <v>0</v>
      </c>
      <c r="L1157">
        <f t="shared" ref="L1157:L1220" si="1242">IF(K1157=1,J1157-100,J1157)</f>
        <v>75.444199999999839</v>
      </c>
    </row>
    <row r="1158" spans="2:12">
      <c r="B1158" s="1">
        <v>49796</v>
      </c>
      <c r="C1158" t="s">
        <v>44</v>
      </c>
      <c r="D1158">
        <v>27.2</v>
      </c>
      <c r="E1158">
        <v>0.3</v>
      </c>
      <c r="F1158">
        <f t="shared" si="1238"/>
        <v>0</v>
      </c>
      <c r="G1158">
        <f t="shared" ref="G1158:G1221" si="1243">D1158</f>
        <v>27.2</v>
      </c>
      <c r="H1158">
        <f t="shared" si="1237"/>
        <v>2036</v>
      </c>
      <c r="I1158">
        <v>1</v>
      </c>
      <c r="J1158">
        <f t="shared" si="1240"/>
        <v>75.444199999999839</v>
      </c>
      <c r="K1158">
        <f t="shared" si="1241"/>
        <v>0</v>
      </c>
      <c r="L1158">
        <f t="shared" si="1242"/>
        <v>75.444199999999839</v>
      </c>
    </row>
    <row r="1159" spans="2:12">
      <c r="B1159" s="1">
        <v>49797</v>
      </c>
      <c r="C1159" t="s">
        <v>39</v>
      </c>
      <c r="D1159">
        <v>11</v>
      </c>
      <c r="E1159">
        <v>0</v>
      </c>
      <c r="F1159">
        <f t="shared" si="1238"/>
        <v>0</v>
      </c>
      <c r="G1159">
        <f t="shared" ref="G1159:G1222" si="1244">D1158+D1159</f>
        <v>38.200000000000003</v>
      </c>
      <c r="H1159">
        <f t="shared" si="1237"/>
        <v>2036</v>
      </c>
      <c r="I1159">
        <v>1</v>
      </c>
      <c r="J1159">
        <f t="shared" si="1240"/>
        <v>75.444199999999839</v>
      </c>
      <c r="K1159">
        <f t="shared" si="1241"/>
        <v>0</v>
      </c>
      <c r="L1159">
        <f t="shared" si="1242"/>
        <v>75.444199999999839</v>
      </c>
    </row>
    <row r="1160" spans="2:12">
      <c r="B1160" s="1">
        <v>49798</v>
      </c>
      <c r="C1160" t="s">
        <v>26</v>
      </c>
      <c r="D1160">
        <v>10.9</v>
      </c>
      <c r="E1160">
        <v>4.4000000000000004</v>
      </c>
      <c r="F1160">
        <f t="shared" si="1238"/>
        <v>0.47960000000000008</v>
      </c>
      <c r="G1160">
        <f t="shared" ref="G1160" si="1245">D1158+D1159+D1160</f>
        <v>49.1</v>
      </c>
      <c r="H1160">
        <f t="shared" si="1237"/>
        <v>2036</v>
      </c>
      <c r="I1160">
        <v>1</v>
      </c>
      <c r="J1160">
        <f t="shared" si="1240"/>
        <v>75.923799999999844</v>
      </c>
      <c r="K1160">
        <f t="shared" si="1241"/>
        <v>0</v>
      </c>
      <c r="L1160">
        <f t="shared" si="1242"/>
        <v>75.923799999999844</v>
      </c>
    </row>
    <row r="1161" spans="2:12">
      <c r="B1161" s="1">
        <v>49799</v>
      </c>
      <c r="C1161" t="s">
        <v>18</v>
      </c>
      <c r="D1161">
        <v>27.4</v>
      </c>
      <c r="E1161">
        <v>6</v>
      </c>
      <c r="F1161">
        <f t="shared" si="1238"/>
        <v>1.6439999999999997</v>
      </c>
      <c r="G1161">
        <f t="shared" ref="G1161" si="1246">D1158+D1159+D1160+D1161</f>
        <v>76.5</v>
      </c>
      <c r="H1161">
        <f t="shared" si="1237"/>
        <v>2036</v>
      </c>
      <c r="I1161">
        <v>1</v>
      </c>
      <c r="J1161">
        <f t="shared" si="1240"/>
        <v>77.567799999999849</v>
      </c>
      <c r="K1161">
        <f t="shared" si="1241"/>
        <v>0</v>
      </c>
      <c r="L1161">
        <f t="shared" si="1242"/>
        <v>77.567799999999849</v>
      </c>
    </row>
    <row r="1162" spans="2:12">
      <c r="B1162" s="1">
        <v>49800</v>
      </c>
      <c r="C1162" t="s">
        <v>17</v>
      </c>
      <c r="D1162">
        <v>20</v>
      </c>
      <c r="E1162">
        <v>7.6</v>
      </c>
      <c r="F1162">
        <f t="shared" si="1238"/>
        <v>1.52</v>
      </c>
      <c r="G1162">
        <f t="shared" ref="G1162" si="1247">D1158+D1159+D1160+D1161+D1162</f>
        <v>96.5</v>
      </c>
      <c r="H1162">
        <f t="shared" si="1237"/>
        <v>2036</v>
      </c>
      <c r="I1162">
        <v>1</v>
      </c>
      <c r="J1162">
        <f t="shared" si="1240"/>
        <v>79.087799999999845</v>
      </c>
      <c r="K1162">
        <f t="shared" si="1241"/>
        <v>0</v>
      </c>
      <c r="L1162">
        <f t="shared" si="1242"/>
        <v>79.087799999999845</v>
      </c>
    </row>
    <row r="1163" spans="2:12">
      <c r="B1163" s="1">
        <v>49801</v>
      </c>
      <c r="C1163" t="s">
        <v>47</v>
      </c>
      <c r="D1163">
        <v>23.5</v>
      </c>
      <c r="E1163">
        <v>2.5</v>
      </c>
      <c r="F1163">
        <f t="shared" si="1238"/>
        <v>0.58750000000000002</v>
      </c>
      <c r="G1163">
        <f t="shared" ref="G1163" si="1248">D1158+D1159+D1160+D1161+D1162+D1163</f>
        <v>120</v>
      </c>
      <c r="H1163">
        <f t="shared" si="1237"/>
        <v>2036</v>
      </c>
      <c r="I1163">
        <v>1</v>
      </c>
      <c r="J1163">
        <f t="shared" si="1240"/>
        <v>79.675299999999851</v>
      </c>
      <c r="K1163">
        <f t="shared" si="1241"/>
        <v>0</v>
      </c>
      <c r="L1163">
        <f t="shared" si="1242"/>
        <v>79.675299999999851</v>
      </c>
    </row>
    <row r="1164" spans="2:12">
      <c r="B1164" s="1">
        <v>49802</v>
      </c>
      <c r="C1164" t="s">
        <v>25</v>
      </c>
      <c r="D1164">
        <v>28.5</v>
      </c>
      <c r="E1164">
        <v>0</v>
      </c>
      <c r="F1164">
        <f t="shared" si="1238"/>
        <v>0</v>
      </c>
      <c r="G1164">
        <f t="shared" ref="G1164" si="1249">D1158+D1159+D1160+D1161+D1162+D1163+D1164</f>
        <v>148.5</v>
      </c>
      <c r="H1164">
        <f t="shared" si="1237"/>
        <v>2036</v>
      </c>
      <c r="I1164">
        <v>1</v>
      </c>
      <c r="J1164">
        <f t="shared" si="1240"/>
        <v>79.675299999999851</v>
      </c>
      <c r="K1164">
        <f t="shared" si="1241"/>
        <v>0</v>
      </c>
      <c r="L1164">
        <f t="shared" si="1242"/>
        <v>79.675299999999851</v>
      </c>
    </row>
    <row r="1165" spans="2:12">
      <c r="B1165" s="1">
        <v>49803</v>
      </c>
      <c r="C1165" t="s">
        <v>38</v>
      </c>
      <c r="D1165">
        <v>10.8</v>
      </c>
      <c r="E1165">
        <v>5.8</v>
      </c>
      <c r="F1165">
        <f t="shared" si="1238"/>
        <v>0.62639999999999996</v>
      </c>
      <c r="G1165">
        <f t="shared" ref="G1165:G1228" si="1250">D1165</f>
        <v>10.8</v>
      </c>
      <c r="H1165">
        <f t="shared" si="1237"/>
        <v>2036</v>
      </c>
      <c r="I1165">
        <v>1</v>
      </c>
      <c r="J1165">
        <f t="shared" si="1240"/>
        <v>80.301699999999855</v>
      </c>
      <c r="K1165">
        <f t="shared" si="1241"/>
        <v>0</v>
      </c>
      <c r="L1165">
        <f t="shared" si="1242"/>
        <v>80.301699999999855</v>
      </c>
    </row>
    <row r="1166" spans="2:12">
      <c r="B1166" s="1">
        <v>49804</v>
      </c>
      <c r="C1166" t="s">
        <v>32</v>
      </c>
      <c r="D1166">
        <v>18.899999999999999</v>
      </c>
      <c r="E1166">
        <v>9.5</v>
      </c>
      <c r="F1166">
        <f t="shared" si="1238"/>
        <v>1.7954999999999999</v>
      </c>
      <c r="G1166">
        <f t="shared" ref="G1166:G1229" si="1251">D1165+D1166</f>
        <v>29.7</v>
      </c>
      <c r="H1166">
        <f t="shared" si="1237"/>
        <v>2036</v>
      </c>
      <c r="I1166">
        <v>1</v>
      </c>
      <c r="J1166">
        <f t="shared" si="1240"/>
        <v>82.097199999999859</v>
      </c>
      <c r="K1166">
        <f t="shared" si="1241"/>
        <v>0</v>
      </c>
      <c r="L1166">
        <f t="shared" si="1242"/>
        <v>82.097199999999859</v>
      </c>
    </row>
    <row r="1167" spans="2:12">
      <c r="B1167" s="1">
        <v>49805</v>
      </c>
      <c r="C1167" t="s">
        <v>27</v>
      </c>
      <c r="D1167">
        <v>24</v>
      </c>
      <c r="E1167">
        <v>4</v>
      </c>
      <c r="F1167">
        <f t="shared" si="1238"/>
        <v>0.96</v>
      </c>
      <c r="G1167">
        <f t="shared" ref="G1167" si="1252">D1165+D1166+D1167</f>
        <v>53.7</v>
      </c>
      <c r="H1167">
        <f t="shared" si="1237"/>
        <v>2036</v>
      </c>
      <c r="I1167">
        <v>1</v>
      </c>
      <c r="J1167">
        <f t="shared" si="1240"/>
        <v>83.057199999999852</v>
      </c>
      <c r="K1167">
        <f t="shared" si="1241"/>
        <v>0</v>
      </c>
      <c r="L1167">
        <f t="shared" si="1242"/>
        <v>83.057199999999852</v>
      </c>
    </row>
    <row r="1168" spans="2:12">
      <c r="B1168" s="1">
        <v>49806</v>
      </c>
      <c r="C1168" t="s">
        <v>26</v>
      </c>
      <c r="D1168">
        <v>12.7</v>
      </c>
      <c r="E1168">
        <v>3</v>
      </c>
      <c r="F1168">
        <f t="shared" si="1238"/>
        <v>0.38099999999999995</v>
      </c>
      <c r="G1168">
        <f t="shared" ref="G1168" si="1253">D1165+D1166+D1167+D1168</f>
        <v>66.400000000000006</v>
      </c>
      <c r="H1168">
        <f t="shared" si="1237"/>
        <v>2036</v>
      </c>
      <c r="I1168">
        <v>1</v>
      </c>
      <c r="J1168">
        <f t="shared" si="1240"/>
        <v>83.438199999999853</v>
      </c>
      <c r="K1168">
        <f t="shared" si="1241"/>
        <v>0</v>
      </c>
      <c r="L1168">
        <f t="shared" si="1242"/>
        <v>83.438199999999853</v>
      </c>
    </row>
    <row r="1169" spans="2:12">
      <c r="B1169" s="1">
        <v>49807</v>
      </c>
      <c r="C1169" t="s">
        <v>18</v>
      </c>
      <c r="D1169">
        <v>13.4</v>
      </c>
      <c r="E1169">
        <v>6.2</v>
      </c>
      <c r="F1169">
        <f t="shared" si="1238"/>
        <v>0.83079999999999998</v>
      </c>
      <c r="G1169">
        <f t="shared" ref="G1169" si="1254">D1165+D1166+D1167+D1168+D1169</f>
        <v>79.800000000000011</v>
      </c>
      <c r="H1169">
        <f t="shared" si="1237"/>
        <v>2036</v>
      </c>
      <c r="I1169">
        <v>1</v>
      </c>
      <c r="J1169">
        <f t="shared" si="1240"/>
        <v>84.268999999999849</v>
      </c>
      <c r="K1169">
        <f t="shared" si="1241"/>
        <v>0</v>
      </c>
      <c r="L1169">
        <f t="shared" si="1242"/>
        <v>84.268999999999849</v>
      </c>
    </row>
    <row r="1170" spans="2:12">
      <c r="B1170" s="1">
        <v>49808</v>
      </c>
      <c r="C1170" t="s">
        <v>24</v>
      </c>
      <c r="D1170">
        <v>15.9</v>
      </c>
      <c r="E1170">
        <v>0</v>
      </c>
      <c r="F1170">
        <f t="shared" si="1238"/>
        <v>0</v>
      </c>
      <c r="G1170">
        <f t="shared" ref="G1170" si="1255">D1165+D1166+D1167+D1168+D1169+D1170</f>
        <v>95.700000000000017</v>
      </c>
      <c r="H1170">
        <f t="shared" si="1237"/>
        <v>2036</v>
      </c>
      <c r="I1170">
        <v>1</v>
      </c>
      <c r="J1170">
        <f t="shared" si="1240"/>
        <v>84.268999999999849</v>
      </c>
      <c r="K1170">
        <f t="shared" si="1241"/>
        <v>0</v>
      </c>
      <c r="L1170">
        <f t="shared" si="1242"/>
        <v>84.268999999999849</v>
      </c>
    </row>
    <row r="1171" spans="2:12">
      <c r="B1171" s="1">
        <v>49809</v>
      </c>
      <c r="C1171" t="s">
        <v>25</v>
      </c>
      <c r="D1171">
        <v>19.399999999999999</v>
      </c>
      <c r="E1171">
        <v>21.2</v>
      </c>
      <c r="F1171">
        <f t="shared" si="1238"/>
        <v>4.1128</v>
      </c>
      <c r="G1171">
        <f t="shared" ref="G1171" si="1256">D1165+D1166+D1167+D1168+D1169+D1170+D1171</f>
        <v>115.10000000000002</v>
      </c>
      <c r="H1171">
        <f t="shared" si="1237"/>
        <v>2036</v>
      </c>
      <c r="I1171">
        <v>1</v>
      </c>
      <c r="J1171">
        <f t="shared" si="1240"/>
        <v>88.381799999999856</v>
      </c>
      <c r="K1171">
        <f t="shared" si="1241"/>
        <v>0</v>
      </c>
      <c r="L1171">
        <f t="shared" si="1242"/>
        <v>88.381799999999856</v>
      </c>
    </row>
    <row r="1172" spans="2:12">
      <c r="B1172" s="1">
        <v>49810</v>
      </c>
      <c r="C1172" t="s">
        <v>32</v>
      </c>
      <c r="D1172">
        <v>16.3</v>
      </c>
      <c r="E1172">
        <v>17.600000000000001</v>
      </c>
      <c r="F1172">
        <f t="shared" si="1238"/>
        <v>2.8688000000000007</v>
      </c>
      <c r="G1172">
        <f t="shared" ref="G1172:G1235" si="1257">D1172</f>
        <v>16.3</v>
      </c>
      <c r="H1172">
        <f t="shared" si="1237"/>
        <v>2036</v>
      </c>
      <c r="I1172">
        <v>1</v>
      </c>
      <c r="J1172">
        <f t="shared" si="1240"/>
        <v>91.250599999999864</v>
      </c>
      <c r="K1172">
        <f t="shared" si="1241"/>
        <v>0</v>
      </c>
      <c r="L1172">
        <f t="shared" si="1242"/>
        <v>91.250599999999864</v>
      </c>
    </row>
    <row r="1173" spans="2:12">
      <c r="B1173" s="1">
        <v>49811</v>
      </c>
      <c r="C1173" t="s">
        <v>25</v>
      </c>
      <c r="D1173">
        <v>28</v>
      </c>
      <c r="E1173">
        <v>20.399999999999999</v>
      </c>
      <c r="F1173">
        <f t="shared" si="1238"/>
        <v>5.7119999999999997</v>
      </c>
      <c r="G1173">
        <f t="shared" ref="G1173:G1236" si="1258">D1172+D1173</f>
        <v>44.3</v>
      </c>
      <c r="H1173">
        <f t="shared" si="1237"/>
        <v>2036</v>
      </c>
      <c r="I1173">
        <v>1</v>
      </c>
      <c r="J1173">
        <f t="shared" si="1240"/>
        <v>96.962599999999867</v>
      </c>
      <c r="K1173">
        <f t="shared" si="1241"/>
        <v>0</v>
      </c>
      <c r="L1173">
        <f t="shared" si="1242"/>
        <v>96.962599999999867</v>
      </c>
    </row>
    <row r="1174" spans="2:12">
      <c r="B1174" s="1">
        <v>49812</v>
      </c>
      <c r="C1174" t="s">
        <v>26</v>
      </c>
      <c r="D1174">
        <v>19</v>
      </c>
      <c r="E1174">
        <v>5.2</v>
      </c>
      <c r="F1174">
        <f t="shared" si="1238"/>
        <v>0.98799999999999999</v>
      </c>
      <c r="G1174">
        <f t="shared" ref="G1174" si="1259">D1172+D1173+D1174</f>
        <v>63.3</v>
      </c>
      <c r="H1174">
        <f t="shared" si="1237"/>
        <v>2036</v>
      </c>
      <c r="I1174">
        <v>1</v>
      </c>
      <c r="J1174">
        <f t="shared" si="1240"/>
        <v>97.950599999999866</v>
      </c>
      <c r="K1174">
        <f t="shared" si="1241"/>
        <v>0</v>
      </c>
      <c r="L1174">
        <f t="shared" si="1242"/>
        <v>97.950599999999866</v>
      </c>
    </row>
    <row r="1175" spans="2:12">
      <c r="B1175" s="1">
        <v>49813</v>
      </c>
      <c r="C1175" t="s">
        <v>38</v>
      </c>
      <c r="D1175">
        <v>24.1</v>
      </c>
      <c r="E1175">
        <v>4.8</v>
      </c>
      <c r="F1175">
        <f t="shared" si="1238"/>
        <v>1.1568000000000001</v>
      </c>
      <c r="G1175">
        <f t="shared" ref="G1175" si="1260">D1172+D1173+D1174+D1175</f>
        <v>87.4</v>
      </c>
      <c r="H1175">
        <f t="shared" si="1237"/>
        <v>2036</v>
      </c>
      <c r="I1175">
        <v>1</v>
      </c>
      <c r="J1175">
        <f t="shared" si="1240"/>
        <v>99.10739999999987</v>
      </c>
      <c r="K1175">
        <f t="shared" si="1241"/>
        <v>0</v>
      </c>
      <c r="L1175">
        <f t="shared" si="1242"/>
        <v>99.10739999999987</v>
      </c>
    </row>
    <row r="1176" spans="2:12">
      <c r="B1176" s="1">
        <v>49814</v>
      </c>
      <c r="C1176" t="s">
        <v>24</v>
      </c>
      <c r="D1176">
        <v>15.2</v>
      </c>
      <c r="E1176">
        <v>25.7</v>
      </c>
      <c r="F1176">
        <f t="shared" si="1238"/>
        <v>3.9063999999999997</v>
      </c>
      <c r="G1176">
        <f t="shared" ref="G1176" si="1261">D1172+D1173+D1174+D1175+D1176</f>
        <v>102.60000000000001</v>
      </c>
      <c r="H1176">
        <f t="shared" si="1237"/>
        <v>2036</v>
      </c>
      <c r="I1176">
        <v>1</v>
      </c>
      <c r="J1176">
        <f t="shared" si="1240"/>
        <v>103.01379999999988</v>
      </c>
      <c r="K1176">
        <f t="shared" si="1241"/>
        <v>1</v>
      </c>
      <c r="L1176">
        <f t="shared" si="1242"/>
        <v>3.0137999999998755</v>
      </c>
    </row>
    <row r="1177" spans="2:12">
      <c r="B1177" s="1">
        <v>49815</v>
      </c>
      <c r="C1177" t="s">
        <v>25</v>
      </c>
      <c r="D1177">
        <v>16.3</v>
      </c>
      <c r="E1177">
        <v>21</v>
      </c>
      <c r="F1177">
        <f t="shared" si="1238"/>
        <v>3.423</v>
      </c>
      <c r="G1177">
        <f t="shared" ref="G1177" si="1262">D1172+D1173+D1174+D1175+D1176+D1177</f>
        <v>118.9</v>
      </c>
      <c r="H1177">
        <f t="shared" si="1237"/>
        <v>2036</v>
      </c>
      <c r="I1177">
        <v>1</v>
      </c>
      <c r="J1177">
        <f t="shared" si="1240"/>
        <v>6.4367999999998755</v>
      </c>
      <c r="K1177">
        <f t="shared" si="1241"/>
        <v>0</v>
      </c>
      <c r="L1177">
        <f t="shared" si="1242"/>
        <v>6.4367999999998755</v>
      </c>
    </row>
    <row r="1178" spans="2:12">
      <c r="B1178" s="1">
        <v>49816</v>
      </c>
      <c r="C1178" t="s">
        <v>18</v>
      </c>
      <c r="D1178">
        <v>26.9</v>
      </c>
      <c r="E1178">
        <v>0</v>
      </c>
      <c r="F1178">
        <f t="shared" si="1238"/>
        <v>0</v>
      </c>
      <c r="G1178">
        <f t="shared" ref="G1178" si="1263">D1172+D1173+D1174+D1175+D1176+D1177+D1178</f>
        <v>145.80000000000001</v>
      </c>
      <c r="H1178">
        <f t="shared" si="1237"/>
        <v>2036</v>
      </c>
      <c r="I1178">
        <v>1</v>
      </c>
      <c r="J1178">
        <f t="shared" si="1240"/>
        <v>6.4367999999998755</v>
      </c>
      <c r="K1178">
        <f t="shared" si="1241"/>
        <v>0</v>
      </c>
      <c r="L1178">
        <f t="shared" si="1242"/>
        <v>6.4367999999998755</v>
      </c>
    </row>
    <row r="1179" spans="2:12">
      <c r="B1179" s="1">
        <v>49817</v>
      </c>
      <c r="C1179" t="s">
        <v>21</v>
      </c>
      <c r="D1179">
        <v>25</v>
      </c>
      <c r="E1179">
        <v>0.5</v>
      </c>
      <c r="F1179">
        <f t="shared" si="1238"/>
        <v>0</v>
      </c>
      <c r="G1179">
        <f t="shared" ref="G1179:G1242" si="1264">D1179</f>
        <v>25</v>
      </c>
      <c r="H1179">
        <f t="shared" si="1237"/>
        <v>2036</v>
      </c>
      <c r="I1179">
        <v>1</v>
      </c>
      <c r="J1179">
        <f t="shared" si="1240"/>
        <v>6.4367999999998755</v>
      </c>
      <c r="K1179">
        <f t="shared" si="1241"/>
        <v>0</v>
      </c>
      <c r="L1179">
        <f t="shared" si="1242"/>
        <v>6.4367999999998755</v>
      </c>
    </row>
    <row r="1180" spans="2:12">
      <c r="B1180" s="1">
        <v>49818</v>
      </c>
      <c r="C1180" t="s">
        <v>42</v>
      </c>
      <c r="D1180">
        <v>25.1</v>
      </c>
      <c r="E1180">
        <v>5.2</v>
      </c>
      <c r="F1180">
        <f t="shared" si="1238"/>
        <v>1.3052000000000001</v>
      </c>
      <c r="G1180">
        <f t="shared" ref="G1180:G1243" si="1265">D1179+D1180</f>
        <v>50.1</v>
      </c>
      <c r="H1180">
        <f t="shared" si="1237"/>
        <v>2036</v>
      </c>
      <c r="I1180">
        <v>1</v>
      </c>
      <c r="J1180">
        <f t="shared" si="1240"/>
        <v>7.7419999999998756</v>
      </c>
      <c r="K1180">
        <f t="shared" si="1241"/>
        <v>0</v>
      </c>
      <c r="L1180">
        <f t="shared" si="1242"/>
        <v>7.7419999999998756</v>
      </c>
    </row>
    <row r="1181" spans="2:12">
      <c r="B1181" s="1">
        <v>49819</v>
      </c>
      <c r="C1181" t="s">
        <v>26</v>
      </c>
      <c r="D1181">
        <v>29.2</v>
      </c>
      <c r="E1181">
        <v>7.1</v>
      </c>
      <c r="F1181">
        <f t="shared" si="1238"/>
        <v>2.0731999999999999</v>
      </c>
      <c r="G1181">
        <f t="shared" ref="G1181" si="1266">D1179+D1180+D1181</f>
        <v>79.3</v>
      </c>
      <c r="H1181">
        <f t="shared" si="1237"/>
        <v>2036</v>
      </c>
      <c r="I1181">
        <v>1</v>
      </c>
      <c r="J1181">
        <f t="shared" si="1240"/>
        <v>9.8151999999998765</v>
      </c>
      <c r="K1181">
        <f t="shared" si="1241"/>
        <v>0</v>
      </c>
      <c r="L1181">
        <f t="shared" si="1242"/>
        <v>9.8151999999998765</v>
      </c>
    </row>
    <row r="1182" spans="2:12">
      <c r="B1182" s="1">
        <v>49820</v>
      </c>
      <c r="C1182" t="s">
        <v>27</v>
      </c>
      <c r="D1182">
        <v>18.100000000000001</v>
      </c>
      <c r="E1182">
        <v>5.0999999999999996</v>
      </c>
      <c r="F1182">
        <f t="shared" si="1238"/>
        <v>0.92310000000000003</v>
      </c>
      <c r="G1182">
        <f t="shared" ref="G1182" si="1267">D1179+D1180+D1181+D1182</f>
        <v>97.4</v>
      </c>
      <c r="H1182">
        <f t="shared" si="1237"/>
        <v>2036</v>
      </c>
      <c r="I1182">
        <v>1</v>
      </c>
      <c r="J1182">
        <f t="shared" si="1240"/>
        <v>10.738299999999876</v>
      </c>
      <c r="K1182">
        <f t="shared" si="1241"/>
        <v>0</v>
      </c>
      <c r="L1182">
        <f t="shared" si="1242"/>
        <v>10.738299999999876</v>
      </c>
    </row>
    <row r="1183" spans="2:12">
      <c r="B1183" s="1">
        <v>49821</v>
      </c>
      <c r="C1183" t="s">
        <v>25</v>
      </c>
      <c r="D1183">
        <v>12.5</v>
      </c>
      <c r="E1183">
        <v>0</v>
      </c>
      <c r="F1183">
        <f t="shared" si="1238"/>
        <v>0</v>
      </c>
      <c r="G1183">
        <f t="shared" ref="G1183" si="1268">D1179+D1180+D1181+D1182+D1183</f>
        <v>109.9</v>
      </c>
      <c r="H1183">
        <f t="shared" si="1237"/>
        <v>2036</v>
      </c>
      <c r="I1183">
        <v>1</v>
      </c>
      <c r="J1183">
        <f t="shared" si="1240"/>
        <v>10.738299999999876</v>
      </c>
      <c r="K1183">
        <f t="shared" si="1241"/>
        <v>0</v>
      </c>
      <c r="L1183">
        <f t="shared" si="1242"/>
        <v>10.738299999999876</v>
      </c>
    </row>
    <row r="1184" spans="2:12">
      <c r="B1184" s="1">
        <v>49822</v>
      </c>
      <c r="C1184" t="s">
        <v>25</v>
      </c>
      <c r="D1184">
        <v>19.100000000000001</v>
      </c>
      <c r="E1184">
        <v>0.3</v>
      </c>
      <c r="F1184">
        <f t="shared" si="1238"/>
        <v>0</v>
      </c>
      <c r="G1184">
        <f t="shared" ref="G1184" si="1269">D1179+D1180+D1181+D1182+D1183+D1184</f>
        <v>129</v>
      </c>
      <c r="H1184">
        <f t="shared" si="1237"/>
        <v>2036</v>
      </c>
      <c r="I1184">
        <v>1</v>
      </c>
      <c r="J1184">
        <f t="shared" si="1240"/>
        <v>10.738299999999876</v>
      </c>
      <c r="K1184">
        <f t="shared" si="1241"/>
        <v>0</v>
      </c>
      <c r="L1184">
        <f t="shared" si="1242"/>
        <v>10.738299999999876</v>
      </c>
    </row>
    <row r="1185" spans="2:12">
      <c r="B1185" s="1">
        <v>49823</v>
      </c>
      <c r="C1185" t="s">
        <v>50</v>
      </c>
      <c r="D1185">
        <v>27.4</v>
      </c>
      <c r="E1185">
        <v>0</v>
      </c>
      <c r="F1185">
        <f t="shared" si="1238"/>
        <v>0</v>
      </c>
      <c r="G1185">
        <f t="shared" ref="G1185" si="1270">D1179+D1180+D1181+D1182+D1183+D1184+D1185</f>
        <v>156.4</v>
      </c>
      <c r="H1185">
        <f t="shared" si="1237"/>
        <v>2036</v>
      </c>
      <c r="I1185">
        <v>1</v>
      </c>
      <c r="J1185">
        <f t="shared" si="1240"/>
        <v>10.738299999999876</v>
      </c>
      <c r="K1185">
        <f t="shared" si="1241"/>
        <v>0</v>
      </c>
      <c r="L1185">
        <f t="shared" si="1242"/>
        <v>10.738299999999876</v>
      </c>
    </row>
    <row r="1186" spans="2:12">
      <c r="B1186" s="1">
        <v>49824</v>
      </c>
      <c r="C1186" t="s">
        <v>18</v>
      </c>
      <c r="D1186">
        <v>21.1</v>
      </c>
      <c r="E1186">
        <v>10.4</v>
      </c>
      <c r="F1186">
        <f t="shared" si="1238"/>
        <v>2.1944000000000004</v>
      </c>
      <c r="G1186">
        <f t="shared" ref="G1186:G1249" si="1271">D1186</f>
        <v>21.1</v>
      </c>
      <c r="H1186">
        <f t="shared" si="1237"/>
        <v>2036</v>
      </c>
      <c r="I1186">
        <v>1</v>
      </c>
      <c r="J1186">
        <f t="shared" si="1240"/>
        <v>12.932699999999876</v>
      </c>
      <c r="K1186">
        <f t="shared" si="1241"/>
        <v>0</v>
      </c>
      <c r="L1186">
        <f t="shared" si="1242"/>
        <v>12.932699999999876</v>
      </c>
    </row>
    <row r="1187" spans="2:12">
      <c r="B1187" s="1">
        <v>49825</v>
      </c>
      <c r="C1187" t="s">
        <v>38</v>
      </c>
      <c r="D1187">
        <v>13.4</v>
      </c>
      <c r="E1187">
        <v>0</v>
      </c>
      <c r="F1187">
        <f t="shared" si="1238"/>
        <v>0</v>
      </c>
      <c r="G1187">
        <f t="shared" ref="G1187:G1250" si="1272">D1186+D1187</f>
        <v>34.5</v>
      </c>
      <c r="H1187">
        <f t="shared" si="1237"/>
        <v>2036</v>
      </c>
      <c r="I1187">
        <v>1</v>
      </c>
      <c r="J1187">
        <f t="shared" si="1240"/>
        <v>12.932699999999876</v>
      </c>
      <c r="K1187">
        <f t="shared" si="1241"/>
        <v>0</v>
      </c>
      <c r="L1187">
        <f t="shared" si="1242"/>
        <v>12.932699999999876</v>
      </c>
    </row>
    <row r="1188" spans="2:12">
      <c r="B1188" s="1">
        <v>49826</v>
      </c>
      <c r="C1188" t="s">
        <v>15</v>
      </c>
      <c r="D1188">
        <v>11.9</v>
      </c>
      <c r="E1188">
        <v>7.3</v>
      </c>
      <c r="F1188">
        <f t="shared" si="1238"/>
        <v>0.86870000000000003</v>
      </c>
      <c r="G1188">
        <f t="shared" ref="G1188" si="1273">D1186+D1187+D1188</f>
        <v>46.4</v>
      </c>
      <c r="H1188">
        <f t="shared" si="1237"/>
        <v>2036</v>
      </c>
      <c r="I1188">
        <v>1</v>
      </c>
      <c r="J1188">
        <f t="shared" si="1240"/>
        <v>13.801399999999877</v>
      </c>
      <c r="K1188">
        <f t="shared" si="1241"/>
        <v>0</v>
      </c>
      <c r="L1188">
        <f t="shared" si="1242"/>
        <v>13.801399999999877</v>
      </c>
    </row>
    <row r="1189" spans="2:12">
      <c r="B1189" s="1">
        <v>49827</v>
      </c>
      <c r="C1189" t="s">
        <v>27</v>
      </c>
      <c r="D1189">
        <v>20.399999999999999</v>
      </c>
      <c r="E1189">
        <v>4.3</v>
      </c>
      <c r="F1189">
        <f t="shared" si="1238"/>
        <v>0.87719999999999987</v>
      </c>
      <c r="G1189">
        <f t="shared" ref="G1189" si="1274">D1186+D1187+D1188+D1189</f>
        <v>66.8</v>
      </c>
      <c r="H1189">
        <f t="shared" si="1237"/>
        <v>2036</v>
      </c>
      <c r="I1189">
        <v>1</v>
      </c>
      <c r="J1189">
        <f t="shared" si="1240"/>
        <v>14.678599999999877</v>
      </c>
      <c r="K1189">
        <f t="shared" si="1241"/>
        <v>0</v>
      </c>
      <c r="L1189">
        <f t="shared" si="1242"/>
        <v>14.678599999999877</v>
      </c>
    </row>
    <row r="1190" spans="2:12">
      <c r="B1190" s="1">
        <v>49828</v>
      </c>
      <c r="C1190" t="s">
        <v>18</v>
      </c>
      <c r="D1190">
        <v>29.5</v>
      </c>
      <c r="E1190">
        <v>18.600000000000001</v>
      </c>
      <c r="F1190">
        <f t="shared" si="1238"/>
        <v>5.4870000000000001</v>
      </c>
      <c r="G1190">
        <f t="shared" ref="G1190" si="1275">D1186+D1187+D1188+D1189+D1190</f>
        <v>96.3</v>
      </c>
      <c r="H1190">
        <f t="shared" si="1237"/>
        <v>2036</v>
      </c>
      <c r="I1190">
        <v>1</v>
      </c>
      <c r="J1190">
        <f t="shared" si="1240"/>
        <v>20.165599999999877</v>
      </c>
      <c r="K1190">
        <f t="shared" si="1241"/>
        <v>0</v>
      </c>
      <c r="L1190">
        <f t="shared" si="1242"/>
        <v>20.165599999999877</v>
      </c>
    </row>
    <row r="1191" spans="2:12">
      <c r="B1191" s="1">
        <v>49829</v>
      </c>
      <c r="C1191" t="s">
        <v>26</v>
      </c>
      <c r="D1191">
        <v>24.1</v>
      </c>
      <c r="E1191">
        <v>5</v>
      </c>
      <c r="F1191">
        <f t="shared" si="1238"/>
        <v>1.2050000000000001</v>
      </c>
      <c r="G1191">
        <f t="shared" ref="G1191" si="1276">D1186+D1187+D1188+D1189+D1190+D1191</f>
        <v>120.4</v>
      </c>
      <c r="H1191">
        <f t="shared" si="1237"/>
        <v>2036</v>
      </c>
      <c r="I1191">
        <v>1</v>
      </c>
      <c r="J1191">
        <f t="shared" si="1240"/>
        <v>21.370599999999875</v>
      </c>
      <c r="K1191">
        <f t="shared" si="1241"/>
        <v>0</v>
      </c>
      <c r="L1191">
        <f t="shared" si="1242"/>
        <v>21.370599999999875</v>
      </c>
    </row>
    <row r="1192" spans="2:12">
      <c r="B1192" s="1">
        <v>49830</v>
      </c>
      <c r="C1192" t="s">
        <v>31</v>
      </c>
      <c r="D1192">
        <v>11.5</v>
      </c>
      <c r="E1192">
        <v>3.6</v>
      </c>
      <c r="F1192">
        <f t="shared" si="1238"/>
        <v>0.41399999999999998</v>
      </c>
      <c r="G1192">
        <f t="shared" ref="G1192" si="1277">D1186+D1187+D1188+D1189+D1190+D1191+D1192</f>
        <v>131.9</v>
      </c>
      <c r="H1192">
        <f t="shared" si="1237"/>
        <v>2036</v>
      </c>
      <c r="I1192">
        <v>1</v>
      </c>
      <c r="J1192">
        <f t="shared" si="1240"/>
        <v>21.784599999999877</v>
      </c>
      <c r="K1192">
        <f t="shared" si="1241"/>
        <v>0</v>
      </c>
      <c r="L1192">
        <f t="shared" si="1242"/>
        <v>21.784599999999877</v>
      </c>
    </row>
    <row r="1193" spans="2:12">
      <c r="B1193" s="1">
        <v>49831</v>
      </c>
      <c r="C1193" t="s">
        <v>49</v>
      </c>
      <c r="D1193">
        <v>21.2</v>
      </c>
      <c r="E1193">
        <v>1.8</v>
      </c>
      <c r="F1193">
        <f t="shared" si="1238"/>
        <v>0.38159999999999994</v>
      </c>
      <c r="G1193">
        <f t="shared" ref="G1193:G1256" si="1278">D1193</f>
        <v>21.2</v>
      </c>
      <c r="H1193">
        <f t="shared" si="1237"/>
        <v>2036</v>
      </c>
      <c r="I1193">
        <v>1</v>
      </c>
      <c r="J1193">
        <f t="shared" si="1240"/>
        <v>22.166199999999876</v>
      </c>
      <c r="K1193">
        <f t="shared" si="1241"/>
        <v>0</v>
      </c>
      <c r="L1193">
        <f t="shared" si="1242"/>
        <v>22.166199999999876</v>
      </c>
    </row>
    <row r="1194" spans="2:12">
      <c r="B1194" s="1">
        <v>49832</v>
      </c>
      <c r="C1194" t="s">
        <v>24</v>
      </c>
      <c r="D1194">
        <v>22.2</v>
      </c>
      <c r="E1194">
        <v>40.299999999999997</v>
      </c>
      <c r="F1194">
        <f t="shared" si="1238"/>
        <v>8.9465999999999983</v>
      </c>
      <c r="G1194">
        <f t="shared" ref="G1194:G1257" si="1279">D1193+D1194</f>
        <v>43.4</v>
      </c>
      <c r="H1194">
        <f t="shared" si="1237"/>
        <v>2036</v>
      </c>
      <c r="I1194">
        <v>1</v>
      </c>
      <c r="J1194">
        <f t="shared" si="1240"/>
        <v>31.112799999999872</v>
      </c>
      <c r="K1194">
        <f t="shared" si="1241"/>
        <v>0</v>
      </c>
      <c r="L1194">
        <f t="shared" si="1242"/>
        <v>31.112799999999872</v>
      </c>
    </row>
    <row r="1195" spans="2:12">
      <c r="B1195" s="1">
        <v>49833</v>
      </c>
      <c r="C1195" t="s">
        <v>24</v>
      </c>
      <c r="D1195">
        <v>14.6</v>
      </c>
      <c r="E1195">
        <v>2.6</v>
      </c>
      <c r="F1195">
        <f t="shared" si="1238"/>
        <v>0.37959999999999999</v>
      </c>
      <c r="G1195">
        <f t="shared" ref="G1195" si="1280">D1193+D1194+D1195</f>
        <v>58</v>
      </c>
      <c r="H1195">
        <f t="shared" si="1237"/>
        <v>2036</v>
      </c>
      <c r="I1195">
        <v>1</v>
      </c>
      <c r="J1195">
        <f t="shared" si="1240"/>
        <v>31.492399999999872</v>
      </c>
      <c r="K1195">
        <f t="shared" si="1241"/>
        <v>0</v>
      </c>
      <c r="L1195">
        <f t="shared" si="1242"/>
        <v>31.492399999999872</v>
      </c>
    </row>
    <row r="1196" spans="2:12">
      <c r="B1196" s="1">
        <v>49834</v>
      </c>
      <c r="C1196" t="s">
        <v>27</v>
      </c>
      <c r="D1196">
        <v>23.3</v>
      </c>
      <c r="E1196">
        <v>8.1</v>
      </c>
      <c r="F1196">
        <f t="shared" si="1238"/>
        <v>1.8873</v>
      </c>
      <c r="G1196">
        <f t="shared" ref="G1196" si="1281">D1193+D1194+D1195+D1196</f>
        <v>81.3</v>
      </c>
      <c r="H1196">
        <f t="shared" si="1237"/>
        <v>2036</v>
      </c>
      <c r="I1196">
        <v>1</v>
      </c>
      <c r="J1196">
        <f t="shared" si="1240"/>
        <v>33.379699999999872</v>
      </c>
      <c r="K1196">
        <f t="shared" si="1241"/>
        <v>0</v>
      </c>
      <c r="L1196">
        <f t="shared" si="1242"/>
        <v>33.379699999999872</v>
      </c>
    </row>
    <row r="1197" spans="2:12">
      <c r="B1197" s="1">
        <v>49835</v>
      </c>
      <c r="C1197" t="s">
        <v>27</v>
      </c>
      <c r="D1197">
        <v>16.2</v>
      </c>
      <c r="E1197">
        <v>10.4</v>
      </c>
      <c r="F1197">
        <f t="shared" si="1238"/>
        <v>1.6847999999999999</v>
      </c>
      <c r="G1197">
        <f t="shared" ref="G1197" si="1282">D1193+D1194+D1195+D1196+D1197</f>
        <v>97.5</v>
      </c>
      <c r="H1197">
        <f t="shared" si="1237"/>
        <v>2036</v>
      </c>
      <c r="I1197">
        <v>1</v>
      </c>
      <c r="J1197">
        <f t="shared" si="1240"/>
        <v>35.064499999999875</v>
      </c>
      <c r="K1197">
        <f t="shared" si="1241"/>
        <v>0</v>
      </c>
      <c r="L1197">
        <f t="shared" si="1242"/>
        <v>35.064499999999875</v>
      </c>
    </row>
    <row r="1198" spans="2:12">
      <c r="B1198" s="1">
        <v>49836</v>
      </c>
      <c r="C1198" t="s">
        <v>24</v>
      </c>
      <c r="D1198">
        <v>25.9</v>
      </c>
      <c r="E1198">
        <v>0</v>
      </c>
      <c r="F1198">
        <f t="shared" si="1238"/>
        <v>0</v>
      </c>
      <c r="G1198">
        <f t="shared" ref="G1198" si="1283">D1193+D1194+D1195+D1196+D1197+D1198</f>
        <v>123.4</v>
      </c>
      <c r="H1198">
        <f t="shared" si="1237"/>
        <v>2036</v>
      </c>
      <c r="I1198">
        <v>1</v>
      </c>
      <c r="J1198">
        <f t="shared" si="1240"/>
        <v>35.064499999999875</v>
      </c>
      <c r="K1198">
        <f t="shared" si="1241"/>
        <v>0</v>
      </c>
      <c r="L1198">
        <f t="shared" si="1242"/>
        <v>35.064499999999875</v>
      </c>
    </row>
    <row r="1199" spans="2:12">
      <c r="B1199" s="1">
        <v>49837</v>
      </c>
      <c r="C1199" t="s">
        <v>15</v>
      </c>
      <c r="D1199">
        <v>14.6</v>
      </c>
      <c r="E1199">
        <v>7</v>
      </c>
      <c r="F1199">
        <f t="shared" si="1238"/>
        <v>1.022</v>
      </c>
      <c r="G1199">
        <f t="shared" ref="G1199" si="1284">D1193+D1194+D1195+D1196+D1197+D1198+D1199</f>
        <v>138</v>
      </c>
      <c r="H1199">
        <f t="shared" si="1237"/>
        <v>2036</v>
      </c>
      <c r="I1199">
        <v>1</v>
      </c>
      <c r="J1199">
        <f t="shared" si="1240"/>
        <v>36.086499999999873</v>
      </c>
      <c r="K1199">
        <f t="shared" si="1241"/>
        <v>0</v>
      </c>
      <c r="L1199">
        <f t="shared" si="1242"/>
        <v>36.086499999999873</v>
      </c>
    </row>
    <row r="1200" spans="2:12">
      <c r="B1200" s="1">
        <v>49838</v>
      </c>
      <c r="C1200" t="s">
        <v>47</v>
      </c>
      <c r="D1200">
        <v>15.1</v>
      </c>
      <c r="E1200">
        <v>11.7</v>
      </c>
      <c r="F1200">
        <f t="shared" si="1238"/>
        <v>1.7666999999999999</v>
      </c>
      <c r="G1200">
        <f t="shared" ref="G1200:G1263" si="1285">D1200</f>
        <v>15.1</v>
      </c>
      <c r="H1200">
        <f t="shared" si="1237"/>
        <v>2036</v>
      </c>
      <c r="I1200">
        <v>1</v>
      </c>
      <c r="J1200">
        <f t="shared" si="1240"/>
        <v>37.853199999999873</v>
      </c>
      <c r="K1200">
        <f t="shared" si="1241"/>
        <v>0</v>
      </c>
      <c r="L1200">
        <f t="shared" si="1242"/>
        <v>37.853199999999873</v>
      </c>
    </row>
    <row r="1201" spans="2:12">
      <c r="B1201" s="1">
        <v>49839</v>
      </c>
      <c r="C1201" t="s">
        <v>50</v>
      </c>
      <c r="D1201">
        <v>14.1</v>
      </c>
      <c r="E1201">
        <v>6.5</v>
      </c>
      <c r="F1201">
        <f t="shared" si="1238"/>
        <v>0.91649999999999987</v>
      </c>
      <c r="G1201">
        <f t="shared" ref="G1201:G1264" si="1286">D1200+D1201</f>
        <v>29.2</v>
      </c>
      <c r="H1201">
        <f t="shared" si="1237"/>
        <v>2036</v>
      </c>
      <c r="I1201">
        <v>1</v>
      </c>
      <c r="J1201">
        <f t="shared" si="1240"/>
        <v>38.769699999999872</v>
      </c>
      <c r="K1201">
        <f t="shared" si="1241"/>
        <v>0</v>
      </c>
      <c r="L1201">
        <f t="shared" si="1242"/>
        <v>38.769699999999872</v>
      </c>
    </row>
    <row r="1202" spans="2:12">
      <c r="B1202" s="1">
        <v>49840</v>
      </c>
      <c r="C1202" t="s">
        <v>38</v>
      </c>
      <c r="D1202">
        <v>22.1</v>
      </c>
      <c r="E1202">
        <v>1.8</v>
      </c>
      <c r="F1202">
        <f t="shared" si="1238"/>
        <v>0.39779999999999999</v>
      </c>
      <c r="G1202">
        <f t="shared" ref="G1202" si="1287">D1200+D1201+D1202</f>
        <v>51.3</v>
      </c>
      <c r="H1202">
        <f t="shared" si="1237"/>
        <v>2036</v>
      </c>
      <c r="I1202">
        <v>1</v>
      </c>
      <c r="J1202">
        <f t="shared" si="1240"/>
        <v>39.167499999999869</v>
      </c>
      <c r="K1202">
        <f t="shared" si="1241"/>
        <v>0</v>
      </c>
      <c r="L1202">
        <f t="shared" si="1242"/>
        <v>39.167499999999869</v>
      </c>
    </row>
    <row r="1203" spans="2:12">
      <c r="B1203" s="1">
        <v>49841</v>
      </c>
      <c r="C1203" t="s">
        <v>25</v>
      </c>
      <c r="D1203">
        <v>27.2</v>
      </c>
      <c r="E1203">
        <v>21.9</v>
      </c>
      <c r="F1203">
        <f t="shared" si="1238"/>
        <v>5.9567999999999994</v>
      </c>
      <c r="G1203">
        <f t="shared" ref="G1203" si="1288">D1200+D1201+D1202+D1203</f>
        <v>78.5</v>
      </c>
      <c r="H1203">
        <f t="shared" si="1237"/>
        <v>2036</v>
      </c>
      <c r="I1203">
        <v>1</v>
      </c>
      <c r="J1203">
        <f t="shared" si="1240"/>
        <v>45.12429999999987</v>
      </c>
      <c r="K1203">
        <f t="shared" si="1241"/>
        <v>0</v>
      </c>
      <c r="L1203">
        <f t="shared" si="1242"/>
        <v>45.12429999999987</v>
      </c>
    </row>
    <row r="1204" spans="2:12">
      <c r="B1204" s="1">
        <v>49842</v>
      </c>
      <c r="C1204" t="s">
        <v>17</v>
      </c>
      <c r="D1204">
        <v>10.8</v>
      </c>
      <c r="E1204">
        <v>0</v>
      </c>
      <c r="F1204">
        <f t="shared" si="1238"/>
        <v>0</v>
      </c>
      <c r="G1204">
        <f t="shared" ref="G1204" si="1289">D1200+D1201+D1202+D1203+D1204</f>
        <v>89.3</v>
      </c>
      <c r="H1204">
        <f t="shared" si="1237"/>
        <v>2036</v>
      </c>
      <c r="I1204">
        <v>1</v>
      </c>
      <c r="J1204">
        <f t="shared" si="1240"/>
        <v>45.12429999999987</v>
      </c>
      <c r="K1204">
        <f t="shared" si="1241"/>
        <v>0</v>
      </c>
      <c r="L1204">
        <f t="shared" si="1242"/>
        <v>45.12429999999987</v>
      </c>
    </row>
    <row r="1205" spans="2:12">
      <c r="B1205" s="1">
        <v>49843</v>
      </c>
      <c r="C1205" t="s">
        <v>18</v>
      </c>
      <c r="D1205">
        <v>24.6</v>
      </c>
      <c r="E1205">
        <v>0</v>
      </c>
      <c r="F1205">
        <f t="shared" si="1238"/>
        <v>0</v>
      </c>
      <c r="G1205">
        <f t="shared" ref="G1205" si="1290">D1200+D1201+D1202+D1203+D1204+D1205</f>
        <v>113.9</v>
      </c>
      <c r="H1205">
        <f t="shared" si="1237"/>
        <v>2036</v>
      </c>
      <c r="I1205">
        <v>1</v>
      </c>
      <c r="J1205">
        <f t="shared" si="1240"/>
        <v>45.12429999999987</v>
      </c>
      <c r="K1205">
        <f t="shared" si="1241"/>
        <v>0</v>
      </c>
      <c r="L1205">
        <f t="shared" si="1242"/>
        <v>45.12429999999987</v>
      </c>
    </row>
    <row r="1206" spans="2:12">
      <c r="B1206" s="1">
        <v>49844</v>
      </c>
      <c r="C1206" t="s">
        <v>24</v>
      </c>
      <c r="D1206">
        <v>27.8</v>
      </c>
      <c r="E1206">
        <v>26.3</v>
      </c>
      <c r="F1206">
        <f t="shared" si="1238"/>
        <v>7.3113999999999999</v>
      </c>
      <c r="G1206">
        <f t="shared" ref="G1206" si="1291">D1200+D1201+D1202+D1203+D1204+D1205+D1206</f>
        <v>141.70000000000002</v>
      </c>
      <c r="H1206">
        <f t="shared" si="1237"/>
        <v>2036</v>
      </c>
      <c r="I1206">
        <v>1</v>
      </c>
      <c r="J1206">
        <f t="shared" si="1240"/>
        <v>52.435699999999869</v>
      </c>
      <c r="K1206">
        <f t="shared" si="1241"/>
        <v>0</v>
      </c>
      <c r="L1206">
        <f t="shared" si="1242"/>
        <v>52.435699999999869</v>
      </c>
    </row>
    <row r="1207" spans="2:12">
      <c r="B1207" s="1">
        <v>49845</v>
      </c>
      <c r="C1207" t="s">
        <v>31</v>
      </c>
      <c r="D1207">
        <v>12.9</v>
      </c>
      <c r="E1207">
        <v>2.8</v>
      </c>
      <c r="F1207">
        <f t="shared" si="1238"/>
        <v>0.36119999999999997</v>
      </c>
      <c r="G1207">
        <f t="shared" ref="G1207:G1270" si="1292">D1207</f>
        <v>12.9</v>
      </c>
      <c r="H1207">
        <f t="shared" si="1237"/>
        <v>2036</v>
      </c>
      <c r="I1207">
        <v>1</v>
      </c>
      <c r="J1207">
        <f t="shared" si="1240"/>
        <v>52.796899999999866</v>
      </c>
      <c r="K1207">
        <f t="shared" si="1241"/>
        <v>0</v>
      </c>
      <c r="L1207">
        <f t="shared" si="1242"/>
        <v>52.796899999999866</v>
      </c>
    </row>
    <row r="1208" spans="2:12">
      <c r="B1208" s="1">
        <v>49846</v>
      </c>
      <c r="C1208" t="s">
        <v>27</v>
      </c>
      <c r="D1208">
        <v>13.9</v>
      </c>
      <c r="E1208">
        <v>0.6</v>
      </c>
      <c r="F1208">
        <f t="shared" si="1238"/>
        <v>0</v>
      </c>
      <c r="G1208">
        <f t="shared" ref="G1208:G1271" si="1293">D1207+D1208</f>
        <v>26.8</v>
      </c>
      <c r="H1208">
        <f t="shared" si="1237"/>
        <v>2036</v>
      </c>
      <c r="I1208">
        <v>1</v>
      </c>
      <c r="J1208">
        <f t="shared" si="1240"/>
        <v>52.796899999999866</v>
      </c>
      <c r="K1208">
        <f t="shared" si="1241"/>
        <v>0</v>
      </c>
      <c r="L1208">
        <f t="shared" si="1242"/>
        <v>52.796899999999866</v>
      </c>
    </row>
    <row r="1209" spans="2:12">
      <c r="B1209" s="1">
        <v>49847</v>
      </c>
      <c r="C1209" t="s">
        <v>44</v>
      </c>
      <c r="D1209">
        <v>27.6</v>
      </c>
      <c r="E1209">
        <v>0.6</v>
      </c>
      <c r="F1209">
        <f t="shared" si="1238"/>
        <v>0</v>
      </c>
      <c r="G1209">
        <f t="shared" ref="G1209" si="1294">D1207+D1208+D1209</f>
        <v>54.400000000000006</v>
      </c>
      <c r="H1209">
        <f t="shared" si="1237"/>
        <v>2036</v>
      </c>
      <c r="I1209">
        <v>1</v>
      </c>
      <c r="J1209">
        <f t="shared" si="1240"/>
        <v>52.796899999999866</v>
      </c>
      <c r="K1209">
        <f t="shared" si="1241"/>
        <v>0</v>
      </c>
      <c r="L1209">
        <f t="shared" si="1242"/>
        <v>52.796899999999866</v>
      </c>
    </row>
    <row r="1210" spans="2:12">
      <c r="B1210" s="1">
        <v>49848</v>
      </c>
      <c r="C1210" t="s">
        <v>25</v>
      </c>
      <c r="D1210">
        <v>18.600000000000001</v>
      </c>
      <c r="E1210">
        <v>21.5</v>
      </c>
      <c r="F1210">
        <f t="shared" si="1238"/>
        <v>3.9990000000000006</v>
      </c>
      <c r="G1210">
        <f t="shared" ref="G1210" si="1295">D1207+D1208+D1209+D1210</f>
        <v>73</v>
      </c>
      <c r="H1210">
        <f t="shared" si="1237"/>
        <v>2036</v>
      </c>
      <c r="I1210">
        <v>1</v>
      </c>
      <c r="J1210">
        <f t="shared" si="1240"/>
        <v>56.795899999999868</v>
      </c>
      <c r="K1210">
        <f t="shared" si="1241"/>
        <v>0</v>
      </c>
      <c r="L1210">
        <f t="shared" si="1242"/>
        <v>56.795899999999868</v>
      </c>
    </row>
    <row r="1211" spans="2:12">
      <c r="B1211" s="1">
        <v>49849</v>
      </c>
      <c r="C1211" t="s">
        <v>17</v>
      </c>
      <c r="D1211">
        <v>17.8</v>
      </c>
      <c r="E1211">
        <v>0</v>
      </c>
      <c r="F1211">
        <f t="shared" si="1238"/>
        <v>0</v>
      </c>
      <c r="G1211">
        <f t="shared" ref="G1211" si="1296">D1207+D1208+D1209+D1210+D1211</f>
        <v>90.8</v>
      </c>
      <c r="H1211">
        <f t="shared" si="1237"/>
        <v>2036</v>
      </c>
      <c r="I1211">
        <v>1</v>
      </c>
      <c r="J1211">
        <f t="shared" si="1240"/>
        <v>56.795899999999868</v>
      </c>
      <c r="K1211">
        <f t="shared" si="1241"/>
        <v>0</v>
      </c>
      <c r="L1211">
        <f t="shared" si="1242"/>
        <v>56.795899999999868</v>
      </c>
    </row>
    <row r="1212" spans="2:12">
      <c r="B1212" s="1">
        <v>49850</v>
      </c>
      <c r="C1212" t="s">
        <v>32</v>
      </c>
      <c r="D1212">
        <v>20.8</v>
      </c>
      <c r="E1212">
        <v>8.5</v>
      </c>
      <c r="F1212">
        <f t="shared" si="1238"/>
        <v>1.768</v>
      </c>
      <c r="G1212">
        <f t="shared" ref="G1212" si="1297">D1207+D1208+D1209+D1210+D1211+D1212</f>
        <v>111.6</v>
      </c>
      <c r="H1212">
        <f t="shared" si="1237"/>
        <v>2036</v>
      </c>
      <c r="I1212">
        <v>1</v>
      </c>
      <c r="J1212">
        <f t="shared" si="1240"/>
        <v>58.563899999999869</v>
      </c>
      <c r="K1212">
        <f t="shared" si="1241"/>
        <v>0</v>
      </c>
      <c r="L1212">
        <f t="shared" si="1242"/>
        <v>58.563899999999869</v>
      </c>
    </row>
    <row r="1213" spans="2:12">
      <c r="B1213" s="1">
        <v>49851</v>
      </c>
      <c r="C1213" t="s">
        <v>43</v>
      </c>
      <c r="D1213">
        <v>16.399999999999999</v>
      </c>
      <c r="E1213">
        <v>6.8</v>
      </c>
      <c r="F1213">
        <f t="shared" si="1238"/>
        <v>1.1151999999999997</v>
      </c>
      <c r="G1213">
        <f t="shared" ref="G1213" si="1298">D1207+D1208+D1209+D1210+D1211+D1212+D1213</f>
        <v>128</v>
      </c>
      <c r="H1213">
        <f t="shared" si="1237"/>
        <v>2036</v>
      </c>
      <c r="I1213">
        <v>1</v>
      </c>
      <c r="J1213">
        <f t="shared" si="1240"/>
        <v>59.67909999999987</v>
      </c>
      <c r="K1213">
        <f t="shared" si="1241"/>
        <v>0</v>
      </c>
      <c r="L1213">
        <f t="shared" si="1242"/>
        <v>59.67909999999987</v>
      </c>
    </row>
    <row r="1214" spans="2:12">
      <c r="B1214" s="1">
        <v>49852</v>
      </c>
      <c r="C1214" t="s">
        <v>38</v>
      </c>
      <c r="D1214">
        <v>14.6</v>
      </c>
      <c r="E1214">
        <v>0</v>
      </c>
      <c r="F1214">
        <f t="shared" si="1238"/>
        <v>0</v>
      </c>
      <c r="G1214">
        <f t="shared" ref="G1214:G1277" si="1299">D1214</f>
        <v>14.6</v>
      </c>
      <c r="H1214">
        <f t="shared" si="1237"/>
        <v>2036</v>
      </c>
      <c r="I1214">
        <v>1</v>
      </c>
      <c r="J1214">
        <f t="shared" si="1240"/>
        <v>59.67909999999987</v>
      </c>
      <c r="K1214">
        <f t="shared" si="1241"/>
        <v>0</v>
      </c>
      <c r="L1214">
        <f t="shared" si="1242"/>
        <v>59.67909999999987</v>
      </c>
    </row>
    <row r="1215" spans="2:12">
      <c r="B1215" s="1">
        <v>49853</v>
      </c>
      <c r="C1215" t="s">
        <v>21</v>
      </c>
      <c r="D1215">
        <v>27.1</v>
      </c>
      <c r="E1215">
        <v>1.2</v>
      </c>
      <c r="F1215">
        <f t="shared" si="1238"/>
        <v>0.32520000000000004</v>
      </c>
      <c r="G1215">
        <f t="shared" ref="G1215:G1278" si="1300">D1214+D1215</f>
        <v>41.7</v>
      </c>
      <c r="H1215">
        <f t="shared" si="1237"/>
        <v>2036</v>
      </c>
      <c r="I1215">
        <v>1</v>
      </c>
      <c r="J1215">
        <f t="shared" si="1240"/>
        <v>60.004299999999873</v>
      </c>
      <c r="K1215">
        <f t="shared" si="1241"/>
        <v>0</v>
      </c>
      <c r="L1215">
        <f t="shared" si="1242"/>
        <v>60.004299999999873</v>
      </c>
    </row>
    <row r="1216" spans="2:12">
      <c r="B1216" s="1">
        <v>49854</v>
      </c>
      <c r="C1216" t="s">
        <v>24</v>
      </c>
      <c r="D1216">
        <v>18.3</v>
      </c>
      <c r="E1216">
        <v>3.7</v>
      </c>
      <c r="F1216">
        <f t="shared" si="1238"/>
        <v>0.67710000000000004</v>
      </c>
      <c r="G1216">
        <f t="shared" ref="G1216" si="1301">D1214+D1215+D1216</f>
        <v>60</v>
      </c>
      <c r="H1216">
        <f t="shared" si="1237"/>
        <v>2036</v>
      </c>
      <c r="I1216">
        <v>1</v>
      </c>
      <c r="J1216">
        <f t="shared" si="1240"/>
        <v>60.681399999999876</v>
      </c>
      <c r="K1216">
        <f t="shared" si="1241"/>
        <v>0</v>
      </c>
      <c r="L1216">
        <f t="shared" si="1242"/>
        <v>60.681399999999876</v>
      </c>
    </row>
    <row r="1217" spans="2:12">
      <c r="B1217" s="1">
        <v>49855</v>
      </c>
      <c r="C1217" t="s">
        <v>44</v>
      </c>
      <c r="D1217">
        <v>27.1</v>
      </c>
      <c r="E1217">
        <v>0.2</v>
      </c>
      <c r="F1217">
        <f t="shared" si="1238"/>
        <v>0</v>
      </c>
      <c r="G1217">
        <f t="shared" ref="G1217" si="1302">D1214+D1215+D1216+D1217</f>
        <v>87.1</v>
      </c>
      <c r="H1217">
        <f t="shared" si="1237"/>
        <v>2036</v>
      </c>
      <c r="I1217">
        <v>1</v>
      </c>
      <c r="J1217">
        <f t="shared" si="1240"/>
        <v>60.681399999999876</v>
      </c>
      <c r="K1217">
        <f t="shared" si="1241"/>
        <v>0</v>
      </c>
      <c r="L1217">
        <f t="shared" si="1242"/>
        <v>60.681399999999876</v>
      </c>
    </row>
    <row r="1218" spans="2:12">
      <c r="B1218" s="1">
        <v>49856</v>
      </c>
      <c r="C1218" t="s">
        <v>32</v>
      </c>
      <c r="D1218">
        <v>12.9</v>
      </c>
      <c r="E1218">
        <v>10.199999999999999</v>
      </c>
      <c r="F1218">
        <f t="shared" si="1238"/>
        <v>1.3157999999999999</v>
      </c>
      <c r="G1218">
        <f t="shared" ref="G1218" si="1303">D1214+D1215+D1216+D1217+D1218</f>
        <v>100</v>
      </c>
      <c r="H1218">
        <f t="shared" si="1237"/>
        <v>2036</v>
      </c>
      <c r="I1218">
        <v>1</v>
      </c>
      <c r="J1218">
        <f t="shared" si="1240"/>
        <v>61.997199999999879</v>
      </c>
      <c r="K1218">
        <f t="shared" si="1241"/>
        <v>0</v>
      </c>
      <c r="L1218">
        <f t="shared" si="1242"/>
        <v>61.997199999999879</v>
      </c>
    </row>
    <row r="1219" spans="2:12">
      <c r="B1219" s="1">
        <v>49857</v>
      </c>
      <c r="C1219" t="s">
        <v>50</v>
      </c>
      <c r="D1219">
        <v>19.100000000000001</v>
      </c>
      <c r="E1219">
        <v>19.600000000000001</v>
      </c>
      <c r="F1219">
        <f t="shared" si="1238"/>
        <v>3.7436000000000007</v>
      </c>
      <c r="G1219">
        <f t="shared" ref="G1219" si="1304">D1214+D1215+D1216+D1217+D1218+D1219</f>
        <v>119.1</v>
      </c>
      <c r="H1219">
        <f t="shared" si="1237"/>
        <v>2036</v>
      </c>
      <c r="I1219">
        <v>1</v>
      </c>
      <c r="J1219">
        <f t="shared" si="1240"/>
        <v>65.740799999999879</v>
      </c>
      <c r="K1219">
        <f t="shared" si="1241"/>
        <v>0</v>
      </c>
      <c r="L1219">
        <f t="shared" si="1242"/>
        <v>65.740799999999879</v>
      </c>
    </row>
    <row r="1220" spans="2:12">
      <c r="B1220" s="1">
        <v>49858</v>
      </c>
      <c r="C1220" t="s">
        <v>17</v>
      </c>
      <c r="D1220">
        <v>19.2</v>
      </c>
      <c r="E1220">
        <v>3.6</v>
      </c>
      <c r="F1220">
        <f t="shared" si="1238"/>
        <v>0.69120000000000004</v>
      </c>
      <c r="G1220">
        <f t="shared" ref="G1220" si="1305">D1214+D1215+D1216+D1217+D1218+D1219+D1220</f>
        <v>138.29999999999998</v>
      </c>
      <c r="H1220">
        <f t="shared" ref="H1220:H1283" si="1306">YEAR(B1220)</f>
        <v>2036</v>
      </c>
      <c r="I1220">
        <v>1</v>
      </c>
      <c r="J1220">
        <f t="shared" si="1240"/>
        <v>66.431999999999874</v>
      </c>
      <c r="K1220">
        <f t="shared" si="1241"/>
        <v>0</v>
      </c>
      <c r="L1220">
        <f t="shared" si="1242"/>
        <v>66.431999999999874</v>
      </c>
    </row>
    <row r="1221" spans="2:12">
      <c r="B1221" s="1">
        <v>49859</v>
      </c>
      <c r="C1221" t="s">
        <v>21</v>
      </c>
      <c r="D1221">
        <v>25.2</v>
      </c>
      <c r="E1221">
        <v>0</v>
      </c>
      <c r="F1221">
        <f t="shared" ref="F1221:F1284" si="1307">IF(E1221&gt;=1,D1221*E1221/100,0)</f>
        <v>0</v>
      </c>
      <c r="G1221">
        <f t="shared" ref="G1221:G1284" si="1308">D1221</f>
        <v>25.2</v>
      </c>
      <c r="H1221">
        <f t="shared" si="1306"/>
        <v>2036</v>
      </c>
      <c r="I1221">
        <v>1</v>
      </c>
      <c r="J1221">
        <f t="shared" ref="J1221:J1284" si="1309">L1220+F1221</f>
        <v>66.431999999999874</v>
      </c>
      <c r="K1221">
        <f t="shared" ref="K1221:K1284" si="1310">IF(J1221&gt;=100,1,0)</f>
        <v>0</v>
      </c>
      <c r="L1221">
        <f t="shared" ref="L1221:L1284" si="1311">IF(K1221=1,J1221-100,J1221)</f>
        <v>66.431999999999874</v>
      </c>
    </row>
    <row r="1222" spans="2:12">
      <c r="B1222" s="1">
        <v>49860</v>
      </c>
      <c r="C1222" t="s">
        <v>32</v>
      </c>
      <c r="D1222">
        <v>13.5</v>
      </c>
      <c r="E1222">
        <v>6.3</v>
      </c>
      <c r="F1222">
        <f t="shared" si="1307"/>
        <v>0.85049999999999992</v>
      </c>
      <c r="G1222">
        <f t="shared" ref="G1222:G1285" si="1312">D1221+D1222</f>
        <v>38.700000000000003</v>
      </c>
      <c r="H1222">
        <f t="shared" si="1306"/>
        <v>2036</v>
      </c>
      <c r="I1222">
        <v>1</v>
      </c>
      <c r="J1222">
        <f t="shared" si="1309"/>
        <v>67.282499999999871</v>
      </c>
      <c r="K1222">
        <f t="shared" si="1310"/>
        <v>0</v>
      </c>
      <c r="L1222">
        <f t="shared" si="1311"/>
        <v>67.282499999999871</v>
      </c>
    </row>
    <row r="1223" spans="2:12">
      <c r="B1223" s="1">
        <v>49861</v>
      </c>
      <c r="C1223" t="s">
        <v>26</v>
      </c>
      <c r="D1223">
        <v>19.2</v>
      </c>
      <c r="E1223">
        <v>7.7</v>
      </c>
      <c r="F1223">
        <f t="shared" si="1307"/>
        <v>1.4783999999999999</v>
      </c>
      <c r="G1223">
        <f t="shared" ref="G1223" si="1313">D1221+D1222+D1223</f>
        <v>57.900000000000006</v>
      </c>
      <c r="H1223">
        <f t="shared" si="1306"/>
        <v>2036</v>
      </c>
      <c r="I1223">
        <v>1</v>
      </c>
      <c r="J1223">
        <f t="shared" si="1309"/>
        <v>68.760899999999864</v>
      </c>
      <c r="K1223">
        <f t="shared" si="1310"/>
        <v>0</v>
      </c>
      <c r="L1223">
        <f t="shared" si="1311"/>
        <v>68.760899999999864</v>
      </c>
    </row>
    <row r="1224" spans="2:12">
      <c r="B1224" s="1">
        <v>49862</v>
      </c>
      <c r="C1224" t="s">
        <v>31</v>
      </c>
      <c r="D1224">
        <v>24.1</v>
      </c>
      <c r="E1224">
        <v>7.8</v>
      </c>
      <c r="F1224">
        <f t="shared" si="1307"/>
        <v>1.8798000000000001</v>
      </c>
      <c r="G1224">
        <f t="shared" ref="G1224" si="1314">D1221+D1222+D1223+D1224</f>
        <v>82</v>
      </c>
      <c r="H1224">
        <f t="shared" si="1306"/>
        <v>2036</v>
      </c>
      <c r="I1224">
        <v>1</v>
      </c>
      <c r="J1224">
        <f t="shared" si="1309"/>
        <v>70.640699999999867</v>
      </c>
      <c r="K1224">
        <f t="shared" si="1310"/>
        <v>0</v>
      </c>
      <c r="L1224">
        <f t="shared" si="1311"/>
        <v>70.640699999999867</v>
      </c>
    </row>
    <row r="1225" spans="2:12">
      <c r="B1225" s="1">
        <v>49863</v>
      </c>
      <c r="C1225" t="s">
        <v>24</v>
      </c>
      <c r="D1225">
        <v>17.8</v>
      </c>
      <c r="E1225">
        <v>13.4</v>
      </c>
      <c r="F1225">
        <f t="shared" si="1307"/>
        <v>2.3852000000000002</v>
      </c>
      <c r="G1225">
        <f t="shared" ref="G1225" si="1315">D1221+D1222+D1223+D1224+D1225</f>
        <v>99.8</v>
      </c>
      <c r="H1225">
        <f t="shared" si="1306"/>
        <v>2036</v>
      </c>
      <c r="I1225">
        <v>1</v>
      </c>
      <c r="J1225">
        <f t="shared" si="1309"/>
        <v>73.025899999999865</v>
      </c>
      <c r="K1225">
        <f t="shared" si="1310"/>
        <v>0</v>
      </c>
      <c r="L1225">
        <f t="shared" si="1311"/>
        <v>73.025899999999865</v>
      </c>
    </row>
    <row r="1226" spans="2:12">
      <c r="B1226" s="1">
        <v>49864</v>
      </c>
      <c r="C1226" t="s">
        <v>18</v>
      </c>
      <c r="D1226">
        <v>24.7</v>
      </c>
      <c r="E1226">
        <v>21.1</v>
      </c>
      <c r="F1226">
        <f t="shared" si="1307"/>
        <v>5.2117000000000004</v>
      </c>
      <c r="G1226">
        <f t="shared" ref="G1226" si="1316">D1221+D1222+D1223+D1224+D1225+D1226</f>
        <v>124.5</v>
      </c>
      <c r="H1226">
        <f t="shared" si="1306"/>
        <v>2036</v>
      </c>
      <c r="I1226">
        <v>1</v>
      </c>
      <c r="J1226">
        <f t="shared" si="1309"/>
        <v>78.237599999999873</v>
      </c>
      <c r="K1226">
        <f t="shared" si="1310"/>
        <v>0</v>
      </c>
      <c r="L1226">
        <f t="shared" si="1311"/>
        <v>78.237599999999873</v>
      </c>
    </row>
    <row r="1227" spans="2:12">
      <c r="B1227" s="1">
        <v>49865</v>
      </c>
      <c r="C1227" t="s">
        <v>40</v>
      </c>
      <c r="D1227">
        <v>16.8</v>
      </c>
      <c r="E1227">
        <v>0</v>
      </c>
      <c r="F1227">
        <f t="shared" si="1307"/>
        <v>0</v>
      </c>
      <c r="G1227">
        <f t="shared" ref="G1227" si="1317">D1221+D1222+D1223+D1224+D1225+D1226+D1227</f>
        <v>141.30000000000001</v>
      </c>
      <c r="H1227">
        <f t="shared" si="1306"/>
        <v>2036</v>
      </c>
      <c r="I1227">
        <v>1</v>
      </c>
      <c r="J1227">
        <f t="shared" si="1309"/>
        <v>78.237599999999873</v>
      </c>
      <c r="K1227">
        <f t="shared" si="1310"/>
        <v>0</v>
      </c>
      <c r="L1227">
        <f t="shared" si="1311"/>
        <v>78.237599999999873</v>
      </c>
    </row>
    <row r="1228" spans="2:12">
      <c r="B1228" s="1">
        <v>49866</v>
      </c>
      <c r="C1228" t="s">
        <v>15</v>
      </c>
      <c r="D1228">
        <v>10.7</v>
      </c>
      <c r="E1228">
        <v>3</v>
      </c>
      <c r="F1228">
        <f t="shared" si="1307"/>
        <v>0.32099999999999995</v>
      </c>
      <c r="G1228">
        <f t="shared" ref="G1228:G1291" si="1318">D1228</f>
        <v>10.7</v>
      </c>
      <c r="H1228">
        <f t="shared" si="1306"/>
        <v>2036</v>
      </c>
      <c r="I1228">
        <v>1</v>
      </c>
      <c r="J1228">
        <f t="shared" si="1309"/>
        <v>78.558599999999871</v>
      </c>
      <c r="K1228">
        <f t="shared" si="1310"/>
        <v>0</v>
      </c>
      <c r="L1228">
        <f t="shared" si="1311"/>
        <v>78.558599999999871</v>
      </c>
    </row>
    <row r="1229" spans="2:12">
      <c r="B1229" s="1">
        <v>49867</v>
      </c>
      <c r="C1229" t="s">
        <v>17</v>
      </c>
      <c r="D1229">
        <v>29.3</v>
      </c>
      <c r="E1229">
        <v>8.3000000000000007</v>
      </c>
      <c r="F1229">
        <f t="shared" si="1307"/>
        <v>2.4319000000000002</v>
      </c>
      <c r="G1229">
        <f t="shared" ref="G1229:G1292" si="1319">D1228+D1229</f>
        <v>40</v>
      </c>
      <c r="H1229">
        <f t="shared" si="1306"/>
        <v>2036</v>
      </c>
      <c r="I1229">
        <v>1</v>
      </c>
      <c r="J1229">
        <f t="shared" si="1309"/>
        <v>80.990499999999869</v>
      </c>
      <c r="K1229">
        <f t="shared" si="1310"/>
        <v>0</v>
      </c>
      <c r="L1229">
        <f t="shared" si="1311"/>
        <v>80.990499999999869</v>
      </c>
    </row>
    <row r="1230" spans="2:12">
      <c r="B1230" s="1">
        <v>49868</v>
      </c>
      <c r="C1230" t="s">
        <v>49</v>
      </c>
      <c r="D1230">
        <v>28.2</v>
      </c>
      <c r="E1230">
        <v>0</v>
      </c>
      <c r="F1230">
        <f t="shared" si="1307"/>
        <v>0</v>
      </c>
      <c r="G1230">
        <f t="shared" ref="G1230" si="1320">D1228+D1229+D1230</f>
        <v>68.2</v>
      </c>
      <c r="H1230">
        <f t="shared" si="1306"/>
        <v>2036</v>
      </c>
      <c r="I1230">
        <v>1</v>
      </c>
      <c r="J1230">
        <f t="shared" si="1309"/>
        <v>80.990499999999869</v>
      </c>
      <c r="K1230">
        <f t="shared" si="1310"/>
        <v>0</v>
      </c>
      <c r="L1230">
        <f t="shared" si="1311"/>
        <v>80.990499999999869</v>
      </c>
    </row>
    <row r="1231" spans="2:12">
      <c r="B1231" s="1">
        <v>49869</v>
      </c>
      <c r="C1231" t="s">
        <v>24</v>
      </c>
      <c r="D1231">
        <v>17.3</v>
      </c>
      <c r="E1231">
        <v>33.6</v>
      </c>
      <c r="F1231">
        <f t="shared" si="1307"/>
        <v>5.8128000000000011</v>
      </c>
      <c r="G1231">
        <f t="shared" ref="G1231" si="1321">D1228+D1229+D1230+D1231</f>
        <v>85.5</v>
      </c>
      <c r="H1231">
        <f t="shared" si="1306"/>
        <v>2036</v>
      </c>
      <c r="I1231">
        <v>1</v>
      </c>
      <c r="J1231">
        <f t="shared" si="1309"/>
        <v>86.803299999999865</v>
      </c>
      <c r="K1231">
        <f t="shared" si="1310"/>
        <v>0</v>
      </c>
      <c r="L1231">
        <f t="shared" si="1311"/>
        <v>86.803299999999865</v>
      </c>
    </row>
    <row r="1232" spans="2:12">
      <c r="B1232" s="1">
        <v>49870</v>
      </c>
      <c r="C1232" t="s">
        <v>17</v>
      </c>
      <c r="D1232">
        <v>24.6</v>
      </c>
      <c r="E1232">
        <v>0</v>
      </c>
      <c r="F1232">
        <f t="shared" si="1307"/>
        <v>0</v>
      </c>
      <c r="G1232">
        <f t="shared" ref="G1232" si="1322">D1228+D1229+D1230+D1231+D1232</f>
        <v>110.1</v>
      </c>
      <c r="H1232">
        <f t="shared" si="1306"/>
        <v>2036</v>
      </c>
      <c r="I1232">
        <v>1</v>
      </c>
      <c r="J1232">
        <f t="shared" si="1309"/>
        <v>86.803299999999865</v>
      </c>
      <c r="K1232">
        <f t="shared" si="1310"/>
        <v>0</v>
      </c>
      <c r="L1232">
        <f t="shared" si="1311"/>
        <v>86.803299999999865</v>
      </c>
    </row>
    <row r="1233" spans="2:12">
      <c r="B1233" s="1">
        <v>49871</v>
      </c>
      <c r="C1233" t="s">
        <v>26</v>
      </c>
      <c r="D1233">
        <v>12.6</v>
      </c>
      <c r="E1233">
        <v>0.6</v>
      </c>
      <c r="F1233">
        <f t="shared" si="1307"/>
        <v>0</v>
      </c>
      <c r="G1233">
        <f t="shared" ref="G1233" si="1323">D1228+D1229+D1230+D1231+D1232+D1233</f>
        <v>122.69999999999999</v>
      </c>
      <c r="H1233">
        <f t="shared" si="1306"/>
        <v>2036</v>
      </c>
      <c r="I1233">
        <v>1</v>
      </c>
      <c r="J1233">
        <f t="shared" si="1309"/>
        <v>86.803299999999865</v>
      </c>
      <c r="K1233">
        <f t="shared" si="1310"/>
        <v>0</v>
      </c>
      <c r="L1233">
        <f t="shared" si="1311"/>
        <v>86.803299999999865</v>
      </c>
    </row>
    <row r="1234" spans="2:12">
      <c r="B1234" s="1">
        <v>49872</v>
      </c>
      <c r="C1234" t="s">
        <v>50</v>
      </c>
      <c r="D1234">
        <v>27.3</v>
      </c>
      <c r="E1234">
        <v>0</v>
      </c>
      <c r="F1234">
        <f t="shared" si="1307"/>
        <v>0</v>
      </c>
      <c r="G1234">
        <f t="shared" ref="G1234" si="1324">D1228+D1229+D1230+D1231+D1232+D1233+D1234</f>
        <v>150</v>
      </c>
      <c r="H1234">
        <f t="shared" si="1306"/>
        <v>2036</v>
      </c>
      <c r="I1234">
        <v>1</v>
      </c>
      <c r="J1234">
        <f t="shared" si="1309"/>
        <v>86.803299999999865</v>
      </c>
      <c r="K1234">
        <f t="shared" si="1310"/>
        <v>0</v>
      </c>
      <c r="L1234">
        <f t="shared" si="1311"/>
        <v>86.803299999999865</v>
      </c>
    </row>
    <row r="1235" spans="2:12">
      <c r="B1235" s="1">
        <v>49873</v>
      </c>
      <c r="C1235" t="s">
        <v>19</v>
      </c>
      <c r="D1235">
        <v>14.4</v>
      </c>
      <c r="E1235">
        <v>2</v>
      </c>
      <c r="F1235">
        <f t="shared" si="1307"/>
        <v>0.28800000000000003</v>
      </c>
      <c r="G1235">
        <f t="shared" ref="G1235:G1298" si="1325">D1235</f>
        <v>14.4</v>
      </c>
      <c r="H1235">
        <f t="shared" si="1306"/>
        <v>2036</v>
      </c>
      <c r="I1235">
        <v>1</v>
      </c>
      <c r="J1235">
        <f t="shared" si="1309"/>
        <v>87.091299999999862</v>
      </c>
      <c r="K1235">
        <f t="shared" si="1310"/>
        <v>0</v>
      </c>
      <c r="L1235">
        <f t="shared" si="1311"/>
        <v>87.091299999999862</v>
      </c>
    </row>
    <row r="1236" spans="2:12">
      <c r="B1236" s="1">
        <v>49874</v>
      </c>
      <c r="C1236" t="s">
        <v>24</v>
      </c>
      <c r="D1236">
        <v>11.2</v>
      </c>
      <c r="E1236">
        <v>32.6</v>
      </c>
      <c r="F1236">
        <f t="shared" si="1307"/>
        <v>3.6512000000000002</v>
      </c>
      <c r="G1236">
        <f t="shared" ref="G1236:G1299" si="1326">D1235+D1236</f>
        <v>25.6</v>
      </c>
      <c r="H1236">
        <f t="shared" si="1306"/>
        <v>2036</v>
      </c>
      <c r="I1236">
        <v>1</v>
      </c>
      <c r="J1236">
        <f t="shared" si="1309"/>
        <v>90.742499999999865</v>
      </c>
      <c r="K1236">
        <f t="shared" si="1310"/>
        <v>0</v>
      </c>
      <c r="L1236">
        <f t="shared" si="1311"/>
        <v>90.742499999999865</v>
      </c>
    </row>
    <row r="1237" spans="2:12">
      <c r="B1237" s="1">
        <v>49875</v>
      </c>
      <c r="C1237" t="s">
        <v>50</v>
      </c>
      <c r="D1237">
        <v>11.4</v>
      </c>
      <c r="E1237">
        <v>5.5</v>
      </c>
      <c r="F1237">
        <f t="shared" si="1307"/>
        <v>0.627</v>
      </c>
      <c r="G1237">
        <f t="shared" ref="G1237" si="1327">D1235+D1236+D1237</f>
        <v>37</v>
      </c>
      <c r="H1237">
        <f t="shared" si="1306"/>
        <v>2036</v>
      </c>
      <c r="I1237">
        <v>1</v>
      </c>
      <c r="J1237">
        <f t="shared" si="1309"/>
        <v>91.36949999999986</v>
      </c>
      <c r="K1237">
        <f t="shared" si="1310"/>
        <v>0</v>
      </c>
      <c r="L1237">
        <f t="shared" si="1311"/>
        <v>91.36949999999986</v>
      </c>
    </row>
    <row r="1238" spans="2:12">
      <c r="B1238" s="1">
        <v>49876</v>
      </c>
      <c r="C1238" t="s">
        <v>31</v>
      </c>
      <c r="D1238">
        <v>22.9</v>
      </c>
      <c r="E1238">
        <v>0</v>
      </c>
      <c r="F1238">
        <f t="shared" si="1307"/>
        <v>0</v>
      </c>
      <c r="G1238">
        <f t="shared" ref="G1238" si="1328">D1235+D1236+D1237+D1238</f>
        <v>59.9</v>
      </c>
      <c r="H1238">
        <f t="shared" si="1306"/>
        <v>2036</v>
      </c>
      <c r="I1238">
        <v>1</v>
      </c>
      <c r="J1238">
        <f t="shared" si="1309"/>
        <v>91.36949999999986</v>
      </c>
      <c r="K1238">
        <f t="shared" si="1310"/>
        <v>0</v>
      </c>
      <c r="L1238">
        <f t="shared" si="1311"/>
        <v>91.36949999999986</v>
      </c>
    </row>
    <row r="1239" spans="2:12">
      <c r="B1239" s="1">
        <v>49877</v>
      </c>
      <c r="C1239" t="s">
        <v>18</v>
      </c>
      <c r="D1239">
        <v>14.3</v>
      </c>
      <c r="E1239">
        <v>13.2</v>
      </c>
      <c r="F1239">
        <f t="shared" si="1307"/>
        <v>1.8875999999999999</v>
      </c>
      <c r="G1239">
        <f t="shared" ref="G1239" si="1329">D1235+D1236+D1237+D1238+D1239</f>
        <v>74.2</v>
      </c>
      <c r="H1239">
        <f t="shared" si="1306"/>
        <v>2036</v>
      </c>
      <c r="I1239">
        <v>1</v>
      </c>
      <c r="J1239">
        <f t="shared" si="1309"/>
        <v>93.257099999999866</v>
      </c>
      <c r="K1239">
        <f t="shared" si="1310"/>
        <v>0</v>
      </c>
      <c r="L1239">
        <f t="shared" si="1311"/>
        <v>93.257099999999866</v>
      </c>
    </row>
    <row r="1240" spans="2:12">
      <c r="B1240" s="1">
        <v>49878</v>
      </c>
      <c r="C1240" t="s">
        <v>24</v>
      </c>
      <c r="D1240">
        <v>22.9</v>
      </c>
      <c r="E1240">
        <v>22.9</v>
      </c>
      <c r="F1240">
        <f t="shared" si="1307"/>
        <v>5.2440999999999995</v>
      </c>
      <c r="G1240">
        <f t="shared" ref="G1240" si="1330">D1235+D1236+D1237+D1238+D1239+D1240</f>
        <v>97.1</v>
      </c>
      <c r="H1240">
        <f t="shared" si="1306"/>
        <v>2036</v>
      </c>
      <c r="I1240">
        <v>1</v>
      </c>
      <c r="J1240">
        <f t="shared" si="1309"/>
        <v>98.501199999999869</v>
      </c>
      <c r="K1240">
        <f t="shared" si="1310"/>
        <v>0</v>
      </c>
      <c r="L1240">
        <f t="shared" si="1311"/>
        <v>98.501199999999869</v>
      </c>
    </row>
    <row r="1241" spans="2:12">
      <c r="B1241" s="1">
        <v>49879</v>
      </c>
      <c r="C1241" t="s">
        <v>25</v>
      </c>
      <c r="D1241">
        <v>11.8</v>
      </c>
      <c r="E1241">
        <v>0</v>
      </c>
      <c r="F1241">
        <f t="shared" si="1307"/>
        <v>0</v>
      </c>
      <c r="G1241">
        <f t="shared" ref="G1241" si="1331">D1235+D1236+D1237+D1238+D1239+D1240+D1241</f>
        <v>108.89999999999999</v>
      </c>
      <c r="H1241">
        <f t="shared" si="1306"/>
        <v>2036</v>
      </c>
      <c r="I1241">
        <v>1</v>
      </c>
      <c r="J1241">
        <f t="shared" si="1309"/>
        <v>98.501199999999869</v>
      </c>
      <c r="K1241">
        <f t="shared" si="1310"/>
        <v>0</v>
      </c>
      <c r="L1241">
        <f t="shared" si="1311"/>
        <v>98.501199999999869</v>
      </c>
    </row>
    <row r="1242" spans="2:12">
      <c r="B1242" s="1">
        <v>49880</v>
      </c>
      <c r="C1242" t="s">
        <v>47</v>
      </c>
      <c r="D1242">
        <v>24.5</v>
      </c>
      <c r="E1242">
        <v>0</v>
      </c>
      <c r="F1242">
        <f t="shared" si="1307"/>
        <v>0</v>
      </c>
      <c r="G1242">
        <f t="shared" ref="G1242:G1305" si="1332">D1242</f>
        <v>24.5</v>
      </c>
      <c r="H1242">
        <f t="shared" si="1306"/>
        <v>2036</v>
      </c>
      <c r="I1242">
        <v>1</v>
      </c>
      <c r="J1242">
        <f t="shared" si="1309"/>
        <v>98.501199999999869</v>
      </c>
      <c r="K1242">
        <f t="shared" si="1310"/>
        <v>0</v>
      </c>
      <c r="L1242">
        <f t="shared" si="1311"/>
        <v>98.501199999999869</v>
      </c>
    </row>
    <row r="1243" spans="2:12">
      <c r="B1243" s="1">
        <v>49881</v>
      </c>
      <c r="C1243" t="s">
        <v>32</v>
      </c>
      <c r="D1243">
        <v>25.5</v>
      </c>
      <c r="E1243">
        <v>19.3</v>
      </c>
      <c r="F1243">
        <f t="shared" si="1307"/>
        <v>4.9215</v>
      </c>
      <c r="G1243">
        <f t="shared" ref="G1243:G1306" si="1333">D1242+D1243</f>
        <v>50</v>
      </c>
      <c r="H1243">
        <f t="shared" si="1306"/>
        <v>2036</v>
      </c>
      <c r="I1243">
        <v>1</v>
      </c>
      <c r="J1243">
        <f t="shared" si="1309"/>
        <v>103.42269999999986</v>
      </c>
      <c r="K1243">
        <f t="shared" si="1310"/>
        <v>1</v>
      </c>
      <c r="L1243">
        <f t="shared" si="1311"/>
        <v>3.422699999999864</v>
      </c>
    </row>
    <row r="1244" spans="2:12">
      <c r="B1244" s="1">
        <v>49882</v>
      </c>
      <c r="C1244" t="s">
        <v>50</v>
      </c>
      <c r="D1244">
        <v>14.7</v>
      </c>
      <c r="E1244">
        <v>18.3</v>
      </c>
      <c r="F1244">
        <f t="shared" si="1307"/>
        <v>2.6900999999999997</v>
      </c>
      <c r="G1244">
        <f t="shared" ref="G1244" si="1334">D1242+D1243+D1244</f>
        <v>64.7</v>
      </c>
      <c r="H1244">
        <f t="shared" si="1306"/>
        <v>2036</v>
      </c>
      <c r="I1244">
        <v>1</v>
      </c>
      <c r="J1244">
        <f t="shared" si="1309"/>
        <v>6.1127999999998632</v>
      </c>
      <c r="K1244">
        <f t="shared" si="1310"/>
        <v>0</v>
      </c>
      <c r="L1244">
        <f t="shared" si="1311"/>
        <v>6.1127999999998632</v>
      </c>
    </row>
    <row r="1245" spans="2:12">
      <c r="B1245" s="1">
        <v>49883</v>
      </c>
      <c r="C1245" t="s">
        <v>32</v>
      </c>
      <c r="D1245">
        <v>28.7</v>
      </c>
      <c r="E1245">
        <v>0</v>
      </c>
      <c r="F1245">
        <f t="shared" si="1307"/>
        <v>0</v>
      </c>
      <c r="G1245">
        <f t="shared" ref="G1245" si="1335">D1242+D1243+D1244+D1245</f>
        <v>93.4</v>
      </c>
      <c r="H1245">
        <f t="shared" si="1306"/>
        <v>2036</v>
      </c>
      <c r="I1245">
        <v>1</v>
      </c>
      <c r="J1245">
        <f t="shared" si="1309"/>
        <v>6.1127999999998632</v>
      </c>
      <c r="K1245">
        <f t="shared" si="1310"/>
        <v>0</v>
      </c>
      <c r="L1245">
        <f t="shared" si="1311"/>
        <v>6.1127999999998632</v>
      </c>
    </row>
    <row r="1246" spans="2:12">
      <c r="B1246" s="1">
        <v>49884</v>
      </c>
      <c r="C1246" t="s">
        <v>24</v>
      </c>
      <c r="D1246">
        <v>16.7</v>
      </c>
      <c r="E1246">
        <v>0</v>
      </c>
      <c r="F1246">
        <f t="shared" si="1307"/>
        <v>0</v>
      </c>
      <c r="G1246">
        <f t="shared" ref="G1246" si="1336">D1242+D1243+D1244+D1245+D1246</f>
        <v>110.10000000000001</v>
      </c>
      <c r="H1246">
        <f t="shared" si="1306"/>
        <v>2036</v>
      </c>
      <c r="I1246">
        <v>1</v>
      </c>
      <c r="J1246">
        <f t="shared" si="1309"/>
        <v>6.1127999999998632</v>
      </c>
      <c r="K1246">
        <f t="shared" si="1310"/>
        <v>0</v>
      </c>
      <c r="L1246">
        <f t="shared" si="1311"/>
        <v>6.1127999999998632</v>
      </c>
    </row>
    <row r="1247" spans="2:12">
      <c r="B1247" s="1">
        <v>49885</v>
      </c>
      <c r="C1247" t="s">
        <v>32</v>
      </c>
      <c r="D1247">
        <v>17.399999999999999</v>
      </c>
      <c r="E1247">
        <v>13.7</v>
      </c>
      <c r="F1247">
        <f t="shared" si="1307"/>
        <v>2.3837999999999995</v>
      </c>
      <c r="G1247">
        <f t="shared" ref="G1247" si="1337">D1242+D1243+D1244+D1245+D1246+D1247</f>
        <v>127.5</v>
      </c>
      <c r="H1247">
        <f t="shared" si="1306"/>
        <v>2036</v>
      </c>
      <c r="I1247">
        <v>1</v>
      </c>
      <c r="J1247">
        <f t="shared" si="1309"/>
        <v>8.4965999999998623</v>
      </c>
      <c r="K1247">
        <f t="shared" si="1310"/>
        <v>0</v>
      </c>
      <c r="L1247">
        <f t="shared" si="1311"/>
        <v>8.4965999999998623</v>
      </c>
    </row>
    <row r="1248" spans="2:12">
      <c r="B1248" s="1">
        <v>49886</v>
      </c>
      <c r="C1248" t="s">
        <v>24</v>
      </c>
      <c r="D1248">
        <v>15.6</v>
      </c>
      <c r="E1248">
        <v>0</v>
      </c>
      <c r="F1248">
        <f t="shared" si="1307"/>
        <v>0</v>
      </c>
      <c r="G1248">
        <f t="shared" ref="G1248" si="1338">D1242+D1243+D1244+D1245+D1246+D1247+D1248</f>
        <v>143.1</v>
      </c>
      <c r="H1248">
        <f t="shared" si="1306"/>
        <v>2036</v>
      </c>
      <c r="I1248">
        <v>1</v>
      </c>
      <c r="J1248">
        <f t="shared" si="1309"/>
        <v>8.4965999999998623</v>
      </c>
      <c r="K1248">
        <f t="shared" si="1310"/>
        <v>0</v>
      </c>
      <c r="L1248">
        <f t="shared" si="1311"/>
        <v>8.4965999999998623</v>
      </c>
    </row>
    <row r="1249" spans="2:12">
      <c r="B1249" s="1">
        <v>49887</v>
      </c>
      <c r="C1249" t="s">
        <v>50</v>
      </c>
      <c r="D1249">
        <v>21.7</v>
      </c>
      <c r="E1249">
        <v>0</v>
      </c>
      <c r="F1249">
        <f t="shared" si="1307"/>
        <v>0</v>
      </c>
      <c r="G1249">
        <f t="shared" ref="G1249:G1312" si="1339">D1249</f>
        <v>21.7</v>
      </c>
      <c r="H1249">
        <f t="shared" si="1306"/>
        <v>2036</v>
      </c>
      <c r="I1249">
        <v>1</v>
      </c>
      <c r="J1249">
        <f t="shared" si="1309"/>
        <v>8.4965999999998623</v>
      </c>
      <c r="K1249">
        <f t="shared" si="1310"/>
        <v>0</v>
      </c>
      <c r="L1249">
        <f t="shared" si="1311"/>
        <v>8.4965999999998623</v>
      </c>
    </row>
    <row r="1250" spans="2:12">
      <c r="B1250" s="1">
        <v>49888</v>
      </c>
      <c r="C1250" t="s">
        <v>18</v>
      </c>
      <c r="D1250">
        <v>26</v>
      </c>
      <c r="E1250">
        <v>0</v>
      </c>
      <c r="F1250">
        <f t="shared" si="1307"/>
        <v>0</v>
      </c>
      <c r="G1250">
        <f t="shared" ref="G1250:G1313" si="1340">D1249+D1250</f>
        <v>47.7</v>
      </c>
      <c r="H1250">
        <f t="shared" si="1306"/>
        <v>2036</v>
      </c>
      <c r="I1250">
        <v>1</v>
      </c>
      <c r="J1250">
        <f t="shared" si="1309"/>
        <v>8.4965999999998623</v>
      </c>
      <c r="K1250">
        <f t="shared" si="1310"/>
        <v>0</v>
      </c>
      <c r="L1250">
        <f t="shared" si="1311"/>
        <v>8.4965999999998623</v>
      </c>
    </row>
    <row r="1251" spans="2:12">
      <c r="B1251" s="1">
        <v>49889</v>
      </c>
      <c r="C1251" t="s">
        <v>43</v>
      </c>
      <c r="D1251">
        <v>24.5</v>
      </c>
      <c r="E1251">
        <v>9</v>
      </c>
      <c r="F1251">
        <f t="shared" si="1307"/>
        <v>2.2050000000000001</v>
      </c>
      <c r="G1251">
        <f t="shared" ref="G1251" si="1341">D1249+D1250+D1251</f>
        <v>72.2</v>
      </c>
      <c r="H1251">
        <f t="shared" si="1306"/>
        <v>2036</v>
      </c>
      <c r="I1251">
        <v>1</v>
      </c>
      <c r="J1251">
        <f t="shared" si="1309"/>
        <v>10.701599999999862</v>
      </c>
      <c r="K1251">
        <f t="shared" si="1310"/>
        <v>0</v>
      </c>
      <c r="L1251">
        <f t="shared" si="1311"/>
        <v>10.701599999999862</v>
      </c>
    </row>
    <row r="1252" spans="2:12">
      <c r="B1252" s="1">
        <v>49890</v>
      </c>
      <c r="C1252" t="s">
        <v>42</v>
      </c>
      <c r="D1252">
        <v>23.2</v>
      </c>
      <c r="E1252">
        <v>0</v>
      </c>
      <c r="F1252">
        <f t="shared" si="1307"/>
        <v>0</v>
      </c>
      <c r="G1252">
        <f t="shared" ref="G1252" si="1342">D1249+D1250+D1251+D1252</f>
        <v>95.4</v>
      </c>
      <c r="H1252">
        <f t="shared" si="1306"/>
        <v>2036</v>
      </c>
      <c r="I1252">
        <v>1</v>
      </c>
      <c r="J1252">
        <f t="shared" si="1309"/>
        <v>10.701599999999862</v>
      </c>
      <c r="K1252">
        <f t="shared" si="1310"/>
        <v>0</v>
      </c>
      <c r="L1252">
        <f t="shared" si="1311"/>
        <v>10.701599999999862</v>
      </c>
    </row>
    <row r="1253" spans="2:12">
      <c r="B1253" s="1">
        <v>49891</v>
      </c>
      <c r="C1253" t="s">
        <v>37</v>
      </c>
      <c r="D1253">
        <v>17.600000000000001</v>
      </c>
      <c r="E1253">
        <v>0.8</v>
      </c>
      <c r="F1253">
        <f t="shared" si="1307"/>
        <v>0</v>
      </c>
      <c r="G1253">
        <f t="shared" ref="G1253" si="1343">D1249+D1250+D1251+D1252+D1253</f>
        <v>113</v>
      </c>
      <c r="H1253">
        <f t="shared" si="1306"/>
        <v>2036</v>
      </c>
      <c r="I1253">
        <v>1</v>
      </c>
      <c r="J1253">
        <f t="shared" si="1309"/>
        <v>10.701599999999862</v>
      </c>
      <c r="K1253">
        <f t="shared" si="1310"/>
        <v>0</v>
      </c>
      <c r="L1253">
        <f t="shared" si="1311"/>
        <v>10.701599999999862</v>
      </c>
    </row>
    <row r="1254" spans="2:12">
      <c r="B1254" s="1">
        <v>49892</v>
      </c>
      <c r="C1254" t="s">
        <v>18</v>
      </c>
      <c r="D1254">
        <v>13.9</v>
      </c>
      <c r="E1254">
        <v>8.8000000000000007</v>
      </c>
      <c r="F1254">
        <f t="shared" si="1307"/>
        <v>1.2232000000000001</v>
      </c>
      <c r="G1254">
        <f t="shared" ref="G1254" si="1344">D1249+D1250+D1251+D1252+D1253+D1254</f>
        <v>126.9</v>
      </c>
      <c r="H1254">
        <f t="shared" si="1306"/>
        <v>2036</v>
      </c>
      <c r="I1254">
        <v>1</v>
      </c>
      <c r="J1254">
        <f t="shared" si="1309"/>
        <v>11.924799999999863</v>
      </c>
      <c r="K1254">
        <f t="shared" si="1310"/>
        <v>0</v>
      </c>
      <c r="L1254">
        <f t="shared" si="1311"/>
        <v>11.924799999999863</v>
      </c>
    </row>
    <row r="1255" spans="2:12">
      <c r="B1255" s="1">
        <v>49893</v>
      </c>
      <c r="C1255" t="s">
        <v>38</v>
      </c>
      <c r="D1255">
        <v>20.7</v>
      </c>
      <c r="E1255">
        <v>4.3</v>
      </c>
      <c r="F1255">
        <f t="shared" si="1307"/>
        <v>0.89009999999999989</v>
      </c>
      <c r="G1255">
        <f t="shared" ref="G1255" si="1345">D1249+D1250+D1251+D1252+D1253+D1254+D1255</f>
        <v>147.6</v>
      </c>
      <c r="H1255">
        <f t="shared" si="1306"/>
        <v>2036</v>
      </c>
      <c r="I1255">
        <v>1</v>
      </c>
      <c r="J1255">
        <f t="shared" si="1309"/>
        <v>12.814899999999863</v>
      </c>
      <c r="K1255">
        <f t="shared" si="1310"/>
        <v>0</v>
      </c>
      <c r="L1255">
        <f t="shared" si="1311"/>
        <v>12.814899999999863</v>
      </c>
    </row>
    <row r="1256" spans="2:12">
      <c r="B1256" s="1">
        <v>49894</v>
      </c>
      <c r="C1256" t="s">
        <v>15</v>
      </c>
      <c r="D1256">
        <v>10.1</v>
      </c>
      <c r="E1256">
        <v>1.7</v>
      </c>
      <c r="F1256">
        <f t="shared" si="1307"/>
        <v>0.17169999999999999</v>
      </c>
      <c r="G1256">
        <f t="shared" ref="G1256:G1319" si="1346">D1256</f>
        <v>10.1</v>
      </c>
      <c r="H1256">
        <f t="shared" si="1306"/>
        <v>2036</v>
      </c>
      <c r="I1256">
        <v>1</v>
      </c>
      <c r="J1256">
        <f t="shared" si="1309"/>
        <v>12.986599999999862</v>
      </c>
      <c r="K1256">
        <f t="shared" si="1310"/>
        <v>0</v>
      </c>
      <c r="L1256">
        <f t="shared" si="1311"/>
        <v>12.986599999999862</v>
      </c>
    </row>
    <row r="1257" spans="2:12">
      <c r="B1257" s="1">
        <v>49895</v>
      </c>
      <c r="C1257" t="s">
        <v>18</v>
      </c>
      <c r="D1257">
        <v>26.2</v>
      </c>
      <c r="E1257">
        <v>22.7</v>
      </c>
      <c r="F1257">
        <f t="shared" si="1307"/>
        <v>5.9474</v>
      </c>
      <c r="G1257">
        <f t="shared" ref="G1257:G1320" si="1347">D1256+D1257</f>
        <v>36.299999999999997</v>
      </c>
      <c r="H1257">
        <f t="shared" si="1306"/>
        <v>2036</v>
      </c>
      <c r="I1257">
        <v>1</v>
      </c>
      <c r="J1257">
        <f t="shared" si="1309"/>
        <v>18.933999999999862</v>
      </c>
      <c r="K1257">
        <f t="shared" si="1310"/>
        <v>0</v>
      </c>
      <c r="L1257">
        <f t="shared" si="1311"/>
        <v>18.933999999999862</v>
      </c>
    </row>
    <row r="1258" spans="2:12">
      <c r="B1258" s="1">
        <v>49896</v>
      </c>
      <c r="C1258" t="s">
        <v>50</v>
      </c>
      <c r="D1258">
        <v>27.6</v>
      </c>
      <c r="E1258">
        <v>13.8</v>
      </c>
      <c r="F1258">
        <f t="shared" si="1307"/>
        <v>3.8088000000000006</v>
      </c>
      <c r="G1258">
        <f t="shared" ref="G1258" si="1348">D1256+D1257+D1258</f>
        <v>63.9</v>
      </c>
      <c r="H1258">
        <f t="shared" si="1306"/>
        <v>2036</v>
      </c>
      <c r="I1258">
        <v>1</v>
      </c>
      <c r="J1258">
        <f t="shared" si="1309"/>
        <v>22.742799999999864</v>
      </c>
      <c r="K1258">
        <f t="shared" si="1310"/>
        <v>0</v>
      </c>
      <c r="L1258">
        <f t="shared" si="1311"/>
        <v>22.742799999999864</v>
      </c>
    </row>
    <row r="1259" spans="2:12">
      <c r="B1259" s="1">
        <v>49897</v>
      </c>
      <c r="C1259" t="s">
        <v>17</v>
      </c>
      <c r="D1259">
        <v>20.6</v>
      </c>
      <c r="E1259">
        <v>4.7</v>
      </c>
      <c r="F1259">
        <f t="shared" si="1307"/>
        <v>0.96820000000000006</v>
      </c>
      <c r="G1259">
        <f t="shared" ref="G1259" si="1349">D1256+D1257+D1258+D1259</f>
        <v>84.5</v>
      </c>
      <c r="H1259">
        <f t="shared" si="1306"/>
        <v>2036</v>
      </c>
      <c r="I1259">
        <v>1</v>
      </c>
      <c r="J1259">
        <f t="shared" si="1309"/>
        <v>23.710999999999864</v>
      </c>
      <c r="K1259">
        <f t="shared" si="1310"/>
        <v>0</v>
      </c>
      <c r="L1259">
        <f t="shared" si="1311"/>
        <v>23.710999999999864</v>
      </c>
    </row>
    <row r="1260" spans="2:12">
      <c r="B1260" s="1">
        <v>49898</v>
      </c>
      <c r="C1260" t="s">
        <v>21</v>
      </c>
      <c r="D1260">
        <v>21.4</v>
      </c>
      <c r="E1260">
        <v>5</v>
      </c>
      <c r="F1260">
        <f t="shared" si="1307"/>
        <v>1.07</v>
      </c>
      <c r="G1260">
        <f t="shared" ref="G1260" si="1350">D1256+D1257+D1258+D1259+D1260</f>
        <v>105.9</v>
      </c>
      <c r="H1260">
        <f t="shared" si="1306"/>
        <v>2036</v>
      </c>
      <c r="I1260">
        <v>1</v>
      </c>
      <c r="J1260">
        <f t="shared" si="1309"/>
        <v>24.780999999999864</v>
      </c>
      <c r="K1260">
        <f t="shared" si="1310"/>
        <v>0</v>
      </c>
      <c r="L1260">
        <f t="shared" si="1311"/>
        <v>24.780999999999864</v>
      </c>
    </row>
    <row r="1261" spans="2:12">
      <c r="B1261" s="1">
        <v>49899</v>
      </c>
      <c r="C1261" t="s">
        <v>17</v>
      </c>
      <c r="D1261">
        <v>17.100000000000001</v>
      </c>
      <c r="E1261">
        <v>0</v>
      </c>
      <c r="F1261">
        <f t="shared" si="1307"/>
        <v>0</v>
      </c>
      <c r="G1261">
        <f t="shared" ref="G1261" si="1351">D1256+D1257+D1258+D1259+D1260+D1261</f>
        <v>123</v>
      </c>
      <c r="H1261">
        <f t="shared" si="1306"/>
        <v>2036</v>
      </c>
      <c r="I1261">
        <v>1</v>
      </c>
      <c r="J1261">
        <f t="shared" si="1309"/>
        <v>24.780999999999864</v>
      </c>
      <c r="K1261">
        <f t="shared" si="1310"/>
        <v>0</v>
      </c>
      <c r="L1261">
        <f t="shared" si="1311"/>
        <v>24.780999999999864</v>
      </c>
    </row>
    <row r="1262" spans="2:12">
      <c r="B1262" s="1">
        <v>49900</v>
      </c>
      <c r="C1262" t="s">
        <v>24</v>
      </c>
      <c r="D1262">
        <v>19.5</v>
      </c>
      <c r="E1262">
        <v>20.5</v>
      </c>
      <c r="F1262">
        <f t="shared" si="1307"/>
        <v>3.9975000000000001</v>
      </c>
      <c r="G1262">
        <f t="shared" ref="G1262" si="1352">D1256+D1257+D1258+D1259+D1260+D1261+D1262</f>
        <v>142.5</v>
      </c>
      <c r="H1262">
        <f t="shared" si="1306"/>
        <v>2036</v>
      </c>
      <c r="I1262">
        <v>1</v>
      </c>
      <c r="J1262">
        <f t="shared" si="1309"/>
        <v>28.778499999999863</v>
      </c>
      <c r="K1262">
        <f t="shared" si="1310"/>
        <v>0</v>
      </c>
      <c r="L1262">
        <f t="shared" si="1311"/>
        <v>28.778499999999863</v>
      </c>
    </row>
    <row r="1263" spans="2:12">
      <c r="B1263" s="1">
        <v>49901</v>
      </c>
      <c r="C1263" t="s">
        <v>27</v>
      </c>
      <c r="D1263">
        <v>15.9</v>
      </c>
      <c r="E1263">
        <v>0</v>
      </c>
      <c r="F1263">
        <f t="shared" si="1307"/>
        <v>0</v>
      </c>
      <c r="G1263">
        <f t="shared" ref="G1263:G1326" si="1353">D1263</f>
        <v>15.9</v>
      </c>
      <c r="H1263">
        <f t="shared" si="1306"/>
        <v>2036</v>
      </c>
      <c r="I1263">
        <v>1</v>
      </c>
      <c r="J1263">
        <f t="shared" si="1309"/>
        <v>28.778499999999863</v>
      </c>
      <c r="K1263">
        <f t="shared" si="1310"/>
        <v>0</v>
      </c>
      <c r="L1263">
        <f t="shared" si="1311"/>
        <v>28.778499999999863</v>
      </c>
    </row>
    <row r="1264" spans="2:12">
      <c r="B1264" s="1">
        <v>49902</v>
      </c>
      <c r="C1264" t="s">
        <v>24</v>
      </c>
      <c r="D1264">
        <v>21.1</v>
      </c>
      <c r="E1264">
        <v>46.8</v>
      </c>
      <c r="F1264">
        <f t="shared" si="1307"/>
        <v>9.8748000000000005</v>
      </c>
      <c r="G1264">
        <f t="shared" ref="G1264:G1327" si="1354">D1263+D1264</f>
        <v>37</v>
      </c>
      <c r="H1264">
        <f t="shared" si="1306"/>
        <v>2036</v>
      </c>
      <c r="I1264">
        <v>1</v>
      </c>
      <c r="J1264">
        <f t="shared" si="1309"/>
        <v>38.653299999999859</v>
      </c>
      <c r="K1264">
        <f t="shared" si="1310"/>
        <v>0</v>
      </c>
      <c r="L1264">
        <f t="shared" si="1311"/>
        <v>38.653299999999859</v>
      </c>
    </row>
    <row r="1265" spans="2:12">
      <c r="B1265" s="1">
        <v>49903</v>
      </c>
      <c r="C1265" t="s">
        <v>50</v>
      </c>
      <c r="D1265">
        <v>20.2</v>
      </c>
      <c r="E1265">
        <v>36.6</v>
      </c>
      <c r="F1265">
        <f t="shared" si="1307"/>
        <v>7.3932000000000002</v>
      </c>
      <c r="G1265">
        <f t="shared" ref="G1265" si="1355">D1263+D1264+D1265</f>
        <v>57.2</v>
      </c>
      <c r="H1265">
        <f t="shared" si="1306"/>
        <v>2036</v>
      </c>
      <c r="I1265">
        <v>1</v>
      </c>
      <c r="J1265">
        <f t="shared" si="1309"/>
        <v>46.04649999999986</v>
      </c>
      <c r="K1265">
        <f t="shared" si="1310"/>
        <v>0</v>
      </c>
      <c r="L1265">
        <f t="shared" si="1311"/>
        <v>46.04649999999986</v>
      </c>
    </row>
    <row r="1266" spans="2:12">
      <c r="B1266" s="1">
        <v>49904</v>
      </c>
      <c r="C1266" t="s">
        <v>26</v>
      </c>
      <c r="D1266">
        <v>25</v>
      </c>
      <c r="E1266">
        <v>7.8</v>
      </c>
      <c r="F1266">
        <f t="shared" si="1307"/>
        <v>1.95</v>
      </c>
      <c r="G1266">
        <f t="shared" ref="G1266" si="1356">D1263+D1264+D1265+D1266</f>
        <v>82.2</v>
      </c>
      <c r="H1266">
        <f t="shared" si="1306"/>
        <v>2036</v>
      </c>
      <c r="I1266">
        <v>1</v>
      </c>
      <c r="J1266">
        <f t="shared" si="1309"/>
        <v>47.996499999999862</v>
      </c>
      <c r="K1266">
        <f t="shared" si="1310"/>
        <v>0</v>
      </c>
      <c r="L1266">
        <f t="shared" si="1311"/>
        <v>47.996499999999862</v>
      </c>
    </row>
    <row r="1267" spans="2:12">
      <c r="B1267" s="1">
        <v>49905</v>
      </c>
      <c r="C1267" t="s">
        <v>24</v>
      </c>
      <c r="D1267">
        <v>22.1</v>
      </c>
      <c r="E1267">
        <v>8.8000000000000007</v>
      </c>
      <c r="F1267">
        <f t="shared" si="1307"/>
        <v>1.9448000000000001</v>
      </c>
      <c r="G1267">
        <f t="shared" ref="G1267" si="1357">D1263+D1264+D1265+D1266+D1267</f>
        <v>104.30000000000001</v>
      </c>
      <c r="H1267">
        <f t="shared" si="1306"/>
        <v>2036</v>
      </c>
      <c r="I1267">
        <v>1</v>
      </c>
      <c r="J1267">
        <f t="shared" si="1309"/>
        <v>49.941299999999863</v>
      </c>
      <c r="K1267">
        <f t="shared" si="1310"/>
        <v>0</v>
      </c>
      <c r="L1267">
        <f t="shared" si="1311"/>
        <v>49.941299999999863</v>
      </c>
    </row>
    <row r="1268" spans="2:12">
      <c r="B1268" s="1">
        <v>49906</v>
      </c>
      <c r="C1268" t="s">
        <v>48</v>
      </c>
      <c r="D1268">
        <v>28.9</v>
      </c>
      <c r="E1268">
        <v>0.5</v>
      </c>
      <c r="F1268">
        <f t="shared" si="1307"/>
        <v>0</v>
      </c>
      <c r="G1268">
        <f t="shared" ref="G1268" si="1358">D1263+D1264+D1265+D1266+D1267+D1268</f>
        <v>133.20000000000002</v>
      </c>
      <c r="H1268">
        <f t="shared" si="1306"/>
        <v>2036</v>
      </c>
      <c r="I1268">
        <v>1</v>
      </c>
      <c r="J1268">
        <f t="shared" si="1309"/>
        <v>49.941299999999863</v>
      </c>
      <c r="K1268">
        <f t="shared" si="1310"/>
        <v>0</v>
      </c>
      <c r="L1268">
        <f t="shared" si="1311"/>
        <v>49.941299999999863</v>
      </c>
    </row>
    <row r="1269" spans="2:12">
      <c r="B1269" s="1">
        <v>49907</v>
      </c>
      <c r="C1269" t="s">
        <v>25</v>
      </c>
      <c r="D1269">
        <v>19.600000000000001</v>
      </c>
      <c r="E1269">
        <v>0</v>
      </c>
      <c r="F1269">
        <f t="shared" si="1307"/>
        <v>0</v>
      </c>
      <c r="G1269">
        <f t="shared" ref="G1269" si="1359">D1263+D1264+D1265+D1266+D1267+D1268+D1269</f>
        <v>152.80000000000001</v>
      </c>
      <c r="H1269">
        <f t="shared" si="1306"/>
        <v>2036</v>
      </c>
      <c r="I1269">
        <v>1</v>
      </c>
      <c r="J1269">
        <f t="shared" si="1309"/>
        <v>49.941299999999863</v>
      </c>
      <c r="K1269">
        <f t="shared" si="1310"/>
        <v>0</v>
      </c>
      <c r="L1269">
        <f t="shared" si="1311"/>
        <v>49.941299999999863</v>
      </c>
    </row>
    <row r="1270" spans="2:12">
      <c r="B1270" s="1">
        <v>49908</v>
      </c>
      <c r="C1270" t="s">
        <v>18</v>
      </c>
      <c r="D1270">
        <v>18</v>
      </c>
      <c r="E1270">
        <v>13.2</v>
      </c>
      <c r="F1270">
        <f t="shared" si="1307"/>
        <v>2.3759999999999999</v>
      </c>
      <c r="G1270">
        <f t="shared" ref="G1270:G1333" si="1360">D1270</f>
        <v>18</v>
      </c>
      <c r="H1270">
        <f t="shared" si="1306"/>
        <v>2036</v>
      </c>
      <c r="I1270">
        <v>1</v>
      </c>
      <c r="J1270">
        <f t="shared" si="1309"/>
        <v>52.317299999999861</v>
      </c>
      <c r="K1270">
        <f t="shared" si="1310"/>
        <v>0</v>
      </c>
      <c r="L1270">
        <f t="shared" si="1311"/>
        <v>52.317299999999861</v>
      </c>
    </row>
    <row r="1271" spans="2:12">
      <c r="B1271" s="1">
        <v>49909</v>
      </c>
      <c r="C1271" t="s">
        <v>26</v>
      </c>
      <c r="D1271">
        <v>28.3</v>
      </c>
      <c r="E1271">
        <v>0</v>
      </c>
      <c r="F1271">
        <f t="shared" si="1307"/>
        <v>0</v>
      </c>
      <c r="G1271">
        <f t="shared" ref="G1271:G1334" si="1361">D1270+D1271</f>
        <v>46.3</v>
      </c>
      <c r="H1271">
        <f t="shared" si="1306"/>
        <v>2036</v>
      </c>
      <c r="I1271">
        <v>1</v>
      </c>
      <c r="J1271">
        <f t="shared" si="1309"/>
        <v>52.317299999999861</v>
      </c>
      <c r="K1271">
        <f t="shared" si="1310"/>
        <v>0</v>
      </c>
      <c r="L1271">
        <f t="shared" si="1311"/>
        <v>52.317299999999861</v>
      </c>
    </row>
    <row r="1272" spans="2:12">
      <c r="B1272" s="1">
        <v>49910</v>
      </c>
      <c r="C1272" t="s">
        <v>17</v>
      </c>
      <c r="D1272">
        <v>25.2</v>
      </c>
      <c r="E1272">
        <v>0</v>
      </c>
      <c r="F1272">
        <f t="shared" si="1307"/>
        <v>0</v>
      </c>
      <c r="G1272">
        <f t="shared" ref="G1272" si="1362">D1270+D1271+D1272</f>
        <v>71.5</v>
      </c>
      <c r="H1272">
        <f t="shared" si="1306"/>
        <v>2036</v>
      </c>
      <c r="I1272">
        <v>1</v>
      </c>
      <c r="J1272">
        <f t="shared" si="1309"/>
        <v>52.317299999999861</v>
      </c>
      <c r="K1272">
        <f t="shared" si="1310"/>
        <v>0</v>
      </c>
      <c r="L1272">
        <f t="shared" si="1311"/>
        <v>52.317299999999861</v>
      </c>
    </row>
    <row r="1273" spans="2:12">
      <c r="B1273" s="1">
        <v>49911</v>
      </c>
      <c r="C1273" t="s">
        <v>24</v>
      </c>
      <c r="D1273">
        <v>22.5</v>
      </c>
      <c r="E1273">
        <v>0</v>
      </c>
      <c r="F1273">
        <f t="shared" si="1307"/>
        <v>0</v>
      </c>
      <c r="G1273">
        <f t="shared" ref="G1273" si="1363">D1270+D1271+D1272+D1273</f>
        <v>94</v>
      </c>
      <c r="H1273">
        <f t="shared" si="1306"/>
        <v>2036</v>
      </c>
      <c r="I1273">
        <v>1</v>
      </c>
      <c r="J1273">
        <f t="shared" si="1309"/>
        <v>52.317299999999861</v>
      </c>
      <c r="K1273">
        <f t="shared" si="1310"/>
        <v>0</v>
      </c>
      <c r="L1273">
        <f t="shared" si="1311"/>
        <v>52.317299999999861</v>
      </c>
    </row>
    <row r="1274" spans="2:12">
      <c r="B1274" s="1">
        <v>49912</v>
      </c>
      <c r="C1274" t="s">
        <v>27</v>
      </c>
      <c r="D1274">
        <v>19.899999999999999</v>
      </c>
      <c r="E1274">
        <v>6.7</v>
      </c>
      <c r="F1274">
        <f t="shared" si="1307"/>
        <v>1.3332999999999999</v>
      </c>
      <c r="G1274">
        <f t="shared" ref="G1274" si="1364">D1270+D1271+D1272+D1273+D1274</f>
        <v>113.9</v>
      </c>
      <c r="H1274">
        <f t="shared" si="1306"/>
        <v>2036</v>
      </c>
      <c r="I1274">
        <v>1</v>
      </c>
      <c r="J1274">
        <f t="shared" si="1309"/>
        <v>53.650599999999862</v>
      </c>
      <c r="K1274">
        <f t="shared" si="1310"/>
        <v>0</v>
      </c>
      <c r="L1274">
        <f t="shared" si="1311"/>
        <v>53.650599999999862</v>
      </c>
    </row>
    <row r="1275" spans="2:12">
      <c r="B1275" s="1">
        <v>49913</v>
      </c>
      <c r="C1275" t="s">
        <v>25</v>
      </c>
      <c r="D1275">
        <v>10.8</v>
      </c>
      <c r="E1275">
        <v>19.600000000000001</v>
      </c>
      <c r="F1275">
        <f t="shared" si="1307"/>
        <v>2.1168000000000005</v>
      </c>
      <c r="G1275">
        <f t="shared" ref="G1275" si="1365">D1270+D1271+D1272+D1273+D1274+D1275</f>
        <v>124.7</v>
      </c>
      <c r="H1275">
        <f t="shared" si="1306"/>
        <v>2036</v>
      </c>
      <c r="I1275">
        <v>1</v>
      </c>
      <c r="J1275">
        <f t="shared" si="1309"/>
        <v>55.76739999999986</v>
      </c>
      <c r="K1275">
        <f t="shared" si="1310"/>
        <v>0</v>
      </c>
      <c r="L1275">
        <f t="shared" si="1311"/>
        <v>55.76739999999986</v>
      </c>
    </row>
    <row r="1276" spans="2:12">
      <c r="B1276" s="1">
        <v>49914</v>
      </c>
      <c r="C1276" t="s">
        <v>50</v>
      </c>
      <c r="D1276">
        <v>18.399999999999999</v>
      </c>
      <c r="E1276">
        <v>0.6</v>
      </c>
      <c r="F1276">
        <f t="shared" si="1307"/>
        <v>0</v>
      </c>
      <c r="G1276">
        <f t="shared" ref="G1276" si="1366">D1270+D1271+D1272+D1273+D1274+D1275+D1276</f>
        <v>143.1</v>
      </c>
      <c r="H1276">
        <f t="shared" si="1306"/>
        <v>2036</v>
      </c>
      <c r="I1276">
        <v>1</v>
      </c>
      <c r="J1276">
        <f t="shared" si="1309"/>
        <v>55.76739999999986</v>
      </c>
      <c r="K1276">
        <f t="shared" si="1310"/>
        <v>0</v>
      </c>
      <c r="L1276">
        <f t="shared" si="1311"/>
        <v>55.76739999999986</v>
      </c>
    </row>
    <row r="1277" spans="2:12">
      <c r="B1277" s="1">
        <v>49915</v>
      </c>
      <c r="C1277" t="s">
        <v>36</v>
      </c>
      <c r="D1277">
        <v>27.6</v>
      </c>
      <c r="E1277">
        <v>3.7</v>
      </c>
      <c r="F1277">
        <f t="shared" si="1307"/>
        <v>1.0212000000000001</v>
      </c>
      <c r="G1277">
        <f t="shared" ref="G1277:G1340" si="1367">D1277</f>
        <v>27.6</v>
      </c>
      <c r="H1277">
        <f t="shared" si="1306"/>
        <v>2036</v>
      </c>
      <c r="I1277">
        <v>1</v>
      </c>
      <c r="J1277">
        <f t="shared" si="1309"/>
        <v>56.78859999999986</v>
      </c>
      <c r="K1277">
        <f t="shared" si="1310"/>
        <v>0</v>
      </c>
      <c r="L1277">
        <f t="shared" si="1311"/>
        <v>56.78859999999986</v>
      </c>
    </row>
    <row r="1278" spans="2:12">
      <c r="B1278" s="1">
        <v>49916</v>
      </c>
      <c r="C1278" t="s">
        <v>36</v>
      </c>
      <c r="D1278">
        <v>11.3</v>
      </c>
      <c r="E1278">
        <v>1.9</v>
      </c>
      <c r="F1278">
        <f t="shared" si="1307"/>
        <v>0.2147</v>
      </c>
      <c r="G1278">
        <f t="shared" ref="G1278:G1341" si="1368">D1277+D1278</f>
        <v>38.900000000000006</v>
      </c>
      <c r="H1278">
        <f t="shared" si="1306"/>
        <v>2036</v>
      </c>
      <c r="I1278">
        <v>1</v>
      </c>
      <c r="J1278">
        <f t="shared" si="1309"/>
        <v>57.003299999999861</v>
      </c>
      <c r="K1278">
        <f t="shared" si="1310"/>
        <v>0</v>
      </c>
      <c r="L1278">
        <f t="shared" si="1311"/>
        <v>57.003299999999861</v>
      </c>
    </row>
    <row r="1279" spans="2:12">
      <c r="B1279" s="1">
        <v>49917</v>
      </c>
      <c r="C1279" t="s">
        <v>36</v>
      </c>
      <c r="D1279">
        <v>28.7</v>
      </c>
      <c r="E1279">
        <v>0</v>
      </c>
      <c r="F1279">
        <f t="shared" si="1307"/>
        <v>0</v>
      </c>
      <c r="G1279">
        <f t="shared" ref="G1279" si="1369">D1277+D1278+D1279</f>
        <v>67.600000000000009</v>
      </c>
      <c r="H1279">
        <f t="shared" si="1306"/>
        <v>2036</v>
      </c>
      <c r="I1279">
        <v>1</v>
      </c>
      <c r="J1279">
        <f t="shared" si="1309"/>
        <v>57.003299999999861</v>
      </c>
      <c r="K1279">
        <f t="shared" si="1310"/>
        <v>0</v>
      </c>
      <c r="L1279">
        <f t="shared" si="1311"/>
        <v>57.003299999999861</v>
      </c>
    </row>
    <row r="1280" spans="2:12">
      <c r="B1280" s="1">
        <v>49918</v>
      </c>
      <c r="C1280" t="s">
        <v>46</v>
      </c>
      <c r="D1280">
        <v>15</v>
      </c>
      <c r="E1280">
        <v>1.7</v>
      </c>
      <c r="F1280">
        <f t="shared" si="1307"/>
        <v>0.255</v>
      </c>
      <c r="G1280">
        <f t="shared" ref="G1280" si="1370">D1277+D1278+D1279+D1280</f>
        <v>82.600000000000009</v>
      </c>
      <c r="H1280">
        <f t="shared" si="1306"/>
        <v>2036</v>
      </c>
      <c r="I1280">
        <v>1</v>
      </c>
      <c r="J1280">
        <f t="shared" si="1309"/>
        <v>57.258299999999863</v>
      </c>
      <c r="K1280">
        <f t="shared" si="1310"/>
        <v>0</v>
      </c>
      <c r="L1280">
        <f t="shared" si="1311"/>
        <v>57.258299999999863</v>
      </c>
    </row>
    <row r="1281" spans="2:12">
      <c r="B1281" s="1">
        <v>49919</v>
      </c>
      <c r="C1281" t="s">
        <v>18</v>
      </c>
      <c r="D1281">
        <v>15.1</v>
      </c>
      <c r="E1281">
        <v>13.5</v>
      </c>
      <c r="F1281">
        <f t="shared" si="1307"/>
        <v>2.0385</v>
      </c>
      <c r="G1281">
        <f t="shared" ref="G1281" si="1371">D1277+D1278+D1279+D1280+D1281</f>
        <v>97.7</v>
      </c>
      <c r="H1281">
        <f t="shared" si="1306"/>
        <v>2036</v>
      </c>
      <c r="I1281">
        <v>1</v>
      </c>
      <c r="J1281">
        <f t="shared" si="1309"/>
        <v>59.296799999999863</v>
      </c>
      <c r="K1281">
        <f t="shared" si="1310"/>
        <v>0</v>
      </c>
      <c r="L1281">
        <f t="shared" si="1311"/>
        <v>59.296799999999863</v>
      </c>
    </row>
    <row r="1282" spans="2:12">
      <c r="B1282" s="1">
        <v>49920</v>
      </c>
      <c r="C1282" t="s">
        <v>50</v>
      </c>
      <c r="D1282">
        <v>19.399999999999999</v>
      </c>
      <c r="E1282">
        <v>29.6</v>
      </c>
      <c r="F1282">
        <f t="shared" si="1307"/>
        <v>5.7423999999999999</v>
      </c>
      <c r="G1282">
        <f t="shared" ref="G1282" si="1372">D1277+D1278+D1279+D1280+D1281+D1282</f>
        <v>117.1</v>
      </c>
      <c r="H1282">
        <f t="shared" si="1306"/>
        <v>2036</v>
      </c>
      <c r="I1282">
        <v>1</v>
      </c>
      <c r="J1282">
        <f t="shared" si="1309"/>
        <v>65.039199999999866</v>
      </c>
      <c r="K1282">
        <f t="shared" si="1310"/>
        <v>0</v>
      </c>
      <c r="L1282">
        <f t="shared" si="1311"/>
        <v>65.039199999999866</v>
      </c>
    </row>
    <row r="1283" spans="2:12">
      <c r="B1283" s="1">
        <v>49921</v>
      </c>
      <c r="C1283" t="s">
        <v>18</v>
      </c>
      <c r="D1283">
        <v>21.9</v>
      </c>
      <c r="E1283">
        <v>1.6</v>
      </c>
      <c r="F1283">
        <f t="shared" si="1307"/>
        <v>0.35039999999999999</v>
      </c>
      <c r="G1283">
        <f t="shared" ref="G1283" si="1373">D1277+D1278+D1279+D1280+D1281+D1282+D1283</f>
        <v>139</v>
      </c>
      <c r="H1283">
        <f t="shared" si="1306"/>
        <v>2036</v>
      </c>
      <c r="I1283">
        <v>1</v>
      </c>
      <c r="J1283">
        <f t="shared" si="1309"/>
        <v>65.389599999999859</v>
      </c>
      <c r="K1283">
        <f t="shared" si="1310"/>
        <v>0</v>
      </c>
      <c r="L1283">
        <f t="shared" si="1311"/>
        <v>65.389599999999859</v>
      </c>
    </row>
    <row r="1284" spans="2:12">
      <c r="B1284" s="1">
        <v>49922</v>
      </c>
      <c r="C1284" t="s">
        <v>47</v>
      </c>
      <c r="D1284">
        <v>19.399999999999999</v>
      </c>
      <c r="E1284">
        <v>9.8000000000000007</v>
      </c>
      <c r="F1284">
        <f t="shared" si="1307"/>
        <v>1.9012</v>
      </c>
      <c r="G1284">
        <f t="shared" ref="G1284:G1347" si="1374">D1284</f>
        <v>19.399999999999999</v>
      </c>
      <c r="H1284">
        <f t="shared" ref="H1284:H1347" si="1375">YEAR(B1284)</f>
        <v>2036</v>
      </c>
      <c r="I1284">
        <v>1</v>
      </c>
      <c r="J1284">
        <f t="shared" si="1309"/>
        <v>67.290799999999862</v>
      </c>
      <c r="K1284">
        <f t="shared" si="1310"/>
        <v>0</v>
      </c>
      <c r="L1284">
        <f t="shared" si="1311"/>
        <v>67.290799999999862</v>
      </c>
    </row>
    <row r="1285" spans="2:12">
      <c r="B1285" s="1">
        <v>49923</v>
      </c>
      <c r="C1285" t="s">
        <v>18</v>
      </c>
      <c r="D1285">
        <v>21.8</v>
      </c>
      <c r="E1285">
        <v>18.5</v>
      </c>
      <c r="F1285">
        <f t="shared" ref="F1285:F1348" si="1376">IF(E1285&gt;=1,D1285*E1285/100,0)</f>
        <v>4.0330000000000004</v>
      </c>
      <c r="G1285">
        <f t="shared" ref="G1285:G1348" si="1377">D1284+D1285</f>
        <v>41.2</v>
      </c>
      <c r="H1285">
        <f t="shared" si="1375"/>
        <v>2036</v>
      </c>
      <c r="I1285">
        <v>1</v>
      </c>
      <c r="J1285">
        <f t="shared" ref="J1285:J1348" si="1378">L1284+F1285</f>
        <v>71.323799999999864</v>
      </c>
      <c r="K1285">
        <f t="shared" ref="K1285:K1348" si="1379">IF(J1285&gt;=100,1,0)</f>
        <v>0</v>
      </c>
      <c r="L1285">
        <f t="shared" ref="L1285:L1348" si="1380">IF(K1285=1,J1285-100,J1285)</f>
        <v>71.323799999999864</v>
      </c>
    </row>
    <row r="1286" spans="2:12">
      <c r="B1286" s="1">
        <v>49924</v>
      </c>
      <c r="C1286" t="s">
        <v>42</v>
      </c>
      <c r="D1286">
        <v>29.3</v>
      </c>
      <c r="E1286">
        <v>2.8</v>
      </c>
      <c r="F1286">
        <f t="shared" si="1376"/>
        <v>0.82039999999999991</v>
      </c>
      <c r="G1286">
        <f t="shared" ref="G1286" si="1381">D1284+D1285+D1286</f>
        <v>70.5</v>
      </c>
      <c r="H1286">
        <f t="shared" si="1375"/>
        <v>2036</v>
      </c>
      <c r="I1286">
        <v>1</v>
      </c>
      <c r="J1286">
        <f t="shared" si="1378"/>
        <v>72.14419999999987</v>
      </c>
      <c r="K1286">
        <f t="shared" si="1379"/>
        <v>0</v>
      </c>
      <c r="L1286">
        <f t="shared" si="1380"/>
        <v>72.14419999999987</v>
      </c>
    </row>
    <row r="1287" spans="2:12">
      <c r="B1287" s="1">
        <v>49925</v>
      </c>
      <c r="C1287" t="s">
        <v>50</v>
      </c>
      <c r="D1287">
        <v>14.4</v>
      </c>
      <c r="E1287">
        <v>0</v>
      </c>
      <c r="F1287">
        <f t="shared" si="1376"/>
        <v>0</v>
      </c>
      <c r="G1287">
        <f t="shared" ref="G1287" si="1382">D1284+D1285+D1286+D1287</f>
        <v>84.9</v>
      </c>
      <c r="H1287">
        <f t="shared" si="1375"/>
        <v>2036</v>
      </c>
      <c r="I1287">
        <v>1</v>
      </c>
      <c r="J1287">
        <f t="shared" si="1378"/>
        <v>72.14419999999987</v>
      </c>
      <c r="K1287">
        <f t="shared" si="1379"/>
        <v>0</v>
      </c>
      <c r="L1287">
        <f t="shared" si="1380"/>
        <v>72.14419999999987</v>
      </c>
    </row>
    <row r="1288" spans="2:12">
      <c r="B1288" s="1">
        <v>49926</v>
      </c>
      <c r="C1288" t="s">
        <v>24</v>
      </c>
      <c r="D1288">
        <v>14.5</v>
      </c>
      <c r="E1288">
        <v>0</v>
      </c>
      <c r="F1288">
        <f t="shared" si="1376"/>
        <v>0</v>
      </c>
      <c r="G1288">
        <f t="shared" ref="G1288" si="1383">D1284+D1285+D1286+D1287+D1288</f>
        <v>99.4</v>
      </c>
      <c r="H1288">
        <f t="shared" si="1375"/>
        <v>2036</v>
      </c>
      <c r="I1288">
        <v>1</v>
      </c>
      <c r="J1288">
        <f t="shared" si="1378"/>
        <v>72.14419999999987</v>
      </c>
      <c r="K1288">
        <f t="shared" si="1379"/>
        <v>0</v>
      </c>
      <c r="L1288">
        <f t="shared" si="1380"/>
        <v>72.14419999999987</v>
      </c>
    </row>
    <row r="1289" spans="2:12">
      <c r="B1289" s="1">
        <v>49927</v>
      </c>
      <c r="C1289" t="s">
        <v>32</v>
      </c>
      <c r="D1289">
        <v>18.399999999999999</v>
      </c>
      <c r="E1289">
        <v>10.1</v>
      </c>
      <c r="F1289">
        <f t="shared" si="1376"/>
        <v>1.8583999999999998</v>
      </c>
      <c r="G1289">
        <f t="shared" ref="G1289" si="1384">D1284+D1285+D1286+D1287+D1288+D1289</f>
        <v>117.80000000000001</v>
      </c>
      <c r="H1289">
        <f t="shared" si="1375"/>
        <v>2036</v>
      </c>
      <c r="I1289">
        <v>1</v>
      </c>
      <c r="J1289">
        <f t="shared" si="1378"/>
        <v>74.002599999999873</v>
      </c>
      <c r="K1289">
        <f t="shared" si="1379"/>
        <v>0</v>
      </c>
      <c r="L1289">
        <f t="shared" si="1380"/>
        <v>74.002599999999873</v>
      </c>
    </row>
    <row r="1290" spans="2:12">
      <c r="B1290" s="1">
        <v>49928</v>
      </c>
      <c r="C1290" t="s">
        <v>47</v>
      </c>
      <c r="D1290">
        <v>29.8</v>
      </c>
      <c r="E1290">
        <v>0</v>
      </c>
      <c r="F1290">
        <f t="shared" si="1376"/>
        <v>0</v>
      </c>
      <c r="G1290">
        <f t="shared" ref="G1290" si="1385">D1284+D1285+D1286+D1287+D1288+D1289+D1290</f>
        <v>147.60000000000002</v>
      </c>
      <c r="H1290">
        <f t="shared" si="1375"/>
        <v>2036</v>
      </c>
      <c r="I1290">
        <v>1</v>
      </c>
      <c r="J1290">
        <f t="shared" si="1378"/>
        <v>74.002599999999873</v>
      </c>
      <c r="K1290">
        <f t="shared" si="1379"/>
        <v>0</v>
      </c>
      <c r="L1290">
        <f t="shared" si="1380"/>
        <v>74.002599999999873</v>
      </c>
    </row>
    <row r="1291" spans="2:12">
      <c r="B1291" s="1">
        <v>49929</v>
      </c>
      <c r="C1291" t="s">
        <v>18</v>
      </c>
      <c r="D1291">
        <v>27.3</v>
      </c>
      <c r="E1291">
        <v>18.600000000000001</v>
      </c>
      <c r="F1291">
        <f t="shared" si="1376"/>
        <v>5.0777999999999999</v>
      </c>
      <c r="G1291">
        <f t="shared" ref="G1291:G1354" si="1386">D1291</f>
        <v>27.3</v>
      </c>
      <c r="H1291">
        <f t="shared" si="1375"/>
        <v>2036</v>
      </c>
      <c r="I1291">
        <v>1</v>
      </c>
      <c r="J1291">
        <f t="shared" si="1378"/>
        <v>79.080399999999869</v>
      </c>
      <c r="K1291">
        <f t="shared" si="1379"/>
        <v>0</v>
      </c>
      <c r="L1291">
        <f t="shared" si="1380"/>
        <v>79.080399999999869</v>
      </c>
    </row>
    <row r="1292" spans="2:12">
      <c r="B1292" s="1">
        <v>49930</v>
      </c>
      <c r="C1292" t="s">
        <v>21</v>
      </c>
      <c r="D1292">
        <v>22.7</v>
      </c>
      <c r="E1292">
        <v>0</v>
      </c>
      <c r="F1292">
        <f t="shared" si="1376"/>
        <v>0</v>
      </c>
      <c r="G1292">
        <f t="shared" ref="G1292:G1355" si="1387">D1291+D1292</f>
        <v>50</v>
      </c>
      <c r="H1292">
        <f t="shared" si="1375"/>
        <v>2036</v>
      </c>
      <c r="I1292">
        <v>1</v>
      </c>
      <c r="J1292">
        <f t="shared" si="1378"/>
        <v>79.080399999999869</v>
      </c>
      <c r="K1292">
        <f t="shared" si="1379"/>
        <v>0</v>
      </c>
      <c r="L1292">
        <f t="shared" si="1380"/>
        <v>79.080399999999869</v>
      </c>
    </row>
    <row r="1293" spans="2:12">
      <c r="B1293" s="1">
        <v>49931</v>
      </c>
      <c r="C1293" t="s">
        <v>24</v>
      </c>
      <c r="D1293">
        <v>27.3</v>
      </c>
      <c r="E1293">
        <v>18.399999999999999</v>
      </c>
      <c r="F1293">
        <f t="shared" si="1376"/>
        <v>5.0232000000000001</v>
      </c>
      <c r="G1293">
        <f t="shared" ref="G1293" si="1388">D1291+D1292+D1293</f>
        <v>77.3</v>
      </c>
      <c r="H1293">
        <f t="shared" si="1375"/>
        <v>2036</v>
      </c>
      <c r="I1293">
        <v>1</v>
      </c>
      <c r="J1293">
        <f t="shared" si="1378"/>
        <v>84.103599999999872</v>
      </c>
      <c r="K1293">
        <f t="shared" si="1379"/>
        <v>0</v>
      </c>
      <c r="L1293">
        <f t="shared" si="1380"/>
        <v>84.103599999999872</v>
      </c>
    </row>
    <row r="1294" spans="2:12">
      <c r="B1294" s="1">
        <v>49932</v>
      </c>
      <c r="C1294" t="s">
        <v>47</v>
      </c>
      <c r="D1294">
        <v>12.9</v>
      </c>
      <c r="E1294">
        <v>0</v>
      </c>
      <c r="F1294">
        <f t="shared" si="1376"/>
        <v>0</v>
      </c>
      <c r="G1294">
        <f t="shared" ref="G1294" si="1389">D1291+D1292+D1293+D1294</f>
        <v>90.2</v>
      </c>
      <c r="H1294">
        <f t="shared" si="1375"/>
        <v>2036</v>
      </c>
      <c r="I1294">
        <v>1</v>
      </c>
      <c r="J1294">
        <f t="shared" si="1378"/>
        <v>84.103599999999872</v>
      </c>
      <c r="K1294">
        <f t="shared" si="1379"/>
        <v>0</v>
      </c>
      <c r="L1294">
        <f t="shared" si="1380"/>
        <v>84.103599999999872</v>
      </c>
    </row>
    <row r="1295" spans="2:12">
      <c r="B1295" s="1">
        <v>49933</v>
      </c>
      <c r="C1295" t="s">
        <v>50</v>
      </c>
      <c r="D1295">
        <v>24.3</v>
      </c>
      <c r="E1295">
        <v>1.9</v>
      </c>
      <c r="F1295">
        <f t="shared" si="1376"/>
        <v>0.4617</v>
      </c>
      <c r="G1295">
        <f t="shared" ref="G1295" si="1390">D1291+D1292+D1293+D1294+D1295</f>
        <v>114.5</v>
      </c>
      <c r="H1295">
        <f t="shared" si="1375"/>
        <v>2036</v>
      </c>
      <c r="I1295">
        <v>1</v>
      </c>
      <c r="J1295">
        <f t="shared" si="1378"/>
        <v>84.565299999999866</v>
      </c>
      <c r="K1295">
        <f t="shared" si="1379"/>
        <v>0</v>
      </c>
      <c r="L1295">
        <f t="shared" si="1380"/>
        <v>84.565299999999866</v>
      </c>
    </row>
    <row r="1296" spans="2:12">
      <c r="B1296" s="1">
        <v>49934</v>
      </c>
      <c r="C1296" t="s">
        <v>47</v>
      </c>
      <c r="D1296">
        <v>20.6</v>
      </c>
      <c r="E1296">
        <v>14.6</v>
      </c>
      <c r="F1296">
        <f t="shared" si="1376"/>
        <v>3.0076000000000001</v>
      </c>
      <c r="G1296">
        <f t="shared" ref="G1296" si="1391">D1291+D1292+D1293+D1294+D1295+D1296</f>
        <v>135.1</v>
      </c>
      <c r="H1296">
        <f t="shared" si="1375"/>
        <v>2036</v>
      </c>
      <c r="I1296">
        <v>1</v>
      </c>
      <c r="J1296">
        <f t="shared" si="1378"/>
        <v>87.572899999999862</v>
      </c>
      <c r="K1296">
        <f t="shared" si="1379"/>
        <v>0</v>
      </c>
      <c r="L1296">
        <f t="shared" si="1380"/>
        <v>87.572899999999862</v>
      </c>
    </row>
    <row r="1297" spans="2:12">
      <c r="B1297" s="1">
        <v>49935</v>
      </c>
      <c r="C1297" t="s">
        <v>15</v>
      </c>
      <c r="D1297">
        <v>24.2</v>
      </c>
      <c r="E1297">
        <v>0</v>
      </c>
      <c r="F1297">
        <f t="shared" si="1376"/>
        <v>0</v>
      </c>
      <c r="G1297">
        <f t="shared" ref="G1297" si="1392">D1291+D1292+D1293+D1294+D1295+D1296+D1297</f>
        <v>159.29999999999998</v>
      </c>
      <c r="H1297">
        <f t="shared" si="1375"/>
        <v>2036</v>
      </c>
      <c r="I1297">
        <v>1</v>
      </c>
      <c r="J1297">
        <f t="shared" si="1378"/>
        <v>87.572899999999862</v>
      </c>
      <c r="K1297">
        <f t="shared" si="1379"/>
        <v>0</v>
      </c>
      <c r="L1297">
        <f t="shared" si="1380"/>
        <v>87.572899999999862</v>
      </c>
    </row>
    <row r="1298" spans="2:12">
      <c r="B1298" s="1">
        <v>49936</v>
      </c>
      <c r="C1298" t="s">
        <v>24</v>
      </c>
      <c r="D1298">
        <v>15.2</v>
      </c>
      <c r="E1298">
        <v>0</v>
      </c>
      <c r="F1298">
        <f t="shared" si="1376"/>
        <v>0</v>
      </c>
      <c r="G1298">
        <f t="shared" ref="G1298:G1361" si="1393">D1298</f>
        <v>15.2</v>
      </c>
      <c r="H1298">
        <f t="shared" si="1375"/>
        <v>2036</v>
      </c>
      <c r="I1298">
        <v>1</v>
      </c>
      <c r="J1298">
        <f t="shared" si="1378"/>
        <v>87.572899999999862</v>
      </c>
      <c r="K1298">
        <f t="shared" si="1379"/>
        <v>0</v>
      </c>
      <c r="L1298">
        <f t="shared" si="1380"/>
        <v>87.572899999999862</v>
      </c>
    </row>
    <row r="1299" spans="2:12">
      <c r="B1299" s="1">
        <v>49937</v>
      </c>
      <c r="C1299" t="s">
        <v>49</v>
      </c>
      <c r="D1299">
        <v>27.3</v>
      </c>
      <c r="E1299">
        <v>2.5</v>
      </c>
      <c r="F1299">
        <f t="shared" si="1376"/>
        <v>0.6825</v>
      </c>
      <c r="G1299">
        <f t="shared" ref="G1299:G1362" si="1394">D1298+D1299</f>
        <v>42.5</v>
      </c>
      <c r="H1299">
        <f t="shared" si="1375"/>
        <v>2036</v>
      </c>
      <c r="I1299">
        <v>1</v>
      </c>
      <c r="J1299">
        <f t="shared" si="1378"/>
        <v>88.255399999999867</v>
      </c>
      <c r="K1299">
        <f t="shared" si="1379"/>
        <v>0</v>
      </c>
      <c r="L1299">
        <f t="shared" si="1380"/>
        <v>88.255399999999867</v>
      </c>
    </row>
    <row r="1300" spans="2:12">
      <c r="B1300" s="1">
        <v>49938</v>
      </c>
      <c r="C1300" t="s">
        <v>49</v>
      </c>
      <c r="D1300">
        <v>28</v>
      </c>
      <c r="E1300">
        <v>0</v>
      </c>
      <c r="F1300">
        <f t="shared" si="1376"/>
        <v>0</v>
      </c>
      <c r="G1300">
        <f t="shared" ref="G1300" si="1395">D1298+D1299+D1300</f>
        <v>70.5</v>
      </c>
      <c r="H1300">
        <f t="shared" si="1375"/>
        <v>2036</v>
      </c>
      <c r="I1300">
        <v>1</v>
      </c>
      <c r="J1300">
        <f t="shared" si="1378"/>
        <v>88.255399999999867</v>
      </c>
      <c r="K1300">
        <f t="shared" si="1379"/>
        <v>0</v>
      </c>
      <c r="L1300">
        <f t="shared" si="1380"/>
        <v>88.255399999999867</v>
      </c>
    </row>
    <row r="1301" spans="2:12">
      <c r="B1301" s="1">
        <v>49939</v>
      </c>
      <c r="C1301" t="s">
        <v>41</v>
      </c>
      <c r="D1301">
        <v>16.100000000000001</v>
      </c>
      <c r="E1301">
        <v>0</v>
      </c>
      <c r="F1301">
        <f t="shared" si="1376"/>
        <v>0</v>
      </c>
      <c r="G1301">
        <f t="shared" ref="G1301" si="1396">D1298+D1299+D1300+D1301</f>
        <v>86.6</v>
      </c>
      <c r="H1301">
        <f t="shared" si="1375"/>
        <v>2036</v>
      </c>
      <c r="I1301">
        <v>1</v>
      </c>
      <c r="J1301">
        <f t="shared" si="1378"/>
        <v>88.255399999999867</v>
      </c>
      <c r="K1301">
        <f t="shared" si="1379"/>
        <v>0</v>
      </c>
      <c r="L1301">
        <f t="shared" si="1380"/>
        <v>88.255399999999867</v>
      </c>
    </row>
    <row r="1302" spans="2:12">
      <c r="B1302" s="1">
        <v>49940</v>
      </c>
      <c r="C1302" t="s">
        <v>50</v>
      </c>
      <c r="D1302">
        <v>18.8</v>
      </c>
      <c r="E1302">
        <v>16.899999999999999</v>
      </c>
      <c r="F1302">
        <f t="shared" si="1376"/>
        <v>3.1771999999999996</v>
      </c>
      <c r="G1302">
        <f t="shared" ref="G1302" si="1397">D1298+D1299+D1300+D1301+D1302</f>
        <v>105.39999999999999</v>
      </c>
      <c r="H1302">
        <f t="shared" si="1375"/>
        <v>2036</v>
      </c>
      <c r="I1302">
        <v>1</v>
      </c>
      <c r="J1302">
        <f t="shared" si="1378"/>
        <v>91.432599999999866</v>
      </c>
      <c r="K1302">
        <f t="shared" si="1379"/>
        <v>0</v>
      </c>
      <c r="L1302">
        <f t="shared" si="1380"/>
        <v>91.432599999999866</v>
      </c>
    </row>
    <row r="1303" spans="2:12">
      <c r="B1303" s="1">
        <v>49941</v>
      </c>
      <c r="C1303" t="s">
        <v>24</v>
      </c>
      <c r="D1303">
        <v>13.2</v>
      </c>
      <c r="E1303">
        <v>10.4</v>
      </c>
      <c r="F1303">
        <f t="shared" si="1376"/>
        <v>1.3728</v>
      </c>
      <c r="G1303">
        <f t="shared" ref="G1303" si="1398">D1298+D1299+D1300+D1301+D1302+D1303</f>
        <v>118.6</v>
      </c>
      <c r="H1303">
        <f t="shared" si="1375"/>
        <v>2036</v>
      </c>
      <c r="I1303">
        <v>1</v>
      </c>
      <c r="J1303">
        <f t="shared" si="1378"/>
        <v>92.805399999999864</v>
      </c>
      <c r="K1303">
        <f t="shared" si="1379"/>
        <v>0</v>
      </c>
      <c r="L1303">
        <f t="shared" si="1380"/>
        <v>92.805399999999864</v>
      </c>
    </row>
    <row r="1304" spans="2:12">
      <c r="B1304" s="1">
        <v>49942</v>
      </c>
      <c r="C1304" t="s">
        <v>15</v>
      </c>
      <c r="D1304">
        <v>17.899999999999999</v>
      </c>
      <c r="E1304">
        <v>3.5</v>
      </c>
      <c r="F1304">
        <f t="shared" si="1376"/>
        <v>0.62649999999999995</v>
      </c>
      <c r="G1304">
        <f t="shared" ref="G1304" si="1399">D1298+D1299+D1300+D1301+D1302+D1303+D1304</f>
        <v>136.5</v>
      </c>
      <c r="H1304">
        <f t="shared" si="1375"/>
        <v>2036</v>
      </c>
      <c r="I1304">
        <v>1</v>
      </c>
      <c r="J1304">
        <f t="shared" si="1378"/>
        <v>93.431899999999857</v>
      </c>
      <c r="K1304">
        <f t="shared" si="1379"/>
        <v>0</v>
      </c>
      <c r="L1304">
        <f t="shared" si="1380"/>
        <v>93.431899999999857</v>
      </c>
    </row>
    <row r="1305" spans="2:12">
      <c r="B1305" s="1">
        <v>49943</v>
      </c>
      <c r="C1305" t="s">
        <v>18</v>
      </c>
      <c r="D1305">
        <v>18.3</v>
      </c>
      <c r="E1305">
        <v>16.7</v>
      </c>
      <c r="F1305">
        <f t="shared" si="1376"/>
        <v>3.0561000000000003</v>
      </c>
      <c r="G1305">
        <f t="shared" ref="G1305:G1368" si="1400">D1305</f>
        <v>18.3</v>
      </c>
      <c r="H1305">
        <f t="shared" si="1375"/>
        <v>2036</v>
      </c>
      <c r="I1305">
        <v>1</v>
      </c>
      <c r="J1305">
        <f t="shared" si="1378"/>
        <v>96.487999999999857</v>
      </c>
      <c r="K1305">
        <f t="shared" si="1379"/>
        <v>0</v>
      </c>
      <c r="L1305">
        <f t="shared" si="1380"/>
        <v>96.487999999999857</v>
      </c>
    </row>
    <row r="1306" spans="2:12">
      <c r="B1306" s="1">
        <v>49944</v>
      </c>
      <c r="C1306" t="s">
        <v>42</v>
      </c>
      <c r="D1306">
        <v>25.7</v>
      </c>
      <c r="E1306">
        <v>2</v>
      </c>
      <c r="F1306">
        <f t="shared" si="1376"/>
        <v>0.51400000000000001</v>
      </c>
      <c r="G1306">
        <f t="shared" ref="G1306:G1369" si="1401">D1305+D1306</f>
        <v>44</v>
      </c>
      <c r="H1306">
        <f t="shared" si="1375"/>
        <v>2036</v>
      </c>
      <c r="I1306">
        <v>1</v>
      </c>
      <c r="J1306">
        <f t="shared" si="1378"/>
        <v>97.001999999999853</v>
      </c>
      <c r="K1306">
        <f t="shared" si="1379"/>
        <v>0</v>
      </c>
      <c r="L1306">
        <f t="shared" si="1380"/>
        <v>97.001999999999853</v>
      </c>
    </row>
    <row r="1307" spans="2:12">
      <c r="B1307" s="1">
        <v>49945</v>
      </c>
      <c r="C1307" t="s">
        <v>24</v>
      </c>
      <c r="D1307">
        <v>29.2</v>
      </c>
      <c r="E1307">
        <v>31.5</v>
      </c>
      <c r="F1307">
        <f t="shared" si="1376"/>
        <v>9.1980000000000004</v>
      </c>
      <c r="G1307">
        <f t="shared" ref="G1307" si="1402">D1305+D1306+D1307</f>
        <v>73.2</v>
      </c>
      <c r="H1307">
        <f t="shared" si="1375"/>
        <v>2036</v>
      </c>
      <c r="I1307">
        <v>1</v>
      </c>
      <c r="J1307">
        <f t="shared" si="1378"/>
        <v>106.19999999999985</v>
      </c>
      <c r="K1307">
        <f t="shared" si="1379"/>
        <v>1</v>
      </c>
      <c r="L1307">
        <f t="shared" si="1380"/>
        <v>6.1999999999998465</v>
      </c>
    </row>
    <row r="1308" spans="2:12">
      <c r="B1308" s="1">
        <v>49946</v>
      </c>
      <c r="C1308" t="s">
        <v>18</v>
      </c>
      <c r="D1308">
        <v>21.5</v>
      </c>
      <c r="E1308">
        <v>0</v>
      </c>
      <c r="F1308">
        <f t="shared" si="1376"/>
        <v>0</v>
      </c>
      <c r="G1308">
        <f t="shared" ref="G1308" si="1403">D1305+D1306+D1307+D1308</f>
        <v>94.7</v>
      </c>
      <c r="H1308">
        <f t="shared" si="1375"/>
        <v>2036</v>
      </c>
      <c r="I1308">
        <v>1</v>
      </c>
      <c r="J1308">
        <f t="shared" si="1378"/>
        <v>6.1999999999998465</v>
      </c>
      <c r="K1308">
        <f t="shared" si="1379"/>
        <v>0</v>
      </c>
      <c r="L1308">
        <f t="shared" si="1380"/>
        <v>6.1999999999998465</v>
      </c>
    </row>
    <row r="1309" spans="2:12">
      <c r="B1309" s="1">
        <v>49947</v>
      </c>
      <c r="C1309" t="s">
        <v>25</v>
      </c>
      <c r="D1309">
        <v>29.5</v>
      </c>
      <c r="E1309">
        <v>12.2</v>
      </c>
      <c r="F1309">
        <f t="shared" si="1376"/>
        <v>3.5989999999999998</v>
      </c>
      <c r="G1309">
        <f t="shared" ref="G1309" si="1404">D1305+D1306+D1307+D1308+D1309</f>
        <v>124.2</v>
      </c>
      <c r="H1309">
        <f t="shared" si="1375"/>
        <v>2036</v>
      </c>
      <c r="I1309">
        <v>1</v>
      </c>
      <c r="J1309">
        <f t="shared" si="1378"/>
        <v>9.7989999999998467</v>
      </c>
      <c r="K1309">
        <f t="shared" si="1379"/>
        <v>0</v>
      </c>
      <c r="L1309">
        <f t="shared" si="1380"/>
        <v>9.7989999999998467</v>
      </c>
    </row>
    <row r="1310" spans="2:12">
      <c r="B1310" s="1">
        <v>49948</v>
      </c>
      <c r="C1310" t="s">
        <v>18</v>
      </c>
      <c r="D1310">
        <v>17.7</v>
      </c>
      <c r="E1310">
        <v>10.1</v>
      </c>
      <c r="F1310">
        <f t="shared" si="1376"/>
        <v>1.7876999999999998</v>
      </c>
      <c r="G1310">
        <f t="shared" ref="G1310" si="1405">D1305+D1306+D1307+D1308+D1309+D1310</f>
        <v>141.9</v>
      </c>
      <c r="H1310">
        <f t="shared" si="1375"/>
        <v>2036</v>
      </c>
      <c r="I1310">
        <v>1</v>
      </c>
      <c r="J1310">
        <f t="shared" si="1378"/>
        <v>11.586699999999846</v>
      </c>
      <c r="K1310">
        <f t="shared" si="1379"/>
        <v>0</v>
      </c>
      <c r="L1310">
        <f t="shared" si="1380"/>
        <v>11.586699999999846</v>
      </c>
    </row>
    <row r="1311" spans="2:12">
      <c r="B1311" s="1">
        <v>49949</v>
      </c>
      <c r="C1311" t="s">
        <v>50</v>
      </c>
      <c r="D1311">
        <v>26.7</v>
      </c>
      <c r="E1311">
        <v>1.2</v>
      </c>
      <c r="F1311">
        <f t="shared" si="1376"/>
        <v>0.32040000000000002</v>
      </c>
      <c r="G1311">
        <f t="shared" ref="G1311" si="1406">D1305+D1306+D1307+D1308+D1309+D1310+D1311</f>
        <v>168.6</v>
      </c>
      <c r="H1311">
        <f t="shared" si="1375"/>
        <v>2036</v>
      </c>
      <c r="I1311">
        <v>1</v>
      </c>
      <c r="J1311">
        <f t="shared" si="1378"/>
        <v>11.907099999999845</v>
      </c>
      <c r="K1311">
        <f t="shared" si="1379"/>
        <v>0</v>
      </c>
      <c r="L1311">
        <f t="shared" si="1380"/>
        <v>11.907099999999845</v>
      </c>
    </row>
    <row r="1312" spans="2:12">
      <c r="B1312" s="1">
        <v>49950</v>
      </c>
      <c r="C1312" t="s">
        <v>24</v>
      </c>
      <c r="D1312">
        <v>13.3</v>
      </c>
      <c r="E1312">
        <v>0.5</v>
      </c>
      <c r="F1312">
        <f t="shared" si="1376"/>
        <v>0</v>
      </c>
      <c r="G1312">
        <f t="shared" ref="G1312:G1375" si="1407">D1312</f>
        <v>13.3</v>
      </c>
      <c r="H1312">
        <f t="shared" si="1375"/>
        <v>2036</v>
      </c>
      <c r="I1312">
        <v>1</v>
      </c>
      <c r="J1312">
        <f t="shared" si="1378"/>
        <v>11.907099999999845</v>
      </c>
      <c r="K1312">
        <f t="shared" si="1379"/>
        <v>0</v>
      </c>
      <c r="L1312">
        <f t="shared" si="1380"/>
        <v>11.907099999999845</v>
      </c>
    </row>
    <row r="1313" spans="2:12">
      <c r="B1313" s="1">
        <v>49951</v>
      </c>
      <c r="C1313" t="s">
        <v>18</v>
      </c>
      <c r="D1313">
        <v>13.4</v>
      </c>
      <c r="E1313">
        <v>23.4</v>
      </c>
      <c r="F1313">
        <f t="shared" si="1376"/>
        <v>3.1356000000000002</v>
      </c>
      <c r="G1313">
        <f t="shared" ref="G1313:G1376" si="1408">D1312+D1313</f>
        <v>26.700000000000003</v>
      </c>
      <c r="H1313">
        <f t="shared" si="1375"/>
        <v>2036</v>
      </c>
      <c r="I1313">
        <v>1</v>
      </c>
      <c r="J1313">
        <f t="shared" si="1378"/>
        <v>15.042699999999845</v>
      </c>
      <c r="K1313">
        <f t="shared" si="1379"/>
        <v>0</v>
      </c>
      <c r="L1313">
        <f t="shared" si="1380"/>
        <v>15.042699999999845</v>
      </c>
    </row>
    <row r="1314" spans="2:12">
      <c r="B1314" s="1">
        <v>49952</v>
      </c>
      <c r="C1314" t="s">
        <v>25</v>
      </c>
      <c r="D1314">
        <v>22.1</v>
      </c>
      <c r="E1314">
        <v>17.7</v>
      </c>
      <c r="F1314">
        <f t="shared" si="1376"/>
        <v>3.9117000000000002</v>
      </c>
      <c r="G1314">
        <f t="shared" ref="G1314" si="1409">D1312+D1313+D1314</f>
        <v>48.800000000000004</v>
      </c>
      <c r="H1314">
        <f t="shared" si="1375"/>
        <v>2036</v>
      </c>
      <c r="I1314">
        <v>1</v>
      </c>
      <c r="J1314">
        <f t="shared" si="1378"/>
        <v>18.954399999999847</v>
      </c>
      <c r="K1314">
        <f t="shared" si="1379"/>
        <v>0</v>
      </c>
      <c r="L1314">
        <f t="shared" si="1380"/>
        <v>18.954399999999847</v>
      </c>
    </row>
    <row r="1315" spans="2:12">
      <c r="B1315" s="1">
        <v>49953</v>
      </c>
      <c r="C1315" t="s">
        <v>43</v>
      </c>
      <c r="D1315">
        <v>11.4</v>
      </c>
      <c r="E1315">
        <v>0</v>
      </c>
      <c r="F1315">
        <f t="shared" si="1376"/>
        <v>0</v>
      </c>
      <c r="G1315">
        <f t="shared" ref="G1315" si="1410">D1312+D1313+D1314+D1315</f>
        <v>60.2</v>
      </c>
      <c r="H1315">
        <f t="shared" si="1375"/>
        <v>2036</v>
      </c>
      <c r="I1315">
        <v>1</v>
      </c>
      <c r="J1315">
        <f t="shared" si="1378"/>
        <v>18.954399999999847</v>
      </c>
      <c r="K1315">
        <f t="shared" si="1379"/>
        <v>0</v>
      </c>
      <c r="L1315">
        <f t="shared" si="1380"/>
        <v>18.954399999999847</v>
      </c>
    </row>
    <row r="1316" spans="2:12">
      <c r="B1316" s="1">
        <v>49954</v>
      </c>
      <c r="C1316" t="s">
        <v>32</v>
      </c>
      <c r="D1316">
        <v>26</v>
      </c>
      <c r="E1316">
        <v>4.9000000000000004</v>
      </c>
      <c r="F1316">
        <f t="shared" si="1376"/>
        <v>1.274</v>
      </c>
      <c r="G1316">
        <f t="shared" ref="G1316" si="1411">D1312+D1313+D1314+D1315+D1316</f>
        <v>86.2</v>
      </c>
      <c r="H1316">
        <f t="shared" si="1375"/>
        <v>2036</v>
      </c>
      <c r="I1316">
        <v>1</v>
      </c>
      <c r="J1316">
        <f t="shared" si="1378"/>
        <v>20.228399999999848</v>
      </c>
      <c r="K1316">
        <f t="shared" si="1379"/>
        <v>0</v>
      </c>
      <c r="L1316">
        <f t="shared" si="1380"/>
        <v>20.228399999999848</v>
      </c>
    </row>
    <row r="1317" spans="2:12">
      <c r="B1317" s="1">
        <v>49955</v>
      </c>
      <c r="C1317" t="s">
        <v>32</v>
      </c>
      <c r="D1317">
        <v>27.8</v>
      </c>
      <c r="E1317">
        <v>6.7</v>
      </c>
      <c r="F1317">
        <f t="shared" si="1376"/>
        <v>1.8626000000000003</v>
      </c>
      <c r="G1317">
        <f t="shared" ref="G1317" si="1412">D1312+D1313+D1314+D1315+D1316+D1317</f>
        <v>114</v>
      </c>
      <c r="H1317">
        <f t="shared" si="1375"/>
        <v>2036</v>
      </c>
      <c r="I1317">
        <v>1</v>
      </c>
      <c r="J1317">
        <f t="shared" si="1378"/>
        <v>22.090999999999848</v>
      </c>
      <c r="K1317">
        <f t="shared" si="1379"/>
        <v>0</v>
      </c>
      <c r="L1317">
        <f t="shared" si="1380"/>
        <v>22.090999999999848</v>
      </c>
    </row>
    <row r="1318" spans="2:12">
      <c r="B1318" s="1">
        <v>49956</v>
      </c>
      <c r="C1318" t="s">
        <v>18</v>
      </c>
      <c r="D1318">
        <v>29.3</v>
      </c>
      <c r="E1318">
        <v>1.7</v>
      </c>
      <c r="F1318">
        <f t="shared" si="1376"/>
        <v>0.49810000000000004</v>
      </c>
      <c r="G1318">
        <f t="shared" ref="G1318" si="1413">D1312+D1313+D1314+D1315+D1316+D1317+D1318</f>
        <v>143.30000000000001</v>
      </c>
      <c r="H1318">
        <f t="shared" si="1375"/>
        <v>2036</v>
      </c>
      <c r="I1318">
        <v>1</v>
      </c>
      <c r="J1318">
        <f t="shared" si="1378"/>
        <v>22.589099999999849</v>
      </c>
      <c r="K1318">
        <f t="shared" si="1379"/>
        <v>0</v>
      </c>
      <c r="L1318">
        <f t="shared" si="1380"/>
        <v>22.589099999999849</v>
      </c>
    </row>
    <row r="1319" spans="2:12">
      <c r="B1319" s="1">
        <v>49957</v>
      </c>
      <c r="C1319" t="s">
        <v>35</v>
      </c>
      <c r="D1319">
        <v>24.7</v>
      </c>
      <c r="E1319">
        <v>2.5</v>
      </c>
      <c r="F1319">
        <f t="shared" si="1376"/>
        <v>0.61750000000000005</v>
      </c>
      <c r="G1319">
        <f t="shared" ref="G1319:G1382" si="1414">D1319</f>
        <v>24.7</v>
      </c>
      <c r="H1319">
        <f t="shared" si="1375"/>
        <v>2036</v>
      </c>
      <c r="I1319">
        <v>1</v>
      </c>
      <c r="J1319">
        <f t="shared" si="1378"/>
        <v>23.206599999999849</v>
      </c>
      <c r="K1319">
        <f t="shared" si="1379"/>
        <v>0</v>
      </c>
      <c r="L1319">
        <f t="shared" si="1380"/>
        <v>23.206599999999849</v>
      </c>
    </row>
    <row r="1320" spans="2:12">
      <c r="B1320" s="1">
        <v>49958</v>
      </c>
      <c r="C1320" t="s">
        <v>12</v>
      </c>
      <c r="D1320">
        <v>16.600000000000001</v>
      </c>
      <c r="E1320">
        <v>0.1</v>
      </c>
      <c r="F1320">
        <f t="shared" si="1376"/>
        <v>0</v>
      </c>
      <c r="G1320">
        <f t="shared" ref="G1320:G1383" si="1415">D1319+D1320</f>
        <v>41.3</v>
      </c>
      <c r="H1320">
        <f t="shared" si="1375"/>
        <v>2036</v>
      </c>
      <c r="I1320">
        <v>1</v>
      </c>
      <c r="J1320">
        <f t="shared" si="1378"/>
        <v>23.206599999999849</v>
      </c>
      <c r="K1320">
        <f t="shared" si="1379"/>
        <v>0</v>
      </c>
      <c r="L1320">
        <f t="shared" si="1380"/>
        <v>23.206599999999849</v>
      </c>
    </row>
    <row r="1321" spans="2:12">
      <c r="B1321" s="1">
        <v>49959</v>
      </c>
      <c r="C1321" t="s">
        <v>47</v>
      </c>
      <c r="D1321">
        <v>27.5</v>
      </c>
      <c r="E1321">
        <v>0</v>
      </c>
      <c r="F1321">
        <f t="shared" si="1376"/>
        <v>0</v>
      </c>
      <c r="G1321">
        <f t="shared" ref="G1321" si="1416">D1319+D1320+D1321</f>
        <v>68.8</v>
      </c>
      <c r="H1321">
        <f t="shared" si="1375"/>
        <v>2036</v>
      </c>
      <c r="I1321">
        <v>1</v>
      </c>
      <c r="J1321">
        <f t="shared" si="1378"/>
        <v>23.206599999999849</v>
      </c>
      <c r="K1321">
        <f t="shared" si="1379"/>
        <v>0</v>
      </c>
      <c r="L1321">
        <f t="shared" si="1380"/>
        <v>23.206599999999849</v>
      </c>
    </row>
    <row r="1322" spans="2:12">
      <c r="B1322" s="1">
        <v>49960</v>
      </c>
      <c r="C1322" t="s">
        <v>32</v>
      </c>
      <c r="D1322">
        <v>22.7</v>
      </c>
      <c r="E1322">
        <v>0</v>
      </c>
      <c r="F1322">
        <f t="shared" si="1376"/>
        <v>0</v>
      </c>
      <c r="G1322">
        <f t="shared" ref="G1322" si="1417">D1319+D1320+D1321+D1322</f>
        <v>91.5</v>
      </c>
      <c r="H1322">
        <f t="shared" si="1375"/>
        <v>2036</v>
      </c>
      <c r="I1322">
        <v>1</v>
      </c>
      <c r="J1322">
        <f t="shared" si="1378"/>
        <v>23.206599999999849</v>
      </c>
      <c r="K1322">
        <f t="shared" si="1379"/>
        <v>0</v>
      </c>
      <c r="L1322">
        <f t="shared" si="1380"/>
        <v>23.206599999999849</v>
      </c>
    </row>
    <row r="1323" spans="2:12">
      <c r="B1323" s="1">
        <v>49961</v>
      </c>
      <c r="C1323" t="s">
        <v>26</v>
      </c>
      <c r="D1323">
        <v>20.100000000000001</v>
      </c>
      <c r="E1323">
        <v>10.5</v>
      </c>
      <c r="F1323">
        <f t="shared" si="1376"/>
        <v>2.1105</v>
      </c>
      <c r="G1323">
        <f t="shared" ref="G1323" si="1418">D1319+D1320+D1321+D1322+D1323</f>
        <v>111.6</v>
      </c>
      <c r="H1323">
        <f t="shared" si="1375"/>
        <v>2036</v>
      </c>
      <c r="I1323">
        <v>1</v>
      </c>
      <c r="J1323">
        <f t="shared" si="1378"/>
        <v>25.317099999999847</v>
      </c>
      <c r="K1323">
        <f t="shared" si="1379"/>
        <v>0</v>
      </c>
      <c r="L1323">
        <f t="shared" si="1380"/>
        <v>25.317099999999847</v>
      </c>
    </row>
    <row r="1324" spans="2:12">
      <c r="B1324" s="1">
        <v>49962</v>
      </c>
      <c r="C1324" t="s">
        <v>18</v>
      </c>
      <c r="D1324">
        <v>16.100000000000001</v>
      </c>
      <c r="E1324">
        <v>8.1</v>
      </c>
      <c r="F1324">
        <f t="shared" si="1376"/>
        <v>1.3041</v>
      </c>
      <c r="G1324">
        <f t="shared" ref="G1324" si="1419">D1319+D1320+D1321+D1322+D1323+D1324</f>
        <v>127.69999999999999</v>
      </c>
      <c r="H1324">
        <f t="shared" si="1375"/>
        <v>2036</v>
      </c>
      <c r="I1324">
        <v>1</v>
      </c>
      <c r="J1324">
        <f t="shared" si="1378"/>
        <v>26.621199999999845</v>
      </c>
      <c r="K1324">
        <f t="shared" si="1379"/>
        <v>0</v>
      </c>
      <c r="L1324">
        <f t="shared" si="1380"/>
        <v>26.621199999999845</v>
      </c>
    </row>
    <row r="1325" spans="2:12">
      <c r="B1325" s="1">
        <v>49963</v>
      </c>
      <c r="C1325" t="s">
        <v>18</v>
      </c>
      <c r="D1325">
        <v>13.9</v>
      </c>
      <c r="E1325">
        <v>0</v>
      </c>
      <c r="F1325">
        <f t="shared" si="1376"/>
        <v>0</v>
      </c>
      <c r="G1325">
        <f t="shared" ref="G1325" si="1420">D1319+D1320+D1321+D1322+D1323+D1324+D1325</f>
        <v>141.6</v>
      </c>
      <c r="H1325">
        <f t="shared" si="1375"/>
        <v>2036</v>
      </c>
      <c r="I1325">
        <v>1</v>
      </c>
      <c r="J1325">
        <f t="shared" si="1378"/>
        <v>26.621199999999845</v>
      </c>
      <c r="K1325">
        <f t="shared" si="1379"/>
        <v>0</v>
      </c>
      <c r="L1325">
        <f t="shared" si="1380"/>
        <v>26.621199999999845</v>
      </c>
    </row>
    <row r="1326" spans="2:12">
      <c r="B1326" s="1">
        <v>49964</v>
      </c>
      <c r="C1326" t="s">
        <v>26</v>
      </c>
      <c r="D1326">
        <v>22.3</v>
      </c>
      <c r="E1326">
        <v>0</v>
      </c>
      <c r="F1326">
        <f t="shared" si="1376"/>
        <v>0</v>
      </c>
      <c r="G1326">
        <f t="shared" ref="G1326:G1389" si="1421">D1326</f>
        <v>22.3</v>
      </c>
      <c r="H1326">
        <f t="shared" si="1375"/>
        <v>2036</v>
      </c>
      <c r="I1326">
        <v>1</v>
      </c>
      <c r="J1326">
        <f t="shared" si="1378"/>
        <v>26.621199999999845</v>
      </c>
      <c r="K1326">
        <f t="shared" si="1379"/>
        <v>0</v>
      </c>
      <c r="L1326">
        <f t="shared" si="1380"/>
        <v>26.621199999999845</v>
      </c>
    </row>
    <row r="1327" spans="2:12">
      <c r="B1327" s="1">
        <v>49965</v>
      </c>
      <c r="C1327" t="s">
        <v>36</v>
      </c>
      <c r="D1327">
        <v>13</v>
      </c>
      <c r="E1327">
        <v>0</v>
      </c>
      <c r="F1327">
        <f t="shared" si="1376"/>
        <v>0</v>
      </c>
      <c r="G1327">
        <f t="shared" ref="G1327:G1390" si="1422">D1326+D1327</f>
        <v>35.299999999999997</v>
      </c>
      <c r="H1327">
        <f t="shared" si="1375"/>
        <v>2036</v>
      </c>
      <c r="I1327">
        <v>1</v>
      </c>
      <c r="J1327">
        <f t="shared" si="1378"/>
        <v>26.621199999999845</v>
      </c>
      <c r="K1327">
        <f t="shared" si="1379"/>
        <v>0</v>
      </c>
      <c r="L1327">
        <f t="shared" si="1380"/>
        <v>26.621199999999845</v>
      </c>
    </row>
    <row r="1328" spans="2:12">
      <c r="B1328" s="1">
        <v>49966</v>
      </c>
      <c r="C1328" t="s">
        <v>25</v>
      </c>
      <c r="D1328">
        <v>16.2</v>
      </c>
      <c r="E1328">
        <v>0</v>
      </c>
      <c r="F1328">
        <f t="shared" si="1376"/>
        <v>0</v>
      </c>
      <c r="G1328">
        <f t="shared" ref="G1328" si="1423">D1326+D1327+D1328</f>
        <v>51.5</v>
      </c>
      <c r="H1328">
        <f t="shared" si="1375"/>
        <v>2036</v>
      </c>
      <c r="I1328">
        <v>1</v>
      </c>
      <c r="J1328">
        <f t="shared" si="1378"/>
        <v>26.621199999999845</v>
      </c>
      <c r="K1328">
        <f t="shared" si="1379"/>
        <v>0</v>
      </c>
      <c r="L1328">
        <f t="shared" si="1380"/>
        <v>26.621199999999845</v>
      </c>
    </row>
    <row r="1329" spans="2:12">
      <c r="B1329" s="1">
        <v>49967</v>
      </c>
      <c r="C1329" t="s">
        <v>31</v>
      </c>
      <c r="D1329">
        <v>24.8</v>
      </c>
      <c r="E1329">
        <v>0</v>
      </c>
      <c r="F1329">
        <f t="shared" si="1376"/>
        <v>0</v>
      </c>
      <c r="G1329">
        <f t="shared" ref="G1329" si="1424">D1326+D1327+D1328+D1329</f>
        <v>76.3</v>
      </c>
      <c r="H1329">
        <f t="shared" si="1375"/>
        <v>2036</v>
      </c>
      <c r="I1329">
        <v>1</v>
      </c>
      <c r="J1329">
        <f t="shared" si="1378"/>
        <v>26.621199999999845</v>
      </c>
      <c r="K1329">
        <f t="shared" si="1379"/>
        <v>0</v>
      </c>
      <c r="L1329">
        <f t="shared" si="1380"/>
        <v>26.621199999999845</v>
      </c>
    </row>
    <row r="1330" spans="2:12">
      <c r="B1330" s="1">
        <v>49968</v>
      </c>
      <c r="C1330" t="s">
        <v>27</v>
      </c>
      <c r="D1330">
        <v>29.7</v>
      </c>
      <c r="E1330">
        <v>0</v>
      </c>
      <c r="F1330">
        <f t="shared" si="1376"/>
        <v>0</v>
      </c>
      <c r="G1330">
        <f t="shared" ref="G1330" si="1425">D1326+D1327+D1328+D1329+D1330</f>
        <v>106</v>
      </c>
      <c r="H1330">
        <f t="shared" si="1375"/>
        <v>2036</v>
      </c>
      <c r="I1330">
        <v>1</v>
      </c>
      <c r="J1330">
        <f t="shared" si="1378"/>
        <v>26.621199999999845</v>
      </c>
      <c r="K1330">
        <f t="shared" si="1379"/>
        <v>0</v>
      </c>
      <c r="L1330">
        <f t="shared" si="1380"/>
        <v>26.621199999999845</v>
      </c>
    </row>
    <row r="1331" spans="2:12">
      <c r="B1331" s="1">
        <v>49969</v>
      </c>
      <c r="C1331" t="s">
        <v>24</v>
      </c>
      <c r="D1331">
        <v>17.600000000000001</v>
      </c>
      <c r="E1331">
        <v>14.7</v>
      </c>
      <c r="F1331">
        <f t="shared" si="1376"/>
        <v>2.5872000000000002</v>
      </c>
      <c r="G1331">
        <f t="shared" ref="G1331" si="1426">D1326+D1327+D1328+D1329+D1330+D1331</f>
        <v>123.6</v>
      </c>
      <c r="H1331">
        <f t="shared" si="1375"/>
        <v>2036</v>
      </c>
      <c r="I1331">
        <v>1</v>
      </c>
      <c r="J1331">
        <f t="shared" si="1378"/>
        <v>29.208399999999845</v>
      </c>
      <c r="K1331">
        <f t="shared" si="1379"/>
        <v>0</v>
      </c>
      <c r="L1331">
        <f t="shared" si="1380"/>
        <v>29.208399999999845</v>
      </c>
    </row>
    <row r="1332" spans="2:12">
      <c r="B1332" s="1">
        <v>49970</v>
      </c>
      <c r="C1332" t="s">
        <v>24</v>
      </c>
      <c r="D1332">
        <v>10.4</v>
      </c>
      <c r="E1332">
        <v>27.7</v>
      </c>
      <c r="F1332">
        <f t="shared" si="1376"/>
        <v>2.8807999999999998</v>
      </c>
      <c r="G1332">
        <f t="shared" ref="G1332" si="1427">D1326+D1327+D1328+D1329+D1330+D1331+D1332</f>
        <v>134</v>
      </c>
      <c r="H1332">
        <f t="shared" si="1375"/>
        <v>2036</v>
      </c>
      <c r="I1332">
        <v>1</v>
      </c>
      <c r="J1332">
        <f t="shared" si="1378"/>
        <v>32.089199999999842</v>
      </c>
      <c r="K1332">
        <f t="shared" si="1379"/>
        <v>0</v>
      </c>
      <c r="L1332">
        <f t="shared" si="1380"/>
        <v>32.089199999999842</v>
      </c>
    </row>
    <row r="1333" spans="2:12">
      <c r="B1333" s="1">
        <v>49971</v>
      </c>
      <c r="C1333" t="s">
        <v>32</v>
      </c>
      <c r="D1333">
        <v>17</v>
      </c>
      <c r="E1333">
        <v>1.1000000000000001</v>
      </c>
      <c r="F1333">
        <f t="shared" si="1376"/>
        <v>0.18700000000000003</v>
      </c>
      <c r="G1333">
        <f t="shared" ref="G1333:G1396" si="1428">D1333</f>
        <v>17</v>
      </c>
      <c r="H1333">
        <f t="shared" si="1375"/>
        <v>2036</v>
      </c>
      <c r="I1333">
        <v>1</v>
      </c>
      <c r="J1333">
        <f t="shared" si="1378"/>
        <v>32.276199999999839</v>
      </c>
      <c r="K1333">
        <f t="shared" si="1379"/>
        <v>0</v>
      </c>
      <c r="L1333">
        <f t="shared" si="1380"/>
        <v>32.276199999999839</v>
      </c>
    </row>
    <row r="1334" spans="2:12">
      <c r="B1334" s="1">
        <v>49972</v>
      </c>
      <c r="C1334" t="s">
        <v>47</v>
      </c>
      <c r="D1334">
        <v>15.7</v>
      </c>
      <c r="E1334">
        <v>5.9</v>
      </c>
      <c r="F1334">
        <f t="shared" si="1376"/>
        <v>0.9262999999999999</v>
      </c>
      <c r="G1334">
        <f t="shared" ref="G1334:G1397" si="1429">D1333+D1334</f>
        <v>32.700000000000003</v>
      </c>
      <c r="H1334">
        <f t="shared" si="1375"/>
        <v>2036</v>
      </c>
      <c r="I1334">
        <v>1</v>
      </c>
      <c r="J1334">
        <f t="shared" si="1378"/>
        <v>33.202499999999837</v>
      </c>
      <c r="K1334">
        <f t="shared" si="1379"/>
        <v>0</v>
      </c>
      <c r="L1334">
        <f t="shared" si="1380"/>
        <v>33.202499999999837</v>
      </c>
    </row>
    <row r="1335" spans="2:12">
      <c r="B1335" s="1">
        <v>49973</v>
      </c>
      <c r="C1335" t="s">
        <v>50</v>
      </c>
      <c r="D1335">
        <v>23.8</v>
      </c>
      <c r="E1335">
        <v>4.3</v>
      </c>
      <c r="F1335">
        <f t="shared" si="1376"/>
        <v>1.0234000000000001</v>
      </c>
      <c r="G1335">
        <f t="shared" ref="G1335" si="1430">D1333+D1334+D1335</f>
        <v>56.5</v>
      </c>
      <c r="H1335">
        <f t="shared" si="1375"/>
        <v>2036</v>
      </c>
      <c r="I1335">
        <v>1</v>
      </c>
      <c r="J1335">
        <f t="shared" si="1378"/>
        <v>34.225899999999839</v>
      </c>
      <c r="K1335">
        <f t="shared" si="1379"/>
        <v>0</v>
      </c>
      <c r="L1335">
        <f t="shared" si="1380"/>
        <v>34.225899999999839</v>
      </c>
    </row>
    <row r="1336" spans="2:12">
      <c r="B1336" s="1">
        <v>49974</v>
      </c>
      <c r="C1336" t="s">
        <v>25</v>
      </c>
      <c r="D1336">
        <v>16.2</v>
      </c>
      <c r="E1336">
        <v>8.6999999999999993</v>
      </c>
      <c r="F1336">
        <f t="shared" si="1376"/>
        <v>1.4093999999999998</v>
      </c>
      <c r="G1336">
        <f t="shared" ref="G1336" si="1431">D1333+D1334+D1335+D1336</f>
        <v>72.7</v>
      </c>
      <c r="H1336">
        <f t="shared" si="1375"/>
        <v>2036</v>
      </c>
      <c r="I1336">
        <v>1</v>
      </c>
      <c r="J1336">
        <f t="shared" si="1378"/>
        <v>35.635299999999837</v>
      </c>
      <c r="K1336">
        <f t="shared" si="1379"/>
        <v>0</v>
      </c>
      <c r="L1336">
        <f t="shared" si="1380"/>
        <v>35.635299999999837</v>
      </c>
    </row>
    <row r="1337" spans="2:12">
      <c r="B1337" s="1">
        <v>49975</v>
      </c>
      <c r="C1337" t="s">
        <v>15</v>
      </c>
      <c r="D1337">
        <v>23.3</v>
      </c>
      <c r="E1337">
        <v>5.8</v>
      </c>
      <c r="F1337">
        <f t="shared" si="1376"/>
        <v>1.3513999999999999</v>
      </c>
      <c r="G1337">
        <f t="shared" ref="G1337" si="1432">D1333+D1334+D1335+D1336+D1337</f>
        <v>96</v>
      </c>
      <c r="H1337">
        <f t="shared" si="1375"/>
        <v>2036</v>
      </c>
      <c r="I1337">
        <v>1</v>
      </c>
      <c r="J1337">
        <f t="shared" si="1378"/>
        <v>36.986699999999836</v>
      </c>
      <c r="K1337">
        <f t="shared" si="1379"/>
        <v>0</v>
      </c>
      <c r="L1337">
        <f t="shared" si="1380"/>
        <v>36.986699999999836</v>
      </c>
    </row>
    <row r="1338" spans="2:12">
      <c r="B1338" s="1">
        <v>49976</v>
      </c>
      <c r="C1338" t="s">
        <v>18</v>
      </c>
      <c r="D1338">
        <v>18.7</v>
      </c>
      <c r="E1338">
        <v>1.1000000000000001</v>
      </c>
      <c r="F1338">
        <f t="shared" si="1376"/>
        <v>0.20569999999999999</v>
      </c>
      <c r="G1338">
        <f t="shared" ref="G1338" si="1433">D1333+D1334+D1335+D1336+D1337+D1338</f>
        <v>114.7</v>
      </c>
      <c r="H1338">
        <f t="shared" si="1375"/>
        <v>2036</v>
      </c>
      <c r="I1338">
        <v>1</v>
      </c>
      <c r="J1338">
        <f t="shared" si="1378"/>
        <v>37.192399999999836</v>
      </c>
      <c r="K1338">
        <f t="shared" si="1379"/>
        <v>0</v>
      </c>
      <c r="L1338">
        <f t="shared" si="1380"/>
        <v>37.192399999999836</v>
      </c>
    </row>
    <row r="1339" spans="2:12">
      <c r="B1339" s="1">
        <v>49977</v>
      </c>
      <c r="C1339" t="s">
        <v>42</v>
      </c>
      <c r="D1339">
        <v>27.9</v>
      </c>
      <c r="E1339">
        <v>2.6</v>
      </c>
      <c r="F1339">
        <f t="shared" si="1376"/>
        <v>0.72539999999999993</v>
      </c>
      <c r="G1339">
        <f t="shared" ref="G1339" si="1434">D1333+D1334+D1335+D1336+D1337+D1338+D1339</f>
        <v>142.6</v>
      </c>
      <c r="H1339">
        <f t="shared" si="1375"/>
        <v>2036</v>
      </c>
      <c r="I1339">
        <v>1</v>
      </c>
      <c r="J1339">
        <f t="shared" si="1378"/>
        <v>37.917799999999836</v>
      </c>
      <c r="K1339">
        <f t="shared" si="1379"/>
        <v>0</v>
      </c>
      <c r="L1339">
        <f t="shared" si="1380"/>
        <v>37.917799999999836</v>
      </c>
    </row>
    <row r="1340" spans="2:12">
      <c r="B1340" s="1">
        <v>49978</v>
      </c>
      <c r="C1340" t="s">
        <v>47</v>
      </c>
      <c r="D1340">
        <v>19.8</v>
      </c>
      <c r="E1340">
        <v>0</v>
      </c>
      <c r="F1340">
        <f t="shared" si="1376"/>
        <v>0</v>
      </c>
      <c r="G1340">
        <f t="shared" ref="G1340:G1403" si="1435">D1340</f>
        <v>19.8</v>
      </c>
      <c r="H1340">
        <f t="shared" si="1375"/>
        <v>2036</v>
      </c>
      <c r="I1340">
        <v>1</v>
      </c>
      <c r="J1340">
        <f t="shared" si="1378"/>
        <v>37.917799999999836</v>
      </c>
      <c r="K1340">
        <f t="shared" si="1379"/>
        <v>0</v>
      </c>
      <c r="L1340">
        <f t="shared" si="1380"/>
        <v>37.917799999999836</v>
      </c>
    </row>
    <row r="1341" spans="2:12">
      <c r="B1341" s="1">
        <v>49979</v>
      </c>
      <c r="C1341" t="s">
        <v>25</v>
      </c>
      <c r="D1341">
        <v>16.7</v>
      </c>
      <c r="E1341">
        <v>3.5</v>
      </c>
      <c r="F1341">
        <f t="shared" si="1376"/>
        <v>0.58449999999999991</v>
      </c>
      <c r="G1341">
        <f t="shared" ref="G1341:G1404" si="1436">D1340+D1341</f>
        <v>36.5</v>
      </c>
      <c r="H1341">
        <f t="shared" si="1375"/>
        <v>2036</v>
      </c>
      <c r="I1341">
        <v>1</v>
      </c>
      <c r="J1341">
        <f t="shared" si="1378"/>
        <v>38.502299999999835</v>
      </c>
      <c r="K1341">
        <f t="shared" si="1379"/>
        <v>0</v>
      </c>
      <c r="L1341">
        <f t="shared" si="1380"/>
        <v>38.502299999999835</v>
      </c>
    </row>
    <row r="1342" spans="2:12">
      <c r="B1342" s="1">
        <v>49980</v>
      </c>
      <c r="C1342" t="s">
        <v>35</v>
      </c>
      <c r="D1342">
        <v>28.6</v>
      </c>
      <c r="E1342">
        <v>0</v>
      </c>
      <c r="F1342">
        <f t="shared" si="1376"/>
        <v>0</v>
      </c>
      <c r="G1342">
        <f t="shared" ref="G1342" si="1437">D1340+D1341+D1342</f>
        <v>65.099999999999994</v>
      </c>
      <c r="H1342">
        <f t="shared" si="1375"/>
        <v>2036</v>
      </c>
      <c r="I1342">
        <v>1</v>
      </c>
      <c r="J1342">
        <f t="shared" si="1378"/>
        <v>38.502299999999835</v>
      </c>
      <c r="K1342">
        <f t="shared" si="1379"/>
        <v>0</v>
      </c>
      <c r="L1342">
        <f t="shared" si="1380"/>
        <v>38.502299999999835</v>
      </c>
    </row>
    <row r="1343" spans="2:12">
      <c r="B1343" s="1">
        <v>49981</v>
      </c>
      <c r="C1343" t="s">
        <v>24</v>
      </c>
      <c r="D1343">
        <v>10.8</v>
      </c>
      <c r="E1343">
        <v>32.9</v>
      </c>
      <c r="F1343">
        <f t="shared" si="1376"/>
        <v>3.5531999999999999</v>
      </c>
      <c r="G1343">
        <f t="shared" ref="G1343" si="1438">D1340+D1341+D1342+D1343</f>
        <v>75.899999999999991</v>
      </c>
      <c r="H1343">
        <f t="shared" si="1375"/>
        <v>2036</v>
      </c>
      <c r="I1343">
        <v>1</v>
      </c>
      <c r="J1343">
        <f t="shared" si="1378"/>
        <v>42.055499999999832</v>
      </c>
      <c r="K1343">
        <f t="shared" si="1379"/>
        <v>0</v>
      </c>
      <c r="L1343">
        <f t="shared" si="1380"/>
        <v>42.055499999999832</v>
      </c>
    </row>
    <row r="1344" spans="2:12">
      <c r="B1344" s="1">
        <v>49982</v>
      </c>
      <c r="C1344" t="s">
        <v>47</v>
      </c>
      <c r="D1344">
        <v>12.8</v>
      </c>
      <c r="E1344">
        <v>0</v>
      </c>
      <c r="F1344">
        <f t="shared" si="1376"/>
        <v>0</v>
      </c>
      <c r="G1344">
        <f t="shared" ref="G1344" si="1439">D1340+D1341+D1342+D1343+D1344</f>
        <v>88.699999999999989</v>
      </c>
      <c r="H1344">
        <f t="shared" si="1375"/>
        <v>2036</v>
      </c>
      <c r="I1344">
        <v>1</v>
      </c>
      <c r="J1344">
        <f t="shared" si="1378"/>
        <v>42.055499999999832</v>
      </c>
      <c r="K1344">
        <f t="shared" si="1379"/>
        <v>0</v>
      </c>
      <c r="L1344">
        <f t="shared" si="1380"/>
        <v>42.055499999999832</v>
      </c>
    </row>
    <row r="1345" spans="2:12">
      <c r="B1345" s="1">
        <v>49983</v>
      </c>
      <c r="C1345" t="s">
        <v>36</v>
      </c>
      <c r="D1345">
        <v>17.600000000000001</v>
      </c>
      <c r="E1345">
        <v>0</v>
      </c>
      <c r="F1345">
        <f t="shared" si="1376"/>
        <v>0</v>
      </c>
      <c r="G1345">
        <f t="shared" ref="G1345" si="1440">D1340+D1341+D1342+D1343+D1344+D1345</f>
        <v>106.29999999999998</v>
      </c>
      <c r="H1345">
        <f t="shared" si="1375"/>
        <v>2036</v>
      </c>
      <c r="I1345">
        <v>1</v>
      </c>
      <c r="J1345">
        <f t="shared" si="1378"/>
        <v>42.055499999999832</v>
      </c>
      <c r="K1345">
        <f t="shared" si="1379"/>
        <v>0</v>
      </c>
      <c r="L1345">
        <f t="shared" si="1380"/>
        <v>42.055499999999832</v>
      </c>
    </row>
    <row r="1346" spans="2:12">
      <c r="B1346" s="1">
        <v>49984</v>
      </c>
      <c r="C1346" t="s">
        <v>43</v>
      </c>
      <c r="D1346">
        <v>24.1</v>
      </c>
      <c r="E1346">
        <v>0</v>
      </c>
      <c r="F1346">
        <f t="shared" si="1376"/>
        <v>0</v>
      </c>
      <c r="G1346">
        <f t="shared" ref="G1346" si="1441">D1340+D1341+D1342+D1343+D1344+D1345+D1346</f>
        <v>130.39999999999998</v>
      </c>
      <c r="H1346">
        <f t="shared" si="1375"/>
        <v>2036</v>
      </c>
      <c r="I1346">
        <v>1</v>
      </c>
      <c r="J1346">
        <f t="shared" si="1378"/>
        <v>42.055499999999832</v>
      </c>
      <c r="K1346">
        <f t="shared" si="1379"/>
        <v>0</v>
      </c>
      <c r="L1346">
        <f t="shared" si="1380"/>
        <v>42.055499999999832</v>
      </c>
    </row>
    <row r="1347" spans="2:12">
      <c r="B1347" s="1">
        <v>49985</v>
      </c>
      <c r="C1347" t="s">
        <v>25</v>
      </c>
      <c r="D1347">
        <v>11.4</v>
      </c>
      <c r="E1347">
        <v>18.2</v>
      </c>
      <c r="F1347">
        <f t="shared" si="1376"/>
        <v>2.0747999999999998</v>
      </c>
      <c r="G1347">
        <f t="shared" ref="G1347:G1410" si="1442">D1347</f>
        <v>11.4</v>
      </c>
      <c r="H1347">
        <f t="shared" si="1375"/>
        <v>2036</v>
      </c>
      <c r="I1347">
        <v>1</v>
      </c>
      <c r="J1347">
        <f t="shared" si="1378"/>
        <v>44.130299999999835</v>
      </c>
      <c r="K1347">
        <f t="shared" si="1379"/>
        <v>0</v>
      </c>
      <c r="L1347">
        <f t="shared" si="1380"/>
        <v>44.130299999999835</v>
      </c>
    </row>
    <row r="1348" spans="2:12">
      <c r="B1348" s="1">
        <v>49986</v>
      </c>
      <c r="C1348" t="s">
        <v>21</v>
      </c>
      <c r="D1348">
        <v>21.9</v>
      </c>
      <c r="E1348">
        <v>5.4</v>
      </c>
      <c r="F1348">
        <f t="shared" si="1376"/>
        <v>1.1826000000000001</v>
      </c>
      <c r="G1348">
        <f t="shared" ref="G1348:G1411" si="1443">D1347+D1348</f>
        <v>33.299999999999997</v>
      </c>
      <c r="H1348">
        <f t="shared" ref="H1348:H1411" si="1444">YEAR(B1348)</f>
        <v>2036</v>
      </c>
      <c r="I1348">
        <v>1</v>
      </c>
      <c r="J1348">
        <f t="shared" si="1378"/>
        <v>45.312899999999836</v>
      </c>
      <c r="K1348">
        <f t="shared" si="1379"/>
        <v>0</v>
      </c>
      <c r="L1348">
        <f t="shared" si="1380"/>
        <v>45.312899999999836</v>
      </c>
    </row>
    <row r="1349" spans="2:12">
      <c r="B1349" s="1">
        <v>49987</v>
      </c>
      <c r="C1349" t="s">
        <v>36</v>
      </c>
      <c r="D1349">
        <v>16.8</v>
      </c>
      <c r="E1349">
        <v>1.6</v>
      </c>
      <c r="F1349">
        <f t="shared" ref="F1349:F1412" si="1445">IF(E1349&gt;=1,D1349*E1349/100,0)</f>
        <v>0.26880000000000004</v>
      </c>
      <c r="G1349">
        <f t="shared" ref="G1349" si="1446">D1347+D1348+D1349</f>
        <v>50.099999999999994</v>
      </c>
      <c r="H1349">
        <f t="shared" si="1444"/>
        <v>2036</v>
      </c>
      <c r="I1349">
        <v>1</v>
      </c>
      <c r="J1349">
        <f t="shared" ref="J1349:J1412" si="1447">L1348+F1349</f>
        <v>45.581699999999834</v>
      </c>
      <c r="K1349">
        <f t="shared" ref="K1349:K1412" si="1448">IF(J1349&gt;=100,1,0)</f>
        <v>0</v>
      </c>
      <c r="L1349">
        <f t="shared" ref="L1349:L1412" si="1449">IF(K1349=1,J1349-100,J1349)</f>
        <v>45.581699999999834</v>
      </c>
    </row>
    <row r="1350" spans="2:12">
      <c r="B1350" s="1">
        <v>49988</v>
      </c>
      <c r="C1350" t="s">
        <v>17</v>
      </c>
      <c r="D1350">
        <v>26</v>
      </c>
      <c r="E1350">
        <v>0</v>
      </c>
      <c r="F1350">
        <f t="shared" si="1445"/>
        <v>0</v>
      </c>
      <c r="G1350">
        <f t="shared" ref="G1350" si="1450">D1347+D1348+D1349+D1350</f>
        <v>76.099999999999994</v>
      </c>
      <c r="H1350">
        <f t="shared" si="1444"/>
        <v>2036</v>
      </c>
      <c r="I1350">
        <v>1</v>
      </c>
      <c r="J1350">
        <f t="shared" si="1447"/>
        <v>45.581699999999834</v>
      </c>
      <c r="K1350">
        <f t="shared" si="1448"/>
        <v>0</v>
      </c>
      <c r="L1350">
        <f t="shared" si="1449"/>
        <v>45.581699999999834</v>
      </c>
    </row>
    <row r="1351" spans="2:12">
      <c r="B1351" s="1">
        <v>49989</v>
      </c>
      <c r="C1351" t="s">
        <v>25</v>
      </c>
      <c r="D1351">
        <v>20.2</v>
      </c>
      <c r="E1351">
        <v>10</v>
      </c>
      <c r="F1351">
        <f t="shared" si="1445"/>
        <v>2.02</v>
      </c>
      <c r="G1351">
        <f t="shared" ref="G1351" si="1451">D1347+D1348+D1349+D1350+D1351</f>
        <v>96.3</v>
      </c>
      <c r="H1351">
        <f t="shared" si="1444"/>
        <v>2036</v>
      </c>
      <c r="I1351">
        <v>1</v>
      </c>
      <c r="J1351">
        <f t="shared" si="1447"/>
        <v>47.601699999999838</v>
      </c>
      <c r="K1351">
        <f t="shared" si="1448"/>
        <v>0</v>
      </c>
      <c r="L1351">
        <f t="shared" si="1449"/>
        <v>47.601699999999838</v>
      </c>
    </row>
    <row r="1352" spans="2:12">
      <c r="B1352" s="1">
        <v>49990</v>
      </c>
      <c r="C1352" t="s">
        <v>50</v>
      </c>
      <c r="D1352">
        <v>20.3</v>
      </c>
      <c r="E1352">
        <v>37.799999999999997</v>
      </c>
      <c r="F1352">
        <f t="shared" si="1445"/>
        <v>7.6733999999999991</v>
      </c>
      <c r="G1352">
        <f t="shared" ref="G1352" si="1452">D1347+D1348+D1349+D1350+D1351+D1352</f>
        <v>116.6</v>
      </c>
      <c r="H1352">
        <f t="shared" si="1444"/>
        <v>2036</v>
      </c>
      <c r="I1352">
        <v>1</v>
      </c>
      <c r="J1352">
        <f t="shared" si="1447"/>
        <v>55.275099999999838</v>
      </c>
      <c r="K1352">
        <f t="shared" si="1448"/>
        <v>0</v>
      </c>
      <c r="L1352">
        <f t="shared" si="1449"/>
        <v>55.275099999999838</v>
      </c>
    </row>
    <row r="1353" spans="2:12">
      <c r="B1353" s="1">
        <v>49991</v>
      </c>
      <c r="C1353" t="s">
        <v>18</v>
      </c>
      <c r="D1353">
        <v>27.5</v>
      </c>
      <c r="E1353">
        <v>20.8</v>
      </c>
      <c r="F1353">
        <f t="shared" si="1445"/>
        <v>5.72</v>
      </c>
      <c r="G1353">
        <f t="shared" ref="G1353" si="1453">D1347+D1348+D1349+D1350+D1351+D1352+D1353</f>
        <v>144.1</v>
      </c>
      <c r="H1353">
        <f t="shared" si="1444"/>
        <v>2036</v>
      </c>
      <c r="I1353">
        <v>1</v>
      </c>
      <c r="J1353">
        <f t="shared" si="1447"/>
        <v>60.995099999999837</v>
      </c>
      <c r="K1353">
        <f t="shared" si="1448"/>
        <v>0</v>
      </c>
      <c r="L1353">
        <f t="shared" si="1449"/>
        <v>60.995099999999837</v>
      </c>
    </row>
    <row r="1354" spans="2:12">
      <c r="B1354" s="1">
        <v>49992</v>
      </c>
      <c r="C1354" t="s">
        <v>50</v>
      </c>
      <c r="D1354">
        <v>24.2</v>
      </c>
      <c r="E1354">
        <v>2.9</v>
      </c>
      <c r="F1354">
        <f t="shared" si="1445"/>
        <v>0.70179999999999998</v>
      </c>
      <c r="G1354">
        <f t="shared" ref="G1354:G1417" si="1454">D1354</f>
        <v>24.2</v>
      </c>
      <c r="H1354">
        <f t="shared" si="1444"/>
        <v>2036</v>
      </c>
      <c r="I1354">
        <v>1</v>
      </c>
      <c r="J1354">
        <f t="shared" si="1447"/>
        <v>61.696899999999836</v>
      </c>
      <c r="K1354">
        <f t="shared" si="1448"/>
        <v>0</v>
      </c>
      <c r="L1354">
        <f t="shared" si="1449"/>
        <v>61.696899999999836</v>
      </c>
    </row>
    <row r="1355" spans="2:12">
      <c r="B1355" s="1">
        <v>49993</v>
      </c>
      <c r="C1355" t="s">
        <v>25</v>
      </c>
      <c r="D1355">
        <v>10.7</v>
      </c>
      <c r="E1355">
        <v>14.3</v>
      </c>
      <c r="F1355">
        <f t="shared" si="1445"/>
        <v>1.5301</v>
      </c>
      <c r="G1355">
        <f t="shared" ref="G1355:G1418" si="1455">D1354+D1355</f>
        <v>34.9</v>
      </c>
      <c r="H1355">
        <f t="shared" si="1444"/>
        <v>2036</v>
      </c>
      <c r="I1355">
        <v>1</v>
      </c>
      <c r="J1355">
        <f t="shared" si="1447"/>
        <v>63.226999999999833</v>
      </c>
      <c r="K1355">
        <f t="shared" si="1448"/>
        <v>0</v>
      </c>
      <c r="L1355">
        <f t="shared" si="1449"/>
        <v>63.226999999999833</v>
      </c>
    </row>
    <row r="1356" spans="2:12">
      <c r="B1356" s="1">
        <v>49994</v>
      </c>
      <c r="C1356" t="s">
        <v>50</v>
      </c>
      <c r="D1356">
        <v>17.3</v>
      </c>
      <c r="E1356">
        <v>0</v>
      </c>
      <c r="F1356">
        <f t="shared" si="1445"/>
        <v>0</v>
      </c>
      <c r="G1356">
        <f t="shared" ref="G1356" si="1456">D1354+D1355+D1356</f>
        <v>52.2</v>
      </c>
      <c r="H1356">
        <f t="shared" si="1444"/>
        <v>2036</v>
      </c>
      <c r="I1356">
        <v>1</v>
      </c>
      <c r="J1356">
        <f t="shared" si="1447"/>
        <v>63.226999999999833</v>
      </c>
      <c r="K1356">
        <f t="shared" si="1448"/>
        <v>0</v>
      </c>
      <c r="L1356">
        <f t="shared" si="1449"/>
        <v>63.226999999999833</v>
      </c>
    </row>
    <row r="1357" spans="2:12">
      <c r="B1357" s="1">
        <v>49995</v>
      </c>
      <c r="C1357" t="s">
        <v>25</v>
      </c>
      <c r="D1357">
        <v>13.5</v>
      </c>
      <c r="E1357">
        <v>21.1</v>
      </c>
      <c r="F1357">
        <f t="shared" si="1445"/>
        <v>2.8485</v>
      </c>
      <c r="G1357">
        <f t="shared" ref="G1357" si="1457">D1354+D1355+D1356+D1357</f>
        <v>65.7</v>
      </c>
      <c r="H1357">
        <f t="shared" si="1444"/>
        <v>2036</v>
      </c>
      <c r="I1357">
        <v>1</v>
      </c>
      <c r="J1357">
        <f t="shared" si="1447"/>
        <v>66.075499999999835</v>
      </c>
      <c r="K1357">
        <f t="shared" si="1448"/>
        <v>0</v>
      </c>
      <c r="L1357">
        <f t="shared" si="1449"/>
        <v>66.075499999999835</v>
      </c>
    </row>
    <row r="1358" spans="2:12">
      <c r="B1358" s="1">
        <v>49996</v>
      </c>
      <c r="C1358" t="s">
        <v>17</v>
      </c>
      <c r="D1358">
        <v>13.6</v>
      </c>
      <c r="E1358">
        <v>6</v>
      </c>
      <c r="F1358">
        <f t="shared" si="1445"/>
        <v>0.81599999999999995</v>
      </c>
      <c r="G1358">
        <f t="shared" ref="G1358" si="1458">D1354+D1355+D1356+D1357+D1358</f>
        <v>79.3</v>
      </c>
      <c r="H1358">
        <f t="shared" si="1444"/>
        <v>2036</v>
      </c>
      <c r="I1358">
        <v>1</v>
      </c>
      <c r="J1358">
        <f t="shared" si="1447"/>
        <v>66.891499999999837</v>
      </c>
      <c r="K1358">
        <f t="shared" si="1448"/>
        <v>0</v>
      </c>
      <c r="L1358">
        <f t="shared" si="1449"/>
        <v>66.891499999999837</v>
      </c>
    </row>
    <row r="1359" spans="2:12">
      <c r="B1359" s="1">
        <v>49997</v>
      </c>
      <c r="C1359" t="s">
        <v>15</v>
      </c>
      <c r="D1359">
        <v>19.899999999999999</v>
      </c>
      <c r="E1359">
        <v>0</v>
      </c>
      <c r="F1359">
        <f t="shared" si="1445"/>
        <v>0</v>
      </c>
      <c r="G1359">
        <f t="shared" ref="G1359" si="1459">D1354+D1355+D1356+D1357+D1358+D1359</f>
        <v>99.199999999999989</v>
      </c>
      <c r="H1359">
        <f t="shared" si="1444"/>
        <v>2036</v>
      </c>
      <c r="I1359">
        <v>1</v>
      </c>
      <c r="J1359">
        <f t="shared" si="1447"/>
        <v>66.891499999999837</v>
      </c>
      <c r="K1359">
        <f t="shared" si="1448"/>
        <v>0</v>
      </c>
      <c r="L1359">
        <f t="shared" si="1449"/>
        <v>66.891499999999837</v>
      </c>
    </row>
    <row r="1360" spans="2:12">
      <c r="B1360" s="1">
        <v>49998</v>
      </c>
      <c r="C1360" t="s">
        <v>47</v>
      </c>
      <c r="D1360">
        <v>13.1</v>
      </c>
      <c r="E1360">
        <v>10.199999999999999</v>
      </c>
      <c r="F1360">
        <f t="shared" si="1445"/>
        <v>1.3361999999999998</v>
      </c>
      <c r="G1360">
        <f t="shared" ref="G1360" si="1460">D1354+D1355+D1356+D1357+D1358+D1359+D1360</f>
        <v>112.29999999999998</v>
      </c>
      <c r="H1360">
        <f t="shared" si="1444"/>
        <v>2036</v>
      </c>
      <c r="I1360">
        <v>1</v>
      </c>
      <c r="J1360">
        <f t="shared" si="1447"/>
        <v>68.227699999999842</v>
      </c>
      <c r="K1360">
        <f t="shared" si="1448"/>
        <v>0</v>
      </c>
      <c r="L1360">
        <f t="shared" si="1449"/>
        <v>68.227699999999842</v>
      </c>
    </row>
    <row r="1361" spans="2:12">
      <c r="B1361" s="1">
        <v>49999</v>
      </c>
      <c r="C1361" t="s">
        <v>46</v>
      </c>
      <c r="D1361">
        <v>29.8</v>
      </c>
      <c r="E1361">
        <v>1.9</v>
      </c>
      <c r="F1361">
        <f t="shared" si="1445"/>
        <v>0.56619999999999993</v>
      </c>
      <c r="G1361">
        <f t="shared" ref="G1361:G1424" si="1461">D1361</f>
        <v>29.8</v>
      </c>
      <c r="H1361">
        <f t="shared" si="1444"/>
        <v>2036</v>
      </c>
      <c r="I1361">
        <v>1</v>
      </c>
      <c r="J1361">
        <f t="shared" si="1447"/>
        <v>68.793899999999837</v>
      </c>
      <c r="K1361">
        <f t="shared" si="1448"/>
        <v>0</v>
      </c>
      <c r="L1361">
        <f t="shared" si="1449"/>
        <v>68.793899999999837</v>
      </c>
    </row>
    <row r="1362" spans="2:12">
      <c r="B1362" s="1">
        <v>50000</v>
      </c>
      <c r="C1362" t="s">
        <v>23</v>
      </c>
      <c r="D1362">
        <v>23.7</v>
      </c>
      <c r="E1362">
        <v>0.3</v>
      </c>
      <c r="F1362">
        <f t="shared" si="1445"/>
        <v>0</v>
      </c>
      <c r="G1362">
        <f t="shared" ref="G1362:G1425" si="1462">D1361+D1362</f>
        <v>53.5</v>
      </c>
      <c r="H1362">
        <f t="shared" si="1444"/>
        <v>2036</v>
      </c>
      <c r="I1362">
        <v>1</v>
      </c>
      <c r="J1362">
        <f t="shared" si="1447"/>
        <v>68.793899999999837</v>
      </c>
      <c r="K1362">
        <f t="shared" si="1448"/>
        <v>0</v>
      </c>
      <c r="L1362">
        <f t="shared" si="1449"/>
        <v>68.793899999999837</v>
      </c>
    </row>
    <row r="1363" spans="2:12">
      <c r="B1363" s="1">
        <v>50001</v>
      </c>
      <c r="C1363" t="s">
        <v>50</v>
      </c>
      <c r="D1363">
        <v>14</v>
      </c>
      <c r="E1363">
        <v>0</v>
      </c>
      <c r="F1363">
        <f t="shared" si="1445"/>
        <v>0</v>
      </c>
      <c r="G1363">
        <f t="shared" ref="G1363" si="1463">D1361+D1362+D1363</f>
        <v>67.5</v>
      </c>
      <c r="H1363">
        <f t="shared" si="1444"/>
        <v>2036</v>
      </c>
      <c r="I1363">
        <v>1</v>
      </c>
      <c r="J1363">
        <f t="shared" si="1447"/>
        <v>68.793899999999837</v>
      </c>
      <c r="K1363">
        <f t="shared" si="1448"/>
        <v>0</v>
      </c>
      <c r="L1363">
        <f t="shared" si="1449"/>
        <v>68.793899999999837</v>
      </c>
    </row>
    <row r="1364" spans="2:12">
      <c r="B1364" s="1">
        <v>50002</v>
      </c>
      <c r="C1364" t="s">
        <v>39</v>
      </c>
      <c r="D1364">
        <v>19</v>
      </c>
      <c r="E1364">
        <v>0.5</v>
      </c>
      <c r="F1364">
        <f t="shared" si="1445"/>
        <v>0</v>
      </c>
      <c r="G1364">
        <f t="shared" ref="G1364" si="1464">D1361+D1362+D1363+D1364</f>
        <v>86.5</v>
      </c>
      <c r="H1364">
        <f t="shared" si="1444"/>
        <v>2036</v>
      </c>
      <c r="I1364">
        <v>1</v>
      </c>
      <c r="J1364">
        <f t="shared" si="1447"/>
        <v>68.793899999999837</v>
      </c>
      <c r="K1364">
        <f t="shared" si="1448"/>
        <v>0</v>
      </c>
      <c r="L1364">
        <f t="shared" si="1449"/>
        <v>68.793899999999837</v>
      </c>
    </row>
    <row r="1365" spans="2:12">
      <c r="B1365" s="1">
        <v>50003</v>
      </c>
      <c r="C1365" t="s">
        <v>45</v>
      </c>
      <c r="D1365">
        <v>23.9</v>
      </c>
      <c r="E1365">
        <v>0.5</v>
      </c>
      <c r="F1365">
        <f t="shared" si="1445"/>
        <v>0</v>
      </c>
      <c r="G1365">
        <f t="shared" ref="G1365" si="1465">D1361+D1362+D1363+D1364+D1365</f>
        <v>110.4</v>
      </c>
      <c r="H1365">
        <f t="shared" si="1444"/>
        <v>2036</v>
      </c>
      <c r="I1365">
        <v>1</v>
      </c>
      <c r="J1365">
        <f t="shared" si="1447"/>
        <v>68.793899999999837</v>
      </c>
      <c r="K1365">
        <f t="shared" si="1448"/>
        <v>0</v>
      </c>
      <c r="L1365">
        <f t="shared" si="1449"/>
        <v>68.793899999999837</v>
      </c>
    </row>
    <row r="1366" spans="2:12">
      <c r="B1366" s="1">
        <v>50004</v>
      </c>
      <c r="C1366" t="s">
        <v>50</v>
      </c>
      <c r="D1366">
        <v>12.8</v>
      </c>
      <c r="E1366">
        <v>26.7</v>
      </c>
      <c r="F1366">
        <f t="shared" si="1445"/>
        <v>3.4175999999999997</v>
      </c>
      <c r="G1366">
        <f t="shared" ref="G1366" si="1466">D1361+D1362+D1363+D1364+D1365+D1366</f>
        <v>123.2</v>
      </c>
      <c r="H1366">
        <f t="shared" si="1444"/>
        <v>2036</v>
      </c>
      <c r="I1366">
        <v>1</v>
      </c>
      <c r="J1366">
        <f t="shared" si="1447"/>
        <v>72.21149999999983</v>
      </c>
      <c r="K1366">
        <f t="shared" si="1448"/>
        <v>0</v>
      </c>
      <c r="L1366">
        <f t="shared" si="1449"/>
        <v>72.21149999999983</v>
      </c>
    </row>
    <row r="1367" spans="2:12">
      <c r="B1367" s="1">
        <v>50005</v>
      </c>
      <c r="C1367" t="s">
        <v>18</v>
      </c>
      <c r="D1367">
        <v>26.9</v>
      </c>
      <c r="E1367">
        <v>4.5</v>
      </c>
      <c r="F1367">
        <f t="shared" si="1445"/>
        <v>1.2104999999999999</v>
      </c>
      <c r="G1367">
        <f t="shared" ref="G1367" si="1467">D1361+D1362+D1363+D1364+D1365+D1366+D1367</f>
        <v>150.1</v>
      </c>
      <c r="H1367">
        <f t="shared" si="1444"/>
        <v>2036</v>
      </c>
      <c r="I1367">
        <v>1</v>
      </c>
      <c r="J1367">
        <f t="shared" si="1447"/>
        <v>73.421999999999827</v>
      </c>
      <c r="K1367">
        <f t="shared" si="1448"/>
        <v>0</v>
      </c>
      <c r="L1367">
        <f t="shared" si="1449"/>
        <v>73.421999999999827</v>
      </c>
    </row>
    <row r="1368" spans="2:12">
      <c r="B1368" s="1">
        <v>50006</v>
      </c>
      <c r="C1368" t="s">
        <v>36</v>
      </c>
      <c r="D1368">
        <v>10.6</v>
      </c>
      <c r="E1368">
        <v>0</v>
      </c>
      <c r="F1368">
        <f t="shared" si="1445"/>
        <v>0</v>
      </c>
      <c r="G1368">
        <f t="shared" ref="G1368:G1431" si="1468">D1368</f>
        <v>10.6</v>
      </c>
      <c r="H1368">
        <f t="shared" si="1444"/>
        <v>2036</v>
      </c>
      <c r="I1368">
        <v>1</v>
      </c>
      <c r="J1368">
        <f t="shared" si="1447"/>
        <v>73.421999999999827</v>
      </c>
      <c r="K1368">
        <f t="shared" si="1448"/>
        <v>0</v>
      </c>
      <c r="L1368">
        <f t="shared" si="1449"/>
        <v>73.421999999999827</v>
      </c>
    </row>
    <row r="1369" spans="2:12">
      <c r="B1369" s="1">
        <v>50007</v>
      </c>
      <c r="C1369" t="s">
        <v>25</v>
      </c>
      <c r="D1369">
        <v>21.1</v>
      </c>
      <c r="E1369">
        <v>10.6</v>
      </c>
      <c r="F1369">
        <f t="shared" si="1445"/>
        <v>2.2366000000000001</v>
      </c>
      <c r="G1369">
        <f t="shared" ref="G1369:G1432" si="1469">D1368+D1369</f>
        <v>31.700000000000003</v>
      </c>
      <c r="H1369">
        <f t="shared" si="1444"/>
        <v>2036</v>
      </c>
      <c r="I1369">
        <v>1</v>
      </c>
      <c r="J1369">
        <f t="shared" si="1447"/>
        <v>75.658599999999822</v>
      </c>
      <c r="K1369">
        <f t="shared" si="1448"/>
        <v>0</v>
      </c>
      <c r="L1369">
        <f t="shared" si="1449"/>
        <v>75.658599999999822</v>
      </c>
    </row>
    <row r="1370" spans="2:12">
      <c r="B1370" s="1">
        <v>50008</v>
      </c>
      <c r="C1370" t="s">
        <v>17</v>
      </c>
      <c r="D1370">
        <v>11.7</v>
      </c>
      <c r="E1370">
        <v>9.9</v>
      </c>
      <c r="F1370">
        <f t="shared" si="1445"/>
        <v>1.1582999999999999</v>
      </c>
      <c r="G1370">
        <f t="shared" ref="G1370" si="1470">D1368+D1369+D1370</f>
        <v>43.400000000000006</v>
      </c>
      <c r="H1370">
        <f t="shared" si="1444"/>
        <v>2036</v>
      </c>
      <c r="I1370">
        <v>1</v>
      </c>
      <c r="J1370">
        <f t="shared" si="1447"/>
        <v>76.816899999999819</v>
      </c>
      <c r="K1370">
        <f t="shared" si="1448"/>
        <v>0</v>
      </c>
      <c r="L1370">
        <f t="shared" si="1449"/>
        <v>76.816899999999819</v>
      </c>
    </row>
    <row r="1371" spans="2:12">
      <c r="B1371" s="1">
        <v>50009</v>
      </c>
      <c r="C1371" t="s">
        <v>19</v>
      </c>
      <c r="D1371">
        <v>20.5</v>
      </c>
      <c r="E1371">
        <v>3.7</v>
      </c>
      <c r="F1371">
        <f t="shared" si="1445"/>
        <v>0.75850000000000006</v>
      </c>
      <c r="G1371">
        <f t="shared" ref="G1371" si="1471">D1368+D1369+D1370+D1371</f>
        <v>63.900000000000006</v>
      </c>
      <c r="H1371">
        <f t="shared" si="1444"/>
        <v>2036</v>
      </c>
      <c r="I1371">
        <v>1</v>
      </c>
      <c r="J1371">
        <f t="shared" si="1447"/>
        <v>77.575399999999817</v>
      </c>
      <c r="K1371">
        <f t="shared" si="1448"/>
        <v>0</v>
      </c>
      <c r="L1371">
        <f t="shared" si="1449"/>
        <v>77.575399999999817</v>
      </c>
    </row>
    <row r="1372" spans="2:12">
      <c r="B1372" s="1">
        <v>50010</v>
      </c>
      <c r="C1372" t="s">
        <v>50</v>
      </c>
      <c r="D1372">
        <v>27.4</v>
      </c>
      <c r="E1372">
        <v>10.4</v>
      </c>
      <c r="F1372">
        <f t="shared" si="1445"/>
        <v>2.8495999999999997</v>
      </c>
      <c r="G1372">
        <f t="shared" ref="G1372" si="1472">D1368+D1369+D1370+D1371+D1372</f>
        <v>91.300000000000011</v>
      </c>
      <c r="H1372">
        <f t="shared" si="1444"/>
        <v>2036</v>
      </c>
      <c r="I1372">
        <v>1</v>
      </c>
      <c r="J1372">
        <f t="shared" si="1447"/>
        <v>80.424999999999812</v>
      </c>
      <c r="K1372">
        <f t="shared" si="1448"/>
        <v>0</v>
      </c>
      <c r="L1372">
        <f t="shared" si="1449"/>
        <v>80.424999999999812</v>
      </c>
    </row>
    <row r="1373" spans="2:12">
      <c r="B1373" s="1">
        <v>50011</v>
      </c>
      <c r="C1373" t="s">
        <v>24</v>
      </c>
      <c r="D1373">
        <v>15.8</v>
      </c>
      <c r="E1373">
        <v>10.199999999999999</v>
      </c>
      <c r="F1373">
        <f t="shared" si="1445"/>
        <v>1.6115999999999999</v>
      </c>
      <c r="G1373">
        <f t="shared" ref="G1373" si="1473">D1368+D1369+D1370+D1371+D1372+D1373</f>
        <v>107.10000000000001</v>
      </c>
      <c r="H1373">
        <f t="shared" si="1444"/>
        <v>2036</v>
      </c>
      <c r="I1373">
        <v>1</v>
      </c>
      <c r="J1373">
        <f t="shared" si="1447"/>
        <v>82.036599999999808</v>
      </c>
      <c r="K1373">
        <f t="shared" si="1448"/>
        <v>0</v>
      </c>
      <c r="L1373">
        <f t="shared" si="1449"/>
        <v>82.036599999999808</v>
      </c>
    </row>
    <row r="1374" spans="2:12">
      <c r="B1374" s="1">
        <v>50012</v>
      </c>
      <c r="C1374" t="s">
        <v>50</v>
      </c>
      <c r="D1374">
        <v>19.600000000000001</v>
      </c>
      <c r="E1374">
        <v>0</v>
      </c>
      <c r="F1374">
        <f t="shared" si="1445"/>
        <v>0</v>
      </c>
      <c r="G1374">
        <f t="shared" ref="G1374" si="1474">D1368+D1369+D1370+D1371+D1372+D1373+D1374</f>
        <v>126.70000000000002</v>
      </c>
      <c r="H1374">
        <f t="shared" si="1444"/>
        <v>2036</v>
      </c>
      <c r="I1374">
        <v>1</v>
      </c>
      <c r="J1374">
        <f t="shared" si="1447"/>
        <v>82.036599999999808</v>
      </c>
      <c r="K1374">
        <f t="shared" si="1448"/>
        <v>0</v>
      </c>
      <c r="L1374">
        <f t="shared" si="1449"/>
        <v>82.036599999999808</v>
      </c>
    </row>
    <row r="1375" spans="2:12">
      <c r="B1375" s="1">
        <v>50013</v>
      </c>
      <c r="C1375" t="s">
        <v>24</v>
      </c>
      <c r="D1375">
        <v>16.899999999999999</v>
      </c>
      <c r="E1375">
        <v>48.4</v>
      </c>
      <c r="F1375">
        <f t="shared" si="1445"/>
        <v>8.1795999999999989</v>
      </c>
      <c r="G1375">
        <f t="shared" ref="G1375:G1438" si="1475">D1375</f>
        <v>16.899999999999999</v>
      </c>
      <c r="H1375">
        <f t="shared" si="1444"/>
        <v>2036</v>
      </c>
      <c r="I1375">
        <v>1</v>
      </c>
      <c r="J1375">
        <f t="shared" si="1447"/>
        <v>90.216199999999802</v>
      </c>
      <c r="K1375">
        <f t="shared" si="1448"/>
        <v>0</v>
      </c>
      <c r="L1375">
        <f t="shared" si="1449"/>
        <v>90.216199999999802</v>
      </c>
    </row>
    <row r="1376" spans="2:12">
      <c r="B1376" s="1">
        <v>50014</v>
      </c>
      <c r="C1376" t="s">
        <v>50</v>
      </c>
      <c r="D1376">
        <v>12.2</v>
      </c>
      <c r="E1376">
        <v>0</v>
      </c>
      <c r="F1376">
        <f t="shared" si="1445"/>
        <v>0</v>
      </c>
      <c r="G1376">
        <f t="shared" ref="G1376:G1439" si="1476">D1375+D1376</f>
        <v>29.099999999999998</v>
      </c>
      <c r="H1376">
        <f t="shared" si="1444"/>
        <v>2036</v>
      </c>
      <c r="I1376">
        <v>1</v>
      </c>
      <c r="J1376">
        <f t="shared" si="1447"/>
        <v>90.216199999999802</v>
      </c>
      <c r="K1376">
        <f t="shared" si="1448"/>
        <v>0</v>
      </c>
      <c r="L1376">
        <f t="shared" si="1449"/>
        <v>90.216199999999802</v>
      </c>
    </row>
    <row r="1377" spans="2:12">
      <c r="B1377" s="1">
        <v>50015</v>
      </c>
      <c r="C1377" t="s">
        <v>24</v>
      </c>
      <c r="D1377">
        <v>16.600000000000001</v>
      </c>
      <c r="E1377">
        <v>14.1</v>
      </c>
      <c r="F1377">
        <f t="shared" si="1445"/>
        <v>2.3406000000000002</v>
      </c>
      <c r="G1377">
        <f t="shared" ref="G1377" si="1477">D1375+D1376+D1377</f>
        <v>45.7</v>
      </c>
      <c r="H1377">
        <f t="shared" si="1444"/>
        <v>2036</v>
      </c>
      <c r="I1377">
        <v>1</v>
      </c>
      <c r="J1377">
        <f t="shared" si="1447"/>
        <v>92.556799999999797</v>
      </c>
      <c r="K1377">
        <f t="shared" si="1448"/>
        <v>0</v>
      </c>
      <c r="L1377">
        <f t="shared" si="1449"/>
        <v>92.556799999999797</v>
      </c>
    </row>
    <row r="1378" spans="2:12">
      <c r="B1378" s="1">
        <v>50016</v>
      </c>
      <c r="C1378" t="s">
        <v>25</v>
      </c>
      <c r="D1378">
        <v>27.6</v>
      </c>
      <c r="E1378">
        <v>0</v>
      </c>
      <c r="F1378">
        <f t="shared" si="1445"/>
        <v>0</v>
      </c>
      <c r="G1378">
        <f t="shared" ref="G1378" si="1478">D1375+D1376+D1377+D1378</f>
        <v>73.300000000000011</v>
      </c>
      <c r="H1378">
        <f t="shared" si="1444"/>
        <v>2036</v>
      </c>
      <c r="I1378">
        <v>1</v>
      </c>
      <c r="J1378">
        <f t="shared" si="1447"/>
        <v>92.556799999999797</v>
      </c>
      <c r="K1378">
        <f t="shared" si="1448"/>
        <v>0</v>
      </c>
      <c r="L1378">
        <f t="shared" si="1449"/>
        <v>92.556799999999797</v>
      </c>
    </row>
    <row r="1379" spans="2:12">
      <c r="B1379" s="1">
        <v>50017</v>
      </c>
      <c r="C1379" t="s">
        <v>32</v>
      </c>
      <c r="D1379">
        <v>24.8</v>
      </c>
      <c r="E1379">
        <v>0</v>
      </c>
      <c r="F1379">
        <f t="shared" si="1445"/>
        <v>0</v>
      </c>
      <c r="G1379">
        <f t="shared" ref="G1379" si="1479">D1375+D1376+D1377+D1378+D1379</f>
        <v>98.100000000000009</v>
      </c>
      <c r="H1379">
        <f t="shared" si="1444"/>
        <v>2036</v>
      </c>
      <c r="I1379">
        <v>1</v>
      </c>
      <c r="J1379">
        <f t="shared" si="1447"/>
        <v>92.556799999999797</v>
      </c>
      <c r="K1379">
        <f t="shared" si="1448"/>
        <v>0</v>
      </c>
      <c r="L1379">
        <f t="shared" si="1449"/>
        <v>92.556799999999797</v>
      </c>
    </row>
    <row r="1380" spans="2:12">
      <c r="B1380" s="1">
        <v>50018</v>
      </c>
      <c r="C1380" t="s">
        <v>24</v>
      </c>
      <c r="D1380">
        <v>23.1</v>
      </c>
      <c r="E1380">
        <v>29.8</v>
      </c>
      <c r="F1380">
        <f t="shared" si="1445"/>
        <v>6.8838000000000008</v>
      </c>
      <c r="G1380">
        <f t="shared" ref="G1380" si="1480">D1375+D1376+D1377+D1378+D1379+D1380</f>
        <v>121.20000000000002</v>
      </c>
      <c r="H1380">
        <f t="shared" si="1444"/>
        <v>2036</v>
      </c>
      <c r="I1380">
        <v>1</v>
      </c>
      <c r="J1380">
        <f t="shared" si="1447"/>
        <v>99.44059999999979</v>
      </c>
      <c r="K1380">
        <f t="shared" si="1448"/>
        <v>0</v>
      </c>
      <c r="L1380">
        <f t="shared" si="1449"/>
        <v>99.44059999999979</v>
      </c>
    </row>
    <row r="1381" spans="2:12">
      <c r="B1381" s="1">
        <v>50019</v>
      </c>
      <c r="C1381" t="s">
        <v>38</v>
      </c>
      <c r="D1381">
        <v>12.4</v>
      </c>
      <c r="E1381">
        <v>6.1</v>
      </c>
      <c r="F1381">
        <f t="shared" si="1445"/>
        <v>0.75639999999999996</v>
      </c>
      <c r="G1381">
        <f t="shared" ref="G1381" si="1481">D1375+D1376+D1377+D1378+D1379+D1380+D1381</f>
        <v>133.60000000000002</v>
      </c>
      <c r="H1381">
        <f t="shared" si="1444"/>
        <v>2036</v>
      </c>
      <c r="I1381">
        <v>1</v>
      </c>
      <c r="J1381">
        <f t="shared" si="1447"/>
        <v>100.19699999999979</v>
      </c>
      <c r="K1381">
        <f t="shared" si="1448"/>
        <v>1</v>
      </c>
      <c r="L1381">
        <f t="shared" si="1449"/>
        <v>0.19699999999978957</v>
      </c>
    </row>
    <row r="1382" spans="2:12">
      <c r="B1382" s="1">
        <v>50020</v>
      </c>
      <c r="C1382" t="s">
        <v>50</v>
      </c>
      <c r="D1382">
        <v>13.9</v>
      </c>
      <c r="E1382">
        <v>21.5</v>
      </c>
      <c r="F1382">
        <f t="shared" si="1445"/>
        <v>2.9885000000000002</v>
      </c>
      <c r="G1382">
        <f t="shared" ref="G1382:G1445" si="1482">D1382</f>
        <v>13.9</v>
      </c>
      <c r="H1382">
        <f t="shared" si="1444"/>
        <v>2036</v>
      </c>
      <c r="I1382">
        <v>1</v>
      </c>
      <c r="J1382">
        <f t="shared" si="1447"/>
        <v>3.1854999999997897</v>
      </c>
      <c r="K1382">
        <f t="shared" si="1448"/>
        <v>0</v>
      </c>
      <c r="L1382">
        <f t="shared" si="1449"/>
        <v>3.1854999999997897</v>
      </c>
    </row>
    <row r="1383" spans="2:12">
      <c r="B1383" s="1">
        <v>50021</v>
      </c>
      <c r="C1383" t="s">
        <v>40</v>
      </c>
      <c r="D1383">
        <v>16.600000000000001</v>
      </c>
      <c r="E1383">
        <v>4.7</v>
      </c>
      <c r="F1383">
        <f t="shared" si="1445"/>
        <v>0.78020000000000012</v>
      </c>
      <c r="G1383">
        <f t="shared" ref="G1383:G1446" si="1483">D1382+D1383</f>
        <v>30.5</v>
      </c>
      <c r="H1383">
        <f t="shared" si="1444"/>
        <v>2036</v>
      </c>
      <c r="I1383">
        <v>1</v>
      </c>
      <c r="J1383">
        <f t="shared" si="1447"/>
        <v>3.9656999999997899</v>
      </c>
      <c r="K1383">
        <f t="shared" si="1448"/>
        <v>0</v>
      </c>
      <c r="L1383">
        <f t="shared" si="1449"/>
        <v>3.9656999999997899</v>
      </c>
    </row>
    <row r="1384" spans="2:12">
      <c r="B1384" s="1">
        <v>50022</v>
      </c>
      <c r="C1384" t="s">
        <v>27</v>
      </c>
      <c r="D1384">
        <v>17.7</v>
      </c>
      <c r="E1384">
        <v>14</v>
      </c>
      <c r="F1384">
        <f t="shared" si="1445"/>
        <v>2.4779999999999998</v>
      </c>
      <c r="G1384">
        <f t="shared" ref="G1384" si="1484">D1382+D1383+D1384</f>
        <v>48.2</v>
      </c>
      <c r="H1384">
        <f t="shared" si="1444"/>
        <v>2036</v>
      </c>
      <c r="I1384">
        <v>1</v>
      </c>
      <c r="J1384">
        <f t="shared" si="1447"/>
        <v>6.4436999999997902</v>
      </c>
      <c r="K1384">
        <f t="shared" si="1448"/>
        <v>0</v>
      </c>
      <c r="L1384">
        <f t="shared" si="1449"/>
        <v>6.4436999999997902</v>
      </c>
    </row>
    <row r="1385" spans="2:12">
      <c r="B1385" s="1">
        <v>50023</v>
      </c>
      <c r="C1385" t="s">
        <v>25</v>
      </c>
      <c r="D1385">
        <v>19</v>
      </c>
      <c r="E1385">
        <v>1.7</v>
      </c>
      <c r="F1385">
        <f t="shared" si="1445"/>
        <v>0.32299999999999995</v>
      </c>
      <c r="G1385">
        <f t="shared" ref="G1385" si="1485">D1382+D1383+D1384+D1385</f>
        <v>67.2</v>
      </c>
      <c r="H1385">
        <f t="shared" si="1444"/>
        <v>2036</v>
      </c>
      <c r="I1385">
        <v>1</v>
      </c>
      <c r="J1385">
        <f t="shared" si="1447"/>
        <v>6.7666999999997905</v>
      </c>
      <c r="K1385">
        <f t="shared" si="1448"/>
        <v>0</v>
      </c>
      <c r="L1385">
        <f t="shared" si="1449"/>
        <v>6.7666999999997905</v>
      </c>
    </row>
    <row r="1386" spans="2:12">
      <c r="B1386" s="1">
        <v>50024</v>
      </c>
      <c r="C1386" t="s">
        <v>18</v>
      </c>
      <c r="D1386">
        <v>29.9</v>
      </c>
      <c r="E1386">
        <v>0</v>
      </c>
      <c r="F1386">
        <f t="shared" si="1445"/>
        <v>0</v>
      </c>
      <c r="G1386">
        <f t="shared" ref="G1386" si="1486">D1382+D1383+D1384+D1385+D1386</f>
        <v>97.1</v>
      </c>
      <c r="H1386">
        <f t="shared" si="1444"/>
        <v>2036</v>
      </c>
      <c r="I1386">
        <v>1</v>
      </c>
      <c r="J1386">
        <f t="shared" si="1447"/>
        <v>6.7666999999997905</v>
      </c>
      <c r="K1386">
        <f t="shared" si="1448"/>
        <v>0</v>
      </c>
      <c r="L1386">
        <f t="shared" si="1449"/>
        <v>6.7666999999997905</v>
      </c>
    </row>
    <row r="1387" spans="2:12">
      <c r="B1387" s="1">
        <v>50025</v>
      </c>
      <c r="C1387" t="s">
        <v>50</v>
      </c>
      <c r="D1387">
        <v>23.7</v>
      </c>
      <c r="E1387">
        <v>31.4</v>
      </c>
      <c r="F1387">
        <f t="shared" si="1445"/>
        <v>7.4417999999999997</v>
      </c>
      <c r="G1387">
        <f t="shared" ref="G1387" si="1487">D1382+D1383+D1384+D1385+D1386+D1387</f>
        <v>120.8</v>
      </c>
      <c r="H1387">
        <f t="shared" si="1444"/>
        <v>2036</v>
      </c>
      <c r="I1387">
        <v>1</v>
      </c>
      <c r="J1387">
        <f t="shared" si="1447"/>
        <v>14.208499999999791</v>
      </c>
      <c r="K1387">
        <f t="shared" si="1448"/>
        <v>0</v>
      </c>
      <c r="L1387">
        <f t="shared" si="1449"/>
        <v>14.208499999999791</v>
      </c>
    </row>
    <row r="1388" spans="2:12">
      <c r="B1388" s="1">
        <v>50026</v>
      </c>
      <c r="C1388" t="s">
        <v>24</v>
      </c>
      <c r="D1388">
        <v>25.4</v>
      </c>
      <c r="E1388">
        <v>0</v>
      </c>
      <c r="F1388">
        <f t="shared" si="1445"/>
        <v>0</v>
      </c>
      <c r="G1388">
        <f t="shared" ref="G1388" si="1488">D1382+D1383+D1384+D1385+D1386+D1387+D1388</f>
        <v>146.19999999999999</v>
      </c>
      <c r="H1388">
        <f t="shared" si="1444"/>
        <v>2036</v>
      </c>
      <c r="I1388">
        <v>1</v>
      </c>
      <c r="J1388">
        <f t="shared" si="1447"/>
        <v>14.208499999999791</v>
      </c>
      <c r="K1388">
        <f t="shared" si="1448"/>
        <v>0</v>
      </c>
      <c r="L1388">
        <f t="shared" si="1449"/>
        <v>14.208499999999791</v>
      </c>
    </row>
    <row r="1389" spans="2:12">
      <c r="B1389" s="1">
        <v>50027</v>
      </c>
      <c r="C1389" t="s">
        <v>47</v>
      </c>
      <c r="D1389">
        <v>24.3</v>
      </c>
      <c r="E1389">
        <v>15.8</v>
      </c>
      <c r="F1389">
        <f t="shared" si="1445"/>
        <v>3.8394000000000004</v>
      </c>
      <c r="G1389">
        <f t="shared" ref="G1389:G1452" si="1489">D1389</f>
        <v>24.3</v>
      </c>
      <c r="H1389">
        <f t="shared" si="1444"/>
        <v>2036</v>
      </c>
      <c r="I1389">
        <v>1</v>
      </c>
      <c r="J1389">
        <f t="shared" si="1447"/>
        <v>18.047899999999792</v>
      </c>
      <c r="K1389">
        <f t="shared" si="1448"/>
        <v>0</v>
      </c>
      <c r="L1389">
        <f t="shared" si="1449"/>
        <v>18.047899999999792</v>
      </c>
    </row>
    <row r="1390" spans="2:12">
      <c r="B1390" s="1">
        <v>50028</v>
      </c>
      <c r="C1390" t="s">
        <v>18</v>
      </c>
      <c r="D1390">
        <v>10.8</v>
      </c>
      <c r="E1390">
        <v>0</v>
      </c>
      <c r="F1390">
        <f t="shared" si="1445"/>
        <v>0</v>
      </c>
      <c r="G1390">
        <f t="shared" ref="G1390:G1453" si="1490">D1389+D1390</f>
        <v>35.1</v>
      </c>
      <c r="H1390">
        <f t="shared" si="1444"/>
        <v>2036</v>
      </c>
      <c r="I1390">
        <v>1</v>
      </c>
      <c r="J1390">
        <f t="shared" si="1447"/>
        <v>18.047899999999792</v>
      </c>
      <c r="K1390">
        <f t="shared" si="1448"/>
        <v>0</v>
      </c>
      <c r="L1390">
        <f t="shared" si="1449"/>
        <v>18.047899999999792</v>
      </c>
    </row>
    <row r="1391" spans="2:12">
      <c r="B1391" s="1">
        <v>50029</v>
      </c>
      <c r="C1391" t="s">
        <v>24</v>
      </c>
      <c r="D1391">
        <v>19</v>
      </c>
      <c r="E1391">
        <v>9.1</v>
      </c>
      <c r="F1391">
        <f t="shared" si="1445"/>
        <v>1.7290000000000001</v>
      </c>
      <c r="G1391">
        <f t="shared" ref="G1391" si="1491">D1389+D1390+D1391</f>
        <v>54.1</v>
      </c>
      <c r="H1391">
        <f t="shared" si="1444"/>
        <v>2036</v>
      </c>
      <c r="I1391">
        <v>1</v>
      </c>
      <c r="J1391">
        <f t="shared" si="1447"/>
        <v>19.776899999999792</v>
      </c>
      <c r="K1391">
        <f t="shared" si="1448"/>
        <v>0</v>
      </c>
      <c r="L1391">
        <f t="shared" si="1449"/>
        <v>19.776899999999792</v>
      </c>
    </row>
    <row r="1392" spans="2:12">
      <c r="B1392" s="1">
        <v>50030</v>
      </c>
      <c r="C1392" t="s">
        <v>32</v>
      </c>
      <c r="D1392">
        <v>27.8</v>
      </c>
      <c r="E1392">
        <v>15.2</v>
      </c>
      <c r="F1392">
        <f t="shared" si="1445"/>
        <v>4.2256</v>
      </c>
      <c r="G1392">
        <f t="shared" ref="G1392" si="1492">D1389+D1390+D1391+D1392</f>
        <v>81.900000000000006</v>
      </c>
      <c r="H1392">
        <f t="shared" si="1444"/>
        <v>2036</v>
      </c>
      <c r="I1392">
        <v>1</v>
      </c>
      <c r="J1392">
        <f t="shared" si="1447"/>
        <v>24.002499999999792</v>
      </c>
      <c r="K1392">
        <f t="shared" si="1448"/>
        <v>0</v>
      </c>
      <c r="L1392">
        <f t="shared" si="1449"/>
        <v>24.002499999999792</v>
      </c>
    </row>
    <row r="1393" spans="2:12">
      <c r="B1393" s="1">
        <v>50031</v>
      </c>
      <c r="C1393" t="s">
        <v>18</v>
      </c>
      <c r="D1393">
        <v>28.8</v>
      </c>
      <c r="E1393">
        <v>0</v>
      </c>
      <c r="F1393">
        <f t="shared" si="1445"/>
        <v>0</v>
      </c>
      <c r="G1393">
        <f t="shared" ref="G1393" si="1493">D1389+D1390+D1391+D1392+D1393</f>
        <v>110.7</v>
      </c>
      <c r="H1393">
        <f t="shared" si="1444"/>
        <v>2036</v>
      </c>
      <c r="I1393">
        <v>1</v>
      </c>
      <c r="J1393">
        <f t="shared" si="1447"/>
        <v>24.002499999999792</v>
      </c>
      <c r="K1393">
        <f t="shared" si="1448"/>
        <v>0</v>
      </c>
      <c r="L1393">
        <f t="shared" si="1449"/>
        <v>24.002499999999792</v>
      </c>
    </row>
    <row r="1394" spans="2:12">
      <c r="B1394" s="1">
        <v>50032</v>
      </c>
      <c r="C1394" t="s">
        <v>15</v>
      </c>
      <c r="D1394">
        <v>12.6</v>
      </c>
      <c r="E1394">
        <v>0.8</v>
      </c>
      <c r="F1394">
        <f t="shared" si="1445"/>
        <v>0</v>
      </c>
      <c r="G1394">
        <f t="shared" ref="G1394" si="1494">D1389+D1390+D1391+D1392+D1393+D1394</f>
        <v>123.3</v>
      </c>
      <c r="H1394">
        <f t="shared" si="1444"/>
        <v>2036</v>
      </c>
      <c r="I1394">
        <v>1</v>
      </c>
      <c r="J1394">
        <f t="shared" si="1447"/>
        <v>24.002499999999792</v>
      </c>
      <c r="K1394">
        <f t="shared" si="1448"/>
        <v>0</v>
      </c>
      <c r="L1394">
        <f t="shared" si="1449"/>
        <v>24.002499999999792</v>
      </c>
    </row>
    <row r="1395" spans="2:12">
      <c r="B1395" s="1">
        <v>50033</v>
      </c>
      <c r="C1395" t="s">
        <v>15</v>
      </c>
      <c r="D1395">
        <v>20.7</v>
      </c>
      <c r="E1395">
        <v>0</v>
      </c>
      <c r="F1395">
        <f t="shared" si="1445"/>
        <v>0</v>
      </c>
      <c r="G1395">
        <f t="shared" ref="G1395" si="1495">D1389+D1390+D1391+D1392+D1393+D1394+D1395</f>
        <v>144</v>
      </c>
      <c r="H1395">
        <f t="shared" si="1444"/>
        <v>2036</v>
      </c>
      <c r="I1395">
        <v>1</v>
      </c>
      <c r="J1395">
        <f t="shared" si="1447"/>
        <v>24.002499999999792</v>
      </c>
      <c r="K1395">
        <f t="shared" si="1448"/>
        <v>0</v>
      </c>
      <c r="L1395">
        <f t="shared" si="1449"/>
        <v>24.002499999999792</v>
      </c>
    </row>
    <row r="1396" spans="2:12">
      <c r="B1396" s="1">
        <v>50034</v>
      </c>
      <c r="C1396" t="s">
        <v>50</v>
      </c>
      <c r="D1396">
        <v>19.399999999999999</v>
      </c>
      <c r="E1396">
        <v>19.3</v>
      </c>
      <c r="F1396">
        <f t="shared" si="1445"/>
        <v>3.7441999999999998</v>
      </c>
      <c r="G1396">
        <f t="shared" ref="G1396:G1459" si="1496">D1396</f>
        <v>19.399999999999999</v>
      </c>
      <c r="H1396">
        <f t="shared" si="1444"/>
        <v>2036</v>
      </c>
      <c r="I1396">
        <v>1</v>
      </c>
      <c r="J1396">
        <f t="shared" si="1447"/>
        <v>27.746699999999791</v>
      </c>
      <c r="K1396">
        <f t="shared" si="1448"/>
        <v>0</v>
      </c>
      <c r="L1396">
        <f t="shared" si="1449"/>
        <v>27.746699999999791</v>
      </c>
    </row>
    <row r="1397" spans="2:12">
      <c r="B1397" s="1">
        <v>50035</v>
      </c>
      <c r="C1397" t="s">
        <v>24</v>
      </c>
      <c r="D1397">
        <v>24.3</v>
      </c>
      <c r="E1397">
        <v>8.8000000000000007</v>
      </c>
      <c r="F1397">
        <f t="shared" si="1445"/>
        <v>2.1384000000000003</v>
      </c>
      <c r="G1397">
        <f t="shared" ref="G1397:G1460" si="1497">D1396+D1397</f>
        <v>43.7</v>
      </c>
      <c r="H1397">
        <f t="shared" si="1444"/>
        <v>2036</v>
      </c>
      <c r="I1397">
        <v>1</v>
      </c>
      <c r="J1397">
        <f t="shared" si="1447"/>
        <v>29.885099999999792</v>
      </c>
      <c r="K1397">
        <f t="shared" si="1448"/>
        <v>0</v>
      </c>
      <c r="L1397">
        <f t="shared" si="1449"/>
        <v>29.885099999999792</v>
      </c>
    </row>
    <row r="1398" spans="2:12">
      <c r="B1398" s="1">
        <v>50036</v>
      </c>
      <c r="C1398" t="s">
        <v>50</v>
      </c>
      <c r="D1398">
        <v>21.2</v>
      </c>
      <c r="E1398">
        <v>36</v>
      </c>
      <c r="F1398">
        <f t="shared" si="1445"/>
        <v>7.6319999999999997</v>
      </c>
      <c r="G1398">
        <f t="shared" ref="G1398" si="1498">D1396+D1397+D1398</f>
        <v>64.900000000000006</v>
      </c>
      <c r="H1398">
        <f t="shared" si="1444"/>
        <v>2036</v>
      </c>
      <c r="I1398">
        <v>1</v>
      </c>
      <c r="J1398">
        <f t="shared" si="1447"/>
        <v>37.517099999999793</v>
      </c>
      <c r="K1398">
        <f t="shared" si="1448"/>
        <v>0</v>
      </c>
      <c r="L1398">
        <f t="shared" si="1449"/>
        <v>37.517099999999793</v>
      </c>
    </row>
    <row r="1399" spans="2:12">
      <c r="B1399" s="1">
        <v>50037</v>
      </c>
      <c r="C1399" t="s">
        <v>15</v>
      </c>
      <c r="D1399">
        <v>28.4</v>
      </c>
      <c r="E1399">
        <v>0</v>
      </c>
      <c r="F1399">
        <f t="shared" si="1445"/>
        <v>0</v>
      </c>
      <c r="G1399">
        <f t="shared" ref="G1399" si="1499">D1396+D1397+D1398+D1399</f>
        <v>93.300000000000011</v>
      </c>
      <c r="H1399">
        <f t="shared" si="1444"/>
        <v>2036</v>
      </c>
      <c r="I1399">
        <v>1</v>
      </c>
      <c r="J1399">
        <f t="shared" si="1447"/>
        <v>37.517099999999793</v>
      </c>
      <c r="K1399">
        <f t="shared" si="1448"/>
        <v>0</v>
      </c>
      <c r="L1399">
        <f t="shared" si="1449"/>
        <v>37.517099999999793</v>
      </c>
    </row>
    <row r="1400" spans="2:12">
      <c r="B1400" s="1">
        <v>50038</v>
      </c>
      <c r="C1400" t="s">
        <v>38</v>
      </c>
      <c r="D1400">
        <v>17.100000000000001</v>
      </c>
      <c r="E1400">
        <v>5.4</v>
      </c>
      <c r="F1400">
        <f t="shared" si="1445"/>
        <v>0.92340000000000022</v>
      </c>
      <c r="G1400">
        <f t="shared" ref="G1400" si="1500">D1396+D1397+D1398+D1399+D1400</f>
        <v>110.4</v>
      </c>
      <c r="H1400">
        <f t="shared" si="1444"/>
        <v>2036</v>
      </c>
      <c r="I1400">
        <v>1</v>
      </c>
      <c r="J1400">
        <f t="shared" si="1447"/>
        <v>38.440499999999794</v>
      </c>
      <c r="K1400">
        <f t="shared" si="1448"/>
        <v>0</v>
      </c>
      <c r="L1400">
        <f t="shared" si="1449"/>
        <v>38.440499999999794</v>
      </c>
    </row>
    <row r="1401" spans="2:12">
      <c r="B1401" s="1">
        <v>50039</v>
      </c>
      <c r="C1401" t="s">
        <v>24</v>
      </c>
      <c r="D1401">
        <v>24.4</v>
      </c>
      <c r="E1401">
        <v>23.8</v>
      </c>
      <c r="F1401">
        <f t="shared" si="1445"/>
        <v>5.8071999999999999</v>
      </c>
      <c r="G1401">
        <f t="shared" ref="G1401" si="1501">D1396+D1397+D1398+D1399+D1400+D1401</f>
        <v>134.80000000000001</v>
      </c>
      <c r="H1401">
        <f t="shared" si="1444"/>
        <v>2036</v>
      </c>
      <c r="I1401">
        <v>1</v>
      </c>
      <c r="J1401">
        <f t="shared" si="1447"/>
        <v>44.247699999999796</v>
      </c>
      <c r="K1401">
        <f t="shared" si="1448"/>
        <v>0</v>
      </c>
      <c r="L1401">
        <f t="shared" si="1449"/>
        <v>44.247699999999796</v>
      </c>
    </row>
    <row r="1402" spans="2:12">
      <c r="B1402" s="1">
        <v>50040</v>
      </c>
      <c r="C1402" t="s">
        <v>47</v>
      </c>
      <c r="D1402">
        <v>18.5</v>
      </c>
      <c r="E1402">
        <v>6</v>
      </c>
      <c r="F1402">
        <f t="shared" si="1445"/>
        <v>1.1100000000000001</v>
      </c>
      <c r="G1402">
        <f t="shared" ref="G1402" si="1502">D1396+D1397+D1398+D1399+D1400+D1401+D1402</f>
        <v>153.30000000000001</v>
      </c>
      <c r="H1402">
        <f t="shared" si="1444"/>
        <v>2036</v>
      </c>
      <c r="I1402">
        <v>1</v>
      </c>
      <c r="J1402">
        <f t="shared" si="1447"/>
        <v>45.357699999999795</v>
      </c>
      <c r="K1402">
        <f t="shared" si="1448"/>
        <v>0</v>
      </c>
      <c r="L1402">
        <f t="shared" si="1449"/>
        <v>45.357699999999795</v>
      </c>
    </row>
    <row r="1403" spans="2:12">
      <c r="B1403" s="1">
        <v>50041</v>
      </c>
      <c r="C1403" t="s">
        <v>50</v>
      </c>
      <c r="D1403">
        <v>24.1</v>
      </c>
      <c r="E1403">
        <v>21.5</v>
      </c>
      <c r="F1403">
        <f t="shared" si="1445"/>
        <v>5.1814999999999998</v>
      </c>
      <c r="G1403">
        <f t="shared" ref="G1403:G1466" si="1503">D1403</f>
        <v>24.1</v>
      </c>
      <c r="H1403">
        <f t="shared" si="1444"/>
        <v>2037</v>
      </c>
      <c r="I1403">
        <v>1</v>
      </c>
      <c r="J1403">
        <f t="shared" si="1447"/>
        <v>50.539199999999795</v>
      </c>
      <c r="K1403">
        <f t="shared" si="1448"/>
        <v>0</v>
      </c>
      <c r="L1403">
        <f t="shared" si="1449"/>
        <v>50.539199999999795</v>
      </c>
    </row>
    <row r="1404" spans="2:12">
      <c r="B1404" s="1">
        <v>50042</v>
      </c>
      <c r="C1404" t="s">
        <v>43</v>
      </c>
      <c r="D1404">
        <v>17.899999999999999</v>
      </c>
      <c r="E1404">
        <v>5.4</v>
      </c>
      <c r="F1404">
        <f t="shared" si="1445"/>
        <v>0.96660000000000001</v>
      </c>
      <c r="G1404">
        <f t="shared" ref="G1404:G1467" si="1504">D1403+D1404</f>
        <v>42</v>
      </c>
      <c r="H1404">
        <f t="shared" si="1444"/>
        <v>2037</v>
      </c>
      <c r="I1404">
        <v>1</v>
      </c>
      <c r="J1404">
        <f t="shared" si="1447"/>
        <v>51.505799999999795</v>
      </c>
      <c r="K1404">
        <f t="shared" si="1448"/>
        <v>0</v>
      </c>
      <c r="L1404">
        <f t="shared" si="1449"/>
        <v>51.505799999999795</v>
      </c>
    </row>
    <row r="1405" spans="2:12">
      <c r="B1405" s="1">
        <v>50043</v>
      </c>
      <c r="C1405" t="s">
        <v>43</v>
      </c>
      <c r="D1405">
        <v>15.8</v>
      </c>
      <c r="E1405">
        <v>7.4</v>
      </c>
      <c r="F1405">
        <f t="shared" si="1445"/>
        <v>1.1692000000000002</v>
      </c>
      <c r="G1405">
        <f t="shared" ref="G1405" si="1505">D1403+D1404+D1405</f>
        <v>57.8</v>
      </c>
      <c r="H1405">
        <f t="shared" si="1444"/>
        <v>2037</v>
      </c>
      <c r="I1405">
        <v>1</v>
      </c>
      <c r="J1405">
        <f t="shared" si="1447"/>
        <v>52.674999999999798</v>
      </c>
      <c r="K1405">
        <f t="shared" si="1448"/>
        <v>0</v>
      </c>
      <c r="L1405">
        <f t="shared" si="1449"/>
        <v>52.674999999999798</v>
      </c>
    </row>
    <row r="1406" spans="2:12">
      <c r="B1406" s="1">
        <v>50044</v>
      </c>
      <c r="C1406" t="s">
        <v>39</v>
      </c>
      <c r="D1406">
        <v>19.600000000000001</v>
      </c>
      <c r="E1406">
        <v>0.3</v>
      </c>
      <c r="F1406">
        <f t="shared" si="1445"/>
        <v>0</v>
      </c>
      <c r="G1406">
        <f t="shared" ref="G1406" si="1506">D1403+D1404+D1405+D1406</f>
        <v>77.400000000000006</v>
      </c>
      <c r="H1406">
        <f t="shared" si="1444"/>
        <v>2037</v>
      </c>
      <c r="I1406">
        <v>1</v>
      </c>
      <c r="J1406">
        <f t="shared" si="1447"/>
        <v>52.674999999999798</v>
      </c>
      <c r="K1406">
        <f t="shared" si="1448"/>
        <v>0</v>
      </c>
      <c r="L1406">
        <f t="shared" si="1449"/>
        <v>52.674999999999798</v>
      </c>
    </row>
    <row r="1407" spans="2:12">
      <c r="B1407" s="1">
        <v>50045</v>
      </c>
      <c r="C1407" t="s">
        <v>50</v>
      </c>
      <c r="D1407">
        <v>17.7</v>
      </c>
      <c r="E1407">
        <v>0</v>
      </c>
      <c r="F1407">
        <f t="shared" si="1445"/>
        <v>0</v>
      </c>
      <c r="G1407">
        <f t="shared" ref="G1407" si="1507">D1403+D1404+D1405+D1406+D1407</f>
        <v>95.100000000000009</v>
      </c>
      <c r="H1407">
        <f t="shared" si="1444"/>
        <v>2037</v>
      </c>
      <c r="I1407">
        <v>1</v>
      </c>
      <c r="J1407">
        <f t="shared" si="1447"/>
        <v>52.674999999999798</v>
      </c>
      <c r="K1407">
        <f t="shared" si="1448"/>
        <v>0</v>
      </c>
      <c r="L1407">
        <f t="shared" si="1449"/>
        <v>52.674999999999798</v>
      </c>
    </row>
    <row r="1408" spans="2:12">
      <c r="B1408" s="1">
        <v>50046</v>
      </c>
      <c r="C1408" t="s">
        <v>38</v>
      </c>
      <c r="D1408">
        <v>19.899999999999999</v>
      </c>
      <c r="E1408">
        <v>4.7</v>
      </c>
      <c r="F1408">
        <f t="shared" si="1445"/>
        <v>0.93530000000000002</v>
      </c>
      <c r="G1408">
        <f t="shared" ref="G1408" si="1508">D1403+D1404+D1405+D1406+D1407+D1408</f>
        <v>115</v>
      </c>
      <c r="H1408">
        <f t="shared" si="1444"/>
        <v>2037</v>
      </c>
      <c r="I1408">
        <v>1</v>
      </c>
      <c r="J1408">
        <f t="shared" si="1447"/>
        <v>53.610299999999796</v>
      </c>
      <c r="K1408">
        <f t="shared" si="1448"/>
        <v>0</v>
      </c>
      <c r="L1408">
        <f t="shared" si="1449"/>
        <v>53.610299999999796</v>
      </c>
    </row>
    <row r="1409" spans="2:12">
      <c r="B1409" s="1">
        <v>50047</v>
      </c>
      <c r="C1409" t="s">
        <v>15</v>
      </c>
      <c r="D1409">
        <v>10.6</v>
      </c>
      <c r="E1409">
        <v>4.8</v>
      </c>
      <c r="F1409">
        <f t="shared" si="1445"/>
        <v>0.50879999999999992</v>
      </c>
      <c r="G1409">
        <f t="shared" ref="G1409" si="1509">D1403+D1404+D1405+D1406+D1407+D1408+D1409</f>
        <v>125.6</v>
      </c>
      <c r="H1409">
        <f t="shared" si="1444"/>
        <v>2037</v>
      </c>
      <c r="I1409">
        <v>1</v>
      </c>
      <c r="J1409">
        <f t="shared" si="1447"/>
        <v>54.119099999999797</v>
      </c>
      <c r="K1409">
        <f t="shared" si="1448"/>
        <v>0</v>
      </c>
      <c r="L1409">
        <f t="shared" si="1449"/>
        <v>54.119099999999797</v>
      </c>
    </row>
    <row r="1410" spans="2:12">
      <c r="B1410" s="1">
        <v>50048</v>
      </c>
      <c r="C1410" t="s">
        <v>50</v>
      </c>
      <c r="D1410">
        <v>25.6</v>
      </c>
      <c r="E1410">
        <v>17.399999999999999</v>
      </c>
      <c r="F1410">
        <f t="shared" si="1445"/>
        <v>4.4543999999999997</v>
      </c>
      <c r="G1410">
        <f t="shared" ref="G1410:G1473" si="1510">D1410</f>
        <v>25.6</v>
      </c>
      <c r="H1410">
        <f t="shared" si="1444"/>
        <v>2037</v>
      </c>
      <c r="I1410">
        <v>1</v>
      </c>
      <c r="J1410">
        <f t="shared" si="1447"/>
        <v>58.573499999999797</v>
      </c>
      <c r="K1410">
        <f t="shared" si="1448"/>
        <v>0</v>
      </c>
      <c r="L1410">
        <f t="shared" si="1449"/>
        <v>58.573499999999797</v>
      </c>
    </row>
    <row r="1411" spans="2:12">
      <c r="B1411" s="1">
        <v>50049</v>
      </c>
      <c r="C1411" t="s">
        <v>21</v>
      </c>
      <c r="D1411">
        <v>22.4</v>
      </c>
      <c r="E1411">
        <v>7.7</v>
      </c>
      <c r="F1411">
        <f t="shared" si="1445"/>
        <v>1.7247999999999999</v>
      </c>
      <c r="G1411">
        <f t="shared" ref="G1411:G1474" si="1511">D1410+D1411</f>
        <v>48</v>
      </c>
      <c r="H1411">
        <f t="shared" si="1444"/>
        <v>2037</v>
      </c>
      <c r="I1411">
        <v>1</v>
      </c>
      <c r="J1411">
        <f t="shared" si="1447"/>
        <v>60.298299999999799</v>
      </c>
      <c r="K1411">
        <f t="shared" si="1448"/>
        <v>0</v>
      </c>
      <c r="L1411">
        <f t="shared" si="1449"/>
        <v>60.298299999999799</v>
      </c>
    </row>
    <row r="1412" spans="2:12">
      <c r="B1412" s="1">
        <v>50050</v>
      </c>
      <c r="C1412" t="s">
        <v>19</v>
      </c>
      <c r="D1412">
        <v>14.5</v>
      </c>
      <c r="E1412">
        <v>3.8</v>
      </c>
      <c r="F1412">
        <f t="shared" si="1445"/>
        <v>0.55099999999999993</v>
      </c>
      <c r="G1412">
        <f t="shared" ref="G1412" si="1512">D1410+D1411+D1412</f>
        <v>62.5</v>
      </c>
      <c r="H1412">
        <f t="shared" ref="H1412:H1475" si="1513">YEAR(B1412)</f>
        <v>2037</v>
      </c>
      <c r="I1412">
        <v>1</v>
      </c>
      <c r="J1412">
        <f t="shared" si="1447"/>
        <v>60.849299999999801</v>
      </c>
      <c r="K1412">
        <f t="shared" si="1448"/>
        <v>0</v>
      </c>
      <c r="L1412">
        <f t="shared" si="1449"/>
        <v>60.849299999999801</v>
      </c>
    </row>
    <row r="1413" spans="2:12">
      <c r="B1413" s="1">
        <v>50051</v>
      </c>
      <c r="C1413" t="s">
        <v>21</v>
      </c>
      <c r="D1413">
        <v>15</v>
      </c>
      <c r="E1413">
        <v>4.2</v>
      </c>
      <c r="F1413">
        <f t="shared" ref="F1413:F1476" si="1514">IF(E1413&gt;=1,D1413*E1413/100,0)</f>
        <v>0.63</v>
      </c>
      <c r="G1413">
        <f t="shared" ref="G1413" si="1515">D1410+D1411+D1412+D1413</f>
        <v>77.5</v>
      </c>
      <c r="H1413">
        <f t="shared" si="1513"/>
        <v>2037</v>
      </c>
      <c r="I1413">
        <v>1</v>
      </c>
      <c r="J1413">
        <f t="shared" ref="J1413:J1476" si="1516">L1412+F1413</f>
        <v>61.479299999999803</v>
      </c>
      <c r="K1413">
        <f t="shared" ref="K1413:K1476" si="1517">IF(J1413&gt;=100,1,0)</f>
        <v>0</v>
      </c>
      <c r="L1413">
        <f t="shared" ref="L1413:L1476" si="1518">IF(K1413=1,J1413-100,J1413)</f>
        <v>61.479299999999803</v>
      </c>
    </row>
    <row r="1414" spans="2:12">
      <c r="B1414" s="1">
        <v>50052</v>
      </c>
      <c r="C1414" t="s">
        <v>27</v>
      </c>
      <c r="D1414">
        <v>24</v>
      </c>
      <c r="E1414">
        <v>11.5</v>
      </c>
      <c r="F1414">
        <f t="shared" si="1514"/>
        <v>2.76</v>
      </c>
      <c r="G1414">
        <f t="shared" ref="G1414" si="1519">D1410+D1411+D1412+D1413+D1414</f>
        <v>101.5</v>
      </c>
      <c r="H1414">
        <f t="shared" si="1513"/>
        <v>2037</v>
      </c>
      <c r="I1414">
        <v>1</v>
      </c>
      <c r="J1414">
        <f t="shared" si="1516"/>
        <v>64.239299999999801</v>
      </c>
      <c r="K1414">
        <f t="shared" si="1517"/>
        <v>0</v>
      </c>
      <c r="L1414">
        <f t="shared" si="1518"/>
        <v>64.239299999999801</v>
      </c>
    </row>
    <row r="1415" spans="2:12">
      <c r="B1415" s="1">
        <v>50053</v>
      </c>
      <c r="C1415" t="s">
        <v>35</v>
      </c>
      <c r="D1415">
        <v>20.7</v>
      </c>
      <c r="E1415">
        <v>2.9</v>
      </c>
      <c r="F1415">
        <f t="shared" si="1514"/>
        <v>0.60029999999999994</v>
      </c>
      <c r="G1415">
        <f t="shared" ref="G1415" si="1520">D1410+D1411+D1412+D1413+D1414+D1415</f>
        <v>122.2</v>
      </c>
      <c r="H1415">
        <f t="shared" si="1513"/>
        <v>2037</v>
      </c>
      <c r="I1415">
        <v>1</v>
      </c>
      <c r="J1415">
        <f t="shared" si="1516"/>
        <v>64.839599999999805</v>
      </c>
      <c r="K1415">
        <f t="shared" si="1517"/>
        <v>0</v>
      </c>
      <c r="L1415">
        <f t="shared" si="1518"/>
        <v>64.839599999999805</v>
      </c>
    </row>
    <row r="1416" spans="2:12">
      <c r="B1416" s="1">
        <v>50054</v>
      </c>
      <c r="C1416" t="s">
        <v>23</v>
      </c>
      <c r="D1416">
        <v>13.5</v>
      </c>
      <c r="E1416">
        <v>0.7</v>
      </c>
      <c r="F1416">
        <f t="shared" si="1514"/>
        <v>0</v>
      </c>
      <c r="G1416">
        <f t="shared" ref="G1416" si="1521">D1410+D1411+D1412+D1413+D1414+D1415+D1416</f>
        <v>135.69999999999999</v>
      </c>
      <c r="H1416">
        <f t="shared" si="1513"/>
        <v>2037</v>
      </c>
      <c r="I1416">
        <v>1</v>
      </c>
      <c r="J1416">
        <f t="shared" si="1516"/>
        <v>64.839599999999805</v>
      </c>
      <c r="K1416">
        <f t="shared" si="1517"/>
        <v>0</v>
      </c>
      <c r="L1416">
        <f t="shared" si="1518"/>
        <v>64.839599999999805</v>
      </c>
    </row>
    <row r="1417" spans="2:12">
      <c r="B1417" s="1">
        <v>50055</v>
      </c>
      <c r="C1417" t="s">
        <v>50</v>
      </c>
      <c r="D1417">
        <v>23.7</v>
      </c>
      <c r="E1417">
        <v>13.1</v>
      </c>
      <c r="F1417">
        <f t="shared" si="1514"/>
        <v>3.1046999999999998</v>
      </c>
      <c r="G1417">
        <f t="shared" ref="G1417:G1480" si="1522">D1417</f>
        <v>23.7</v>
      </c>
      <c r="H1417">
        <f t="shared" si="1513"/>
        <v>2037</v>
      </c>
      <c r="I1417">
        <v>1</v>
      </c>
      <c r="J1417">
        <f t="shared" si="1516"/>
        <v>67.944299999999799</v>
      </c>
      <c r="K1417">
        <f t="shared" si="1517"/>
        <v>0</v>
      </c>
      <c r="L1417">
        <f t="shared" si="1518"/>
        <v>67.944299999999799</v>
      </c>
    </row>
    <row r="1418" spans="2:12">
      <c r="B1418" s="1">
        <v>50056</v>
      </c>
      <c r="C1418" t="s">
        <v>24</v>
      </c>
      <c r="D1418">
        <v>12.1</v>
      </c>
      <c r="E1418">
        <v>36</v>
      </c>
      <c r="F1418">
        <f t="shared" si="1514"/>
        <v>4.3559999999999999</v>
      </c>
      <c r="G1418">
        <f t="shared" ref="G1418:G1481" si="1523">D1417+D1418</f>
        <v>35.799999999999997</v>
      </c>
      <c r="H1418">
        <f t="shared" si="1513"/>
        <v>2037</v>
      </c>
      <c r="I1418">
        <v>1</v>
      </c>
      <c r="J1418">
        <f t="shared" si="1516"/>
        <v>72.300299999999794</v>
      </c>
      <c r="K1418">
        <f t="shared" si="1517"/>
        <v>0</v>
      </c>
      <c r="L1418">
        <f t="shared" si="1518"/>
        <v>72.300299999999794</v>
      </c>
    </row>
    <row r="1419" spans="2:12">
      <c r="B1419" s="1">
        <v>50057</v>
      </c>
      <c r="C1419" t="s">
        <v>27</v>
      </c>
      <c r="D1419">
        <v>21.8</v>
      </c>
      <c r="E1419">
        <v>10.9</v>
      </c>
      <c r="F1419">
        <f t="shared" si="1514"/>
        <v>2.3761999999999999</v>
      </c>
      <c r="G1419">
        <f t="shared" ref="G1419" si="1524">D1417+D1418+D1419</f>
        <v>57.599999999999994</v>
      </c>
      <c r="H1419">
        <f t="shared" si="1513"/>
        <v>2037</v>
      </c>
      <c r="I1419">
        <v>1</v>
      </c>
      <c r="J1419">
        <f t="shared" si="1516"/>
        <v>74.676499999999791</v>
      </c>
      <c r="K1419">
        <f t="shared" si="1517"/>
        <v>0</v>
      </c>
      <c r="L1419">
        <f t="shared" si="1518"/>
        <v>74.676499999999791</v>
      </c>
    </row>
    <row r="1420" spans="2:12">
      <c r="B1420" s="1">
        <v>50058</v>
      </c>
      <c r="C1420" t="s">
        <v>43</v>
      </c>
      <c r="D1420">
        <v>17.399999999999999</v>
      </c>
      <c r="E1420">
        <v>0</v>
      </c>
      <c r="F1420">
        <f t="shared" si="1514"/>
        <v>0</v>
      </c>
      <c r="G1420">
        <f t="shared" ref="G1420" si="1525">D1417+D1418+D1419+D1420</f>
        <v>75</v>
      </c>
      <c r="H1420">
        <f t="shared" si="1513"/>
        <v>2037</v>
      </c>
      <c r="I1420">
        <v>1</v>
      </c>
      <c r="J1420">
        <f t="shared" si="1516"/>
        <v>74.676499999999791</v>
      </c>
      <c r="K1420">
        <f t="shared" si="1517"/>
        <v>0</v>
      </c>
      <c r="L1420">
        <f t="shared" si="1518"/>
        <v>74.676499999999791</v>
      </c>
    </row>
    <row r="1421" spans="2:12">
      <c r="B1421" s="1">
        <v>50059</v>
      </c>
      <c r="C1421" t="s">
        <v>17</v>
      </c>
      <c r="D1421">
        <v>15.6</v>
      </c>
      <c r="E1421">
        <v>0</v>
      </c>
      <c r="F1421">
        <f t="shared" si="1514"/>
        <v>0</v>
      </c>
      <c r="G1421">
        <f t="shared" ref="G1421" si="1526">D1417+D1418+D1419+D1420+D1421</f>
        <v>90.6</v>
      </c>
      <c r="H1421">
        <f t="shared" si="1513"/>
        <v>2037</v>
      </c>
      <c r="I1421">
        <v>1</v>
      </c>
      <c r="J1421">
        <f t="shared" si="1516"/>
        <v>74.676499999999791</v>
      </c>
      <c r="K1421">
        <f t="shared" si="1517"/>
        <v>0</v>
      </c>
      <c r="L1421">
        <f t="shared" si="1518"/>
        <v>74.676499999999791</v>
      </c>
    </row>
    <row r="1422" spans="2:12">
      <c r="B1422" s="1">
        <v>50060</v>
      </c>
      <c r="C1422" t="s">
        <v>27</v>
      </c>
      <c r="D1422">
        <v>13.7</v>
      </c>
      <c r="E1422">
        <v>0</v>
      </c>
      <c r="F1422">
        <f t="shared" si="1514"/>
        <v>0</v>
      </c>
      <c r="G1422">
        <f t="shared" ref="G1422" si="1527">D1417+D1418+D1419+D1420+D1421+D1422</f>
        <v>104.3</v>
      </c>
      <c r="H1422">
        <f t="shared" si="1513"/>
        <v>2037</v>
      </c>
      <c r="I1422">
        <v>1</v>
      </c>
      <c r="J1422">
        <f t="shared" si="1516"/>
        <v>74.676499999999791</v>
      </c>
      <c r="K1422">
        <f t="shared" si="1517"/>
        <v>0</v>
      </c>
      <c r="L1422">
        <f t="shared" si="1518"/>
        <v>74.676499999999791</v>
      </c>
    </row>
    <row r="1423" spans="2:12">
      <c r="B1423" s="1">
        <v>50061</v>
      </c>
      <c r="C1423" t="s">
        <v>24</v>
      </c>
      <c r="D1423">
        <v>24.7</v>
      </c>
      <c r="E1423">
        <v>16.2</v>
      </c>
      <c r="F1423">
        <f t="shared" si="1514"/>
        <v>4.0014000000000003</v>
      </c>
      <c r="G1423">
        <f t="shared" ref="G1423" si="1528">D1417+D1418+D1419+D1420+D1421+D1422+D1423</f>
        <v>129</v>
      </c>
      <c r="H1423">
        <f t="shared" si="1513"/>
        <v>2037</v>
      </c>
      <c r="I1423">
        <v>1</v>
      </c>
      <c r="J1423">
        <f t="shared" si="1516"/>
        <v>78.677899999999795</v>
      </c>
      <c r="K1423">
        <f t="shared" si="1517"/>
        <v>0</v>
      </c>
      <c r="L1423">
        <f t="shared" si="1518"/>
        <v>78.677899999999795</v>
      </c>
    </row>
    <row r="1424" spans="2:12">
      <c r="B1424" s="1">
        <v>50062</v>
      </c>
      <c r="C1424" t="s">
        <v>32</v>
      </c>
      <c r="D1424">
        <v>25.3</v>
      </c>
      <c r="E1424">
        <v>14.2</v>
      </c>
      <c r="F1424">
        <f t="shared" si="1514"/>
        <v>3.5926</v>
      </c>
      <c r="G1424">
        <f t="shared" ref="G1424:G1487" si="1529">D1424</f>
        <v>25.3</v>
      </c>
      <c r="H1424">
        <f t="shared" si="1513"/>
        <v>2037</v>
      </c>
      <c r="I1424">
        <v>1</v>
      </c>
      <c r="J1424">
        <f t="shared" si="1516"/>
        <v>82.270499999999799</v>
      </c>
      <c r="K1424">
        <f t="shared" si="1517"/>
        <v>0</v>
      </c>
      <c r="L1424">
        <f t="shared" si="1518"/>
        <v>82.270499999999799</v>
      </c>
    </row>
    <row r="1425" spans="2:12">
      <c r="B1425" s="1">
        <v>50063</v>
      </c>
      <c r="C1425" t="s">
        <v>32</v>
      </c>
      <c r="D1425">
        <v>18.399999999999999</v>
      </c>
      <c r="E1425">
        <v>0</v>
      </c>
      <c r="F1425">
        <f t="shared" si="1514"/>
        <v>0</v>
      </c>
      <c r="G1425">
        <f t="shared" ref="G1425:G1488" si="1530">D1424+D1425</f>
        <v>43.7</v>
      </c>
      <c r="H1425">
        <f t="shared" si="1513"/>
        <v>2037</v>
      </c>
      <c r="I1425">
        <v>1</v>
      </c>
      <c r="J1425">
        <f t="shared" si="1516"/>
        <v>82.270499999999799</v>
      </c>
      <c r="K1425">
        <f t="shared" si="1517"/>
        <v>0</v>
      </c>
      <c r="L1425">
        <f t="shared" si="1518"/>
        <v>82.270499999999799</v>
      </c>
    </row>
    <row r="1426" spans="2:12">
      <c r="B1426" s="1">
        <v>50064</v>
      </c>
      <c r="C1426" t="s">
        <v>31</v>
      </c>
      <c r="D1426">
        <v>10.199999999999999</v>
      </c>
      <c r="E1426">
        <v>0</v>
      </c>
      <c r="F1426">
        <f t="shared" si="1514"/>
        <v>0</v>
      </c>
      <c r="G1426">
        <f t="shared" ref="G1426" si="1531">D1424+D1425+D1426</f>
        <v>53.900000000000006</v>
      </c>
      <c r="H1426">
        <f t="shared" si="1513"/>
        <v>2037</v>
      </c>
      <c r="I1426">
        <v>1</v>
      </c>
      <c r="J1426">
        <f t="shared" si="1516"/>
        <v>82.270499999999799</v>
      </c>
      <c r="K1426">
        <f t="shared" si="1517"/>
        <v>0</v>
      </c>
      <c r="L1426">
        <f t="shared" si="1518"/>
        <v>82.270499999999799</v>
      </c>
    </row>
    <row r="1427" spans="2:12">
      <c r="B1427" s="1">
        <v>50065</v>
      </c>
      <c r="C1427" t="s">
        <v>48</v>
      </c>
      <c r="D1427">
        <v>26.9</v>
      </c>
      <c r="E1427">
        <v>0</v>
      </c>
      <c r="F1427">
        <f t="shared" si="1514"/>
        <v>0</v>
      </c>
      <c r="G1427">
        <f t="shared" ref="G1427" si="1532">D1424+D1425+D1426+D1427</f>
        <v>80.800000000000011</v>
      </c>
      <c r="H1427">
        <f t="shared" si="1513"/>
        <v>2037</v>
      </c>
      <c r="I1427">
        <v>1</v>
      </c>
      <c r="J1427">
        <f t="shared" si="1516"/>
        <v>82.270499999999799</v>
      </c>
      <c r="K1427">
        <f t="shared" si="1517"/>
        <v>0</v>
      </c>
      <c r="L1427">
        <f t="shared" si="1518"/>
        <v>82.270499999999799</v>
      </c>
    </row>
    <row r="1428" spans="2:12">
      <c r="B1428" s="1">
        <v>50066</v>
      </c>
      <c r="C1428" t="s">
        <v>19</v>
      </c>
      <c r="D1428">
        <v>28.2</v>
      </c>
      <c r="E1428">
        <v>0</v>
      </c>
      <c r="F1428">
        <f t="shared" si="1514"/>
        <v>0</v>
      </c>
      <c r="G1428">
        <f t="shared" ref="G1428" si="1533">D1424+D1425+D1426+D1427+D1428</f>
        <v>109.00000000000001</v>
      </c>
      <c r="H1428">
        <f t="shared" si="1513"/>
        <v>2037</v>
      </c>
      <c r="I1428">
        <v>1</v>
      </c>
      <c r="J1428">
        <f t="shared" si="1516"/>
        <v>82.270499999999799</v>
      </c>
      <c r="K1428">
        <f t="shared" si="1517"/>
        <v>0</v>
      </c>
      <c r="L1428">
        <f t="shared" si="1518"/>
        <v>82.270499999999799</v>
      </c>
    </row>
    <row r="1429" spans="2:12">
      <c r="B1429" s="1">
        <v>50067</v>
      </c>
      <c r="C1429" t="s">
        <v>18</v>
      </c>
      <c r="D1429">
        <v>15.9</v>
      </c>
      <c r="E1429">
        <v>0</v>
      </c>
      <c r="F1429">
        <f t="shared" si="1514"/>
        <v>0</v>
      </c>
      <c r="G1429">
        <f t="shared" ref="G1429" si="1534">D1424+D1425+D1426+D1427+D1428+D1429</f>
        <v>124.90000000000002</v>
      </c>
      <c r="H1429">
        <f t="shared" si="1513"/>
        <v>2037</v>
      </c>
      <c r="I1429">
        <v>1</v>
      </c>
      <c r="J1429">
        <f t="shared" si="1516"/>
        <v>82.270499999999799</v>
      </c>
      <c r="K1429">
        <f t="shared" si="1517"/>
        <v>0</v>
      </c>
      <c r="L1429">
        <f t="shared" si="1518"/>
        <v>82.270499999999799</v>
      </c>
    </row>
    <row r="1430" spans="2:12">
      <c r="B1430" s="1">
        <v>50068</v>
      </c>
      <c r="C1430" t="s">
        <v>24</v>
      </c>
      <c r="D1430">
        <v>19.7</v>
      </c>
      <c r="E1430">
        <v>0</v>
      </c>
      <c r="F1430">
        <f t="shared" si="1514"/>
        <v>0</v>
      </c>
      <c r="G1430">
        <f t="shared" ref="G1430" si="1535">D1424+D1425+D1426+D1427+D1428+D1429+D1430</f>
        <v>144.60000000000002</v>
      </c>
      <c r="H1430">
        <f t="shared" si="1513"/>
        <v>2037</v>
      </c>
      <c r="I1430">
        <v>1</v>
      </c>
      <c r="J1430">
        <f t="shared" si="1516"/>
        <v>82.270499999999799</v>
      </c>
      <c r="K1430">
        <f t="shared" si="1517"/>
        <v>0</v>
      </c>
      <c r="L1430">
        <f t="shared" si="1518"/>
        <v>82.270499999999799</v>
      </c>
    </row>
    <row r="1431" spans="2:12">
      <c r="B1431" s="1">
        <v>50069</v>
      </c>
      <c r="C1431" t="s">
        <v>18</v>
      </c>
      <c r="D1431">
        <v>16</v>
      </c>
      <c r="E1431">
        <v>0</v>
      </c>
      <c r="F1431">
        <f t="shared" si="1514"/>
        <v>0</v>
      </c>
      <c r="G1431">
        <f t="shared" ref="G1431:G1494" si="1536">D1431</f>
        <v>16</v>
      </c>
      <c r="H1431">
        <f t="shared" si="1513"/>
        <v>2037</v>
      </c>
      <c r="I1431">
        <v>1</v>
      </c>
      <c r="J1431">
        <f t="shared" si="1516"/>
        <v>82.270499999999799</v>
      </c>
      <c r="K1431">
        <f t="shared" si="1517"/>
        <v>0</v>
      </c>
      <c r="L1431">
        <f t="shared" si="1518"/>
        <v>82.270499999999799</v>
      </c>
    </row>
    <row r="1432" spans="2:12">
      <c r="B1432" s="1">
        <v>50070</v>
      </c>
      <c r="C1432" t="s">
        <v>17</v>
      </c>
      <c r="D1432">
        <v>20.8</v>
      </c>
      <c r="E1432">
        <v>0</v>
      </c>
      <c r="F1432">
        <f t="shared" si="1514"/>
        <v>0</v>
      </c>
      <c r="G1432">
        <f t="shared" ref="G1432:G1495" si="1537">D1431+D1432</f>
        <v>36.799999999999997</v>
      </c>
      <c r="H1432">
        <f t="shared" si="1513"/>
        <v>2037</v>
      </c>
      <c r="I1432">
        <v>1</v>
      </c>
      <c r="J1432">
        <f t="shared" si="1516"/>
        <v>82.270499999999799</v>
      </c>
      <c r="K1432">
        <f t="shared" si="1517"/>
        <v>0</v>
      </c>
      <c r="L1432">
        <f t="shared" si="1518"/>
        <v>82.270499999999799</v>
      </c>
    </row>
    <row r="1433" spans="2:12">
      <c r="B1433" s="1">
        <v>50071</v>
      </c>
      <c r="C1433" t="s">
        <v>35</v>
      </c>
      <c r="D1433">
        <v>12.5</v>
      </c>
      <c r="E1433">
        <v>0</v>
      </c>
      <c r="F1433">
        <f t="shared" si="1514"/>
        <v>0</v>
      </c>
      <c r="G1433">
        <f t="shared" ref="G1433" si="1538">D1431+D1432+D1433</f>
        <v>49.3</v>
      </c>
      <c r="H1433">
        <f t="shared" si="1513"/>
        <v>2037</v>
      </c>
      <c r="I1433">
        <v>1</v>
      </c>
      <c r="J1433">
        <f t="shared" si="1516"/>
        <v>82.270499999999799</v>
      </c>
      <c r="K1433">
        <f t="shared" si="1517"/>
        <v>0</v>
      </c>
      <c r="L1433">
        <f t="shared" si="1518"/>
        <v>82.270499999999799</v>
      </c>
    </row>
    <row r="1434" spans="2:12">
      <c r="B1434" s="1">
        <v>50072</v>
      </c>
      <c r="C1434" t="s">
        <v>32</v>
      </c>
      <c r="D1434">
        <v>12.7</v>
      </c>
      <c r="E1434">
        <v>2.4</v>
      </c>
      <c r="F1434">
        <f t="shared" si="1514"/>
        <v>0.30479999999999996</v>
      </c>
      <c r="G1434">
        <f t="shared" ref="G1434" si="1539">D1431+D1432+D1433+D1434</f>
        <v>62</v>
      </c>
      <c r="H1434">
        <f t="shared" si="1513"/>
        <v>2037</v>
      </c>
      <c r="I1434">
        <v>1</v>
      </c>
      <c r="J1434">
        <f t="shared" si="1516"/>
        <v>82.5752999999998</v>
      </c>
      <c r="K1434">
        <f t="shared" si="1517"/>
        <v>0</v>
      </c>
      <c r="L1434">
        <f t="shared" si="1518"/>
        <v>82.5752999999998</v>
      </c>
    </row>
    <row r="1435" spans="2:12">
      <c r="B1435" s="1">
        <v>50073</v>
      </c>
      <c r="C1435" t="s">
        <v>47</v>
      </c>
      <c r="D1435">
        <v>23.5</v>
      </c>
      <c r="E1435">
        <v>11.5</v>
      </c>
      <c r="F1435">
        <f t="shared" si="1514"/>
        <v>2.7025000000000001</v>
      </c>
      <c r="G1435">
        <f t="shared" ref="G1435" si="1540">D1431+D1432+D1433+D1434+D1435</f>
        <v>85.5</v>
      </c>
      <c r="H1435">
        <f t="shared" si="1513"/>
        <v>2037</v>
      </c>
      <c r="I1435">
        <v>1</v>
      </c>
      <c r="J1435">
        <f t="shared" si="1516"/>
        <v>85.2777999999998</v>
      </c>
      <c r="K1435">
        <f t="shared" si="1517"/>
        <v>0</v>
      </c>
      <c r="L1435">
        <f t="shared" si="1518"/>
        <v>85.2777999999998</v>
      </c>
    </row>
    <row r="1436" spans="2:12">
      <c r="B1436" s="1">
        <v>50074</v>
      </c>
      <c r="C1436" t="s">
        <v>31</v>
      </c>
      <c r="D1436">
        <v>17.8</v>
      </c>
      <c r="E1436">
        <v>1.8</v>
      </c>
      <c r="F1436">
        <f t="shared" si="1514"/>
        <v>0.32040000000000002</v>
      </c>
      <c r="G1436">
        <f t="shared" ref="G1436" si="1541">D1431+D1432+D1433+D1434+D1435+D1436</f>
        <v>103.3</v>
      </c>
      <c r="H1436">
        <f t="shared" si="1513"/>
        <v>2037</v>
      </c>
      <c r="I1436">
        <v>1</v>
      </c>
      <c r="J1436">
        <f t="shared" si="1516"/>
        <v>85.598199999999807</v>
      </c>
      <c r="K1436">
        <f t="shared" si="1517"/>
        <v>0</v>
      </c>
      <c r="L1436">
        <f t="shared" si="1518"/>
        <v>85.598199999999807</v>
      </c>
    </row>
    <row r="1437" spans="2:12">
      <c r="B1437" s="1">
        <v>50075</v>
      </c>
      <c r="C1437" t="s">
        <v>25</v>
      </c>
      <c r="D1437">
        <v>11</v>
      </c>
      <c r="E1437">
        <v>0</v>
      </c>
      <c r="F1437">
        <f t="shared" si="1514"/>
        <v>0</v>
      </c>
      <c r="G1437">
        <f t="shared" ref="G1437" si="1542">D1431+D1432+D1433+D1434+D1435+D1436+D1437</f>
        <v>114.3</v>
      </c>
      <c r="H1437">
        <f t="shared" si="1513"/>
        <v>2037</v>
      </c>
      <c r="I1437">
        <v>1</v>
      </c>
      <c r="J1437">
        <f t="shared" si="1516"/>
        <v>85.598199999999807</v>
      </c>
      <c r="K1437">
        <f t="shared" si="1517"/>
        <v>0</v>
      </c>
      <c r="L1437">
        <f t="shared" si="1518"/>
        <v>85.598199999999807</v>
      </c>
    </row>
    <row r="1438" spans="2:12">
      <c r="B1438" s="1">
        <v>50076</v>
      </c>
      <c r="C1438" t="s">
        <v>26</v>
      </c>
      <c r="D1438">
        <v>21.3</v>
      </c>
      <c r="E1438">
        <v>5.2</v>
      </c>
      <c r="F1438">
        <f t="shared" si="1514"/>
        <v>1.1076000000000001</v>
      </c>
      <c r="G1438">
        <f t="shared" ref="G1438:G1501" si="1543">D1438</f>
        <v>21.3</v>
      </c>
      <c r="H1438">
        <f t="shared" si="1513"/>
        <v>2037</v>
      </c>
      <c r="I1438">
        <v>1</v>
      </c>
      <c r="J1438">
        <f t="shared" si="1516"/>
        <v>86.705799999999812</v>
      </c>
      <c r="K1438">
        <f t="shared" si="1517"/>
        <v>0</v>
      </c>
      <c r="L1438">
        <f t="shared" si="1518"/>
        <v>86.705799999999812</v>
      </c>
    </row>
    <row r="1439" spans="2:12">
      <c r="B1439" s="1">
        <v>50077</v>
      </c>
      <c r="C1439" t="s">
        <v>18</v>
      </c>
      <c r="D1439">
        <v>19.600000000000001</v>
      </c>
      <c r="E1439">
        <v>8.1</v>
      </c>
      <c r="F1439">
        <f t="shared" si="1514"/>
        <v>1.5875999999999999</v>
      </c>
      <c r="G1439">
        <f t="shared" ref="G1439:G1502" si="1544">D1438+D1439</f>
        <v>40.900000000000006</v>
      </c>
      <c r="H1439">
        <f t="shared" si="1513"/>
        <v>2037</v>
      </c>
      <c r="I1439">
        <v>1</v>
      </c>
      <c r="J1439">
        <f t="shared" si="1516"/>
        <v>88.293399999999806</v>
      </c>
      <c r="K1439">
        <f t="shared" si="1517"/>
        <v>0</v>
      </c>
      <c r="L1439">
        <f t="shared" si="1518"/>
        <v>88.293399999999806</v>
      </c>
    </row>
    <row r="1440" spans="2:12">
      <c r="B1440" s="1">
        <v>50078</v>
      </c>
      <c r="C1440" t="s">
        <v>25</v>
      </c>
      <c r="D1440">
        <v>25.7</v>
      </c>
      <c r="E1440">
        <v>4.2</v>
      </c>
      <c r="F1440">
        <f t="shared" si="1514"/>
        <v>1.0793999999999999</v>
      </c>
      <c r="G1440">
        <f t="shared" ref="G1440" si="1545">D1438+D1439+D1440</f>
        <v>66.600000000000009</v>
      </c>
      <c r="H1440">
        <f t="shared" si="1513"/>
        <v>2037</v>
      </c>
      <c r="I1440">
        <v>1</v>
      </c>
      <c r="J1440">
        <f t="shared" si="1516"/>
        <v>89.372799999999813</v>
      </c>
      <c r="K1440">
        <f t="shared" si="1517"/>
        <v>0</v>
      </c>
      <c r="L1440">
        <f t="shared" si="1518"/>
        <v>89.372799999999813</v>
      </c>
    </row>
    <row r="1441" spans="2:12">
      <c r="B1441" s="1">
        <v>50079</v>
      </c>
      <c r="C1441" t="s">
        <v>24</v>
      </c>
      <c r="D1441">
        <v>20.9</v>
      </c>
      <c r="E1441">
        <v>28.6</v>
      </c>
      <c r="F1441">
        <f t="shared" si="1514"/>
        <v>5.9774000000000003</v>
      </c>
      <c r="G1441">
        <f t="shared" ref="G1441" si="1546">D1438+D1439+D1440+D1441</f>
        <v>87.5</v>
      </c>
      <c r="H1441">
        <f t="shared" si="1513"/>
        <v>2037</v>
      </c>
      <c r="I1441">
        <v>1</v>
      </c>
      <c r="J1441">
        <f t="shared" si="1516"/>
        <v>95.350199999999816</v>
      </c>
      <c r="K1441">
        <f t="shared" si="1517"/>
        <v>0</v>
      </c>
      <c r="L1441">
        <f t="shared" si="1518"/>
        <v>95.350199999999816</v>
      </c>
    </row>
    <row r="1442" spans="2:12">
      <c r="B1442" s="1">
        <v>50080</v>
      </c>
      <c r="C1442" t="s">
        <v>50</v>
      </c>
      <c r="D1442">
        <v>26.4</v>
      </c>
      <c r="E1442">
        <v>3.2</v>
      </c>
      <c r="F1442">
        <f t="shared" si="1514"/>
        <v>0.8448</v>
      </c>
      <c r="G1442">
        <f t="shared" ref="G1442" si="1547">D1438+D1439+D1440+D1441+D1442</f>
        <v>113.9</v>
      </c>
      <c r="H1442">
        <f t="shared" si="1513"/>
        <v>2037</v>
      </c>
      <c r="I1442">
        <v>1</v>
      </c>
      <c r="J1442">
        <f t="shared" si="1516"/>
        <v>96.194999999999823</v>
      </c>
      <c r="K1442">
        <f t="shared" si="1517"/>
        <v>0</v>
      </c>
      <c r="L1442">
        <f t="shared" si="1518"/>
        <v>96.194999999999823</v>
      </c>
    </row>
    <row r="1443" spans="2:12">
      <c r="B1443" s="1">
        <v>50081</v>
      </c>
      <c r="C1443" t="s">
        <v>50</v>
      </c>
      <c r="D1443">
        <v>26.5</v>
      </c>
      <c r="E1443">
        <v>13.1</v>
      </c>
      <c r="F1443">
        <f t="shared" si="1514"/>
        <v>3.4714999999999998</v>
      </c>
      <c r="G1443">
        <f t="shared" ref="G1443" si="1548">D1438+D1439+D1440+D1441+D1442+D1443</f>
        <v>140.4</v>
      </c>
      <c r="H1443">
        <f t="shared" si="1513"/>
        <v>2037</v>
      </c>
      <c r="I1443">
        <v>1</v>
      </c>
      <c r="J1443">
        <f t="shared" si="1516"/>
        <v>99.666499999999829</v>
      </c>
      <c r="K1443">
        <f t="shared" si="1517"/>
        <v>0</v>
      </c>
      <c r="L1443">
        <f t="shared" si="1518"/>
        <v>99.666499999999829</v>
      </c>
    </row>
    <row r="1444" spans="2:12">
      <c r="B1444" s="1">
        <v>50082</v>
      </c>
      <c r="C1444" t="s">
        <v>19</v>
      </c>
      <c r="D1444">
        <v>11.7</v>
      </c>
      <c r="E1444">
        <v>0</v>
      </c>
      <c r="F1444">
        <f t="shared" si="1514"/>
        <v>0</v>
      </c>
      <c r="G1444">
        <f t="shared" ref="G1444" si="1549">D1438+D1439+D1440+D1441+D1442+D1443+D1444</f>
        <v>152.1</v>
      </c>
      <c r="H1444">
        <f t="shared" si="1513"/>
        <v>2037</v>
      </c>
      <c r="I1444">
        <v>1</v>
      </c>
      <c r="J1444">
        <f t="shared" si="1516"/>
        <v>99.666499999999829</v>
      </c>
      <c r="K1444">
        <f t="shared" si="1517"/>
        <v>0</v>
      </c>
      <c r="L1444">
        <f t="shared" si="1518"/>
        <v>99.666499999999829</v>
      </c>
    </row>
    <row r="1445" spans="2:12">
      <c r="B1445" s="1">
        <v>50083</v>
      </c>
      <c r="C1445" t="s">
        <v>26</v>
      </c>
      <c r="D1445">
        <v>24.7</v>
      </c>
      <c r="E1445">
        <v>0.3</v>
      </c>
      <c r="F1445">
        <f t="shared" si="1514"/>
        <v>0</v>
      </c>
      <c r="G1445">
        <f t="shared" ref="G1445:G1508" si="1550">D1445</f>
        <v>24.7</v>
      </c>
      <c r="H1445">
        <f t="shared" si="1513"/>
        <v>2037</v>
      </c>
      <c r="I1445">
        <v>1</v>
      </c>
      <c r="J1445">
        <f t="shared" si="1516"/>
        <v>99.666499999999829</v>
      </c>
      <c r="K1445">
        <f t="shared" si="1517"/>
        <v>0</v>
      </c>
      <c r="L1445">
        <f t="shared" si="1518"/>
        <v>99.666499999999829</v>
      </c>
    </row>
    <row r="1446" spans="2:12">
      <c r="B1446" s="1">
        <v>50084</v>
      </c>
      <c r="C1446" t="s">
        <v>21</v>
      </c>
      <c r="D1446">
        <v>24.4</v>
      </c>
      <c r="E1446">
        <v>9.6</v>
      </c>
      <c r="F1446">
        <f t="shared" si="1514"/>
        <v>2.3423999999999996</v>
      </c>
      <c r="G1446">
        <f t="shared" ref="G1446:G1509" si="1551">D1445+D1446</f>
        <v>49.099999999999994</v>
      </c>
      <c r="H1446">
        <f t="shared" si="1513"/>
        <v>2037</v>
      </c>
      <c r="I1446">
        <v>1</v>
      </c>
      <c r="J1446">
        <f t="shared" si="1516"/>
        <v>102.00889999999983</v>
      </c>
      <c r="K1446">
        <f t="shared" si="1517"/>
        <v>1</v>
      </c>
      <c r="L1446">
        <f t="shared" si="1518"/>
        <v>2.0088999999998265</v>
      </c>
    </row>
    <row r="1447" spans="2:12">
      <c r="B1447" s="1">
        <v>50085</v>
      </c>
      <c r="C1447" t="s">
        <v>50</v>
      </c>
      <c r="D1447">
        <v>19</v>
      </c>
      <c r="E1447">
        <v>28.8</v>
      </c>
      <c r="F1447">
        <f t="shared" si="1514"/>
        <v>5.4720000000000004</v>
      </c>
      <c r="G1447">
        <f t="shared" ref="G1447" si="1552">D1445+D1446+D1447</f>
        <v>68.099999999999994</v>
      </c>
      <c r="H1447">
        <f t="shared" si="1513"/>
        <v>2037</v>
      </c>
      <c r="I1447">
        <v>1</v>
      </c>
      <c r="J1447">
        <f t="shared" si="1516"/>
        <v>7.4808999999998269</v>
      </c>
      <c r="K1447">
        <f t="shared" si="1517"/>
        <v>0</v>
      </c>
      <c r="L1447">
        <f t="shared" si="1518"/>
        <v>7.4808999999998269</v>
      </c>
    </row>
    <row r="1448" spans="2:12">
      <c r="B1448" s="1">
        <v>50086</v>
      </c>
      <c r="C1448" t="s">
        <v>24</v>
      </c>
      <c r="D1448">
        <v>13.7</v>
      </c>
      <c r="E1448">
        <v>19.3</v>
      </c>
      <c r="F1448">
        <f t="shared" si="1514"/>
        <v>2.6440999999999999</v>
      </c>
      <c r="G1448">
        <f t="shared" ref="G1448" si="1553">D1445+D1446+D1447+D1448</f>
        <v>81.8</v>
      </c>
      <c r="H1448">
        <f t="shared" si="1513"/>
        <v>2037</v>
      </c>
      <c r="I1448">
        <v>1</v>
      </c>
      <c r="J1448">
        <f t="shared" si="1516"/>
        <v>10.124999999999826</v>
      </c>
      <c r="K1448">
        <f t="shared" si="1517"/>
        <v>0</v>
      </c>
      <c r="L1448">
        <f t="shared" si="1518"/>
        <v>10.124999999999826</v>
      </c>
    </row>
    <row r="1449" spans="2:12">
      <c r="B1449" s="1">
        <v>50087</v>
      </c>
      <c r="C1449" t="s">
        <v>24</v>
      </c>
      <c r="D1449">
        <v>28.9</v>
      </c>
      <c r="E1449">
        <v>20.399999999999999</v>
      </c>
      <c r="F1449">
        <f t="shared" si="1514"/>
        <v>5.8955999999999991</v>
      </c>
      <c r="G1449">
        <f t="shared" ref="G1449" si="1554">D1445+D1446+D1447+D1448+D1449</f>
        <v>110.69999999999999</v>
      </c>
      <c r="H1449">
        <f t="shared" si="1513"/>
        <v>2037</v>
      </c>
      <c r="I1449">
        <v>1</v>
      </c>
      <c r="J1449">
        <f t="shared" si="1516"/>
        <v>16.020599999999824</v>
      </c>
      <c r="K1449">
        <f t="shared" si="1517"/>
        <v>0</v>
      </c>
      <c r="L1449">
        <f t="shared" si="1518"/>
        <v>16.020599999999824</v>
      </c>
    </row>
    <row r="1450" spans="2:12">
      <c r="B1450" s="1">
        <v>50088</v>
      </c>
      <c r="C1450" t="s">
        <v>40</v>
      </c>
      <c r="D1450">
        <v>25.2</v>
      </c>
      <c r="E1450">
        <v>0</v>
      </c>
      <c r="F1450">
        <f t="shared" si="1514"/>
        <v>0</v>
      </c>
      <c r="G1450">
        <f t="shared" ref="G1450" si="1555">D1445+D1446+D1447+D1448+D1449+D1450</f>
        <v>135.89999999999998</v>
      </c>
      <c r="H1450">
        <f t="shared" si="1513"/>
        <v>2037</v>
      </c>
      <c r="I1450">
        <v>1</v>
      </c>
      <c r="J1450">
        <f t="shared" si="1516"/>
        <v>16.020599999999824</v>
      </c>
      <c r="K1450">
        <f t="shared" si="1517"/>
        <v>0</v>
      </c>
      <c r="L1450">
        <f t="shared" si="1518"/>
        <v>16.020599999999824</v>
      </c>
    </row>
    <row r="1451" spans="2:12">
      <c r="B1451" s="1">
        <v>50089</v>
      </c>
      <c r="C1451" t="s">
        <v>25</v>
      </c>
      <c r="D1451">
        <v>15.4</v>
      </c>
      <c r="E1451">
        <v>9</v>
      </c>
      <c r="F1451">
        <f t="shared" si="1514"/>
        <v>1.3859999999999999</v>
      </c>
      <c r="G1451">
        <f t="shared" ref="G1451" si="1556">D1445+D1446+D1447+D1448+D1449+D1450+D1451</f>
        <v>151.29999999999998</v>
      </c>
      <c r="H1451">
        <f t="shared" si="1513"/>
        <v>2037</v>
      </c>
      <c r="I1451">
        <v>1</v>
      </c>
      <c r="J1451">
        <f t="shared" si="1516"/>
        <v>17.406599999999823</v>
      </c>
      <c r="K1451">
        <f t="shared" si="1517"/>
        <v>0</v>
      </c>
      <c r="L1451">
        <f t="shared" si="1518"/>
        <v>17.406599999999823</v>
      </c>
    </row>
    <row r="1452" spans="2:12">
      <c r="B1452" s="1">
        <v>50090</v>
      </c>
      <c r="C1452" t="s">
        <v>33</v>
      </c>
      <c r="D1452">
        <v>24.1</v>
      </c>
      <c r="E1452">
        <v>0.3</v>
      </c>
      <c r="F1452">
        <f t="shared" si="1514"/>
        <v>0</v>
      </c>
      <c r="G1452">
        <f t="shared" ref="G1452:G1515" si="1557">D1452</f>
        <v>24.1</v>
      </c>
      <c r="H1452">
        <f t="shared" si="1513"/>
        <v>2037</v>
      </c>
      <c r="I1452">
        <v>1</v>
      </c>
      <c r="J1452">
        <f t="shared" si="1516"/>
        <v>17.406599999999823</v>
      </c>
      <c r="K1452">
        <f t="shared" si="1517"/>
        <v>0</v>
      </c>
      <c r="L1452">
        <f t="shared" si="1518"/>
        <v>17.406599999999823</v>
      </c>
    </row>
    <row r="1453" spans="2:12">
      <c r="B1453" s="1">
        <v>50091</v>
      </c>
      <c r="C1453" t="s">
        <v>43</v>
      </c>
      <c r="D1453">
        <v>27.7</v>
      </c>
      <c r="E1453">
        <v>0</v>
      </c>
      <c r="F1453">
        <f t="shared" si="1514"/>
        <v>0</v>
      </c>
      <c r="G1453">
        <f t="shared" ref="G1453:G1516" si="1558">D1452+D1453</f>
        <v>51.8</v>
      </c>
      <c r="H1453">
        <f t="shared" si="1513"/>
        <v>2037</v>
      </c>
      <c r="I1453">
        <v>1</v>
      </c>
      <c r="J1453">
        <f t="shared" si="1516"/>
        <v>17.406599999999823</v>
      </c>
      <c r="K1453">
        <f t="shared" si="1517"/>
        <v>0</v>
      </c>
      <c r="L1453">
        <f t="shared" si="1518"/>
        <v>17.406599999999823</v>
      </c>
    </row>
    <row r="1454" spans="2:12">
      <c r="B1454" s="1">
        <v>50092</v>
      </c>
      <c r="C1454" t="s">
        <v>25</v>
      </c>
      <c r="D1454">
        <v>19.600000000000001</v>
      </c>
      <c r="E1454">
        <v>21.1</v>
      </c>
      <c r="F1454">
        <f t="shared" si="1514"/>
        <v>4.1356000000000002</v>
      </c>
      <c r="G1454">
        <f t="shared" ref="G1454" si="1559">D1452+D1453+D1454</f>
        <v>71.400000000000006</v>
      </c>
      <c r="H1454">
        <f t="shared" si="1513"/>
        <v>2037</v>
      </c>
      <c r="I1454">
        <v>1</v>
      </c>
      <c r="J1454">
        <f t="shared" si="1516"/>
        <v>21.542199999999823</v>
      </c>
      <c r="K1454">
        <f t="shared" si="1517"/>
        <v>0</v>
      </c>
      <c r="L1454">
        <f t="shared" si="1518"/>
        <v>21.542199999999823</v>
      </c>
    </row>
    <row r="1455" spans="2:12">
      <c r="B1455" s="1">
        <v>50093</v>
      </c>
      <c r="C1455" t="s">
        <v>35</v>
      </c>
      <c r="D1455">
        <v>29</v>
      </c>
      <c r="E1455">
        <v>3.2</v>
      </c>
      <c r="F1455">
        <f t="shared" si="1514"/>
        <v>0.92800000000000016</v>
      </c>
      <c r="G1455">
        <f t="shared" ref="G1455" si="1560">D1452+D1453+D1454+D1455</f>
        <v>100.4</v>
      </c>
      <c r="H1455">
        <f t="shared" si="1513"/>
        <v>2037</v>
      </c>
      <c r="I1455">
        <v>1</v>
      </c>
      <c r="J1455">
        <f t="shared" si="1516"/>
        <v>22.470199999999824</v>
      </c>
      <c r="K1455">
        <f t="shared" si="1517"/>
        <v>0</v>
      </c>
      <c r="L1455">
        <f t="shared" si="1518"/>
        <v>22.470199999999824</v>
      </c>
    </row>
    <row r="1456" spans="2:12">
      <c r="B1456" s="1">
        <v>50094</v>
      </c>
      <c r="C1456" t="s">
        <v>41</v>
      </c>
      <c r="D1456">
        <v>10.3</v>
      </c>
      <c r="E1456">
        <v>0.7</v>
      </c>
      <c r="F1456">
        <f t="shared" si="1514"/>
        <v>0</v>
      </c>
      <c r="G1456">
        <f t="shared" ref="G1456" si="1561">D1452+D1453+D1454+D1455+D1456</f>
        <v>110.7</v>
      </c>
      <c r="H1456">
        <f t="shared" si="1513"/>
        <v>2037</v>
      </c>
      <c r="I1456">
        <v>1</v>
      </c>
      <c r="J1456">
        <f t="shared" si="1516"/>
        <v>22.470199999999824</v>
      </c>
      <c r="K1456">
        <f t="shared" si="1517"/>
        <v>0</v>
      </c>
      <c r="L1456">
        <f t="shared" si="1518"/>
        <v>22.470199999999824</v>
      </c>
    </row>
    <row r="1457" spans="2:12">
      <c r="B1457" s="1">
        <v>50095</v>
      </c>
      <c r="C1457" t="s">
        <v>24</v>
      </c>
      <c r="D1457">
        <v>11</v>
      </c>
      <c r="E1457">
        <v>40.200000000000003</v>
      </c>
      <c r="F1457">
        <f t="shared" si="1514"/>
        <v>4.4220000000000006</v>
      </c>
      <c r="G1457">
        <f t="shared" ref="G1457" si="1562">D1452+D1453+D1454+D1455+D1456+D1457</f>
        <v>121.7</v>
      </c>
      <c r="H1457">
        <f t="shared" si="1513"/>
        <v>2037</v>
      </c>
      <c r="I1457">
        <v>1</v>
      </c>
      <c r="J1457">
        <f t="shared" si="1516"/>
        <v>26.892199999999825</v>
      </c>
      <c r="K1457">
        <f t="shared" si="1517"/>
        <v>0</v>
      </c>
      <c r="L1457">
        <f t="shared" si="1518"/>
        <v>26.892199999999825</v>
      </c>
    </row>
    <row r="1458" spans="2:12">
      <c r="B1458" s="1">
        <v>50096</v>
      </c>
      <c r="C1458" t="s">
        <v>25</v>
      </c>
      <c r="D1458">
        <v>28.6</v>
      </c>
      <c r="E1458">
        <v>0.6</v>
      </c>
      <c r="F1458">
        <f t="shared" si="1514"/>
        <v>0</v>
      </c>
      <c r="G1458">
        <f t="shared" ref="G1458" si="1563">D1452+D1453+D1454+D1455+D1456+D1457+D1458</f>
        <v>150.30000000000001</v>
      </c>
      <c r="H1458">
        <f t="shared" si="1513"/>
        <v>2037</v>
      </c>
      <c r="I1458">
        <v>1</v>
      </c>
      <c r="J1458">
        <f t="shared" si="1516"/>
        <v>26.892199999999825</v>
      </c>
      <c r="K1458">
        <f t="shared" si="1517"/>
        <v>0</v>
      </c>
      <c r="L1458">
        <f t="shared" si="1518"/>
        <v>26.892199999999825</v>
      </c>
    </row>
    <row r="1459" spans="2:12">
      <c r="B1459" s="1">
        <v>50097</v>
      </c>
      <c r="C1459" t="s">
        <v>42</v>
      </c>
      <c r="D1459">
        <v>22.5</v>
      </c>
      <c r="E1459">
        <v>1</v>
      </c>
      <c r="F1459">
        <f t="shared" si="1514"/>
        <v>0.22500000000000001</v>
      </c>
      <c r="G1459">
        <f t="shared" ref="G1459:G1522" si="1564">D1459</f>
        <v>22.5</v>
      </c>
      <c r="H1459">
        <f t="shared" si="1513"/>
        <v>2037</v>
      </c>
      <c r="I1459">
        <v>1</v>
      </c>
      <c r="J1459">
        <f t="shared" si="1516"/>
        <v>27.117199999999826</v>
      </c>
      <c r="K1459">
        <f t="shared" si="1517"/>
        <v>0</v>
      </c>
      <c r="L1459">
        <f t="shared" si="1518"/>
        <v>27.117199999999826</v>
      </c>
    </row>
    <row r="1460" spans="2:12">
      <c r="B1460" s="1">
        <v>50098</v>
      </c>
      <c r="C1460" t="s">
        <v>26</v>
      </c>
      <c r="D1460">
        <v>19.600000000000001</v>
      </c>
      <c r="E1460">
        <v>0</v>
      </c>
      <c r="F1460">
        <f t="shared" si="1514"/>
        <v>0</v>
      </c>
      <c r="G1460">
        <f t="shared" ref="G1460:G1523" si="1565">D1459+D1460</f>
        <v>42.1</v>
      </c>
      <c r="H1460">
        <f t="shared" si="1513"/>
        <v>2037</v>
      </c>
      <c r="I1460">
        <v>1</v>
      </c>
      <c r="J1460">
        <f t="shared" si="1516"/>
        <v>27.117199999999826</v>
      </c>
      <c r="K1460">
        <f t="shared" si="1517"/>
        <v>0</v>
      </c>
      <c r="L1460">
        <f t="shared" si="1518"/>
        <v>27.117199999999826</v>
      </c>
    </row>
    <row r="1461" spans="2:12">
      <c r="B1461" s="1">
        <v>50099</v>
      </c>
      <c r="C1461" t="s">
        <v>23</v>
      </c>
      <c r="D1461">
        <v>19.899999999999999</v>
      </c>
      <c r="E1461">
        <v>0</v>
      </c>
      <c r="F1461">
        <f t="shared" si="1514"/>
        <v>0</v>
      </c>
      <c r="G1461">
        <f t="shared" ref="G1461" si="1566">D1459+D1460+D1461</f>
        <v>62</v>
      </c>
      <c r="H1461">
        <f t="shared" si="1513"/>
        <v>2037</v>
      </c>
      <c r="I1461">
        <v>1</v>
      </c>
      <c r="J1461">
        <f t="shared" si="1516"/>
        <v>27.117199999999826</v>
      </c>
      <c r="K1461">
        <f t="shared" si="1517"/>
        <v>0</v>
      </c>
      <c r="L1461">
        <f t="shared" si="1518"/>
        <v>27.117199999999826</v>
      </c>
    </row>
    <row r="1462" spans="2:12">
      <c r="B1462" s="1">
        <v>50100</v>
      </c>
      <c r="C1462" t="s">
        <v>17</v>
      </c>
      <c r="D1462">
        <v>21.7</v>
      </c>
      <c r="E1462">
        <v>9.4</v>
      </c>
      <c r="F1462">
        <f t="shared" si="1514"/>
        <v>2.0398000000000001</v>
      </c>
      <c r="G1462">
        <f t="shared" ref="G1462" si="1567">D1459+D1460+D1461+D1462</f>
        <v>83.7</v>
      </c>
      <c r="H1462">
        <f t="shared" si="1513"/>
        <v>2037</v>
      </c>
      <c r="I1462">
        <v>1</v>
      </c>
      <c r="J1462">
        <f t="shared" si="1516"/>
        <v>29.156999999999826</v>
      </c>
      <c r="K1462">
        <f t="shared" si="1517"/>
        <v>0</v>
      </c>
      <c r="L1462">
        <f t="shared" si="1518"/>
        <v>29.156999999999826</v>
      </c>
    </row>
    <row r="1463" spans="2:12">
      <c r="B1463" s="1">
        <v>50101</v>
      </c>
      <c r="C1463" t="s">
        <v>26</v>
      </c>
      <c r="D1463">
        <v>15.3</v>
      </c>
      <c r="E1463">
        <v>0</v>
      </c>
      <c r="F1463">
        <f t="shared" si="1514"/>
        <v>0</v>
      </c>
      <c r="G1463">
        <f t="shared" ref="G1463" si="1568">D1459+D1460+D1461+D1462+D1463</f>
        <v>99</v>
      </c>
      <c r="H1463">
        <f t="shared" si="1513"/>
        <v>2037</v>
      </c>
      <c r="I1463">
        <v>1</v>
      </c>
      <c r="J1463">
        <f t="shared" si="1516"/>
        <v>29.156999999999826</v>
      </c>
      <c r="K1463">
        <f t="shared" si="1517"/>
        <v>0</v>
      </c>
      <c r="L1463">
        <f t="shared" si="1518"/>
        <v>29.156999999999826</v>
      </c>
    </row>
    <row r="1464" spans="2:12">
      <c r="B1464" s="1">
        <v>50102</v>
      </c>
      <c r="C1464" t="s">
        <v>32</v>
      </c>
      <c r="D1464">
        <v>20.9</v>
      </c>
      <c r="E1464">
        <v>12.4</v>
      </c>
      <c r="F1464">
        <f t="shared" si="1514"/>
        <v>2.5915999999999997</v>
      </c>
      <c r="G1464">
        <f t="shared" ref="G1464" si="1569">D1459+D1460+D1461+D1462+D1463+D1464</f>
        <v>119.9</v>
      </c>
      <c r="H1464">
        <f t="shared" si="1513"/>
        <v>2037</v>
      </c>
      <c r="I1464">
        <v>1</v>
      </c>
      <c r="J1464">
        <f t="shared" si="1516"/>
        <v>31.748599999999826</v>
      </c>
      <c r="K1464">
        <f t="shared" si="1517"/>
        <v>0</v>
      </c>
      <c r="L1464">
        <f t="shared" si="1518"/>
        <v>31.748599999999826</v>
      </c>
    </row>
    <row r="1465" spans="2:12">
      <c r="B1465" s="1">
        <v>50103</v>
      </c>
      <c r="C1465" t="s">
        <v>15</v>
      </c>
      <c r="D1465">
        <v>17</v>
      </c>
      <c r="E1465">
        <v>0</v>
      </c>
      <c r="F1465">
        <f t="shared" si="1514"/>
        <v>0</v>
      </c>
      <c r="G1465">
        <f t="shared" ref="G1465" si="1570">D1459+D1460+D1461+D1462+D1463+D1464+D1465</f>
        <v>136.9</v>
      </c>
      <c r="H1465">
        <f t="shared" si="1513"/>
        <v>2037</v>
      </c>
      <c r="I1465">
        <v>1</v>
      </c>
      <c r="J1465">
        <f t="shared" si="1516"/>
        <v>31.748599999999826</v>
      </c>
      <c r="K1465">
        <f t="shared" si="1517"/>
        <v>0</v>
      </c>
      <c r="L1465">
        <f t="shared" si="1518"/>
        <v>31.748599999999826</v>
      </c>
    </row>
    <row r="1466" spans="2:12">
      <c r="B1466" s="1">
        <v>50104</v>
      </c>
      <c r="C1466" t="s">
        <v>17</v>
      </c>
      <c r="D1466">
        <v>25.8</v>
      </c>
      <c r="E1466">
        <v>1.4</v>
      </c>
      <c r="F1466">
        <f t="shared" si="1514"/>
        <v>0.36119999999999997</v>
      </c>
      <c r="G1466">
        <f t="shared" ref="G1466:G1529" si="1571">D1466</f>
        <v>25.8</v>
      </c>
      <c r="H1466">
        <f t="shared" si="1513"/>
        <v>2037</v>
      </c>
      <c r="I1466">
        <v>1</v>
      </c>
      <c r="J1466">
        <f t="shared" si="1516"/>
        <v>32.109799999999822</v>
      </c>
      <c r="K1466">
        <f t="shared" si="1517"/>
        <v>0</v>
      </c>
      <c r="L1466">
        <f t="shared" si="1518"/>
        <v>32.109799999999822</v>
      </c>
    </row>
    <row r="1467" spans="2:12">
      <c r="B1467" s="1">
        <v>50105</v>
      </c>
      <c r="C1467" t="s">
        <v>38</v>
      </c>
      <c r="D1467">
        <v>19.100000000000001</v>
      </c>
      <c r="E1467">
        <v>2.5</v>
      </c>
      <c r="F1467">
        <f t="shared" si="1514"/>
        <v>0.47749999999999998</v>
      </c>
      <c r="G1467">
        <f t="shared" ref="G1467:G1530" si="1572">D1466+D1467</f>
        <v>44.900000000000006</v>
      </c>
      <c r="H1467">
        <f t="shared" si="1513"/>
        <v>2037</v>
      </c>
      <c r="I1467">
        <v>1</v>
      </c>
      <c r="J1467">
        <f t="shared" si="1516"/>
        <v>32.587299999999821</v>
      </c>
      <c r="K1467">
        <f t="shared" si="1517"/>
        <v>0</v>
      </c>
      <c r="L1467">
        <f t="shared" si="1518"/>
        <v>32.587299999999821</v>
      </c>
    </row>
    <row r="1468" spans="2:12">
      <c r="B1468" s="1">
        <v>50106</v>
      </c>
      <c r="C1468" t="s">
        <v>27</v>
      </c>
      <c r="D1468">
        <v>24.6</v>
      </c>
      <c r="E1468">
        <v>12.5</v>
      </c>
      <c r="F1468">
        <f t="shared" si="1514"/>
        <v>3.0750000000000002</v>
      </c>
      <c r="G1468">
        <f t="shared" ref="G1468" si="1573">D1466+D1467+D1468</f>
        <v>69.5</v>
      </c>
      <c r="H1468">
        <f t="shared" si="1513"/>
        <v>2037</v>
      </c>
      <c r="I1468">
        <v>1</v>
      </c>
      <c r="J1468">
        <f t="shared" si="1516"/>
        <v>35.662299999999824</v>
      </c>
      <c r="K1468">
        <f t="shared" si="1517"/>
        <v>0</v>
      </c>
      <c r="L1468">
        <f t="shared" si="1518"/>
        <v>35.662299999999824</v>
      </c>
    </row>
    <row r="1469" spans="2:12">
      <c r="B1469" s="1">
        <v>50107</v>
      </c>
      <c r="C1469" t="s">
        <v>32</v>
      </c>
      <c r="D1469">
        <v>22.6</v>
      </c>
      <c r="E1469">
        <v>15.4</v>
      </c>
      <c r="F1469">
        <f t="shared" si="1514"/>
        <v>3.4804000000000004</v>
      </c>
      <c r="G1469">
        <f t="shared" ref="G1469" si="1574">D1466+D1467+D1468+D1469</f>
        <v>92.1</v>
      </c>
      <c r="H1469">
        <f t="shared" si="1513"/>
        <v>2037</v>
      </c>
      <c r="I1469">
        <v>1</v>
      </c>
      <c r="J1469">
        <f t="shared" si="1516"/>
        <v>39.142699999999827</v>
      </c>
      <c r="K1469">
        <f t="shared" si="1517"/>
        <v>0</v>
      </c>
      <c r="L1469">
        <f t="shared" si="1518"/>
        <v>39.142699999999827</v>
      </c>
    </row>
    <row r="1470" spans="2:12">
      <c r="B1470" s="1">
        <v>50108</v>
      </c>
      <c r="C1470" t="s">
        <v>21</v>
      </c>
      <c r="D1470">
        <v>18.3</v>
      </c>
      <c r="E1470">
        <v>4.7</v>
      </c>
      <c r="F1470">
        <f t="shared" si="1514"/>
        <v>0.86010000000000009</v>
      </c>
      <c r="G1470">
        <f t="shared" ref="G1470" si="1575">D1466+D1467+D1468+D1469+D1470</f>
        <v>110.39999999999999</v>
      </c>
      <c r="H1470">
        <f t="shared" si="1513"/>
        <v>2037</v>
      </c>
      <c r="I1470">
        <v>1</v>
      </c>
      <c r="J1470">
        <f t="shared" si="1516"/>
        <v>40.00279999999983</v>
      </c>
      <c r="K1470">
        <f t="shared" si="1517"/>
        <v>0</v>
      </c>
      <c r="L1470">
        <f t="shared" si="1518"/>
        <v>40.00279999999983</v>
      </c>
    </row>
    <row r="1471" spans="2:12">
      <c r="B1471" s="1">
        <v>50109</v>
      </c>
      <c r="C1471" t="s">
        <v>18</v>
      </c>
      <c r="D1471">
        <v>25.5</v>
      </c>
      <c r="E1471">
        <v>0</v>
      </c>
      <c r="F1471">
        <f t="shared" si="1514"/>
        <v>0</v>
      </c>
      <c r="G1471">
        <f t="shared" ref="G1471" si="1576">D1466+D1467+D1468+D1469+D1470+D1471</f>
        <v>135.89999999999998</v>
      </c>
      <c r="H1471">
        <f t="shared" si="1513"/>
        <v>2037</v>
      </c>
      <c r="I1471">
        <v>1</v>
      </c>
      <c r="J1471">
        <f t="shared" si="1516"/>
        <v>40.00279999999983</v>
      </c>
      <c r="K1471">
        <f t="shared" si="1517"/>
        <v>0</v>
      </c>
      <c r="L1471">
        <f t="shared" si="1518"/>
        <v>40.00279999999983</v>
      </c>
    </row>
    <row r="1472" spans="2:12">
      <c r="B1472" s="1">
        <v>50110</v>
      </c>
      <c r="C1472" t="s">
        <v>47</v>
      </c>
      <c r="D1472">
        <v>26.6</v>
      </c>
      <c r="E1472">
        <v>0</v>
      </c>
      <c r="F1472">
        <f t="shared" si="1514"/>
        <v>0</v>
      </c>
      <c r="G1472">
        <f t="shared" ref="G1472" si="1577">D1466+D1467+D1468+D1469+D1470+D1471+D1472</f>
        <v>162.49999999999997</v>
      </c>
      <c r="H1472">
        <f t="shared" si="1513"/>
        <v>2037</v>
      </c>
      <c r="I1472">
        <v>1</v>
      </c>
      <c r="J1472">
        <f t="shared" si="1516"/>
        <v>40.00279999999983</v>
      </c>
      <c r="K1472">
        <f t="shared" si="1517"/>
        <v>0</v>
      </c>
      <c r="L1472">
        <f t="shared" si="1518"/>
        <v>40.00279999999983</v>
      </c>
    </row>
    <row r="1473" spans="2:12">
      <c r="B1473" s="1">
        <v>50111</v>
      </c>
      <c r="C1473" t="s">
        <v>18</v>
      </c>
      <c r="D1473">
        <v>19.8</v>
      </c>
      <c r="E1473">
        <v>14.9</v>
      </c>
      <c r="F1473">
        <f t="shared" si="1514"/>
        <v>2.9502000000000006</v>
      </c>
      <c r="G1473">
        <f t="shared" ref="G1473:G1536" si="1578">D1473</f>
        <v>19.8</v>
      </c>
      <c r="H1473">
        <f t="shared" si="1513"/>
        <v>2037</v>
      </c>
      <c r="I1473">
        <v>1</v>
      </c>
      <c r="J1473">
        <f t="shared" si="1516"/>
        <v>42.952999999999832</v>
      </c>
      <c r="K1473">
        <f t="shared" si="1517"/>
        <v>0</v>
      </c>
      <c r="L1473">
        <f t="shared" si="1518"/>
        <v>42.952999999999832</v>
      </c>
    </row>
    <row r="1474" spans="2:12">
      <c r="B1474" s="1">
        <v>50112</v>
      </c>
      <c r="C1474" t="s">
        <v>36</v>
      </c>
      <c r="D1474">
        <v>23.7</v>
      </c>
      <c r="E1474">
        <v>0.9</v>
      </c>
      <c r="F1474">
        <f t="shared" si="1514"/>
        <v>0</v>
      </c>
      <c r="G1474">
        <f t="shared" ref="G1474:G1537" si="1579">D1473+D1474</f>
        <v>43.5</v>
      </c>
      <c r="H1474">
        <f t="shared" si="1513"/>
        <v>2037</v>
      </c>
      <c r="I1474">
        <v>1</v>
      </c>
      <c r="J1474">
        <f t="shared" si="1516"/>
        <v>42.952999999999832</v>
      </c>
      <c r="K1474">
        <f t="shared" si="1517"/>
        <v>0</v>
      </c>
      <c r="L1474">
        <f t="shared" si="1518"/>
        <v>42.952999999999832</v>
      </c>
    </row>
    <row r="1475" spans="2:12">
      <c r="B1475" s="1">
        <v>50113</v>
      </c>
      <c r="C1475" t="s">
        <v>37</v>
      </c>
      <c r="D1475">
        <v>23.5</v>
      </c>
      <c r="E1475">
        <v>1</v>
      </c>
      <c r="F1475">
        <f t="shared" si="1514"/>
        <v>0.23499999999999999</v>
      </c>
      <c r="G1475">
        <f t="shared" ref="G1475" si="1580">D1473+D1474+D1475</f>
        <v>67</v>
      </c>
      <c r="H1475">
        <f t="shared" si="1513"/>
        <v>2037</v>
      </c>
      <c r="I1475">
        <v>1</v>
      </c>
      <c r="J1475">
        <f t="shared" si="1516"/>
        <v>43.187999999999832</v>
      </c>
      <c r="K1475">
        <f t="shared" si="1517"/>
        <v>0</v>
      </c>
      <c r="L1475">
        <f t="shared" si="1518"/>
        <v>43.187999999999832</v>
      </c>
    </row>
    <row r="1476" spans="2:12">
      <c r="B1476" s="1">
        <v>50114</v>
      </c>
      <c r="C1476" t="s">
        <v>15</v>
      </c>
      <c r="D1476">
        <v>18.8</v>
      </c>
      <c r="E1476">
        <v>7.8</v>
      </c>
      <c r="F1476">
        <f t="shared" si="1514"/>
        <v>1.4664000000000001</v>
      </c>
      <c r="G1476">
        <f t="shared" ref="G1476" si="1581">D1473+D1474+D1475+D1476</f>
        <v>85.8</v>
      </c>
      <c r="H1476">
        <f t="shared" ref="H1476:H1539" si="1582">YEAR(B1476)</f>
        <v>2037</v>
      </c>
      <c r="I1476">
        <v>1</v>
      </c>
      <c r="J1476">
        <f t="shared" si="1516"/>
        <v>44.654399999999832</v>
      </c>
      <c r="K1476">
        <f t="shared" si="1517"/>
        <v>0</v>
      </c>
      <c r="L1476">
        <f t="shared" si="1518"/>
        <v>44.654399999999832</v>
      </c>
    </row>
    <row r="1477" spans="2:12">
      <c r="B1477" s="1">
        <v>50115</v>
      </c>
      <c r="C1477" t="s">
        <v>17</v>
      </c>
      <c r="D1477">
        <v>18.7</v>
      </c>
      <c r="E1477">
        <v>10</v>
      </c>
      <c r="F1477">
        <f t="shared" ref="F1477:F1540" si="1583">IF(E1477&gt;=1,D1477*E1477/100,0)</f>
        <v>1.87</v>
      </c>
      <c r="G1477">
        <f t="shared" ref="G1477" si="1584">D1473+D1474+D1475+D1476+D1477</f>
        <v>104.5</v>
      </c>
      <c r="H1477">
        <f t="shared" si="1582"/>
        <v>2037</v>
      </c>
      <c r="I1477">
        <v>1</v>
      </c>
      <c r="J1477">
        <f t="shared" ref="J1477:J1540" si="1585">L1476+F1477</f>
        <v>46.524399999999829</v>
      </c>
      <c r="K1477">
        <f t="shared" ref="K1477:K1540" si="1586">IF(J1477&gt;=100,1,0)</f>
        <v>0</v>
      </c>
      <c r="L1477">
        <f t="shared" ref="L1477:L1540" si="1587">IF(K1477=1,J1477-100,J1477)</f>
        <v>46.524399999999829</v>
      </c>
    </row>
    <row r="1478" spans="2:12">
      <c r="B1478" s="1">
        <v>50116</v>
      </c>
      <c r="C1478" t="s">
        <v>50</v>
      </c>
      <c r="D1478">
        <v>28.3</v>
      </c>
      <c r="E1478">
        <v>21.8</v>
      </c>
      <c r="F1478">
        <f t="shared" si="1583"/>
        <v>6.1694000000000004</v>
      </c>
      <c r="G1478">
        <f t="shared" ref="G1478" si="1588">D1473+D1474+D1475+D1476+D1477+D1478</f>
        <v>132.80000000000001</v>
      </c>
      <c r="H1478">
        <f t="shared" si="1582"/>
        <v>2037</v>
      </c>
      <c r="I1478">
        <v>1</v>
      </c>
      <c r="J1478">
        <f t="shared" si="1585"/>
        <v>52.693799999999833</v>
      </c>
      <c r="K1478">
        <f t="shared" si="1586"/>
        <v>0</v>
      </c>
      <c r="L1478">
        <f t="shared" si="1587"/>
        <v>52.693799999999833</v>
      </c>
    </row>
    <row r="1479" spans="2:12">
      <c r="B1479" s="1">
        <v>50117</v>
      </c>
      <c r="C1479" t="s">
        <v>43</v>
      </c>
      <c r="D1479">
        <v>10.6</v>
      </c>
      <c r="E1479">
        <v>6.4</v>
      </c>
      <c r="F1479">
        <f t="shared" si="1583"/>
        <v>0.6784</v>
      </c>
      <c r="G1479">
        <f t="shared" ref="G1479" si="1589">D1473+D1474+D1475+D1476+D1477+D1478+D1479</f>
        <v>143.4</v>
      </c>
      <c r="H1479">
        <f t="shared" si="1582"/>
        <v>2037</v>
      </c>
      <c r="I1479">
        <v>1</v>
      </c>
      <c r="J1479">
        <f t="shared" si="1585"/>
        <v>53.372199999999836</v>
      </c>
      <c r="K1479">
        <f t="shared" si="1586"/>
        <v>0</v>
      </c>
      <c r="L1479">
        <f t="shared" si="1587"/>
        <v>53.372199999999836</v>
      </c>
    </row>
    <row r="1480" spans="2:12">
      <c r="B1480" s="1">
        <v>50118</v>
      </c>
      <c r="C1480" t="s">
        <v>24</v>
      </c>
      <c r="D1480">
        <v>26.2</v>
      </c>
      <c r="E1480">
        <v>19.2</v>
      </c>
      <c r="F1480">
        <f t="shared" si="1583"/>
        <v>5.0303999999999993</v>
      </c>
      <c r="G1480">
        <f t="shared" ref="G1480:G1543" si="1590">D1480</f>
        <v>26.2</v>
      </c>
      <c r="H1480">
        <f t="shared" si="1582"/>
        <v>2037</v>
      </c>
      <c r="I1480">
        <v>1</v>
      </c>
      <c r="J1480">
        <f t="shared" si="1585"/>
        <v>58.402599999999836</v>
      </c>
      <c r="K1480">
        <f t="shared" si="1586"/>
        <v>0</v>
      </c>
      <c r="L1480">
        <f t="shared" si="1587"/>
        <v>58.402599999999836</v>
      </c>
    </row>
    <row r="1481" spans="2:12">
      <c r="B1481" s="1">
        <v>50119</v>
      </c>
      <c r="C1481" t="s">
        <v>27</v>
      </c>
      <c r="D1481">
        <v>25.3</v>
      </c>
      <c r="E1481">
        <v>8.6999999999999993</v>
      </c>
      <c r="F1481">
        <f t="shared" si="1583"/>
        <v>2.2010999999999998</v>
      </c>
      <c r="G1481">
        <f t="shared" ref="G1481:G1544" si="1591">D1480+D1481</f>
        <v>51.5</v>
      </c>
      <c r="H1481">
        <f t="shared" si="1582"/>
        <v>2037</v>
      </c>
      <c r="I1481">
        <v>1</v>
      </c>
      <c r="J1481">
        <f t="shared" si="1585"/>
        <v>60.603699999999833</v>
      </c>
      <c r="K1481">
        <f t="shared" si="1586"/>
        <v>0</v>
      </c>
      <c r="L1481">
        <f t="shared" si="1587"/>
        <v>60.603699999999833</v>
      </c>
    </row>
    <row r="1482" spans="2:12">
      <c r="B1482" s="1">
        <v>50120</v>
      </c>
      <c r="C1482" t="s">
        <v>43</v>
      </c>
      <c r="D1482">
        <v>21.6</v>
      </c>
      <c r="E1482">
        <v>1</v>
      </c>
      <c r="F1482">
        <f t="shared" si="1583"/>
        <v>0.21600000000000003</v>
      </c>
      <c r="G1482">
        <f t="shared" ref="G1482" si="1592">D1480+D1481+D1482</f>
        <v>73.099999999999994</v>
      </c>
      <c r="H1482">
        <f t="shared" si="1582"/>
        <v>2037</v>
      </c>
      <c r="I1482">
        <v>1</v>
      </c>
      <c r="J1482">
        <f t="shared" si="1585"/>
        <v>60.819699999999834</v>
      </c>
      <c r="K1482">
        <f t="shared" si="1586"/>
        <v>0</v>
      </c>
      <c r="L1482">
        <f t="shared" si="1587"/>
        <v>60.819699999999834</v>
      </c>
    </row>
    <row r="1483" spans="2:12">
      <c r="B1483" s="1">
        <v>50121</v>
      </c>
      <c r="C1483" t="s">
        <v>50</v>
      </c>
      <c r="D1483">
        <v>24.9</v>
      </c>
      <c r="E1483">
        <v>23.5</v>
      </c>
      <c r="F1483">
        <f t="shared" si="1583"/>
        <v>5.8514999999999997</v>
      </c>
      <c r="G1483">
        <f t="shared" ref="G1483" si="1593">D1480+D1481+D1482+D1483</f>
        <v>98</v>
      </c>
      <c r="H1483">
        <f t="shared" si="1582"/>
        <v>2037</v>
      </c>
      <c r="I1483">
        <v>1</v>
      </c>
      <c r="J1483">
        <f t="shared" si="1585"/>
        <v>66.671199999999828</v>
      </c>
      <c r="K1483">
        <f t="shared" si="1586"/>
        <v>0</v>
      </c>
      <c r="L1483">
        <f t="shared" si="1587"/>
        <v>66.671199999999828</v>
      </c>
    </row>
    <row r="1484" spans="2:12">
      <c r="B1484" s="1">
        <v>50122</v>
      </c>
      <c r="C1484" t="s">
        <v>32</v>
      </c>
      <c r="D1484">
        <v>27.7</v>
      </c>
      <c r="E1484">
        <v>11.5</v>
      </c>
      <c r="F1484">
        <f t="shared" si="1583"/>
        <v>3.1855000000000002</v>
      </c>
      <c r="G1484">
        <f t="shared" ref="G1484" si="1594">D1480+D1481+D1482+D1483+D1484</f>
        <v>125.7</v>
      </c>
      <c r="H1484">
        <f t="shared" si="1582"/>
        <v>2037</v>
      </c>
      <c r="I1484">
        <v>1</v>
      </c>
      <c r="J1484">
        <f t="shared" si="1585"/>
        <v>69.856699999999833</v>
      </c>
      <c r="K1484">
        <f t="shared" si="1586"/>
        <v>0</v>
      </c>
      <c r="L1484">
        <f t="shared" si="1587"/>
        <v>69.856699999999833</v>
      </c>
    </row>
    <row r="1485" spans="2:12">
      <c r="B1485" s="1">
        <v>50123</v>
      </c>
      <c r="C1485" t="s">
        <v>50</v>
      </c>
      <c r="D1485">
        <v>12.3</v>
      </c>
      <c r="E1485">
        <v>0</v>
      </c>
      <c r="F1485">
        <f t="shared" si="1583"/>
        <v>0</v>
      </c>
      <c r="G1485">
        <f t="shared" ref="G1485" si="1595">D1480+D1481+D1482+D1483+D1484+D1485</f>
        <v>138</v>
      </c>
      <c r="H1485">
        <f t="shared" si="1582"/>
        <v>2037</v>
      </c>
      <c r="I1485">
        <v>1</v>
      </c>
      <c r="J1485">
        <f t="shared" si="1585"/>
        <v>69.856699999999833</v>
      </c>
      <c r="K1485">
        <f t="shared" si="1586"/>
        <v>0</v>
      </c>
      <c r="L1485">
        <f t="shared" si="1587"/>
        <v>69.856699999999833</v>
      </c>
    </row>
    <row r="1486" spans="2:12">
      <c r="B1486" s="1">
        <v>50124</v>
      </c>
      <c r="C1486" t="s">
        <v>40</v>
      </c>
      <c r="D1486">
        <v>10.199999999999999</v>
      </c>
      <c r="E1486">
        <v>0.8</v>
      </c>
      <c r="F1486">
        <f t="shared" si="1583"/>
        <v>0</v>
      </c>
      <c r="G1486">
        <f t="shared" ref="G1486" si="1596">D1480+D1481+D1482+D1483+D1484+D1485+D1486</f>
        <v>148.19999999999999</v>
      </c>
      <c r="H1486">
        <f t="shared" si="1582"/>
        <v>2037</v>
      </c>
      <c r="I1486">
        <v>1</v>
      </c>
      <c r="J1486">
        <f t="shared" si="1585"/>
        <v>69.856699999999833</v>
      </c>
      <c r="K1486">
        <f t="shared" si="1586"/>
        <v>0</v>
      </c>
      <c r="L1486">
        <f t="shared" si="1587"/>
        <v>69.856699999999833</v>
      </c>
    </row>
    <row r="1487" spans="2:12">
      <c r="B1487" s="1">
        <v>50125</v>
      </c>
      <c r="C1487" t="s">
        <v>24</v>
      </c>
      <c r="D1487">
        <v>23.1</v>
      </c>
      <c r="E1487">
        <v>0</v>
      </c>
      <c r="F1487">
        <f t="shared" si="1583"/>
        <v>0</v>
      </c>
      <c r="G1487">
        <f t="shared" ref="G1487:G1550" si="1597">D1487</f>
        <v>23.1</v>
      </c>
      <c r="H1487">
        <f t="shared" si="1582"/>
        <v>2037</v>
      </c>
      <c r="I1487">
        <v>1</v>
      </c>
      <c r="J1487">
        <f t="shared" si="1585"/>
        <v>69.856699999999833</v>
      </c>
      <c r="K1487">
        <f t="shared" si="1586"/>
        <v>0</v>
      </c>
      <c r="L1487">
        <f t="shared" si="1587"/>
        <v>69.856699999999833</v>
      </c>
    </row>
    <row r="1488" spans="2:12">
      <c r="B1488" s="1">
        <v>50126</v>
      </c>
      <c r="C1488" t="s">
        <v>47</v>
      </c>
      <c r="D1488">
        <v>11.3</v>
      </c>
      <c r="E1488">
        <v>0</v>
      </c>
      <c r="F1488">
        <f t="shared" si="1583"/>
        <v>0</v>
      </c>
      <c r="G1488">
        <f t="shared" ref="G1488:G1551" si="1598">D1487+D1488</f>
        <v>34.400000000000006</v>
      </c>
      <c r="H1488">
        <f t="shared" si="1582"/>
        <v>2037</v>
      </c>
      <c r="I1488">
        <v>1</v>
      </c>
      <c r="J1488">
        <f t="shared" si="1585"/>
        <v>69.856699999999833</v>
      </c>
      <c r="K1488">
        <f t="shared" si="1586"/>
        <v>0</v>
      </c>
      <c r="L1488">
        <f t="shared" si="1587"/>
        <v>69.856699999999833</v>
      </c>
    </row>
    <row r="1489" spans="2:12">
      <c r="B1489" s="1">
        <v>50127</v>
      </c>
      <c r="C1489" t="s">
        <v>50</v>
      </c>
      <c r="D1489">
        <v>29.5</v>
      </c>
      <c r="E1489">
        <v>10.4</v>
      </c>
      <c r="F1489">
        <f t="shared" si="1583"/>
        <v>3.0680000000000001</v>
      </c>
      <c r="G1489">
        <f t="shared" ref="G1489" si="1599">D1487+D1488+D1489</f>
        <v>63.900000000000006</v>
      </c>
      <c r="H1489">
        <f t="shared" si="1582"/>
        <v>2037</v>
      </c>
      <c r="I1489">
        <v>1</v>
      </c>
      <c r="J1489">
        <f t="shared" si="1585"/>
        <v>72.924699999999831</v>
      </c>
      <c r="K1489">
        <f t="shared" si="1586"/>
        <v>0</v>
      </c>
      <c r="L1489">
        <f t="shared" si="1587"/>
        <v>72.924699999999831</v>
      </c>
    </row>
    <row r="1490" spans="2:12">
      <c r="B1490" s="1">
        <v>50128</v>
      </c>
      <c r="C1490" t="s">
        <v>32</v>
      </c>
      <c r="D1490">
        <v>19.7</v>
      </c>
      <c r="E1490">
        <v>0</v>
      </c>
      <c r="F1490">
        <f t="shared" si="1583"/>
        <v>0</v>
      </c>
      <c r="G1490">
        <f t="shared" ref="G1490" si="1600">D1487+D1488+D1489+D1490</f>
        <v>83.600000000000009</v>
      </c>
      <c r="H1490">
        <f t="shared" si="1582"/>
        <v>2037</v>
      </c>
      <c r="I1490">
        <v>1</v>
      </c>
      <c r="J1490">
        <f t="shared" si="1585"/>
        <v>72.924699999999831</v>
      </c>
      <c r="K1490">
        <f t="shared" si="1586"/>
        <v>0</v>
      </c>
      <c r="L1490">
        <f t="shared" si="1587"/>
        <v>72.924699999999831</v>
      </c>
    </row>
    <row r="1491" spans="2:12">
      <c r="B1491" s="1">
        <v>50129</v>
      </c>
      <c r="C1491" t="s">
        <v>15</v>
      </c>
      <c r="D1491">
        <v>27.9</v>
      </c>
      <c r="E1491">
        <v>3.4</v>
      </c>
      <c r="F1491">
        <f t="shared" si="1583"/>
        <v>0.9486</v>
      </c>
      <c r="G1491">
        <f t="shared" ref="G1491" si="1601">D1487+D1488+D1489+D1490+D1491</f>
        <v>111.5</v>
      </c>
      <c r="H1491">
        <f t="shared" si="1582"/>
        <v>2037</v>
      </c>
      <c r="I1491">
        <v>1</v>
      </c>
      <c r="J1491">
        <f t="shared" si="1585"/>
        <v>73.87329999999983</v>
      </c>
      <c r="K1491">
        <f t="shared" si="1586"/>
        <v>0</v>
      </c>
      <c r="L1491">
        <f t="shared" si="1587"/>
        <v>73.87329999999983</v>
      </c>
    </row>
    <row r="1492" spans="2:12">
      <c r="B1492" s="1">
        <v>50130</v>
      </c>
      <c r="C1492" t="s">
        <v>24</v>
      </c>
      <c r="D1492">
        <v>17.399999999999999</v>
      </c>
      <c r="E1492">
        <v>34.200000000000003</v>
      </c>
      <c r="F1492">
        <f t="shared" si="1583"/>
        <v>5.9508000000000001</v>
      </c>
      <c r="G1492">
        <f t="shared" ref="G1492" si="1602">D1487+D1488+D1489+D1490+D1491+D1492</f>
        <v>128.9</v>
      </c>
      <c r="H1492">
        <f t="shared" si="1582"/>
        <v>2037</v>
      </c>
      <c r="I1492">
        <v>1</v>
      </c>
      <c r="J1492">
        <f t="shared" si="1585"/>
        <v>79.824099999999831</v>
      </c>
      <c r="K1492">
        <f t="shared" si="1586"/>
        <v>0</v>
      </c>
      <c r="L1492">
        <f t="shared" si="1587"/>
        <v>79.824099999999831</v>
      </c>
    </row>
    <row r="1493" spans="2:12">
      <c r="B1493" s="1">
        <v>50131</v>
      </c>
      <c r="C1493" t="s">
        <v>42</v>
      </c>
      <c r="D1493">
        <v>23</v>
      </c>
      <c r="E1493">
        <v>0</v>
      </c>
      <c r="F1493">
        <f t="shared" si="1583"/>
        <v>0</v>
      </c>
      <c r="G1493">
        <f t="shared" ref="G1493" si="1603">D1487+D1488+D1489+D1490+D1491+D1492+D1493</f>
        <v>151.9</v>
      </c>
      <c r="H1493">
        <f t="shared" si="1582"/>
        <v>2037</v>
      </c>
      <c r="I1493">
        <v>1</v>
      </c>
      <c r="J1493">
        <f t="shared" si="1585"/>
        <v>79.824099999999831</v>
      </c>
      <c r="K1493">
        <f t="shared" si="1586"/>
        <v>0</v>
      </c>
      <c r="L1493">
        <f t="shared" si="1587"/>
        <v>79.824099999999831</v>
      </c>
    </row>
    <row r="1494" spans="2:12">
      <c r="B1494" s="1">
        <v>50132</v>
      </c>
      <c r="C1494" t="s">
        <v>46</v>
      </c>
      <c r="D1494">
        <v>27.6</v>
      </c>
      <c r="E1494">
        <v>0</v>
      </c>
      <c r="F1494">
        <f t="shared" si="1583"/>
        <v>0</v>
      </c>
      <c r="G1494">
        <f t="shared" ref="G1494:G1557" si="1604">D1494</f>
        <v>27.6</v>
      </c>
      <c r="H1494">
        <f t="shared" si="1582"/>
        <v>2037</v>
      </c>
      <c r="I1494">
        <v>1</v>
      </c>
      <c r="J1494">
        <f t="shared" si="1585"/>
        <v>79.824099999999831</v>
      </c>
      <c r="K1494">
        <f t="shared" si="1586"/>
        <v>0</v>
      </c>
      <c r="L1494">
        <f t="shared" si="1587"/>
        <v>79.824099999999831</v>
      </c>
    </row>
    <row r="1495" spans="2:12">
      <c r="B1495" s="1">
        <v>50133</v>
      </c>
      <c r="C1495" t="s">
        <v>43</v>
      </c>
      <c r="D1495">
        <v>11.6</v>
      </c>
      <c r="E1495">
        <v>0</v>
      </c>
      <c r="F1495">
        <f t="shared" si="1583"/>
        <v>0</v>
      </c>
      <c r="G1495">
        <f t="shared" ref="G1495:G1558" si="1605">D1494+D1495</f>
        <v>39.200000000000003</v>
      </c>
      <c r="H1495">
        <f t="shared" si="1582"/>
        <v>2037</v>
      </c>
      <c r="I1495">
        <v>1</v>
      </c>
      <c r="J1495">
        <f t="shared" si="1585"/>
        <v>79.824099999999831</v>
      </c>
      <c r="K1495">
        <f t="shared" si="1586"/>
        <v>0</v>
      </c>
      <c r="L1495">
        <f t="shared" si="1587"/>
        <v>79.824099999999831</v>
      </c>
    </row>
    <row r="1496" spans="2:12">
      <c r="B1496" s="1">
        <v>50134</v>
      </c>
      <c r="C1496" t="s">
        <v>40</v>
      </c>
      <c r="D1496">
        <v>24.2</v>
      </c>
      <c r="E1496">
        <v>5</v>
      </c>
      <c r="F1496">
        <f t="shared" si="1583"/>
        <v>1.21</v>
      </c>
      <c r="G1496">
        <f t="shared" ref="G1496" si="1606">D1494+D1495+D1496</f>
        <v>63.400000000000006</v>
      </c>
      <c r="H1496">
        <f t="shared" si="1582"/>
        <v>2037</v>
      </c>
      <c r="I1496">
        <v>1</v>
      </c>
      <c r="J1496">
        <f t="shared" si="1585"/>
        <v>81.034099999999825</v>
      </c>
      <c r="K1496">
        <f t="shared" si="1586"/>
        <v>0</v>
      </c>
      <c r="L1496">
        <f t="shared" si="1587"/>
        <v>81.034099999999825</v>
      </c>
    </row>
    <row r="1497" spans="2:12">
      <c r="B1497" s="1">
        <v>50135</v>
      </c>
      <c r="C1497" t="s">
        <v>17</v>
      </c>
      <c r="D1497">
        <v>13.2</v>
      </c>
      <c r="E1497">
        <v>2.2999999999999998</v>
      </c>
      <c r="F1497">
        <f t="shared" si="1583"/>
        <v>0.30359999999999998</v>
      </c>
      <c r="G1497">
        <f t="shared" ref="G1497" si="1607">D1494+D1495+D1496+D1497</f>
        <v>76.600000000000009</v>
      </c>
      <c r="H1497">
        <f t="shared" si="1582"/>
        <v>2037</v>
      </c>
      <c r="I1497">
        <v>1</v>
      </c>
      <c r="J1497">
        <f t="shared" si="1585"/>
        <v>81.337699999999828</v>
      </c>
      <c r="K1497">
        <f t="shared" si="1586"/>
        <v>0</v>
      </c>
      <c r="L1497">
        <f t="shared" si="1587"/>
        <v>81.337699999999828</v>
      </c>
    </row>
    <row r="1498" spans="2:12">
      <c r="B1498" s="1">
        <v>50136</v>
      </c>
      <c r="C1498" t="s">
        <v>18</v>
      </c>
      <c r="D1498">
        <v>27</v>
      </c>
      <c r="E1498">
        <v>0.7</v>
      </c>
      <c r="F1498">
        <f t="shared" si="1583"/>
        <v>0</v>
      </c>
      <c r="G1498">
        <f t="shared" ref="G1498" si="1608">D1494+D1495+D1496+D1497+D1498</f>
        <v>103.60000000000001</v>
      </c>
      <c r="H1498">
        <f t="shared" si="1582"/>
        <v>2037</v>
      </c>
      <c r="I1498">
        <v>1</v>
      </c>
      <c r="J1498">
        <f t="shared" si="1585"/>
        <v>81.337699999999828</v>
      </c>
      <c r="K1498">
        <f t="shared" si="1586"/>
        <v>0</v>
      </c>
      <c r="L1498">
        <f t="shared" si="1587"/>
        <v>81.337699999999828</v>
      </c>
    </row>
    <row r="1499" spans="2:12">
      <c r="B1499" s="1">
        <v>50137</v>
      </c>
      <c r="C1499" t="s">
        <v>17</v>
      </c>
      <c r="D1499">
        <v>23.9</v>
      </c>
      <c r="E1499">
        <v>6.2</v>
      </c>
      <c r="F1499">
        <f t="shared" si="1583"/>
        <v>1.4818</v>
      </c>
      <c r="G1499">
        <f t="shared" ref="G1499" si="1609">D1494+D1495+D1496+D1497+D1498+D1499</f>
        <v>127.5</v>
      </c>
      <c r="H1499">
        <f t="shared" si="1582"/>
        <v>2037</v>
      </c>
      <c r="I1499">
        <v>1</v>
      </c>
      <c r="J1499">
        <f t="shared" si="1585"/>
        <v>82.819499999999834</v>
      </c>
      <c r="K1499">
        <f t="shared" si="1586"/>
        <v>0</v>
      </c>
      <c r="L1499">
        <f t="shared" si="1587"/>
        <v>82.819499999999834</v>
      </c>
    </row>
    <row r="1500" spans="2:12">
      <c r="B1500" s="1">
        <v>50138</v>
      </c>
      <c r="C1500" t="s">
        <v>50</v>
      </c>
      <c r="D1500">
        <v>16.8</v>
      </c>
      <c r="E1500">
        <v>17.600000000000001</v>
      </c>
      <c r="F1500">
        <f t="shared" si="1583"/>
        <v>2.9568000000000008</v>
      </c>
      <c r="G1500">
        <f t="shared" ref="G1500" si="1610">D1494+D1495+D1496+D1497+D1498+D1499+D1500</f>
        <v>144.30000000000001</v>
      </c>
      <c r="H1500">
        <f t="shared" si="1582"/>
        <v>2037</v>
      </c>
      <c r="I1500">
        <v>1</v>
      </c>
      <c r="J1500">
        <f t="shared" si="1585"/>
        <v>85.776299999999836</v>
      </c>
      <c r="K1500">
        <f t="shared" si="1586"/>
        <v>0</v>
      </c>
      <c r="L1500">
        <f t="shared" si="1587"/>
        <v>85.776299999999836</v>
      </c>
    </row>
    <row r="1501" spans="2:12">
      <c r="B1501" s="1">
        <v>50139</v>
      </c>
      <c r="C1501" t="s">
        <v>50</v>
      </c>
      <c r="D1501">
        <v>28.5</v>
      </c>
      <c r="E1501">
        <v>15.2</v>
      </c>
      <c r="F1501">
        <f t="shared" si="1583"/>
        <v>4.3319999999999999</v>
      </c>
      <c r="G1501">
        <f t="shared" ref="G1501:G1564" si="1611">D1501</f>
        <v>28.5</v>
      </c>
      <c r="H1501">
        <f t="shared" si="1582"/>
        <v>2037</v>
      </c>
      <c r="I1501">
        <v>1</v>
      </c>
      <c r="J1501">
        <f t="shared" si="1585"/>
        <v>90.108299999999829</v>
      </c>
      <c r="K1501">
        <f t="shared" si="1586"/>
        <v>0</v>
      </c>
      <c r="L1501">
        <f t="shared" si="1587"/>
        <v>90.108299999999829</v>
      </c>
    </row>
    <row r="1502" spans="2:12">
      <c r="B1502" s="1">
        <v>50140</v>
      </c>
      <c r="C1502" t="s">
        <v>48</v>
      </c>
      <c r="D1502">
        <v>25.2</v>
      </c>
      <c r="E1502">
        <v>1.9</v>
      </c>
      <c r="F1502">
        <f t="shared" si="1583"/>
        <v>0.47879999999999995</v>
      </c>
      <c r="G1502">
        <f t="shared" ref="G1502:G1565" si="1612">D1501+D1502</f>
        <v>53.7</v>
      </c>
      <c r="H1502">
        <f t="shared" si="1582"/>
        <v>2037</v>
      </c>
      <c r="I1502">
        <v>1</v>
      </c>
      <c r="J1502">
        <f t="shared" si="1585"/>
        <v>90.587099999999836</v>
      </c>
      <c r="K1502">
        <f t="shared" si="1586"/>
        <v>0</v>
      </c>
      <c r="L1502">
        <f t="shared" si="1587"/>
        <v>90.587099999999836</v>
      </c>
    </row>
    <row r="1503" spans="2:12">
      <c r="B1503" s="1">
        <v>50141</v>
      </c>
      <c r="C1503" t="s">
        <v>24</v>
      </c>
      <c r="D1503">
        <v>24.9</v>
      </c>
      <c r="E1503">
        <v>6.8</v>
      </c>
      <c r="F1503">
        <f t="shared" si="1583"/>
        <v>1.6932</v>
      </c>
      <c r="G1503">
        <f t="shared" ref="G1503" si="1613">D1501+D1502+D1503</f>
        <v>78.599999999999994</v>
      </c>
      <c r="H1503">
        <f t="shared" si="1582"/>
        <v>2037</v>
      </c>
      <c r="I1503">
        <v>1</v>
      </c>
      <c r="J1503">
        <f t="shared" si="1585"/>
        <v>92.280299999999841</v>
      </c>
      <c r="K1503">
        <f t="shared" si="1586"/>
        <v>0</v>
      </c>
      <c r="L1503">
        <f t="shared" si="1587"/>
        <v>92.280299999999841</v>
      </c>
    </row>
    <row r="1504" spans="2:12">
      <c r="B1504" s="1">
        <v>50142</v>
      </c>
      <c r="C1504" t="s">
        <v>26</v>
      </c>
      <c r="D1504">
        <v>14.7</v>
      </c>
      <c r="E1504">
        <v>5.7</v>
      </c>
      <c r="F1504">
        <f t="shared" si="1583"/>
        <v>0.83789999999999987</v>
      </c>
      <c r="G1504">
        <f t="shared" ref="G1504" si="1614">D1501+D1502+D1503+D1504</f>
        <v>93.3</v>
      </c>
      <c r="H1504">
        <f t="shared" si="1582"/>
        <v>2037</v>
      </c>
      <c r="I1504">
        <v>1</v>
      </c>
      <c r="J1504">
        <f t="shared" si="1585"/>
        <v>93.118199999999845</v>
      </c>
      <c r="K1504">
        <f t="shared" si="1586"/>
        <v>0</v>
      </c>
      <c r="L1504">
        <f t="shared" si="1587"/>
        <v>93.118199999999845</v>
      </c>
    </row>
    <row r="1505" spans="2:12">
      <c r="B1505" s="1">
        <v>50143</v>
      </c>
      <c r="C1505" t="s">
        <v>24</v>
      </c>
      <c r="D1505">
        <v>12.2</v>
      </c>
      <c r="E1505">
        <v>14.1</v>
      </c>
      <c r="F1505">
        <f t="shared" si="1583"/>
        <v>1.7201999999999997</v>
      </c>
      <c r="G1505">
        <f t="shared" ref="G1505" si="1615">D1501+D1502+D1503+D1504+D1505</f>
        <v>105.5</v>
      </c>
      <c r="H1505">
        <f t="shared" si="1582"/>
        <v>2037</v>
      </c>
      <c r="I1505">
        <v>1</v>
      </c>
      <c r="J1505">
        <f t="shared" si="1585"/>
        <v>94.838399999999851</v>
      </c>
      <c r="K1505">
        <f t="shared" si="1586"/>
        <v>0</v>
      </c>
      <c r="L1505">
        <f t="shared" si="1587"/>
        <v>94.838399999999851</v>
      </c>
    </row>
    <row r="1506" spans="2:12">
      <c r="B1506" s="1">
        <v>50144</v>
      </c>
      <c r="C1506" t="s">
        <v>21</v>
      </c>
      <c r="D1506">
        <v>24.2</v>
      </c>
      <c r="E1506">
        <v>8</v>
      </c>
      <c r="F1506">
        <f t="shared" si="1583"/>
        <v>1.9359999999999999</v>
      </c>
      <c r="G1506">
        <f t="shared" ref="G1506" si="1616">D1501+D1502+D1503+D1504+D1505+D1506</f>
        <v>129.69999999999999</v>
      </c>
      <c r="H1506">
        <f t="shared" si="1582"/>
        <v>2037</v>
      </c>
      <c r="I1506">
        <v>1</v>
      </c>
      <c r="J1506">
        <f t="shared" si="1585"/>
        <v>96.774399999999844</v>
      </c>
      <c r="K1506">
        <f t="shared" si="1586"/>
        <v>0</v>
      </c>
      <c r="L1506">
        <f t="shared" si="1587"/>
        <v>96.774399999999844</v>
      </c>
    </row>
    <row r="1507" spans="2:12">
      <c r="B1507" s="1">
        <v>50145</v>
      </c>
      <c r="C1507" t="s">
        <v>43</v>
      </c>
      <c r="D1507">
        <v>28.7</v>
      </c>
      <c r="E1507">
        <v>0</v>
      </c>
      <c r="F1507">
        <f t="shared" si="1583"/>
        <v>0</v>
      </c>
      <c r="G1507">
        <f t="shared" ref="G1507" si="1617">D1501+D1502+D1503+D1504+D1505+D1506+D1507</f>
        <v>158.39999999999998</v>
      </c>
      <c r="H1507">
        <f t="shared" si="1582"/>
        <v>2037</v>
      </c>
      <c r="I1507">
        <v>1</v>
      </c>
      <c r="J1507">
        <f t="shared" si="1585"/>
        <v>96.774399999999844</v>
      </c>
      <c r="K1507">
        <f t="shared" si="1586"/>
        <v>0</v>
      </c>
      <c r="L1507">
        <f t="shared" si="1587"/>
        <v>96.774399999999844</v>
      </c>
    </row>
    <row r="1508" spans="2:12">
      <c r="B1508" s="1">
        <v>50146</v>
      </c>
      <c r="C1508" t="s">
        <v>24</v>
      </c>
      <c r="D1508">
        <v>28.5</v>
      </c>
      <c r="E1508">
        <v>0</v>
      </c>
      <c r="F1508">
        <f t="shared" si="1583"/>
        <v>0</v>
      </c>
      <c r="G1508">
        <f t="shared" ref="G1508:G1571" si="1618">D1508</f>
        <v>28.5</v>
      </c>
      <c r="H1508">
        <f t="shared" si="1582"/>
        <v>2037</v>
      </c>
      <c r="I1508">
        <v>1</v>
      </c>
      <c r="J1508">
        <f t="shared" si="1585"/>
        <v>96.774399999999844</v>
      </c>
      <c r="K1508">
        <f t="shared" si="1586"/>
        <v>0</v>
      </c>
      <c r="L1508">
        <f t="shared" si="1587"/>
        <v>96.774399999999844</v>
      </c>
    </row>
    <row r="1509" spans="2:12">
      <c r="B1509" s="1">
        <v>50147</v>
      </c>
      <c r="C1509" t="s">
        <v>18</v>
      </c>
      <c r="D1509">
        <v>29.3</v>
      </c>
      <c r="E1509">
        <v>23.3</v>
      </c>
      <c r="F1509">
        <f t="shared" si="1583"/>
        <v>6.8269000000000002</v>
      </c>
      <c r="G1509">
        <f t="shared" ref="G1509:G1572" si="1619">D1508+D1509</f>
        <v>57.8</v>
      </c>
      <c r="H1509">
        <f t="shared" si="1582"/>
        <v>2037</v>
      </c>
      <c r="I1509">
        <v>1</v>
      </c>
      <c r="J1509">
        <f t="shared" si="1585"/>
        <v>103.60129999999984</v>
      </c>
      <c r="K1509">
        <f t="shared" si="1586"/>
        <v>1</v>
      </c>
      <c r="L1509">
        <f t="shared" si="1587"/>
        <v>3.6012999999998385</v>
      </c>
    </row>
    <row r="1510" spans="2:12">
      <c r="B1510" s="1">
        <v>50148</v>
      </c>
      <c r="C1510" t="s">
        <v>24</v>
      </c>
      <c r="D1510">
        <v>13.3</v>
      </c>
      <c r="E1510">
        <v>4.9000000000000004</v>
      </c>
      <c r="F1510">
        <f t="shared" si="1583"/>
        <v>0.65170000000000006</v>
      </c>
      <c r="G1510">
        <f t="shared" ref="G1510" si="1620">D1508+D1509+D1510</f>
        <v>71.099999999999994</v>
      </c>
      <c r="H1510">
        <f t="shared" si="1582"/>
        <v>2037</v>
      </c>
      <c r="I1510">
        <v>1</v>
      </c>
      <c r="J1510">
        <f t="shared" si="1585"/>
        <v>4.2529999999998385</v>
      </c>
      <c r="K1510">
        <f t="shared" si="1586"/>
        <v>0</v>
      </c>
      <c r="L1510">
        <f t="shared" si="1587"/>
        <v>4.2529999999998385</v>
      </c>
    </row>
    <row r="1511" spans="2:12">
      <c r="B1511" s="1">
        <v>50149</v>
      </c>
      <c r="C1511" t="s">
        <v>24</v>
      </c>
      <c r="D1511">
        <v>22.6</v>
      </c>
      <c r="E1511">
        <v>0.7</v>
      </c>
      <c r="F1511">
        <f t="shared" si="1583"/>
        <v>0</v>
      </c>
      <c r="G1511">
        <f t="shared" ref="G1511" si="1621">D1508+D1509+D1510+D1511</f>
        <v>93.699999999999989</v>
      </c>
      <c r="H1511">
        <f t="shared" si="1582"/>
        <v>2037</v>
      </c>
      <c r="I1511">
        <v>1</v>
      </c>
      <c r="J1511">
        <f t="shared" si="1585"/>
        <v>4.2529999999998385</v>
      </c>
      <c r="K1511">
        <f t="shared" si="1586"/>
        <v>0</v>
      </c>
      <c r="L1511">
        <f t="shared" si="1587"/>
        <v>4.2529999999998385</v>
      </c>
    </row>
    <row r="1512" spans="2:12">
      <c r="B1512" s="1">
        <v>50150</v>
      </c>
      <c r="C1512" t="s">
        <v>40</v>
      </c>
      <c r="D1512">
        <v>19.3</v>
      </c>
      <c r="E1512">
        <v>3</v>
      </c>
      <c r="F1512">
        <f t="shared" si="1583"/>
        <v>0.57900000000000007</v>
      </c>
      <c r="G1512">
        <f t="shared" ref="G1512" si="1622">D1508+D1509+D1510+D1511+D1512</f>
        <v>112.99999999999999</v>
      </c>
      <c r="H1512">
        <f t="shared" si="1582"/>
        <v>2037</v>
      </c>
      <c r="I1512">
        <v>1</v>
      </c>
      <c r="J1512">
        <f t="shared" si="1585"/>
        <v>4.8319999999998382</v>
      </c>
      <c r="K1512">
        <f t="shared" si="1586"/>
        <v>0</v>
      </c>
      <c r="L1512">
        <f t="shared" si="1587"/>
        <v>4.8319999999998382</v>
      </c>
    </row>
    <row r="1513" spans="2:12">
      <c r="B1513" s="1">
        <v>50151</v>
      </c>
      <c r="C1513" t="s">
        <v>19</v>
      </c>
      <c r="D1513">
        <v>17.899999999999999</v>
      </c>
      <c r="E1513">
        <v>5.0999999999999996</v>
      </c>
      <c r="F1513">
        <f t="shared" si="1583"/>
        <v>0.91289999999999993</v>
      </c>
      <c r="G1513">
        <f t="shared" ref="G1513" si="1623">D1508+D1509+D1510+D1511+D1512+D1513</f>
        <v>130.89999999999998</v>
      </c>
      <c r="H1513">
        <f t="shared" si="1582"/>
        <v>2037</v>
      </c>
      <c r="I1513">
        <v>1</v>
      </c>
      <c r="J1513">
        <f t="shared" si="1585"/>
        <v>5.7448999999998378</v>
      </c>
      <c r="K1513">
        <f t="shared" si="1586"/>
        <v>0</v>
      </c>
      <c r="L1513">
        <f t="shared" si="1587"/>
        <v>5.7448999999998378</v>
      </c>
    </row>
    <row r="1514" spans="2:12">
      <c r="B1514" s="1">
        <v>50152</v>
      </c>
      <c r="C1514" t="s">
        <v>40</v>
      </c>
      <c r="D1514">
        <v>16.7</v>
      </c>
      <c r="E1514">
        <v>0.3</v>
      </c>
      <c r="F1514">
        <f t="shared" si="1583"/>
        <v>0</v>
      </c>
      <c r="G1514">
        <f t="shared" ref="G1514" si="1624">D1508+D1509+D1510+D1511+D1512+D1513+D1514</f>
        <v>147.59999999999997</v>
      </c>
      <c r="H1514">
        <f t="shared" si="1582"/>
        <v>2037</v>
      </c>
      <c r="I1514">
        <v>1</v>
      </c>
      <c r="J1514">
        <f t="shared" si="1585"/>
        <v>5.7448999999998378</v>
      </c>
      <c r="K1514">
        <f t="shared" si="1586"/>
        <v>0</v>
      </c>
      <c r="L1514">
        <f t="shared" si="1587"/>
        <v>5.7448999999998378</v>
      </c>
    </row>
    <row r="1515" spans="2:12">
      <c r="B1515" s="1">
        <v>50153</v>
      </c>
      <c r="C1515" t="s">
        <v>40</v>
      </c>
      <c r="D1515">
        <v>22</v>
      </c>
      <c r="E1515">
        <v>0</v>
      </c>
      <c r="F1515">
        <f t="shared" si="1583"/>
        <v>0</v>
      </c>
      <c r="G1515">
        <f t="shared" ref="G1515:G1578" si="1625">D1515</f>
        <v>22</v>
      </c>
      <c r="H1515">
        <f t="shared" si="1582"/>
        <v>2037</v>
      </c>
      <c r="I1515">
        <v>1</v>
      </c>
      <c r="J1515">
        <f t="shared" si="1585"/>
        <v>5.7448999999998378</v>
      </c>
      <c r="K1515">
        <f t="shared" si="1586"/>
        <v>0</v>
      </c>
      <c r="L1515">
        <f t="shared" si="1587"/>
        <v>5.7448999999998378</v>
      </c>
    </row>
    <row r="1516" spans="2:12">
      <c r="B1516" s="1">
        <v>50154</v>
      </c>
      <c r="C1516" t="s">
        <v>21</v>
      </c>
      <c r="D1516">
        <v>21.2</v>
      </c>
      <c r="E1516">
        <v>5.9</v>
      </c>
      <c r="F1516">
        <f t="shared" si="1583"/>
        <v>1.2507999999999999</v>
      </c>
      <c r="G1516">
        <f t="shared" ref="G1516:G1579" si="1626">D1515+D1516</f>
        <v>43.2</v>
      </c>
      <c r="H1516">
        <f t="shared" si="1582"/>
        <v>2037</v>
      </c>
      <c r="I1516">
        <v>1</v>
      </c>
      <c r="J1516">
        <f t="shared" si="1585"/>
        <v>6.9956999999998377</v>
      </c>
      <c r="K1516">
        <f t="shared" si="1586"/>
        <v>0</v>
      </c>
      <c r="L1516">
        <f t="shared" si="1587"/>
        <v>6.9956999999998377</v>
      </c>
    </row>
    <row r="1517" spans="2:12">
      <c r="B1517" s="1">
        <v>50155</v>
      </c>
      <c r="C1517" t="s">
        <v>25</v>
      </c>
      <c r="D1517">
        <v>20.6</v>
      </c>
      <c r="E1517">
        <v>4.5999999999999996</v>
      </c>
      <c r="F1517">
        <f t="shared" si="1583"/>
        <v>0.9476</v>
      </c>
      <c r="G1517">
        <f t="shared" ref="G1517" si="1627">D1515+D1516+D1517</f>
        <v>63.800000000000004</v>
      </c>
      <c r="H1517">
        <f t="shared" si="1582"/>
        <v>2037</v>
      </c>
      <c r="I1517">
        <v>1</v>
      </c>
      <c r="J1517">
        <f t="shared" si="1585"/>
        <v>7.9432999999998373</v>
      </c>
      <c r="K1517">
        <f t="shared" si="1586"/>
        <v>0</v>
      </c>
      <c r="L1517">
        <f t="shared" si="1587"/>
        <v>7.9432999999998373</v>
      </c>
    </row>
    <row r="1518" spans="2:12">
      <c r="B1518" s="1">
        <v>50156</v>
      </c>
      <c r="C1518" t="s">
        <v>50</v>
      </c>
      <c r="D1518">
        <v>29.4</v>
      </c>
      <c r="E1518">
        <v>9.1999999999999993</v>
      </c>
      <c r="F1518">
        <f t="shared" si="1583"/>
        <v>2.7047999999999996</v>
      </c>
      <c r="G1518">
        <f t="shared" ref="G1518" si="1628">D1515+D1516+D1517+D1518</f>
        <v>93.2</v>
      </c>
      <c r="H1518">
        <f t="shared" si="1582"/>
        <v>2037</v>
      </c>
      <c r="I1518">
        <v>1</v>
      </c>
      <c r="J1518">
        <f t="shared" si="1585"/>
        <v>10.648099999999836</v>
      </c>
      <c r="K1518">
        <f t="shared" si="1586"/>
        <v>0</v>
      </c>
      <c r="L1518">
        <f t="shared" si="1587"/>
        <v>10.648099999999836</v>
      </c>
    </row>
    <row r="1519" spans="2:12">
      <c r="B1519" s="1">
        <v>50157</v>
      </c>
      <c r="C1519" t="s">
        <v>18</v>
      </c>
      <c r="D1519">
        <v>21.3</v>
      </c>
      <c r="E1519">
        <v>0</v>
      </c>
      <c r="F1519">
        <f t="shared" si="1583"/>
        <v>0</v>
      </c>
      <c r="G1519">
        <f t="shared" ref="G1519" si="1629">D1515+D1516+D1517+D1518+D1519</f>
        <v>114.5</v>
      </c>
      <c r="H1519">
        <f t="shared" si="1582"/>
        <v>2037</v>
      </c>
      <c r="I1519">
        <v>1</v>
      </c>
      <c r="J1519">
        <f t="shared" si="1585"/>
        <v>10.648099999999836</v>
      </c>
      <c r="K1519">
        <f t="shared" si="1586"/>
        <v>0</v>
      </c>
      <c r="L1519">
        <f t="shared" si="1587"/>
        <v>10.648099999999836</v>
      </c>
    </row>
    <row r="1520" spans="2:12">
      <c r="B1520" s="1">
        <v>50158</v>
      </c>
      <c r="C1520" t="s">
        <v>21</v>
      </c>
      <c r="D1520">
        <v>20.100000000000001</v>
      </c>
      <c r="E1520">
        <v>2.2000000000000002</v>
      </c>
      <c r="F1520">
        <f t="shared" si="1583"/>
        <v>0.44220000000000004</v>
      </c>
      <c r="G1520">
        <f t="shared" ref="G1520" si="1630">D1515+D1516+D1517+D1518+D1519+D1520</f>
        <v>134.6</v>
      </c>
      <c r="H1520">
        <f t="shared" si="1582"/>
        <v>2037</v>
      </c>
      <c r="I1520">
        <v>1</v>
      </c>
      <c r="J1520">
        <f t="shared" si="1585"/>
        <v>11.090299999999836</v>
      </c>
      <c r="K1520">
        <f t="shared" si="1586"/>
        <v>0</v>
      </c>
      <c r="L1520">
        <f t="shared" si="1587"/>
        <v>11.090299999999836</v>
      </c>
    </row>
    <row r="1521" spans="2:12">
      <c r="B1521" s="1">
        <v>50159</v>
      </c>
      <c r="C1521" t="s">
        <v>24</v>
      </c>
      <c r="D1521">
        <v>12.7</v>
      </c>
      <c r="E1521">
        <v>5.6</v>
      </c>
      <c r="F1521">
        <f t="shared" si="1583"/>
        <v>0.71119999999999994</v>
      </c>
      <c r="G1521">
        <f t="shared" ref="G1521" si="1631">D1515+D1516+D1517+D1518+D1519+D1520+D1521</f>
        <v>147.29999999999998</v>
      </c>
      <c r="H1521">
        <f t="shared" si="1582"/>
        <v>2037</v>
      </c>
      <c r="I1521">
        <v>1</v>
      </c>
      <c r="J1521">
        <f t="shared" si="1585"/>
        <v>11.801499999999836</v>
      </c>
      <c r="K1521">
        <f t="shared" si="1586"/>
        <v>0</v>
      </c>
      <c r="L1521">
        <f t="shared" si="1587"/>
        <v>11.801499999999836</v>
      </c>
    </row>
    <row r="1522" spans="2:12">
      <c r="B1522" s="1">
        <v>50160</v>
      </c>
      <c r="C1522" t="s">
        <v>25</v>
      </c>
      <c r="D1522">
        <v>28.9</v>
      </c>
      <c r="E1522">
        <v>0</v>
      </c>
      <c r="F1522">
        <f t="shared" si="1583"/>
        <v>0</v>
      </c>
      <c r="G1522">
        <f t="shared" ref="G1522:G1585" si="1632">D1522</f>
        <v>28.9</v>
      </c>
      <c r="H1522">
        <f t="shared" si="1582"/>
        <v>2037</v>
      </c>
      <c r="I1522">
        <v>1</v>
      </c>
      <c r="J1522">
        <f t="shared" si="1585"/>
        <v>11.801499999999836</v>
      </c>
      <c r="K1522">
        <f t="shared" si="1586"/>
        <v>0</v>
      </c>
      <c r="L1522">
        <f t="shared" si="1587"/>
        <v>11.801499999999836</v>
      </c>
    </row>
    <row r="1523" spans="2:12">
      <c r="B1523" s="1">
        <v>50161</v>
      </c>
      <c r="C1523" t="s">
        <v>50</v>
      </c>
      <c r="D1523">
        <v>24.4</v>
      </c>
      <c r="E1523">
        <v>28.7</v>
      </c>
      <c r="F1523">
        <f t="shared" si="1583"/>
        <v>7.0027999999999997</v>
      </c>
      <c r="G1523">
        <f t="shared" ref="G1523:G1586" si="1633">D1522+D1523</f>
        <v>53.3</v>
      </c>
      <c r="H1523">
        <f t="shared" si="1582"/>
        <v>2037</v>
      </c>
      <c r="I1523">
        <v>1</v>
      </c>
      <c r="J1523">
        <f t="shared" si="1585"/>
        <v>18.804299999999834</v>
      </c>
      <c r="K1523">
        <f t="shared" si="1586"/>
        <v>0</v>
      </c>
      <c r="L1523">
        <f t="shared" si="1587"/>
        <v>18.804299999999834</v>
      </c>
    </row>
    <row r="1524" spans="2:12">
      <c r="B1524" s="1">
        <v>50162</v>
      </c>
      <c r="C1524" t="s">
        <v>24</v>
      </c>
      <c r="D1524">
        <v>10.8</v>
      </c>
      <c r="E1524">
        <v>0</v>
      </c>
      <c r="F1524">
        <f t="shared" si="1583"/>
        <v>0</v>
      </c>
      <c r="G1524">
        <f t="shared" ref="G1524" si="1634">D1522+D1523+D1524</f>
        <v>64.099999999999994</v>
      </c>
      <c r="H1524">
        <f t="shared" si="1582"/>
        <v>2037</v>
      </c>
      <c r="I1524">
        <v>1</v>
      </c>
      <c r="J1524">
        <f t="shared" si="1585"/>
        <v>18.804299999999834</v>
      </c>
      <c r="K1524">
        <f t="shared" si="1586"/>
        <v>0</v>
      </c>
      <c r="L1524">
        <f t="shared" si="1587"/>
        <v>18.804299999999834</v>
      </c>
    </row>
    <row r="1525" spans="2:12">
      <c r="B1525" s="1">
        <v>50163</v>
      </c>
      <c r="C1525" t="s">
        <v>24</v>
      </c>
      <c r="D1525">
        <v>18.399999999999999</v>
      </c>
      <c r="E1525">
        <v>0</v>
      </c>
      <c r="F1525">
        <f t="shared" si="1583"/>
        <v>0</v>
      </c>
      <c r="G1525">
        <f t="shared" ref="G1525" si="1635">D1522+D1523+D1524+D1525</f>
        <v>82.5</v>
      </c>
      <c r="H1525">
        <f t="shared" si="1582"/>
        <v>2037</v>
      </c>
      <c r="I1525">
        <v>1</v>
      </c>
      <c r="J1525">
        <f t="shared" si="1585"/>
        <v>18.804299999999834</v>
      </c>
      <c r="K1525">
        <f t="shared" si="1586"/>
        <v>0</v>
      </c>
      <c r="L1525">
        <f t="shared" si="1587"/>
        <v>18.804299999999834</v>
      </c>
    </row>
    <row r="1526" spans="2:12">
      <c r="B1526" s="1">
        <v>50164</v>
      </c>
      <c r="C1526" t="s">
        <v>50</v>
      </c>
      <c r="D1526">
        <v>23.3</v>
      </c>
      <c r="E1526">
        <v>10.7</v>
      </c>
      <c r="F1526">
        <f t="shared" si="1583"/>
        <v>2.4931000000000001</v>
      </c>
      <c r="G1526">
        <f t="shared" ref="G1526" si="1636">D1522+D1523+D1524+D1525+D1526</f>
        <v>105.8</v>
      </c>
      <c r="H1526">
        <f t="shared" si="1582"/>
        <v>2037</v>
      </c>
      <c r="I1526">
        <v>1</v>
      </c>
      <c r="J1526">
        <f t="shared" si="1585"/>
        <v>21.297399999999833</v>
      </c>
      <c r="K1526">
        <f t="shared" si="1586"/>
        <v>0</v>
      </c>
      <c r="L1526">
        <f t="shared" si="1587"/>
        <v>21.297399999999833</v>
      </c>
    </row>
    <row r="1527" spans="2:12">
      <c r="B1527" s="1">
        <v>50165</v>
      </c>
      <c r="C1527" t="s">
        <v>32</v>
      </c>
      <c r="D1527">
        <v>27.9</v>
      </c>
      <c r="E1527">
        <v>14.8</v>
      </c>
      <c r="F1527">
        <f t="shared" si="1583"/>
        <v>4.1292</v>
      </c>
      <c r="G1527">
        <f t="shared" ref="G1527" si="1637">D1522+D1523+D1524+D1525+D1526+D1527</f>
        <v>133.69999999999999</v>
      </c>
      <c r="H1527">
        <f t="shared" si="1582"/>
        <v>2037</v>
      </c>
      <c r="I1527">
        <v>1</v>
      </c>
      <c r="J1527">
        <f t="shared" si="1585"/>
        <v>25.426599999999834</v>
      </c>
      <c r="K1527">
        <f t="shared" si="1586"/>
        <v>0</v>
      </c>
      <c r="L1527">
        <f t="shared" si="1587"/>
        <v>25.426599999999834</v>
      </c>
    </row>
    <row r="1528" spans="2:12">
      <c r="B1528" s="1">
        <v>50166</v>
      </c>
      <c r="C1528" t="s">
        <v>26</v>
      </c>
      <c r="D1528">
        <v>24.7</v>
      </c>
      <c r="E1528">
        <v>9</v>
      </c>
      <c r="F1528">
        <f t="shared" si="1583"/>
        <v>2.2229999999999999</v>
      </c>
      <c r="G1528">
        <f t="shared" ref="G1528" si="1638">D1522+D1523+D1524+D1525+D1526+D1527+D1528</f>
        <v>158.39999999999998</v>
      </c>
      <c r="H1528">
        <f t="shared" si="1582"/>
        <v>2037</v>
      </c>
      <c r="I1528">
        <v>1</v>
      </c>
      <c r="J1528">
        <f t="shared" si="1585"/>
        <v>27.649599999999833</v>
      </c>
      <c r="K1528">
        <f t="shared" si="1586"/>
        <v>0</v>
      </c>
      <c r="L1528">
        <f t="shared" si="1587"/>
        <v>27.649599999999833</v>
      </c>
    </row>
    <row r="1529" spans="2:12">
      <c r="B1529" s="1">
        <v>50167</v>
      </c>
      <c r="C1529" t="s">
        <v>50</v>
      </c>
      <c r="D1529">
        <v>14.3</v>
      </c>
      <c r="E1529">
        <v>22</v>
      </c>
      <c r="F1529">
        <f t="shared" si="1583"/>
        <v>3.1460000000000004</v>
      </c>
      <c r="G1529">
        <f t="shared" ref="G1529:G1592" si="1639">D1529</f>
        <v>14.3</v>
      </c>
      <c r="H1529">
        <f t="shared" si="1582"/>
        <v>2037</v>
      </c>
      <c r="I1529">
        <v>1</v>
      </c>
      <c r="J1529">
        <f t="shared" si="1585"/>
        <v>30.795599999999833</v>
      </c>
      <c r="K1529">
        <f t="shared" si="1586"/>
        <v>0</v>
      </c>
      <c r="L1529">
        <f t="shared" si="1587"/>
        <v>30.795599999999833</v>
      </c>
    </row>
    <row r="1530" spans="2:12">
      <c r="B1530" s="1">
        <v>50168</v>
      </c>
      <c r="C1530" t="s">
        <v>48</v>
      </c>
      <c r="D1530">
        <v>26.2</v>
      </c>
      <c r="E1530">
        <v>2</v>
      </c>
      <c r="F1530">
        <f t="shared" si="1583"/>
        <v>0.52400000000000002</v>
      </c>
      <c r="G1530">
        <f t="shared" ref="G1530:G1593" si="1640">D1529+D1530</f>
        <v>40.5</v>
      </c>
      <c r="H1530">
        <f t="shared" si="1582"/>
        <v>2037</v>
      </c>
      <c r="I1530">
        <v>1</v>
      </c>
      <c r="J1530">
        <f t="shared" si="1585"/>
        <v>31.319599999999834</v>
      </c>
      <c r="K1530">
        <f t="shared" si="1586"/>
        <v>0</v>
      </c>
      <c r="L1530">
        <f t="shared" si="1587"/>
        <v>31.319599999999834</v>
      </c>
    </row>
    <row r="1531" spans="2:12">
      <c r="B1531" s="1">
        <v>50169</v>
      </c>
      <c r="C1531" t="s">
        <v>33</v>
      </c>
      <c r="D1531">
        <v>21.5</v>
      </c>
      <c r="E1531">
        <v>0.4</v>
      </c>
      <c r="F1531">
        <f t="shared" si="1583"/>
        <v>0</v>
      </c>
      <c r="G1531">
        <f t="shared" ref="G1531" si="1641">D1529+D1530+D1531</f>
        <v>62</v>
      </c>
      <c r="H1531">
        <f t="shared" si="1582"/>
        <v>2037</v>
      </c>
      <c r="I1531">
        <v>1</v>
      </c>
      <c r="J1531">
        <f t="shared" si="1585"/>
        <v>31.319599999999834</v>
      </c>
      <c r="K1531">
        <f t="shared" si="1586"/>
        <v>0</v>
      </c>
      <c r="L1531">
        <f t="shared" si="1587"/>
        <v>31.319599999999834</v>
      </c>
    </row>
    <row r="1532" spans="2:12">
      <c r="B1532" s="1">
        <v>50170</v>
      </c>
      <c r="C1532" t="s">
        <v>24</v>
      </c>
      <c r="D1532">
        <v>12.8</v>
      </c>
      <c r="E1532">
        <v>0</v>
      </c>
      <c r="F1532">
        <f t="shared" si="1583"/>
        <v>0</v>
      </c>
      <c r="G1532">
        <f t="shared" ref="G1532" si="1642">D1529+D1530+D1531+D1532</f>
        <v>74.8</v>
      </c>
      <c r="H1532">
        <f t="shared" si="1582"/>
        <v>2037</v>
      </c>
      <c r="I1532">
        <v>1</v>
      </c>
      <c r="J1532">
        <f t="shared" si="1585"/>
        <v>31.319599999999834</v>
      </c>
      <c r="K1532">
        <f t="shared" si="1586"/>
        <v>0</v>
      </c>
      <c r="L1532">
        <f t="shared" si="1587"/>
        <v>31.319599999999834</v>
      </c>
    </row>
    <row r="1533" spans="2:12">
      <c r="B1533" s="1">
        <v>50171</v>
      </c>
      <c r="C1533" t="s">
        <v>21</v>
      </c>
      <c r="D1533">
        <v>24.6</v>
      </c>
      <c r="E1533">
        <v>3</v>
      </c>
      <c r="F1533">
        <f t="shared" si="1583"/>
        <v>0.7380000000000001</v>
      </c>
      <c r="G1533">
        <f t="shared" ref="G1533" si="1643">D1529+D1530+D1531+D1532+D1533</f>
        <v>99.4</v>
      </c>
      <c r="H1533">
        <f t="shared" si="1582"/>
        <v>2037</v>
      </c>
      <c r="I1533">
        <v>1</v>
      </c>
      <c r="J1533">
        <f t="shared" si="1585"/>
        <v>32.057599999999837</v>
      </c>
      <c r="K1533">
        <f t="shared" si="1586"/>
        <v>0</v>
      </c>
      <c r="L1533">
        <f t="shared" si="1587"/>
        <v>32.057599999999837</v>
      </c>
    </row>
    <row r="1534" spans="2:12">
      <c r="B1534" s="1">
        <v>50172</v>
      </c>
      <c r="C1534" t="s">
        <v>38</v>
      </c>
      <c r="D1534">
        <v>22.6</v>
      </c>
      <c r="E1534">
        <v>1.6</v>
      </c>
      <c r="F1534">
        <f t="shared" si="1583"/>
        <v>0.36160000000000003</v>
      </c>
      <c r="G1534">
        <f t="shared" ref="G1534" si="1644">D1529+D1530+D1531+D1532+D1533+D1534</f>
        <v>122</v>
      </c>
      <c r="H1534">
        <f t="shared" si="1582"/>
        <v>2037</v>
      </c>
      <c r="I1534">
        <v>1</v>
      </c>
      <c r="J1534">
        <f t="shared" si="1585"/>
        <v>32.41919999999984</v>
      </c>
      <c r="K1534">
        <f t="shared" si="1586"/>
        <v>0</v>
      </c>
      <c r="L1534">
        <f t="shared" si="1587"/>
        <v>32.41919999999984</v>
      </c>
    </row>
    <row r="1535" spans="2:12">
      <c r="B1535" s="1">
        <v>50173</v>
      </c>
      <c r="C1535" t="s">
        <v>27</v>
      </c>
      <c r="D1535">
        <v>27.3</v>
      </c>
      <c r="E1535">
        <v>9.3000000000000007</v>
      </c>
      <c r="F1535">
        <f t="shared" si="1583"/>
        <v>2.5388999999999999</v>
      </c>
      <c r="G1535">
        <f t="shared" ref="G1535" si="1645">D1529+D1530+D1531+D1532+D1533+D1534+D1535</f>
        <v>149.30000000000001</v>
      </c>
      <c r="H1535">
        <f t="shared" si="1582"/>
        <v>2037</v>
      </c>
      <c r="I1535">
        <v>1</v>
      </c>
      <c r="J1535">
        <f t="shared" si="1585"/>
        <v>34.958099999999838</v>
      </c>
      <c r="K1535">
        <f t="shared" si="1586"/>
        <v>0</v>
      </c>
      <c r="L1535">
        <f t="shared" si="1587"/>
        <v>34.958099999999838</v>
      </c>
    </row>
    <row r="1536" spans="2:12">
      <c r="B1536" s="1">
        <v>50174</v>
      </c>
      <c r="C1536" t="s">
        <v>50</v>
      </c>
      <c r="D1536">
        <v>10.8</v>
      </c>
      <c r="E1536">
        <v>22.2</v>
      </c>
      <c r="F1536">
        <f t="shared" si="1583"/>
        <v>2.3976000000000002</v>
      </c>
      <c r="G1536">
        <f t="shared" ref="G1536:G1599" si="1646">D1536</f>
        <v>10.8</v>
      </c>
      <c r="H1536">
        <f t="shared" si="1582"/>
        <v>2037</v>
      </c>
      <c r="I1536">
        <v>1</v>
      </c>
      <c r="J1536">
        <f t="shared" si="1585"/>
        <v>37.355699999999835</v>
      </c>
      <c r="K1536">
        <f t="shared" si="1586"/>
        <v>0</v>
      </c>
      <c r="L1536">
        <f t="shared" si="1587"/>
        <v>37.355699999999835</v>
      </c>
    </row>
    <row r="1537" spans="2:12">
      <c r="B1537" s="1">
        <v>50175</v>
      </c>
      <c r="C1537" t="s">
        <v>42</v>
      </c>
      <c r="D1537">
        <v>12</v>
      </c>
      <c r="E1537">
        <v>5.3</v>
      </c>
      <c r="F1537">
        <f t="shared" si="1583"/>
        <v>0.6359999999999999</v>
      </c>
      <c r="G1537">
        <f t="shared" ref="G1537:G1600" si="1647">D1536+D1537</f>
        <v>22.8</v>
      </c>
      <c r="H1537">
        <f t="shared" si="1582"/>
        <v>2037</v>
      </c>
      <c r="I1537">
        <v>1</v>
      </c>
      <c r="J1537">
        <f t="shared" si="1585"/>
        <v>37.991699999999838</v>
      </c>
      <c r="K1537">
        <f t="shared" si="1586"/>
        <v>0</v>
      </c>
      <c r="L1537">
        <f t="shared" si="1587"/>
        <v>37.991699999999838</v>
      </c>
    </row>
    <row r="1538" spans="2:12">
      <c r="B1538" s="1">
        <v>50176</v>
      </c>
      <c r="C1538" t="s">
        <v>18</v>
      </c>
      <c r="D1538">
        <v>28.1</v>
      </c>
      <c r="E1538">
        <v>0</v>
      </c>
      <c r="F1538">
        <f t="shared" si="1583"/>
        <v>0</v>
      </c>
      <c r="G1538">
        <f t="shared" ref="G1538" si="1648">D1536+D1537+D1538</f>
        <v>50.900000000000006</v>
      </c>
      <c r="H1538">
        <f t="shared" si="1582"/>
        <v>2037</v>
      </c>
      <c r="I1538">
        <v>1</v>
      </c>
      <c r="J1538">
        <f t="shared" si="1585"/>
        <v>37.991699999999838</v>
      </c>
      <c r="K1538">
        <f t="shared" si="1586"/>
        <v>0</v>
      </c>
      <c r="L1538">
        <f t="shared" si="1587"/>
        <v>37.991699999999838</v>
      </c>
    </row>
    <row r="1539" spans="2:12">
      <c r="B1539" s="1">
        <v>50177</v>
      </c>
      <c r="C1539" t="s">
        <v>25</v>
      </c>
      <c r="D1539">
        <v>16.100000000000001</v>
      </c>
      <c r="E1539">
        <v>9</v>
      </c>
      <c r="F1539">
        <f t="shared" si="1583"/>
        <v>1.4490000000000001</v>
      </c>
      <c r="G1539">
        <f t="shared" ref="G1539" si="1649">D1536+D1537+D1538+D1539</f>
        <v>67</v>
      </c>
      <c r="H1539">
        <f t="shared" si="1582"/>
        <v>2037</v>
      </c>
      <c r="I1539">
        <v>1</v>
      </c>
      <c r="J1539">
        <f t="shared" si="1585"/>
        <v>39.440699999999836</v>
      </c>
      <c r="K1539">
        <f t="shared" si="1586"/>
        <v>0</v>
      </c>
      <c r="L1539">
        <f t="shared" si="1587"/>
        <v>39.440699999999836</v>
      </c>
    </row>
    <row r="1540" spans="2:12">
      <c r="B1540" s="1">
        <v>50178</v>
      </c>
      <c r="C1540" t="s">
        <v>47</v>
      </c>
      <c r="D1540">
        <v>29</v>
      </c>
      <c r="E1540">
        <v>1.6</v>
      </c>
      <c r="F1540">
        <f t="shared" si="1583"/>
        <v>0.46400000000000008</v>
      </c>
      <c r="G1540">
        <f t="shared" ref="G1540" si="1650">D1536+D1537+D1538+D1539+D1540</f>
        <v>96</v>
      </c>
      <c r="H1540">
        <f t="shared" ref="H1540:H1603" si="1651">YEAR(B1540)</f>
        <v>2037</v>
      </c>
      <c r="I1540">
        <v>1</v>
      </c>
      <c r="J1540">
        <f t="shared" si="1585"/>
        <v>39.904699999999835</v>
      </c>
      <c r="K1540">
        <f t="shared" si="1586"/>
        <v>0</v>
      </c>
      <c r="L1540">
        <f t="shared" si="1587"/>
        <v>39.904699999999835</v>
      </c>
    </row>
    <row r="1541" spans="2:12">
      <c r="B1541" s="1">
        <v>50179</v>
      </c>
      <c r="C1541" t="s">
        <v>25</v>
      </c>
      <c r="D1541">
        <v>23.6</v>
      </c>
      <c r="E1541">
        <v>16</v>
      </c>
      <c r="F1541">
        <f t="shared" ref="F1541:F1604" si="1652">IF(E1541&gt;=1,D1541*E1541/100,0)</f>
        <v>3.7760000000000002</v>
      </c>
      <c r="G1541">
        <f t="shared" ref="G1541" si="1653">D1536+D1537+D1538+D1539+D1540+D1541</f>
        <v>119.6</v>
      </c>
      <c r="H1541">
        <f t="shared" si="1651"/>
        <v>2037</v>
      </c>
      <c r="I1541">
        <v>1</v>
      </c>
      <c r="J1541">
        <f t="shared" ref="J1541:J1604" si="1654">L1540+F1541</f>
        <v>43.680699999999838</v>
      </c>
      <c r="K1541">
        <f t="shared" ref="K1541:K1604" si="1655">IF(J1541&gt;=100,1,0)</f>
        <v>0</v>
      </c>
      <c r="L1541">
        <f t="shared" ref="L1541:L1604" si="1656">IF(K1541=1,J1541-100,J1541)</f>
        <v>43.680699999999838</v>
      </c>
    </row>
    <row r="1542" spans="2:12">
      <c r="B1542" s="1">
        <v>50180</v>
      </c>
      <c r="C1542" t="s">
        <v>50</v>
      </c>
      <c r="D1542">
        <v>11.6</v>
      </c>
      <c r="E1542">
        <v>32</v>
      </c>
      <c r="F1542">
        <f t="shared" si="1652"/>
        <v>3.7119999999999997</v>
      </c>
      <c r="G1542">
        <f t="shared" ref="G1542" si="1657">D1536+D1537+D1538+D1539+D1540+D1541+D1542</f>
        <v>131.19999999999999</v>
      </c>
      <c r="H1542">
        <f t="shared" si="1651"/>
        <v>2037</v>
      </c>
      <c r="I1542">
        <v>1</v>
      </c>
      <c r="J1542">
        <f t="shared" si="1654"/>
        <v>47.392699999999834</v>
      </c>
      <c r="K1542">
        <f t="shared" si="1655"/>
        <v>0</v>
      </c>
      <c r="L1542">
        <f t="shared" si="1656"/>
        <v>47.392699999999834</v>
      </c>
    </row>
    <row r="1543" spans="2:12">
      <c r="B1543" s="1">
        <v>50181</v>
      </c>
      <c r="C1543" t="s">
        <v>32</v>
      </c>
      <c r="D1543">
        <v>15.9</v>
      </c>
      <c r="E1543">
        <v>5.5</v>
      </c>
      <c r="F1543">
        <f t="shared" si="1652"/>
        <v>0.87450000000000006</v>
      </c>
      <c r="G1543">
        <f t="shared" ref="G1543:G1606" si="1658">D1543</f>
        <v>15.9</v>
      </c>
      <c r="H1543">
        <f t="shared" si="1651"/>
        <v>2037</v>
      </c>
      <c r="I1543">
        <v>1</v>
      </c>
      <c r="J1543">
        <f t="shared" si="1654"/>
        <v>48.267199999999832</v>
      </c>
      <c r="K1543">
        <f t="shared" si="1655"/>
        <v>0</v>
      </c>
      <c r="L1543">
        <f t="shared" si="1656"/>
        <v>48.267199999999832</v>
      </c>
    </row>
    <row r="1544" spans="2:12">
      <c r="B1544" s="1">
        <v>50182</v>
      </c>
      <c r="C1544" t="s">
        <v>36</v>
      </c>
      <c r="D1544">
        <v>28.3</v>
      </c>
      <c r="E1544">
        <v>6</v>
      </c>
      <c r="F1544">
        <f t="shared" si="1652"/>
        <v>1.6980000000000002</v>
      </c>
      <c r="G1544">
        <f t="shared" ref="G1544:G1607" si="1659">D1543+D1544</f>
        <v>44.2</v>
      </c>
      <c r="H1544">
        <f t="shared" si="1651"/>
        <v>2037</v>
      </c>
      <c r="I1544">
        <v>1</v>
      </c>
      <c r="J1544">
        <f t="shared" si="1654"/>
        <v>49.965199999999832</v>
      </c>
      <c r="K1544">
        <f t="shared" si="1655"/>
        <v>0</v>
      </c>
      <c r="L1544">
        <f t="shared" si="1656"/>
        <v>49.965199999999832</v>
      </c>
    </row>
    <row r="1545" spans="2:12">
      <c r="B1545" s="1">
        <v>50183</v>
      </c>
      <c r="C1545" t="s">
        <v>26</v>
      </c>
      <c r="D1545">
        <v>16.600000000000001</v>
      </c>
      <c r="E1545">
        <v>11.3</v>
      </c>
      <c r="F1545">
        <f t="shared" si="1652"/>
        <v>1.8758000000000004</v>
      </c>
      <c r="G1545">
        <f t="shared" ref="G1545" si="1660">D1543+D1544+D1545</f>
        <v>60.800000000000004</v>
      </c>
      <c r="H1545">
        <f t="shared" si="1651"/>
        <v>2037</v>
      </c>
      <c r="I1545">
        <v>1</v>
      </c>
      <c r="J1545">
        <f t="shared" si="1654"/>
        <v>51.840999999999831</v>
      </c>
      <c r="K1545">
        <f t="shared" si="1655"/>
        <v>0</v>
      </c>
      <c r="L1545">
        <f t="shared" si="1656"/>
        <v>51.840999999999831</v>
      </c>
    </row>
    <row r="1546" spans="2:12">
      <c r="B1546" s="1">
        <v>50184</v>
      </c>
      <c r="C1546" t="s">
        <v>43</v>
      </c>
      <c r="D1546">
        <v>25.2</v>
      </c>
      <c r="E1546">
        <v>6.4</v>
      </c>
      <c r="F1546">
        <f t="shared" si="1652"/>
        <v>1.6128</v>
      </c>
      <c r="G1546">
        <f t="shared" ref="G1546" si="1661">D1543+D1544+D1545+D1546</f>
        <v>86</v>
      </c>
      <c r="H1546">
        <f t="shared" si="1651"/>
        <v>2037</v>
      </c>
      <c r="I1546">
        <v>1</v>
      </c>
      <c r="J1546">
        <f t="shared" si="1654"/>
        <v>53.453799999999831</v>
      </c>
      <c r="K1546">
        <f t="shared" si="1655"/>
        <v>0</v>
      </c>
      <c r="L1546">
        <f t="shared" si="1656"/>
        <v>53.453799999999831</v>
      </c>
    </row>
    <row r="1547" spans="2:12">
      <c r="B1547" s="1">
        <v>50185</v>
      </c>
      <c r="C1547" t="s">
        <v>24</v>
      </c>
      <c r="D1547">
        <v>29.5</v>
      </c>
      <c r="E1547">
        <v>26.1</v>
      </c>
      <c r="F1547">
        <f t="shared" si="1652"/>
        <v>7.6995000000000005</v>
      </c>
      <c r="G1547">
        <f t="shared" ref="G1547" si="1662">D1543+D1544+D1545+D1546+D1547</f>
        <v>115.5</v>
      </c>
      <c r="H1547">
        <f t="shared" si="1651"/>
        <v>2037</v>
      </c>
      <c r="I1547">
        <v>1</v>
      </c>
      <c r="J1547">
        <f t="shared" si="1654"/>
        <v>61.153299999999831</v>
      </c>
      <c r="K1547">
        <f t="shared" si="1655"/>
        <v>0</v>
      </c>
      <c r="L1547">
        <f t="shared" si="1656"/>
        <v>61.153299999999831</v>
      </c>
    </row>
    <row r="1548" spans="2:12">
      <c r="B1548" s="1">
        <v>50186</v>
      </c>
      <c r="C1548" t="s">
        <v>47</v>
      </c>
      <c r="D1548">
        <v>13.3</v>
      </c>
      <c r="E1548">
        <v>7.3</v>
      </c>
      <c r="F1548">
        <f t="shared" si="1652"/>
        <v>0.97089999999999999</v>
      </c>
      <c r="G1548">
        <f t="shared" ref="G1548" si="1663">D1543+D1544+D1545+D1546+D1547+D1548</f>
        <v>128.80000000000001</v>
      </c>
      <c r="H1548">
        <f t="shared" si="1651"/>
        <v>2037</v>
      </c>
      <c r="I1548">
        <v>1</v>
      </c>
      <c r="J1548">
        <f t="shared" si="1654"/>
        <v>62.124199999999831</v>
      </c>
      <c r="K1548">
        <f t="shared" si="1655"/>
        <v>0</v>
      </c>
      <c r="L1548">
        <f t="shared" si="1656"/>
        <v>62.124199999999831</v>
      </c>
    </row>
    <row r="1549" spans="2:12">
      <c r="B1549" s="1">
        <v>50187</v>
      </c>
      <c r="C1549" t="s">
        <v>42</v>
      </c>
      <c r="D1549">
        <v>19.5</v>
      </c>
      <c r="E1549">
        <v>3.4</v>
      </c>
      <c r="F1549">
        <f t="shared" si="1652"/>
        <v>0.66299999999999992</v>
      </c>
      <c r="G1549">
        <f t="shared" ref="G1549" si="1664">D1543+D1544+D1545+D1546+D1547+D1548+D1549</f>
        <v>148.30000000000001</v>
      </c>
      <c r="H1549">
        <f t="shared" si="1651"/>
        <v>2037</v>
      </c>
      <c r="I1549">
        <v>1</v>
      </c>
      <c r="J1549">
        <f t="shared" si="1654"/>
        <v>62.787199999999828</v>
      </c>
      <c r="K1549">
        <f t="shared" si="1655"/>
        <v>0</v>
      </c>
      <c r="L1549">
        <f t="shared" si="1656"/>
        <v>62.787199999999828</v>
      </c>
    </row>
    <row r="1550" spans="2:12">
      <c r="B1550" s="1">
        <v>50188</v>
      </c>
      <c r="C1550" t="s">
        <v>49</v>
      </c>
      <c r="D1550">
        <v>11.9</v>
      </c>
      <c r="E1550">
        <v>1.7</v>
      </c>
      <c r="F1550">
        <f t="shared" si="1652"/>
        <v>0.20230000000000001</v>
      </c>
      <c r="G1550">
        <f t="shared" ref="G1550:G1613" si="1665">D1550</f>
        <v>11.9</v>
      </c>
      <c r="H1550">
        <f t="shared" si="1651"/>
        <v>2037</v>
      </c>
      <c r="I1550">
        <v>1</v>
      </c>
      <c r="J1550">
        <f t="shared" si="1654"/>
        <v>62.989499999999829</v>
      </c>
      <c r="K1550">
        <f t="shared" si="1655"/>
        <v>0</v>
      </c>
      <c r="L1550">
        <f t="shared" si="1656"/>
        <v>62.989499999999829</v>
      </c>
    </row>
    <row r="1551" spans="2:12">
      <c r="B1551" s="1">
        <v>50189</v>
      </c>
      <c r="C1551" t="s">
        <v>31</v>
      </c>
      <c r="D1551">
        <v>29.5</v>
      </c>
      <c r="E1551">
        <v>5.0999999999999996</v>
      </c>
      <c r="F1551">
        <f t="shared" si="1652"/>
        <v>1.5044999999999999</v>
      </c>
      <c r="G1551">
        <f t="shared" ref="G1551:G1614" si="1666">D1550+D1551</f>
        <v>41.4</v>
      </c>
      <c r="H1551">
        <f t="shared" si="1651"/>
        <v>2037</v>
      </c>
      <c r="I1551">
        <v>1</v>
      </c>
      <c r="J1551">
        <f t="shared" si="1654"/>
        <v>64.493999999999829</v>
      </c>
      <c r="K1551">
        <f t="shared" si="1655"/>
        <v>0</v>
      </c>
      <c r="L1551">
        <f t="shared" si="1656"/>
        <v>64.493999999999829</v>
      </c>
    </row>
    <row r="1552" spans="2:12">
      <c r="B1552" s="1">
        <v>50190</v>
      </c>
      <c r="C1552" t="s">
        <v>50</v>
      </c>
      <c r="D1552">
        <v>25.1</v>
      </c>
      <c r="E1552">
        <v>0</v>
      </c>
      <c r="F1552">
        <f t="shared" si="1652"/>
        <v>0</v>
      </c>
      <c r="G1552">
        <f t="shared" ref="G1552" si="1667">D1550+D1551+D1552</f>
        <v>66.5</v>
      </c>
      <c r="H1552">
        <f t="shared" si="1651"/>
        <v>2037</v>
      </c>
      <c r="I1552">
        <v>1</v>
      </c>
      <c r="J1552">
        <f t="shared" si="1654"/>
        <v>64.493999999999829</v>
      </c>
      <c r="K1552">
        <f t="shared" si="1655"/>
        <v>0</v>
      </c>
      <c r="L1552">
        <f t="shared" si="1656"/>
        <v>64.493999999999829</v>
      </c>
    </row>
    <row r="1553" spans="2:12">
      <c r="B1553" s="1">
        <v>50191</v>
      </c>
      <c r="C1553" t="s">
        <v>43</v>
      </c>
      <c r="D1553">
        <v>15.1</v>
      </c>
      <c r="E1553">
        <v>0</v>
      </c>
      <c r="F1553">
        <f t="shared" si="1652"/>
        <v>0</v>
      </c>
      <c r="G1553">
        <f t="shared" ref="G1553" si="1668">D1550+D1551+D1552+D1553</f>
        <v>81.599999999999994</v>
      </c>
      <c r="H1553">
        <f t="shared" si="1651"/>
        <v>2037</v>
      </c>
      <c r="I1553">
        <v>1</v>
      </c>
      <c r="J1553">
        <f t="shared" si="1654"/>
        <v>64.493999999999829</v>
      </c>
      <c r="K1553">
        <f t="shared" si="1655"/>
        <v>0</v>
      </c>
      <c r="L1553">
        <f t="shared" si="1656"/>
        <v>64.493999999999829</v>
      </c>
    </row>
    <row r="1554" spans="2:12">
      <c r="B1554" s="1">
        <v>50192</v>
      </c>
      <c r="C1554" t="s">
        <v>48</v>
      </c>
      <c r="D1554">
        <v>19.7</v>
      </c>
      <c r="E1554">
        <v>1.7</v>
      </c>
      <c r="F1554">
        <f t="shared" si="1652"/>
        <v>0.33489999999999998</v>
      </c>
      <c r="G1554">
        <f t="shared" ref="G1554" si="1669">D1550+D1551+D1552+D1553+D1554</f>
        <v>101.3</v>
      </c>
      <c r="H1554">
        <f t="shared" si="1651"/>
        <v>2037</v>
      </c>
      <c r="I1554">
        <v>1</v>
      </c>
      <c r="J1554">
        <f t="shared" si="1654"/>
        <v>64.828899999999834</v>
      </c>
      <c r="K1554">
        <f t="shared" si="1655"/>
        <v>0</v>
      </c>
      <c r="L1554">
        <f t="shared" si="1656"/>
        <v>64.828899999999834</v>
      </c>
    </row>
    <row r="1555" spans="2:12">
      <c r="B1555" s="1">
        <v>50193</v>
      </c>
      <c r="C1555" t="s">
        <v>50</v>
      </c>
      <c r="D1555">
        <v>25.6</v>
      </c>
      <c r="E1555">
        <v>0</v>
      </c>
      <c r="F1555">
        <f t="shared" si="1652"/>
        <v>0</v>
      </c>
      <c r="G1555">
        <f t="shared" ref="G1555" si="1670">D1550+D1551+D1552+D1553+D1554+D1555</f>
        <v>126.9</v>
      </c>
      <c r="H1555">
        <f t="shared" si="1651"/>
        <v>2037</v>
      </c>
      <c r="I1555">
        <v>1</v>
      </c>
      <c r="J1555">
        <f t="shared" si="1654"/>
        <v>64.828899999999834</v>
      </c>
      <c r="K1555">
        <f t="shared" si="1655"/>
        <v>0</v>
      </c>
      <c r="L1555">
        <f t="shared" si="1656"/>
        <v>64.828899999999834</v>
      </c>
    </row>
    <row r="1556" spans="2:12">
      <c r="B1556" s="1">
        <v>50194</v>
      </c>
      <c r="C1556" t="s">
        <v>25</v>
      </c>
      <c r="D1556">
        <v>25</v>
      </c>
      <c r="E1556">
        <v>18.8</v>
      </c>
      <c r="F1556">
        <f t="shared" si="1652"/>
        <v>4.7</v>
      </c>
      <c r="G1556">
        <f t="shared" ref="G1556" si="1671">D1550+D1551+D1552+D1553+D1554+D1555+D1556</f>
        <v>151.9</v>
      </c>
      <c r="H1556">
        <f t="shared" si="1651"/>
        <v>2037</v>
      </c>
      <c r="I1556">
        <v>1</v>
      </c>
      <c r="J1556">
        <f t="shared" si="1654"/>
        <v>69.528899999999837</v>
      </c>
      <c r="K1556">
        <f t="shared" si="1655"/>
        <v>0</v>
      </c>
      <c r="L1556">
        <f t="shared" si="1656"/>
        <v>69.528899999999837</v>
      </c>
    </row>
    <row r="1557" spans="2:12">
      <c r="B1557" s="1">
        <v>50195</v>
      </c>
      <c r="C1557" t="s">
        <v>35</v>
      </c>
      <c r="D1557">
        <v>11.5</v>
      </c>
      <c r="E1557">
        <v>0</v>
      </c>
      <c r="F1557">
        <f t="shared" si="1652"/>
        <v>0</v>
      </c>
      <c r="G1557">
        <f t="shared" ref="G1557:G1620" si="1672">D1557</f>
        <v>11.5</v>
      </c>
      <c r="H1557">
        <f t="shared" si="1651"/>
        <v>2037</v>
      </c>
      <c r="I1557">
        <v>1</v>
      </c>
      <c r="J1557">
        <f t="shared" si="1654"/>
        <v>69.528899999999837</v>
      </c>
      <c r="K1557">
        <f t="shared" si="1655"/>
        <v>0</v>
      </c>
      <c r="L1557">
        <f t="shared" si="1656"/>
        <v>69.528899999999837</v>
      </c>
    </row>
    <row r="1558" spans="2:12">
      <c r="B1558" s="1">
        <v>50196</v>
      </c>
      <c r="C1558" t="s">
        <v>24</v>
      </c>
      <c r="D1558">
        <v>23.8</v>
      </c>
      <c r="E1558">
        <v>7.3</v>
      </c>
      <c r="F1558">
        <f t="shared" si="1652"/>
        <v>1.7374000000000001</v>
      </c>
      <c r="G1558">
        <f t="shared" ref="G1558:G1621" si="1673">D1557+D1558</f>
        <v>35.299999999999997</v>
      </c>
      <c r="H1558">
        <f t="shared" si="1651"/>
        <v>2037</v>
      </c>
      <c r="I1558">
        <v>1</v>
      </c>
      <c r="J1558">
        <f t="shared" si="1654"/>
        <v>71.266299999999831</v>
      </c>
      <c r="K1558">
        <f t="shared" si="1655"/>
        <v>0</v>
      </c>
      <c r="L1558">
        <f t="shared" si="1656"/>
        <v>71.266299999999831</v>
      </c>
    </row>
    <row r="1559" spans="2:12">
      <c r="B1559" s="1">
        <v>50197</v>
      </c>
      <c r="C1559" t="s">
        <v>50</v>
      </c>
      <c r="D1559">
        <v>25.3</v>
      </c>
      <c r="E1559">
        <v>14.7</v>
      </c>
      <c r="F1559">
        <f t="shared" si="1652"/>
        <v>3.7190999999999996</v>
      </c>
      <c r="G1559">
        <f t="shared" ref="G1559" si="1674">D1557+D1558+D1559</f>
        <v>60.599999999999994</v>
      </c>
      <c r="H1559">
        <f t="shared" si="1651"/>
        <v>2037</v>
      </c>
      <c r="I1559">
        <v>1</v>
      </c>
      <c r="J1559">
        <f t="shared" si="1654"/>
        <v>74.985399999999828</v>
      </c>
      <c r="K1559">
        <f t="shared" si="1655"/>
        <v>0</v>
      </c>
      <c r="L1559">
        <f t="shared" si="1656"/>
        <v>74.985399999999828</v>
      </c>
    </row>
    <row r="1560" spans="2:12">
      <c r="B1560" s="1">
        <v>50198</v>
      </c>
      <c r="C1560" t="s">
        <v>24</v>
      </c>
      <c r="D1560">
        <v>22.6</v>
      </c>
      <c r="E1560">
        <v>42.2</v>
      </c>
      <c r="F1560">
        <f t="shared" si="1652"/>
        <v>9.5372000000000021</v>
      </c>
      <c r="G1560">
        <f t="shared" ref="G1560" si="1675">D1557+D1558+D1559+D1560</f>
        <v>83.199999999999989</v>
      </c>
      <c r="H1560">
        <f t="shared" si="1651"/>
        <v>2037</v>
      </c>
      <c r="I1560">
        <v>1</v>
      </c>
      <c r="J1560">
        <f t="shared" si="1654"/>
        <v>84.522599999999827</v>
      </c>
      <c r="K1560">
        <f t="shared" si="1655"/>
        <v>0</v>
      </c>
      <c r="L1560">
        <f t="shared" si="1656"/>
        <v>84.522599999999827</v>
      </c>
    </row>
    <row r="1561" spans="2:12">
      <c r="B1561" s="1">
        <v>50199</v>
      </c>
      <c r="C1561" t="s">
        <v>31</v>
      </c>
      <c r="D1561">
        <v>18.100000000000001</v>
      </c>
      <c r="E1561">
        <v>3.3</v>
      </c>
      <c r="F1561">
        <f t="shared" si="1652"/>
        <v>0.59730000000000005</v>
      </c>
      <c r="G1561">
        <f t="shared" ref="G1561" si="1676">D1557+D1558+D1559+D1560+D1561</f>
        <v>101.29999999999998</v>
      </c>
      <c r="H1561">
        <f t="shared" si="1651"/>
        <v>2037</v>
      </c>
      <c r="I1561">
        <v>1</v>
      </c>
      <c r="J1561">
        <f t="shared" si="1654"/>
        <v>85.119899999999831</v>
      </c>
      <c r="K1561">
        <f t="shared" si="1655"/>
        <v>0</v>
      </c>
      <c r="L1561">
        <f t="shared" si="1656"/>
        <v>85.119899999999831</v>
      </c>
    </row>
    <row r="1562" spans="2:12">
      <c r="B1562" s="1">
        <v>50200</v>
      </c>
      <c r="C1562" t="s">
        <v>50</v>
      </c>
      <c r="D1562">
        <v>17.8</v>
      </c>
      <c r="E1562">
        <v>0</v>
      </c>
      <c r="F1562">
        <f t="shared" si="1652"/>
        <v>0</v>
      </c>
      <c r="G1562">
        <f t="shared" ref="G1562" si="1677">D1557+D1558+D1559+D1560+D1561+D1562</f>
        <v>119.09999999999998</v>
      </c>
      <c r="H1562">
        <f t="shared" si="1651"/>
        <v>2037</v>
      </c>
      <c r="I1562">
        <v>1</v>
      </c>
      <c r="J1562">
        <f t="shared" si="1654"/>
        <v>85.119899999999831</v>
      </c>
      <c r="K1562">
        <f t="shared" si="1655"/>
        <v>0</v>
      </c>
      <c r="L1562">
        <f t="shared" si="1656"/>
        <v>85.119899999999831</v>
      </c>
    </row>
    <row r="1563" spans="2:12">
      <c r="B1563" s="1">
        <v>50201</v>
      </c>
      <c r="C1563" t="s">
        <v>24</v>
      </c>
      <c r="D1563">
        <v>25.1</v>
      </c>
      <c r="E1563">
        <v>25.5</v>
      </c>
      <c r="F1563">
        <f t="shared" si="1652"/>
        <v>6.400500000000001</v>
      </c>
      <c r="G1563">
        <f t="shared" ref="G1563" si="1678">D1557+D1558+D1559+D1560+D1561+D1562+D1563</f>
        <v>144.19999999999999</v>
      </c>
      <c r="H1563">
        <f t="shared" si="1651"/>
        <v>2037</v>
      </c>
      <c r="I1563">
        <v>1</v>
      </c>
      <c r="J1563">
        <f t="shared" si="1654"/>
        <v>91.520399999999825</v>
      </c>
      <c r="K1563">
        <f t="shared" si="1655"/>
        <v>0</v>
      </c>
      <c r="L1563">
        <f t="shared" si="1656"/>
        <v>91.520399999999825</v>
      </c>
    </row>
    <row r="1564" spans="2:12">
      <c r="B1564" s="1">
        <v>50202</v>
      </c>
      <c r="C1564" t="s">
        <v>47</v>
      </c>
      <c r="D1564">
        <v>12</v>
      </c>
      <c r="E1564">
        <v>0</v>
      </c>
      <c r="F1564">
        <f t="shared" si="1652"/>
        <v>0</v>
      </c>
      <c r="G1564">
        <f t="shared" ref="G1564:G1627" si="1679">D1564</f>
        <v>12</v>
      </c>
      <c r="H1564">
        <f t="shared" si="1651"/>
        <v>2037</v>
      </c>
      <c r="I1564">
        <v>1</v>
      </c>
      <c r="J1564">
        <f t="shared" si="1654"/>
        <v>91.520399999999825</v>
      </c>
      <c r="K1564">
        <f t="shared" si="1655"/>
        <v>0</v>
      </c>
      <c r="L1564">
        <f t="shared" si="1656"/>
        <v>91.520399999999825</v>
      </c>
    </row>
    <row r="1565" spans="2:12">
      <c r="B1565" s="1">
        <v>50203</v>
      </c>
      <c r="C1565" t="s">
        <v>24</v>
      </c>
      <c r="D1565">
        <v>23.2</v>
      </c>
      <c r="E1565">
        <v>0</v>
      </c>
      <c r="F1565">
        <f t="shared" si="1652"/>
        <v>0</v>
      </c>
      <c r="G1565">
        <f t="shared" ref="G1565:G1628" si="1680">D1564+D1565</f>
        <v>35.200000000000003</v>
      </c>
      <c r="H1565">
        <f t="shared" si="1651"/>
        <v>2037</v>
      </c>
      <c r="I1565">
        <v>1</v>
      </c>
      <c r="J1565">
        <f t="shared" si="1654"/>
        <v>91.520399999999825</v>
      </c>
      <c r="K1565">
        <f t="shared" si="1655"/>
        <v>0</v>
      </c>
      <c r="L1565">
        <f t="shared" si="1656"/>
        <v>91.520399999999825</v>
      </c>
    </row>
    <row r="1566" spans="2:12">
      <c r="B1566" s="1">
        <v>50204</v>
      </c>
      <c r="C1566" t="s">
        <v>17</v>
      </c>
      <c r="D1566">
        <v>16</v>
      </c>
      <c r="E1566">
        <v>7.9</v>
      </c>
      <c r="F1566">
        <f t="shared" si="1652"/>
        <v>1.264</v>
      </c>
      <c r="G1566">
        <f t="shared" ref="G1566" si="1681">D1564+D1565+D1566</f>
        <v>51.2</v>
      </c>
      <c r="H1566">
        <f t="shared" si="1651"/>
        <v>2037</v>
      </c>
      <c r="I1566">
        <v>1</v>
      </c>
      <c r="J1566">
        <f t="shared" si="1654"/>
        <v>92.78439999999982</v>
      </c>
      <c r="K1566">
        <f t="shared" si="1655"/>
        <v>0</v>
      </c>
      <c r="L1566">
        <f t="shared" si="1656"/>
        <v>92.78439999999982</v>
      </c>
    </row>
    <row r="1567" spans="2:12">
      <c r="B1567" s="1">
        <v>50205</v>
      </c>
      <c r="C1567" t="s">
        <v>32</v>
      </c>
      <c r="D1567">
        <v>26.5</v>
      </c>
      <c r="E1567">
        <v>20.2</v>
      </c>
      <c r="F1567">
        <f t="shared" si="1652"/>
        <v>5.3529999999999998</v>
      </c>
      <c r="G1567">
        <f t="shared" ref="G1567" si="1682">D1564+D1565+D1566+D1567</f>
        <v>77.7</v>
      </c>
      <c r="H1567">
        <f t="shared" si="1651"/>
        <v>2037</v>
      </c>
      <c r="I1567">
        <v>1</v>
      </c>
      <c r="J1567">
        <f t="shared" si="1654"/>
        <v>98.137399999999815</v>
      </c>
      <c r="K1567">
        <f t="shared" si="1655"/>
        <v>0</v>
      </c>
      <c r="L1567">
        <f t="shared" si="1656"/>
        <v>98.137399999999815</v>
      </c>
    </row>
    <row r="1568" spans="2:12">
      <c r="B1568" s="1">
        <v>50206</v>
      </c>
      <c r="C1568" t="s">
        <v>44</v>
      </c>
      <c r="D1568">
        <v>28.9</v>
      </c>
      <c r="E1568">
        <v>0.3</v>
      </c>
      <c r="F1568">
        <f t="shared" si="1652"/>
        <v>0</v>
      </c>
      <c r="G1568">
        <f t="shared" ref="G1568" si="1683">D1564+D1565+D1566+D1567+D1568</f>
        <v>106.6</v>
      </c>
      <c r="H1568">
        <f t="shared" si="1651"/>
        <v>2037</v>
      </c>
      <c r="I1568">
        <v>1</v>
      </c>
      <c r="J1568">
        <f t="shared" si="1654"/>
        <v>98.137399999999815</v>
      </c>
      <c r="K1568">
        <f t="shared" si="1655"/>
        <v>0</v>
      </c>
      <c r="L1568">
        <f t="shared" si="1656"/>
        <v>98.137399999999815</v>
      </c>
    </row>
    <row r="1569" spans="2:12">
      <c r="B1569" s="1">
        <v>50207</v>
      </c>
      <c r="C1569" t="s">
        <v>24</v>
      </c>
      <c r="D1569">
        <v>26.6</v>
      </c>
      <c r="E1569">
        <v>0</v>
      </c>
      <c r="F1569">
        <f t="shared" si="1652"/>
        <v>0</v>
      </c>
      <c r="G1569">
        <f t="shared" ref="G1569" si="1684">D1564+D1565+D1566+D1567+D1568+D1569</f>
        <v>133.19999999999999</v>
      </c>
      <c r="H1569">
        <f t="shared" si="1651"/>
        <v>2037</v>
      </c>
      <c r="I1569">
        <v>1</v>
      </c>
      <c r="J1569">
        <f t="shared" si="1654"/>
        <v>98.137399999999815</v>
      </c>
      <c r="K1569">
        <f t="shared" si="1655"/>
        <v>0</v>
      </c>
      <c r="L1569">
        <f t="shared" si="1656"/>
        <v>98.137399999999815</v>
      </c>
    </row>
    <row r="1570" spans="2:12">
      <c r="B1570" s="1">
        <v>50208</v>
      </c>
      <c r="C1570" t="s">
        <v>18</v>
      </c>
      <c r="D1570">
        <v>13.1</v>
      </c>
      <c r="E1570">
        <v>19.899999999999999</v>
      </c>
      <c r="F1570">
        <f t="shared" si="1652"/>
        <v>2.6069</v>
      </c>
      <c r="G1570">
        <f t="shared" ref="G1570" si="1685">D1564+D1565+D1566+D1567+D1568+D1569+D1570</f>
        <v>146.29999999999998</v>
      </c>
      <c r="H1570">
        <f t="shared" si="1651"/>
        <v>2037</v>
      </c>
      <c r="I1570">
        <v>1</v>
      </c>
      <c r="J1570">
        <f t="shared" si="1654"/>
        <v>100.74429999999981</v>
      </c>
      <c r="K1570">
        <f t="shared" si="1655"/>
        <v>1</v>
      </c>
      <c r="L1570">
        <f t="shared" si="1656"/>
        <v>0.74429999999981078</v>
      </c>
    </row>
    <row r="1571" spans="2:12">
      <c r="B1571" s="1">
        <v>50209</v>
      </c>
      <c r="C1571" t="s">
        <v>24</v>
      </c>
      <c r="D1571">
        <v>21.5</v>
      </c>
      <c r="E1571">
        <v>33.4</v>
      </c>
      <c r="F1571">
        <f t="shared" si="1652"/>
        <v>7.181</v>
      </c>
      <c r="G1571">
        <f t="shared" ref="G1571:G1634" si="1686">D1571</f>
        <v>21.5</v>
      </c>
      <c r="H1571">
        <f t="shared" si="1651"/>
        <v>2037</v>
      </c>
      <c r="I1571">
        <v>1</v>
      </c>
      <c r="J1571">
        <f t="shared" si="1654"/>
        <v>7.9252999999998108</v>
      </c>
      <c r="K1571">
        <f t="shared" si="1655"/>
        <v>0</v>
      </c>
      <c r="L1571">
        <f t="shared" si="1656"/>
        <v>7.9252999999998108</v>
      </c>
    </row>
    <row r="1572" spans="2:12">
      <c r="B1572" s="1">
        <v>50210</v>
      </c>
      <c r="C1572" t="s">
        <v>41</v>
      </c>
      <c r="D1572">
        <v>25.7</v>
      </c>
      <c r="E1572">
        <v>0</v>
      </c>
      <c r="F1572">
        <f t="shared" si="1652"/>
        <v>0</v>
      </c>
      <c r="G1572">
        <f t="shared" ref="G1572:G1635" si="1687">D1571+D1572</f>
        <v>47.2</v>
      </c>
      <c r="H1572">
        <f t="shared" si="1651"/>
        <v>2037</v>
      </c>
      <c r="I1572">
        <v>1</v>
      </c>
      <c r="J1572">
        <f t="shared" si="1654"/>
        <v>7.9252999999998108</v>
      </c>
      <c r="K1572">
        <f t="shared" si="1655"/>
        <v>0</v>
      </c>
      <c r="L1572">
        <f t="shared" si="1656"/>
        <v>7.9252999999998108</v>
      </c>
    </row>
    <row r="1573" spans="2:12">
      <c r="B1573" s="1">
        <v>50211</v>
      </c>
      <c r="C1573" t="s">
        <v>50</v>
      </c>
      <c r="D1573">
        <v>11.8</v>
      </c>
      <c r="E1573">
        <v>23</v>
      </c>
      <c r="F1573">
        <f t="shared" si="1652"/>
        <v>2.7140000000000004</v>
      </c>
      <c r="G1573">
        <f t="shared" ref="G1573" si="1688">D1571+D1572+D1573</f>
        <v>59</v>
      </c>
      <c r="H1573">
        <f t="shared" si="1651"/>
        <v>2037</v>
      </c>
      <c r="I1573">
        <v>1</v>
      </c>
      <c r="J1573">
        <f t="shared" si="1654"/>
        <v>10.63929999999981</v>
      </c>
      <c r="K1573">
        <f t="shared" si="1655"/>
        <v>0</v>
      </c>
      <c r="L1573">
        <f t="shared" si="1656"/>
        <v>10.63929999999981</v>
      </c>
    </row>
    <row r="1574" spans="2:12">
      <c r="B1574" s="1">
        <v>50212</v>
      </c>
      <c r="C1574" t="s">
        <v>49</v>
      </c>
      <c r="D1574">
        <v>12.6</v>
      </c>
      <c r="E1574">
        <v>0.7</v>
      </c>
      <c r="F1574">
        <f t="shared" si="1652"/>
        <v>0</v>
      </c>
      <c r="G1574">
        <f t="shared" ref="G1574" si="1689">D1571+D1572+D1573+D1574</f>
        <v>71.599999999999994</v>
      </c>
      <c r="H1574">
        <f t="shared" si="1651"/>
        <v>2037</v>
      </c>
      <c r="I1574">
        <v>1</v>
      </c>
      <c r="J1574">
        <f t="shared" si="1654"/>
        <v>10.63929999999981</v>
      </c>
      <c r="K1574">
        <f t="shared" si="1655"/>
        <v>0</v>
      </c>
      <c r="L1574">
        <f t="shared" si="1656"/>
        <v>10.63929999999981</v>
      </c>
    </row>
    <row r="1575" spans="2:12">
      <c r="B1575" s="1">
        <v>50213</v>
      </c>
      <c r="C1575" t="s">
        <v>38</v>
      </c>
      <c r="D1575">
        <v>26.2</v>
      </c>
      <c r="E1575">
        <v>0.3</v>
      </c>
      <c r="F1575">
        <f t="shared" si="1652"/>
        <v>0</v>
      </c>
      <c r="G1575">
        <f t="shared" ref="G1575" si="1690">D1571+D1572+D1573+D1574+D1575</f>
        <v>97.8</v>
      </c>
      <c r="H1575">
        <f t="shared" si="1651"/>
        <v>2037</v>
      </c>
      <c r="I1575">
        <v>1</v>
      </c>
      <c r="J1575">
        <f t="shared" si="1654"/>
        <v>10.63929999999981</v>
      </c>
      <c r="K1575">
        <f t="shared" si="1655"/>
        <v>0</v>
      </c>
      <c r="L1575">
        <f t="shared" si="1656"/>
        <v>10.63929999999981</v>
      </c>
    </row>
    <row r="1576" spans="2:12">
      <c r="B1576" s="1">
        <v>50214</v>
      </c>
      <c r="C1576" t="s">
        <v>19</v>
      </c>
      <c r="D1576">
        <v>29.1</v>
      </c>
      <c r="E1576">
        <v>5</v>
      </c>
      <c r="F1576">
        <f t="shared" si="1652"/>
        <v>1.4550000000000001</v>
      </c>
      <c r="G1576">
        <f t="shared" ref="G1576" si="1691">D1571+D1572+D1573+D1574+D1575+D1576</f>
        <v>126.9</v>
      </c>
      <c r="H1576">
        <f t="shared" si="1651"/>
        <v>2037</v>
      </c>
      <c r="I1576">
        <v>1</v>
      </c>
      <c r="J1576">
        <f t="shared" si="1654"/>
        <v>12.09429999999981</v>
      </c>
      <c r="K1576">
        <f t="shared" si="1655"/>
        <v>0</v>
      </c>
      <c r="L1576">
        <f t="shared" si="1656"/>
        <v>12.09429999999981</v>
      </c>
    </row>
    <row r="1577" spans="2:12">
      <c r="B1577" s="1">
        <v>50215</v>
      </c>
      <c r="C1577" t="s">
        <v>43</v>
      </c>
      <c r="D1577">
        <v>18.899999999999999</v>
      </c>
      <c r="E1577">
        <v>7.5</v>
      </c>
      <c r="F1577">
        <f t="shared" si="1652"/>
        <v>1.4175</v>
      </c>
      <c r="G1577">
        <f t="shared" ref="G1577" si="1692">D1571+D1572+D1573+D1574+D1575+D1576+D1577</f>
        <v>145.80000000000001</v>
      </c>
      <c r="H1577">
        <f t="shared" si="1651"/>
        <v>2037</v>
      </c>
      <c r="I1577">
        <v>1</v>
      </c>
      <c r="J1577">
        <f t="shared" si="1654"/>
        <v>13.511799999999811</v>
      </c>
      <c r="K1577">
        <f t="shared" si="1655"/>
        <v>0</v>
      </c>
      <c r="L1577">
        <f t="shared" si="1656"/>
        <v>13.511799999999811</v>
      </c>
    </row>
    <row r="1578" spans="2:12">
      <c r="B1578" s="1">
        <v>50216</v>
      </c>
      <c r="C1578" t="s">
        <v>25</v>
      </c>
      <c r="D1578">
        <v>10.5</v>
      </c>
      <c r="E1578">
        <v>7.3</v>
      </c>
      <c r="F1578">
        <f t="shared" si="1652"/>
        <v>0.76649999999999996</v>
      </c>
      <c r="G1578">
        <f t="shared" ref="G1578:G1641" si="1693">D1578</f>
        <v>10.5</v>
      </c>
      <c r="H1578">
        <f t="shared" si="1651"/>
        <v>2037</v>
      </c>
      <c r="I1578">
        <v>1</v>
      </c>
      <c r="J1578">
        <f t="shared" si="1654"/>
        <v>14.278299999999811</v>
      </c>
      <c r="K1578">
        <f t="shared" si="1655"/>
        <v>0</v>
      </c>
      <c r="L1578">
        <f t="shared" si="1656"/>
        <v>14.278299999999811</v>
      </c>
    </row>
    <row r="1579" spans="2:12">
      <c r="B1579" s="1">
        <v>50217</v>
      </c>
      <c r="C1579" t="s">
        <v>35</v>
      </c>
      <c r="D1579">
        <v>15.1</v>
      </c>
      <c r="E1579">
        <v>6</v>
      </c>
      <c r="F1579">
        <f t="shared" si="1652"/>
        <v>0.90599999999999992</v>
      </c>
      <c r="G1579">
        <f t="shared" ref="G1579:G1642" si="1694">D1578+D1579</f>
        <v>25.6</v>
      </c>
      <c r="H1579">
        <f t="shared" si="1651"/>
        <v>2037</v>
      </c>
      <c r="I1579">
        <v>1</v>
      </c>
      <c r="J1579">
        <f t="shared" si="1654"/>
        <v>15.184299999999812</v>
      </c>
      <c r="K1579">
        <f t="shared" si="1655"/>
        <v>0</v>
      </c>
      <c r="L1579">
        <f t="shared" si="1656"/>
        <v>15.184299999999812</v>
      </c>
    </row>
    <row r="1580" spans="2:12">
      <c r="B1580" s="1">
        <v>50218</v>
      </c>
      <c r="C1580" t="s">
        <v>18</v>
      </c>
      <c r="D1580">
        <v>27.8</v>
      </c>
      <c r="E1580">
        <v>8.3000000000000007</v>
      </c>
      <c r="F1580">
        <f t="shared" si="1652"/>
        <v>2.3074000000000003</v>
      </c>
      <c r="G1580">
        <f t="shared" ref="G1580" si="1695">D1578+D1579+D1580</f>
        <v>53.400000000000006</v>
      </c>
      <c r="H1580">
        <f t="shared" si="1651"/>
        <v>2037</v>
      </c>
      <c r="I1580">
        <v>1</v>
      </c>
      <c r="J1580">
        <f t="shared" si="1654"/>
        <v>17.491699999999813</v>
      </c>
      <c r="K1580">
        <f t="shared" si="1655"/>
        <v>0</v>
      </c>
      <c r="L1580">
        <f t="shared" si="1656"/>
        <v>17.491699999999813</v>
      </c>
    </row>
    <row r="1581" spans="2:12">
      <c r="B1581" s="1">
        <v>50219</v>
      </c>
      <c r="C1581" t="s">
        <v>33</v>
      </c>
      <c r="D1581">
        <v>11.7</v>
      </c>
      <c r="E1581">
        <v>0.4</v>
      </c>
      <c r="F1581">
        <f t="shared" si="1652"/>
        <v>0</v>
      </c>
      <c r="G1581">
        <f t="shared" ref="G1581" si="1696">D1578+D1579+D1580+D1581</f>
        <v>65.100000000000009</v>
      </c>
      <c r="H1581">
        <f t="shared" si="1651"/>
        <v>2037</v>
      </c>
      <c r="I1581">
        <v>1</v>
      </c>
      <c r="J1581">
        <f t="shared" si="1654"/>
        <v>17.491699999999813</v>
      </c>
      <c r="K1581">
        <f t="shared" si="1655"/>
        <v>0</v>
      </c>
      <c r="L1581">
        <f t="shared" si="1656"/>
        <v>17.491699999999813</v>
      </c>
    </row>
    <row r="1582" spans="2:12">
      <c r="B1582" s="1">
        <v>50220</v>
      </c>
      <c r="C1582" t="s">
        <v>24</v>
      </c>
      <c r="D1582">
        <v>10.5</v>
      </c>
      <c r="E1582">
        <v>36.9</v>
      </c>
      <c r="F1582">
        <f t="shared" si="1652"/>
        <v>3.8744999999999998</v>
      </c>
      <c r="G1582">
        <f t="shared" ref="G1582" si="1697">D1578+D1579+D1580+D1581+D1582</f>
        <v>75.600000000000009</v>
      </c>
      <c r="H1582">
        <f t="shared" si="1651"/>
        <v>2037</v>
      </c>
      <c r="I1582">
        <v>1</v>
      </c>
      <c r="J1582">
        <f t="shared" si="1654"/>
        <v>21.366199999999814</v>
      </c>
      <c r="K1582">
        <f t="shared" si="1655"/>
        <v>0</v>
      </c>
      <c r="L1582">
        <f t="shared" si="1656"/>
        <v>21.366199999999814</v>
      </c>
    </row>
    <row r="1583" spans="2:12">
      <c r="B1583" s="1">
        <v>50221</v>
      </c>
      <c r="C1583" t="s">
        <v>15</v>
      </c>
      <c r="D1583">
        <v>21</v>
      </c>
      <c r="E1583">
        <v>7.1</v>
      </c>
      <c r="F1583">
        <f t="shared" si="1652"/>
        <v>1.4909999999999999</v>
      </c>
      <c r="G1583">
        <f t="shared" ref="G1583" si="1698">D1578+D1579+D1580+D1581+D1582+D1583</f>
        <v>96.600000000000009</v>
      </c>
      <c r="H1583">
        <f t="shared" si="1651"/>
        <v>2037</v>
      </c>
      <c r="I1583">
        <v>1</v>
      </c>
      <c r="J1583">
        <f t="shared" si="1654"/>
        <v>22.857199999999814</v>
      </c>
      <c r="K1583">
        <f t="shared" si="1655"/>
        <v>0</v>
      </c>
      <c r="L1583">
        <f t="shared" si="1656"/>
        <v>22.857199999999814</v>
      </c>
    </row>
    <row r="1584" spans="2:12">
      <c r="B1584" s="1">
        <v>50222</v>
      </c>
      <c r="C1584" t="s">
        <v>37</v>
      </c>
      <c r="D1584">
        <v>17.399999999999999</v>
      </c>
      <c r="E1584">
        <v>3.7</v>
      </c>
      <c r="F1584">
        <f t="shared" si="1652"/>
        <v>0.64379999999999993</v>
      </c>
      <c r="G1584">
        <f t="shared" ref="G1584" si="1699">D1578+D1579+D1580+D1581+D1582+D1583+D1584</f>
        <v>114</v>
      </c>
      <c r="H1584">
        <f t="shared" si="1651"/>
        <v>2037</v>
      </c>
      <c r="I1584">
        <v>1</v>
      </c>
      <c r="J1584">
        <f t="shared" si="1654"/>
        <v>23.500999999999813</v>
      </c>
      <c r="K1584">
        <f t="shared" si="1655"/>
        <v>0</v>
      </c>
      <c r="L1584">
        <f t="shared" si="1656"/>
        <v>23.500999999999813</v>
      </c>
    </row>
    <row r="1585" spans="2:12">
      <c r="B1585" s="1">
        <v>50223</v>
      </c>
      <c r="C1585" t="s">
        <v>47</v>
      </c>
      <c r="D1585">
        <v>21.9</v>
      </c>
      <c r="E1585">
        <v>7.6</v>
      </c>
      <c r="F1585">
        <f t="shared" si="1652"/>
        <v>1.6643999999999997</v>
      </c>
      <c r="G1585">
        <f t="shared" ref="G1585:G1648" si="1700">D1585</f>
        <v>21.9</v>
      </c>
      <c r="H1585">
        <f t="shared" si="1651"/>
        <v>2037</v>
      </c>
      <c r="I1585">
        <v>1</v>
      </c>
      <c r="J1585">
        <f t="shared" si="1654"/>
        <v>25.165399999999813</v>
      </c>
      <c r="K1585">
        <f t="shared" si="1655"/>
        <v>0</v>
      </c>
      <c r="L1585">
        <f t="shared" si="1656"/>
        <v>25.165399999999813</v>
      </c>
    </row>
    <row r="1586" spans="2:12">
      <c r="B1586" s="1">
        <v>50224</v>
      </c>
      <c r="C1586" t="s">
        <v>47</v>
      </c>
      <c r="D1586">
        <v>26</v>
      </c>
      <c r="E1586">
        <v>4.5999999999999996</v>
      </c>
      <c r="F1586">
        <f t="shared" si="1652"/>
        <v>1.196</v>
      </c>
      <c r="G1586">
        <f t="shared" ref="G1586:G1649" si="1701">D1585+D1586</f>
        <v>47.9</v>
      </c>
      <c r="H1586">
        <f t="shared" si="1651"/>
        <v>2037</v>
      </c>
      <c r="I1586">
        <v>1</v>
      </c>
      <c r="J1586">
        <f t="shared" si="1654"/>
        <v>26.361399999999815</v>
      </c>
      <c r="K1586">
        <f t="shared" si="1655"/>
        <v>0</v>
      </c>
      <c r="L1586">
        <f t="shared" si="1656"/>
        <v>26.361399999999815</v>
      </c>
    </row>
    <row r="1587" spans="2:12">
      <c r="B1587" s="1">
        <v>50225</v>
      </c>
      <c r="C1587" t="s">
        <v>50</v>
      </c>
      <c r="D1587">
        <v>12.2</v>
      </c>
      <c r="E1587">
        <v>19.3</v>
      </c>
      <c r="F1587">
        <f t="shared" si="1652"/>
        <v>2.3546</v>
      </c>
      <c r="G1587">
        <f t="shared" ref="G1587" si="1702">D1585+D1586+D1587</f>
        <v>60.099999999999994</v>
      </c>
      <c r="H1587">
        <f t="shared" si="1651"/>
        <v>2037</v>
      </c>
      <c r="I1587">
        <v>1</v>
      </c>
      <c r="J1587">
        <f t="shared" si="1654"/>
        <v>28.715999999999816</v>
      </c>
      <c r="K1587">
        <f t="shared" si="1655"/>
        <v>0</v>
      </c>
      <c r="L1587">
        <f t="shared" si="1656"/>
        <v>28.715999999999816</v>
      </c>
    </row>
    <row r="1588" spans="2:12">
      <c r="B1588" s="1">
        <v>50226</v>
      </c>
      <c r="C1588" t="s">
        <v>19</v>
      </c>
      <c r="D1588">
        <v>22.4</v>
      </c>
      <c r="E1588">
        <v>0.3</v>
      </c>
      <c r="F1588">
        <f t="shared" si="1652"/>
        <v>0</v>
      </c>
      <c r="G1588">
        <f t="shared" ref="G1588" si="1703">D1585+D1586+D1587+D1588</f>
        <v>82.5</v>
      </c>
      <c r="H1588">
        <f t="shared" si="1651"/>
        <v>2037</v>
      </c>
      <c r="I1588">
        <v>1</v>
      </c>
      <c r="J1588">
        <f t="shared" si="1654"/>
        <v>28.715999999999816</v>
      </c>
      <c r="K1588">
        <f t="shared" si="1655"/>
        <v>0</v>
      </c>
      <c r="L1588">
        <f t="shared" si="1656"/>
        <v>28.715999999999816</v>
      </c>
    </row>
    <row r="1589" spans="2:12">
      <c r="B1589" s="1">
        <v>50227</v>
      </c>
      <c r="C1589" t="s">
        <v>43</v>
      </c>
      <c r="D1589">
        <v>18.600000000000001</v>
      </c>
      <c r="E1589">
        <v>7.2</v>
      </c>
      <c r="F1589">
        <f t="shared" si="1652"/>
        <v>1.3392000000000002</v>
      </c>
      <c r="G1589">
        <f t="shared" ref="G1589" si="1704">D1585+D1586+D1587+D1588+D1589</f>
        <v>101.1</v>
      </c>
      <c r="H1589">
        <f t="shared" si="1651"/>
        <v>2037</v>
      </c>
      <c r="I1589">
        <v>1</v>
      </c>
      <c r="J1589">
        <f t="shared" si="1654"/>
        <v>30.055199999999818</v>
      </c>
      <c r="K1589">
        <f t="shared" si="1655"/>
        <v>0</v>
      </c>
      <c r="L1589">
        <f t="shared" si="1656"/>
        <v>30.055199999999818</v>
      </c>
    </row>
    <row r="1590" spans="2:12">
      <c r="B1590" s="1">
        <v>50228</v>
      </c>
      <c r="C1590" t="s">
        <v>24</v>
      </c>
      <c r="D1590">
        <v>17.100000000000001</v>
      </c>
      <c r="E1590">
        <v>0</v>
      </c>
      <c r="F1590">
        <f t="shared" si="1652"/>
        <v>0</v>
      </c>
      <c r="G1590">
        <f t="shared" ref="G1590" si="1705">D1585+D1586+D1587+D1588+D1589+D1590</f>
        <v>118.19999999999999</v>
      </c>
      <c r="H1590">
        <f t="shared" si="1651"/>
        <v>2037</v>
      </c>
      <c r="I1590">
        <v>1</v>
      </c>
      <c r="J1590">
        <f t="shared" si="1654"/>
        <v>30.055199999999818</v>
      </c>
      <c r="K1590">
        <f t="shared" si="1655"/>
        <v>0</v>
      </c>
      <c r="L1590">
        <f t="shared" si="1656"/>
        <v>30.055199999999818</v>
      </c>
    </row>
    <row r="1591" spans="2:12">
      <c r="B1591" s="1">
        <v>50229</v>
      </c>
      <c r="C1591" t="s">
        <v>50</v>
      </c>
      <c r="D1591">
        <v>25.1</v>
      </c>
      <c r="E1591">
        <v>24.3</v>
      </c>
      <c r="F1591">
        <f t="shared" si="1652"/>
        <v>6.0993000000000004</v>
      </c>
      <c r="G1591">
        <f t="shared" ref="G1591" si="1706">D1585+D1586+D1587+D1588+D1589+D1590+D1591</f>
        <v>143.29999999999998</v>
      </c>
      <c r="H1591">
        <f t="shared" si="1651"/>
        <v>2037</v>
      </c>
      <c r="I1591">
        <v>1</v>
      </c>
      <c r="J1591">
        <f t="shared" si="1654"/>
        <v>36.154499999999821</v>
      </c>
      <c r="K1591">
        <f t="shared" si="1655"/>
        <v>0</v>
      </c>
      <c r="L1591">
        <f t="shared" si="1656"/>
        <v>36.154499999999821</v>
      </c>
    </row>
    <row r="1592" spans="2:12">
      <c r="B1592" s="1">
        <v>50230</v>
      </c>
      <c r="C1592" t="s">
        <v>25</v>
      </c>
      <c r="D1592">
        <v>10.4</v>
      </c>
      <c r="E1592">
        <v>22.2</v>
      </c>
      <c r="F1592">
        <f t="shared" si="1652"/>
        <v>2.3087999999999997</v>
      </c>
      <c r="G1592">
        <f t="shared" ref="G1592:G1655" si="1707">D1592</f>
        <v>10.4</v>
      </c>
      <c r="H1592">
        <f t="shared" si="1651"/>
        <v>2037</v>
      </c>
      <c r="I1592">
        <v>1</v>
      </c>
      <c r="J1592">
        <f t="shared" si="1654"/>
        <v>38.463299999999819</v>
      </c>
      <c r="K1592">
        <f t="shared" si="1655"/>
        <v>0</v>
      </c>
      <c r="L1592">
        <f t="shared" si="1656"/>
        <v>38.463299999999819</v>
      </c>
    </row>
    <row r="1593" spans="2:12">
      <c r="B1593" s="1">
        <v>50231</v>
      </c>
      <c r="C1593" t="s">
        <v>47</v>
      </c>
      <c r="D1593">
        <v>28.9</v>
      </c>
      <c r="E1593">
        <v>0</v>
      </c>
      <c r="F1593">
        <f t="shared" si="1652"/>
        <v>0</v>
      </c>
      <c r="G1593">
        <f t="shared" ref="G1593:G1656" si="1708">D1592+D1593</f>
        <v>39.299999999999997</v>
      </c>
      <c r="H1593">
        <f t="shared" si="1651"/>
        <v>2037</v>
      </c>
      <c r="I1593">
        <v>1</v>
      </c>
      <c r="J1593">
        <f t="shared" si="1654"/>
        <v>38.463299999999819</v>
      </c>
      <c r="K1593">
        <f t="shared" si="1655"/>
        <v>0</v>
      </c>
      <c r="L1593">
        <f t="shared" si="1656"/>
        <v>38.463299999999819</v>
      </c>
    </row>
    <row r="1594" spans="2:12">
      <c r="B1594" s="1">
        <v>50232</v>
      </c>
      <c r="C1594" t="s">
        <v>41</v>
      </c>
      <c r="D1594">
        <v>24.1</v>
      </c>
      <c r="E1594">
        <v>0</v>
      </c>
      <c r="F1594">
        <f t="shared" si="1652"/>
        <v>0</v>
      </c>
      <c r="G1594">
        <f t="shared" ref="G1594" si="1709">D1592+D1593+D1594</f>
        <v>63.4</v>
      </c>
      <c r="H1594">
        <f t="shared" si="1651"/>
        <v>2037</v>
      </c>
      <c r="I1594">
        <v>1</v>
      </c>
      <c r="J1594">
        <f t="shared" si="1654"/>
        <v>38.463299999999819</v>
      </c>
      <c r="K1594">
        <f t="shared" si="1655"/>
        <v>0</v>
      </c>
      <c r="L1594">
        <f t="shared" si="1656"/>
        <v>38.463299999999819</v>
      </c>
    </row>
    <row r="1595" spans="2:12">
      <c r="B1595" s="1">
        <v>50233</v>
      </c>
      <c r="C1595" t="s">
        <v>50</v>
      </c>
      <c r="D1595">
        <v>23.2</v>
      </c>
      <c r="E1595">
        <v>22.1</v>
      </c>
      <c r="F1595">
        <f t="shared" si="1652"/>
        <v>5.1272000000000002</v>
      </c>
      <c r="G1595">
        <f t="shared" ref="G1595" si="1710">D1592+D1593+D1594+D1595</f>
        <v>86.6</v>
      </c>
      <c r="H1595">
        <f t="shared" si="1651"/>
        <v>2037</v>
      </c>
      <c r="I1595">
        <v>1</v>
      </c>
      <c r="J1595">
        <f t="shared" si="1654"/>
        <v>43.590499999999821</v>
      </c>
      <c r="K1595">
        <f t="shared" si="1655"/>
        <v>0</v>
      </c>
      <c r="L1595">
        <f t="shared" si="1656"/>
        <v>43.590499999999821</v>
      </c>
    </row>
    <row r="1596" spans="2:12">
      <c r="B1596" s="1">
        <v>50234</v>
      </c>
      <c r="C1596" t="s">
        <v>27</v>
      </c>
      <c r="D1596">
        <v>24.1</v>
      </c>
      <c r="E1596">
        <v>9.3000000000000007</v>
      </c>
      <c r="F1596">
        <f t="shared" si="1652"/>
        <v>2.2413000000000003</v>
      </c>
      <c r="G1596">
        <f t="shared" ref="G1596" si="1711">D1592+D1593+D1594+D1595+D1596</f>
        <v>110.69999999999999</v>
      </c>
      <c r="H1596">
        <f t="shared" si="1651"/>
        <v>2037</v>
      </c>
      <c r="I1596">
        <v>1</v>
      </c>
      <c r="J1596">
        <f t="shared" si="1654"/>
        <v>45.831799999999824</v>
      </c>
      <c r="K1596">
        <f t="shared" si="1655"/>
        <v>0</v>
      </c>
      <c r="L1596">
        <f t="shared" si="1656"/>
        <v>45.831799999999824</v>
      </c>
    </row>
    <row r="1597" spans="2:12">
      <c r="B1597" s="1">
        <v>50235</v>
      </c>
      <c r="C1597" t="s">
        <v>24</v>
      </c>
      <c r="D1597">
        <v>14.6</v>
      </c>
      <c r="E1597">
        <v>0</v>
      </c>
      <c r="F1597">
        <f t="shared" si="1652"/>
        <v>0</v>
      </c>
      <c r="G1597">
        <f t="shared" ref="G1597" si="1712">D1592+D1593+D1594+D1595+D1596+D1597</f>
        <v>125.29999999999998</v>
      </c>
      <c r="H1597">
        <f t="shared" si="1651"/>
        <v>2037</v>
      </c>
      <c r="I1597">
        <v>1</v>
      </c>
      <c r="J1597">
        <f t="shared" si="1654"/>
        <v>45.831799999999824</v>
      </c>
      <c r="K1597">
        <f t="shared" si="1655"/>
        <v>0</v>
      </c>
      <c r="L1597">
        <f t="shared" si="1656"/>
        <v>45.831799999999824</v>
      </c>
    </row>
    <row r="1598" spans="2:12">
      <c r="B1598" s="1">
        <v>50236</v>
      </c>
      <c r="C1598" t="s">
        <v>40</v>
      </c>
      <c r="D1598">
        <v>17.7</v>
      </c>
      <c r="E1598">
        <v>0</v>
      </c>
      <c r="F1598">
        <f t="shared" si="1652"/>
        <v>0</v>
      </c>
      <c r="G1598">
        <f t="shared" ref="G1598" si="1713">D1592+D1593+D1594+D1595+D1596+D1597+D1598</f>
        <v>142.99999999999997</v>
      </c>
      <c r="H1598">
        <f t="shared" si="1651"/>
        <v>2037</v>
      </c>
      <c r="I1598">
        <v>1</v>
      </c>
      <c r="J1598">
        <f t="shared" si="1654"/>
        <v>45.831799999999824</v>
      </c>
      <c r="K1598">
        <f t="shared" si="1655"/>
        <v>0</v>
      </c>
      <c r="L1598">
        <f t="shared" si="1656"/>
        <v>45.831799999999824</v>
      </c>
    </row>
    <row r="1599" spans="2:12">
      <c r="B1599" s="1">
        <v>50237</v>
      </c>
      <c r="C1599" t="s">
        <v>17</v>
      </c>
      <c r="D1599">
        <v>20.100000000000001</v>
      </c>
      <c r="E1599">
        <v>11.5</v>
      </c>
      <c r="F1599">
        <f t="shared" si="1652"/>
        <v>2.3115000000000001</v>
      </c>
      <c r="G1599">
        <f t="shared" ref="G1599:G1662" si="1714">D1599</f>
        <v>20.100000000000001</v>
      </c>
      <c r="H1599">
        <f t="shared" si="1651"/>
        <v>2037</v>
      </c>
      <c r="I1599">
        <v>1</v>
      </c>
      <c r="J1599">
        <f t="shared" si="1654"/>
        <v>48.143299999999826</v>
      </c>
      <c r="K1599">
        <f t="shared" si="1655"/>
        <v>0</v>
      </c>
      <c r="L1599">
        <f t="shared" si="1656"/>
        <v>48.143299999999826</v>
      </c>
    </row>
    <row r="1600" spans="2:12">
      <c r="B1600" s="1">
        <v>50238</v>
      </c>
      <c r="C1600" t="s">
        <v>19</v>
      </c>
      <c r="D1600">
        <v>27.5</v>
      </c>
      <c r="E1600">
        <v>0</v>
      </c>
      <c r="F1600">
        <f t="shared" si="1652"/>
        <v>0</v>
      </c>
      <c r="G1600">
        <f t="shared" ref="G1600:G1663" si="1715">D1599+D1600</f>
        <v>47.6</v>
      </c>
      <c r="H1600">
        <f t="shared" si="1651"/>
        <v>2037</v>
      </c>
      <c r="I1600">
        <v>1</v>
      </c>
      <c r="J1600">
        <f t="shared" si="1654"/>
        <v>48.143299999999826</v>
      </c>
      <c r="K1600">
        <f t="shared" si="1655"/>
        <v>0</v>
      </c>
      <c r="L1600">
        <f t="shared" si="1656"/>
        <v>48.143299999999826</v>
      </c>
    </row>
    <row r="1601" spans="2:12">
      <c r="B1601" s="1">
        <v>50239</v>
      </c>
      <c r="C1601" t="s">
        <v>18</v>
      </c>
      <c r="D1601">
        <v>10.9</v>
      </c>
      <c r="E1601">
        <v>9</v>
      </c>
      <c r="F1601">
        <f t="shared" si="1652"/>
        <v>0.98100000000000009</v>
      </c>
      <c r="G1601">
        <f t="shared" ref="G1601" si="1716">D1599+D1600+D1601</f>
        <v>58.5</v>
      </c>
      <c r="H1601">
        <f t="shared" si="1651"/>
        <v>2037</v>
      </c>
      <c r="I1601">
        <v>1</v>
      </c>
      <c r="J1601">
        <f t="shared" si="1654"/>
        <v>49.124299999999828</v>
      </c>
      <c r="K1601">
        <f t="shared" si="1655"/>
        <v>0</v>
      </c>
      <c r="L1601">
        <f t="shared" si="1656"/>
        <v>49.124299999999828</v>
      </c>
    </row>
    <row r="1602" spans="2:12">
      <c r="B1602" s="1">
        <v>50240</v>
      </c>
      <c r="C1602" t="s">
        <v>37</v>
      </c>
      <c r="D1602">
        <v>27.6</v>
      </c>
      <c r="E1602">
        <v>3.2</v>
      </c>
      <c r="F1602">
        <f t="shared" si="1652"/>
        <v>0.8832000000000001</v>
      </c>
      <c r="G1602">
        <f t="shared" ref="G1602" si="1717">D1599+D1600+D1601+D1602</f>
        <v>86.1</v>
      </c>
      <c r="H1602">
        <f t="shared" si="1651"/>
        <v>2037</v>
      </c>
      <c r="I1602">
        <v>1</v>
      </c>
      <c r="J1602">
        <f t="shared" si="1654"/>
        <v>50.00749999999983</v>
      </c>
      <c r="K1602">
        <f t="shared" si="1655"/>
        <v>0</v>
      </c>
      <c r="L1602">
        <f t="shared" si="1656"/>
        <v>50.00749999999983</v>
      </c>
    </row>
    <row r="1603" spans="2:12">
      <c r="B1603" s="1">
        <v>50241</v>
      </c>
      <c r="C1603" t="s">
        <v>50</v>
      </c>
      <c r="D1603">
        <v>24.5</v>
      </c>
      <c r="E1603">
        <v>15.3</v>
      </c>
      <c r="F1603">
        <f t="shared" si="1652"/>
        <v>3.7485000000000004</v>
      </c>
      <c r="G1603">
        <f t="shared" ref="G1603" si="1718">D1599+D1600+D1601+D1602+D1603</f>
        <v>110.6</v>
      </c>
      <c r="H1603">
        <f t="shared" si="1651"/>
        <v>2037</v>
      </c>
      <c r="I1603">
        <v>1</v>
      </c>
      <c r="J1603">
        <f t="shared" si="1654"/>
        <v>53.75599999999983</v>
      </c>
      <c r="K1603">
        <f t="shared" si="1655"/>
        <v>0</v>
      </c>
      <c r="L1603">
        <f t="shared" si="1656"/>
        <v>53.75599999999983</v>
      </c>
    </row>
    <row r="1604" spans="2:12">
      <c r="B1604" s="1">
        <v>50242</v>
      </c>
      <c r="C1604" t="s">
        <v>42</v>
      </c>
      <c r="D1604">
        <v>10.8</v>
      </c>
      <c r="E1604">
        <v>0</v>
      </c>
      <c r="F1604">
        <f t="shared" si="1652"/>
        <v>0</v>
      </c>
      <c r="G1604">
        <f t="shared" ref="G1604" si="1719">D1599+D1600+D1601+D1602+D1603+D1604</f>
        <v>121.39999999999999</v>
      </c>
      <c r="H1604">
        <f t="shared" ref="H1604:H1667" si="1720">YEAR(B1604)</f>
        <v>2037</v>
      </c>
      <c r="I1604">
        <v>1</v>
      </c>
      <c r="J1604">
        <f t="shared" si="1654"/>
        <v>53.75599999999983</v>
      </c>
      <c r="K1604">
        <f t="shared" si="1655"/>
        <v>0</v>
      </c>
      <c r="L1604">
        <f t="shared" si="1656"/>
        <v>53.75599999999983</v>
      </c>
    </row>
    <row r="1605" spans="2:12">
      <c r="B1605" s="1">
        <v>50243</v>
      </c>
      <c r="C1605" t="s">
        <v>50</v>
      </c>
      <c r="D1605">
        <v>28.7</v>
      </c>
      <c r="E1605">
        <v>27.2</v>
      </c>
      <c r="F1605">
        <f t="shared" ref="F1605:F1668" si="1721">IF(E1605&gt;=1,D1605*E1605/100,0)</f>
        <v>7.8064</v>
      </c>
      <c r="G1605">
        <f t="shared" ref="G1605" si="1722">D1599+D1600+D1601+D1602+D1603+D1604+D1605</f>
        <v>150.1</v>
      </c>
      <c r="H1605">
        <f t="shared" si="1720"/>
        <v>2037</v>
      </c>
      <c r="I1605">
        <v>1</v>
      </c>
      <c r="J1605">
        <f t="shared" ref="J1605:J1668" si="1723">L1604+F1605</f>
        <v>61.562399999999826</v>
      </c>
      <c r="K1605">
        <f t="shared" ref="K1605:K1668" si="1724">IF(J1605&gt;=100,1,0)</f>
        <v>0</v>
      </c>
      <c r="L1605">
        <f t="shared" ref="L1605:L1668" si="1725">IF(K1605=1,J1605-100,J1605)</f>
        <v>61.562399999999826</v>
      </c>
    </row>
    <row r="1606" spans="2:12">
      <c r="B1606" s="1">
        <v>50244</v>
      </c>
      <c r="C1606" t="s">
        <v>21</v>
      </c>
      <c r="D1606">
        <v>21.5</v>
      </c>
      <c r="E1606">
        <v>0.6</v>
      </c>
      <c r="F1606">
        <f t="shared" si="1721"/>
        <v>0</v>
      </c>
      <c r="G1606">
        <f t="shared" ref="G1606:G1669" si="1726">D1606</f>
        <v>21.5</v>
      </c>
      <c r="H1606">
        <f t="shared" si="1720"/>
        <v>2037</v>
      </c>
      <c r="I1606">
        <v>1</v>
      </c>
      <c r="J1606">
        <f t="shared" si="1723"/>
        <v>61.562399999999826</v>
      </c>
      <c r="K1606">
        <f t="shared" si="1724"/>
        <v>0</v>
      </c>
      <c r="L1606">
        <f t="shared" si="1725"/>
        <v>61.562399999999826</v>
      </c>
    </row>
    <row r="1607" spans="2:12">
      <c r="B1607" s="1">
        <v>50245</v>
      </c>
      <c r="C1607" t="s">
        <v>37</v>
      </c>
      <c r="D1607">
        <v>20.100000000000001</v>
      </c>
      <c r="E1607">
        <v>0.8</v>
      </c>
      <c r="F1607">
        <f t="shared" si="1721"/>
        <v>0</v>
      </c>
      <c r="G1607">
        <f t="shared" ref="G1607:G1670" si="1727">D1606+D1607</f>
        <v>41.6</v>
      </c>
      <c r="H1607">
        <f t="shared" si="1720"/>
        <v>2037</v>
      </c>
      <c r="I1607">
        <v>1</v>
      </c>
      <c r="J1607">
        <f t="shared" si="1723"/>
        <v>61.562399999999826</v>
      </c>
      <c r="K1607">
        <f t="shared" si="1724"/>
        <v>0</v>
      </c>
      <c r="L1607">
        <f t="shared" si="1725"/>
        <v>61.562399999999826</v>
      </c>
    </row>
    <row r="1608" spans="2:12">
      <c r="B1608" s="1">
        <v>50246</v>
      </c>
      <c r="C1608" t="s">
        <v>50</v>
      </c>
      <c r="D1608">
        <v>21.3</v>
      </c>
      <c r="E1608">
        <v>14.6</v>
      </c>
      <c r="F1608">
        <f t="shared" si="1721"/>
        <v>3.1098000000000003</v>
      </c>
      <c r="G1608">
        <f t="shared" ref="G1608" si="1728">D1606+D1607+D1608</f>
        <v>62.900000000000006</v>
      </c>
      <c r="H1608">
        <f t="shared" si="1720"/>
        <v>2037</v>
      </c>
      <c r="I1608">
        <v>1</v>
      </c>
      <c r="J1608">
        <f t="shared" si="1723"/>
        <v>64.672199999999833</v>
      </c>
      <c r="K1608">
        <f t="shared" si="1724"/>
        <v>0</v>
      </c>
      <c r="L1608">
        <f t="shared" si="1725"/>
        <v>64.672199999999833</v>
      </c>
    </row>
    <row r="1609" spans="2:12">
      <c r="B1609" s="1">
        <v>50247</v>
      </c>
      <c r="C1609" t="s">
        <v>38</v>
      </c>
      <c r="D1609">
        <v>20.2</v>
      </c>
      <c r="E1609">
        <v>6.9</v>
      </c>
      <c r="F1609">
        <f t="shared" si="1721"/>
        <v>1.3937999999999999</v>
      </c>
      <c r="G1609">
        <f t="shared" ref="G1609" si="1729">D1606+D1607+D1608+D1609</f>
        <v>83.100000000000009</v>
      </c>
      <c r="H1609">
        <f t="shared" si="1720"/>
        <v>2037</v>
      </c>
      <c r="I1609">
        <v>1</v>
      </c>
      <c r="J1609">
        <f t="shared" si="1723"/>
        <v>66.065999999999832</v>
      </c>
      <c r="K1609">
        <f t="shared" si="1724"/>
        <v>0</v>
      </c>
      <c r="L1609">
        <f t="shared" si="1725"/>
        <v>66.065999999999832</v>
      </c>
    </row>
    <row r="1610" spans="2:12">
      <c r="B1610" s="1">
        <v>50248</v>
      </c>
      <c r="C1610" t="s">
        <v>27</v>
      </c>
      <c r="D1610">
        <v>16.8</v>
      </c>
      <c r="E1610">
        <v>7.6</v>
      </c>
      <c r="F1610">
        <f t="shared" si="1721"/>
        <v>1.2767999999999999</v>
      </c>
      <c r="G1610">
        <f t="shared" ref="G1610" si="1730">D1606+D1607+D1608+D1609+D1610</f>
        <v>99.9</v>
      </c>
      <c r="H1610">
        <f t="shared" si="1720"/>
        <v>2037</v>
      </c>
      <c r="I1610">
        <v>1</v>
      </c>
      <c r="J1610">
        <f t="shared" si="1723"/>
        <v>67.342799999999826</v>
      </c>
      <c r="K1610">
        <f t="shared" si="1724"/>
        <v>0</v>
      </c>
      <c r="L1610">
        <f t="shared" si="1725"/>
        <v>67.342799999999826</v>
      </c>
    </row>
    <row r="1611" spans="2:12">
      <c r="B1611" s="1">
        <v>50249</v>
      </c>
      <c r="C1611" t="s">
        <v>17</v>
      </c>
      <c r="D1611">
        <v>26.5</v>
      </c>
      <c r="E1611">
        <v>2.5</v>
      </c>
      <c r="F1611">
        <f t="shared" si="1721"/>
        <v>0.66249999999999998</v>
      </c>
      <c r="G1611">
        <f t="shared" ref="G1611" si="1731">D1606+D1607+D1608+D1609+D1610+D1611</f>
        <v>126.4</v>
      </c>
      <c r="H1611">
        <f t="shared" si="1720"/>
        <v>2037</v>
      </c>
      <c r="I1611">
        <v>1</v>
      </c>
      <c r="J1611">
        <f t="shared" si="1723"/>
        <v>68.005299999999821</v>
      </c>
      <c r="K1611">
        <f t="shared" si="1724"/>
        <v>0</v>
      </c>
      <c r="L1611">
        <f t="shared" si="1725"/>
        <v>68.005299999999821</v>
      </c>
    </row>
    <row r="1612" spans="2:12">
      <c r="B1612" s="1">
        <v>50250</v>
      </c>
      <c r="C1612" t="s">
        <v>18</v>
      </c>
      <c r="D1612">
        <v>18.899999999999999</v>
      </c>
      <c r="E1612">
        <v>0</v>
      </c>
      <c r="F1612">
        <f t="shared" si="1721"/>
        <v>0</v>
      </c>
      <c r="G1612">
        <f t="shared" ref="G1612" si="1732">D1606+D1607+D1608+D1609+D1610+D1611+D1612</f>
        <v>145.30000000000001</v>
      </c>
      <c r="H1612">
        <f t="shared" si="1720"/>
        <v>2037</v>
      </c>
      <c r="I1612">
        <v>1</v>
      </c>
      <c r="J1612">
        <f t="shared" si="1723"/>
        <v>68.005299999999821</v>
      </c>
      <c r="K1612">
        <f t="shared" si="1724"/>
        <v>0</v>
      </c>
      <c r="L1612">
        <f t="shared" si="1725"/>
        <v>68.005299999999821</v>
      </c>
    </row>
    <row r="1613" spans="2:12">
      <c r="B1613" s="1">
        <v>50251</v>
      </c>
      <c r="C1613" t="s">
        <v>40</v>
      </c>
      <c r="D1613">
        <v>22.9</v>
      </c>
      <c r="E1613">
        <v>1.2</v>
      </c>
      <c r="F1613">
        <f t="shared" si="1721"/>
        <v>0.27479999999999999</v>
      </c>
      <c r="G1613">
        <f t="shared" ref="G1613:G1676" si="1733">D1613</f>
        <v>22.9</v>
      </c>
      <c r="H1613">
        <f t="shared" si="1720"/>
        <v>2037</v>
      </c>
      <c r="I1613">
        <v>1</v>
      </c>
      <c r="J1613">
        <f t="shared" si="1723"/>
        <v>68.28009999999982</v>
      </c>
      <c r="K1613">
        <f t="shared" si="1724"/>
        <v>0</v>
      </c>
      <c r="L1613">
        <f t="shared" si="1725"/>
        <v>68.28009999999982</v>
      </c>
    </row>
    <row r="1614" spans="2:12">
      <c r="B1614" s="1">
        <v>50252</v>
      </c>
      <c r="C1614" t="s">
        <v>50</v>
      </c>
      <c r="D1614">
        <v>11.3</v>
      </c>
      <c r="E1614">
        <v>32.700000000000003</v>
      </c>
      <c r="F1614">
        <f t="shared" si="1721"/>
        <v>3.6951000000000005</v>
      </c>
      <c r="G1614">
        <f t="shared" ref="G1614:G1677" si="1734">D1613+D1614</f>
        <v>34.200000000000003</v>
      </c>
      <c r="H1614">
        <f t="shared" si="1720"/>
        <v>2037</v>
      </c>
      <c r="I1614">
        <v>1</v>
      </c>
      <c r="J1614">
        <f t="shared" si="1723"/>
        <v>71.975199999999816</v>
      </c>
      <c r="K1614">
        <f t="shared" si="1724"/>
        <v>0</v>
      </c>
      <c r="L1614">
        <f t="shared" si="1725"/>
        <v>71.975199999999816</v>
      </c>
    </row>
    <row r="1615" spans="2:12">
      <c r="B1615" s="1">
        <v>50253</v>
      </c>
      <c r="C1615" t="s">
        <v>27</v>
      </c>
      <c r="D1615">
        <v>13</v>
      </c>
      <c r="E1615">
        <v>1.7</v>
      </c>
      <c r="F1615">
        <f t="shared" si="1721"/>
        <v>0.22099999999999997</v>
      </c>
      <c r="G1615">
        <f t="shared" ref="G1615" si="1735">D1613+D1614+D1615</f>
        <v>47.2</v>
      </c>
      <c r="H1615">
        <f t="shared" si="1720"/>
        <v>2037</v>
      </c>
      <c r="I1615">
        <v>1</v>
      </c>
      <c r="J1615">
        <f t="shared" si="1723"/>
        <v>72.19619999999982</v>
      </c>
      <c r="K1615">
        <f t="shared" si="1724"/>
        <v>0</v>
      </c>
      <c r="L1615">
        <f t="shared" si="1725"/>
        <v>72.19619999999982</v>
      </c>
    </row>
    <row r="1616" spans="2:12">
      <c r="B1616" s="1">
        <v>50254</v>
      </c>
      <c r="C1616" t="s">
        <v>19</v>
      </c>
      <c r="D1616">
        <v>18.3</v>
      </c>
      <c r="E1616">
        <v>2.5</v>
      </c>
      <c r="F1616">
        <f t="shared" si="1721"/>
        <v>0.45750000000000002</v>
      </c>
      <c r="G1616">
        <f t="shared" ref="G1616" si="1736">D1613+D1614+D1615+D1616</f>
        <v>65.5</v>
      </c>
      <c r="H1616">
        <f t="shared" si="1720"/>
        <v>2037</v>
      </c>
      <c r="I1616">
        <v>1</v>
      </c>
      <c r="J1616">
        <f t="shared" si="1723"/>
        <v>72.653699999999816</v>
      </c>
      <c r="K1616">
        <f t="shared" si="1724"/>
        <v>0</v>
      </c>
      <c r="L1616">
        <f t="shared" si="1725"/>
        <v>72.653699999999816</v>
      </c>
    </row>
    <row r="1617" spans="2:12">
      <c r="B1617" s="1">
        <v>50255</v>
      </c>
      <c r="C1617" t="s">
        <v>18</v>
      </c>
      <c r="D1617">
        <v>10.199999999999999</v>
      </c>
      <c r="E1617">
        <v>14.3</v>
      </c>
      <c r="F1617">
        <f t="shared" si="1721"/>
        <v>1.4585999999999999</v>
      </c>
      <c r="G1617">
        <f t="shared" ref="G1617" si="1737">D1613+D1614+D1615+D1616+D1617</f>
        <v>75.7</v>
      </c>
      <c r="H1617">
        <f t="shared" si="1720"/>
        <v>2037</v>
      </c>
      <c r="I1617">
        <v>1</v>
      </c>
      <c r="J1617">
        <f t="shared" si="1723"/>
        <v>74.11229999999982</v>
      </c>
      <c r="K1617">
        <f t="shared" si="1724"/>
        <v>0</v>
      </c>
      <c r="L1617">
        <f t="shared" si="1725"/>
        <v>74.11229999999982</v>
      </c>
    </row>
    <row r="1618" spans="2:12">
      <c r="B1618" s="1">
        <v>50256</v>
      </c>
      <c r="C1618" t="s">
        <v>25</v>
      </c>
      <c r="D1618">
        <v>14.5</v>
      </c>
      <c r="E1618">
        <v>10.5</v>
      </c>
      <c r="F1618">
        <f t="shared" si="1721"/>
        <v>1.5225</v>
      </c>
      <c r="G1618">
        <f t="shared" ref="G1618" si="1738">D1613+D1614+D1615+D1616+D1617+D1618</f>
        <v>90.2</v>
      </c>
      <c r="H1618">
        <f t="shared" si="1720"/>
        <v>2037</v>
      </c>
      <c r="I1618">
        <v>1</v>
      </c>
      <c r="J1618">
        <f t="shared" si="1723"/>
        <v>75.634799999999814</v>
      </c>
      <c r="K1618">
        <f t="shared" si="1724"/>
        <v>0</v>
      </c>
      <c r="L1618">
        <f t="shared" si="1725"/>
        <v>75.634799999999814</v>
      </c>
    </row>
    <row r="1619" spans="2:12">
      <c r="B1619" s="1">
        <v>50257</v>
      </c>
      <c r="C1619" t="s">
        <v>31</v>
      </c>
      <c r="D1619">
        <v>12.3</v>
      </c>
      <c r="E1619">
        <v>7.4</v>
      </c>
      <c r="F1619">
        <f t="shared" si="1721"/>
        <v>0.91020000000000012</v>
      </c>
      <c r="G1619">
        <f t="shared" ref="G1619" si="1739">D1613+D1614+D1615+D1616+D1617+D1618+D1619</f>
        <v>102.5</v>
      </c>
      <c r="H1619">
        <f t="shared" si="1720"/>
        <v>2037</v>
      </c>
      <c r="I1619">
        <v>1</v>
      </c>
      <c r="J1619">
        <f t="shared" si="1723"/>
        <v>76.544999999999817</v>
      </c>
      <c r="K1619">
        <f t="shared" si="1724"/>
        <v>0</v>
      </c>
      <c r="L1619">
        <f t="shared" si="1725"/>
        <v>76.544999999999817</v>
      </c>
    </row>
    <row r="1620" spans="2:12">
      <c r="B1620" s="1">
        <v>50258</v>
      </c>
      <c r="C1620" t="s">
        <v>27</v>
      </c>
      <c r="D1620">
        <v>17</v>
      </c>
      <c r="E1620">
        <v>16.899999999999999</v>
      </c>
      <c r="F1620">
        <f t="shared" si="1721"/>
        <v>2.8729999999999993</v>
      </c>
      <c r="G1620">
        <f t="shared" ref="G1620:G1683" si="1740">D1620</f>
        <v>17</v>
      </c>
      <c r="H1620">
        <f t="shared" si="1720"/>
        <v>2037</v>
      </c>
      <c r="I1620">
        <v>1</v>
      </c>
      <c r="J1620">
        <f t="shared" si="1723"/>
        <v>79.417999999999822</v>
      </c>
      <c r="K1620">
        <f t="shared" si="1724"/>
        <v>0</v>
      </c>
      <c r="L1620">
        <f t="shared" si="1725"/>
        <v>79.417999999999822</v>
      </c>
    </row>
    <row r="1621" spans="2:12">
      <c r="B1621" s="1">
        <v>50259</v>
      </c>
      <c r="C1621" t="s">
        <v>15</v>
      </c>
      <c r="D1621">
        <v>17.5</v>
      </c>
      <c r="E1621">
        <v>0</v>
      </c>
      <c r="F1621">
        <f t="shared" si="1721"/>
        <v>0</v>
      </c>
      <c r="G1621">
        <f t="shared" ref="G1621:G1684" si="1741">D1620+D1621</f>
        <v>34.5</v>
      </c>
      <c r="H1621">
        <f t="shared" si="1720"/>
        <v>2037</v>
      </c>
      <c r="I1621">
        <v>1</v>
      </c>
      <c r="J1621">
        <f t="shared" si="1723"/>
        <v>79.417999999999822</v>
      </c>
      <c r="K1621">
        <f t="shared" si="1724"/>
        <v>0</v>
      </c>
      <c r="L1621">
        <f t="shared" si="1725"/>
        <v>79.417999999999822</v>
      </c>
    </row>
    <row r="1622" spans="2:12">
      <c r="B1622" s="1">
        <v>50260</v>
      </c>
      <c r="C1622" t="s">
        <v>12</v>
      </c>
      <c r="D1622">
        <v>28.4</v>
      </c>
      <c r="E1622">
        <v>0</v>
      </c>
      <c r="F1622">
        <f t="shared" si="1721"/>
        <v>0</v>
      </c>
      <c r="G1622">
        <f t="shared" ref="G1622" si="1742">D1620+D1621+D1622</f>
        <v>62.9</v>
      </c>
      <c r="H1622">
        <f t="shared" si="1720"/>
        <v>2037</v>
      </c>
      <c r="I1622">
        <v>1</v>
      </c>
      <c r="J1622">
        <f t="shared" si="1723"/>
        <v>79.417999999999822</v>
      </c>
      <c r="K1622">
        <f t="shared" si="1724"/>
        <v>0</v>
      </c>
      <c r="L1622">
        <f t="shared" si="1725"/>
        <v>79.417999999999822</v>
      </c>
    </row>
    <row r="1623" spans="2:12">
      <c r="B1623" s="1">
        <v>50261</v>
      </c>
      <c r="C1623" t="s">
        <v>50</v>
      </c>
      <c r="D1623">
        <v>13.1</v>
      </c>
      <c r="E1623">
        <v>36.6</v>
      </c>
      <c r="F1623">
        <f t="shared" si="1721"/>
        <v>4.7946</v>
      </c>
      <c r="G1623">
        <f t="shared" ref="G1623" si="1743">D1620+D1621+D1622+D1623</f>
        <v>76</v>
      </c>
      <c r="H1623">
        <f t="shared" si="1720"/>
        <v>2037</v>
      </c>
      <c r="I1623">
        <v>1</v>
      </c>
      <c r="J1623">
        <f t="shared" si="1723"/>
        <v>84.212599999999824</v>
      </c>
      <c r="K1623">
        <f t="shared" si="1724"/>
        <v>0</v>
      </c>
      <c r="L1623">
        <f t="shared" si="1725"/>
        <v>84.212599999999824</v>
      </c>
    </row>
    <row r="1624" spans="2:12">
      <c r="B1624" s="1">
        <v>50262</v>
      </c>
      <c r="C1624" t="s">
        <v>18</v>
      </c>
      <c r="D1624">
        <v>16.600000000000001</v>
      </c>
      <c r="E1624">
        <v>6.6</v>
      </c>
      <c r="F1624">
        <f t="shared" si="1721"/>
        <v>1.0956000000000001</v>
      </c>
      <c r="G1624">
        <f t="shared" ref="G1624" si="1744">D1620+D1621+D1622+D1623+D1624</f>
        <v>92.6</v>
      </c>
      <c r="H1624">
        <f t="shared" si="1720"/>
        <v>2037</v>
      </c>
      <c r="I1624">
        <v>1</v>
      </c>
      <c r="J1624">
        <f t="shared" si="1723"/>
        <v>85.308199999999829</v>
      </c>
      <c r="K1624">
        <f t="shared" si="1724"/>
        <v>0</v>
      </c>
      <c r="L1624">
        <f t="shared" si="1725"/>
        <v>85.308199999999829</v>
      </c>
    </row>
    <row r="1625" spans="2:12">
      <c r="B1625" s="1">
        <v>50263</v>
      </c>
      <c r="C1625" t="s">
        <v>50</v>
      </c>
      <c r="D1625">
        <v>20.2</v>
      </c>
      <c r="E1625">
        <v>0</v>
      </c>
      <c r="F1625">
        <f t="shared" si="1721"/>
        <v>0</v>
      </c>
      <c r="G1625">
        <f t="shared" ref="G1625" si="1745">D1620+D1621+D1622+D1623+D1624+D1625</f>
        <v>112.8</v>
      </c>
      <c r="H1625">
        <f t="shared" si="1720"/>
        <v>2037</v>
      </c>
      <c r="I1625">
        <v>1</v>
      </c>
      <c r="J1625">
        <f t="shared" si="1723"/>
        <v>85.308199999999829</v>
      </c>
      <c r="K1625">
        <f t="shared" si="1724"/>
        <v>0</v>
      </c>
      <c r="L1625">
        <f t="shared" si="1725"/>
        <v>85.308199999999829</v>
      </c>
    </row>
    <row r="1626" spans="2:12">
      <c r="B1626" s="1">
        <v>50264</v>
      </c>
      <c r="C1626" t="s">
        <v>18</v>
      </c>
      <c r="D1626">
        <v>26.4</v>
      </c>
      <c r="E1626">
        <v>11.9</v>
      </c>
      <c r="F1626">
        <f t="shared" si="1721"/>
        <v>3.1415999999999995</v>
      </c>
      <c r="G1626">
        <f t="shared" ref="G1626" si="1746">D1620+D1621+D1622+D1623+D1624+D1625+D1626</f>
        <v>139.19999999999999</v>
      </c>
      <c r="H1626">
        <f t="shared" si="1720"/>
        <v>2037</v>
      </c>
      <c r="I1626">
        <v>1</v>
      </c>
      <c r="J1626">
        <f t="shared" si="1723"/>
        <v>88.449799999999826</v>
      </c>
      <c r="K1626">
        <f t="shared" si="1724"/>
        <v>0</v>
      </c>
      <c r="L1626">
        <f t="shared" si="1725"/>
        <v>88.449799999999826</v>
      </c>
    </row>
    <row r="1627" spans="2:12">
      <c r="B1627" s="1">
        <v>50265</v>
      </c>
      <c r="C1627" t="s">
        <v>24</v>
      </c>
      <c r="D1627">
        <v>11.8</v>
      </c>
      <c r="E1627">
        <v>0</v>
      </c>
      <c r="F1627">
        <f t="shared" si="1721"/>
        <v>0</v>
      </c>
      <c r="G1627">
        <f t="shared" ref="G1627:G1690" si="1747">D1627</f>
        <v>11.8</v>
      </c>
      <c r="H1627">
        <f t="shared" si="1720"/>
        <v>2037</v>
      </c>
      <c r="I1627">
        <v>1</v>
      </c>
      <c r="J1627">
        <f t="shared" si="1723"/>
        <v>88.449799999999826</v>
      </c>
      <c r="K1627">
        <f t="shared" si="1724"/>
        <v>0</v>
      </c>
      <c r="L1627">
        <f t="shared" si="1725"/>
        <v>88.449799999999826</v>
      </c>
    </row>
    <row r="1628" spans="2:12">
      <c r="B1628" s="1">
        <v>50266</v>
      </c>
      <c r="C1628" t="s">
        <v>42</v>
      </c>
      <c r="D1628">
        <v>19.5</v>
      </c>
      <c r="E1628">
        <v>6.4</v>
      </c>
      <c r="F1628">
        <f t="shared" si="1721"/>
        <v>1.2480000000000002</v>
      </c>
      <c r="G1628">
        <f t="shared" ref="G1628:G1691" si="1748">D1627+D1628</f>
        <v>31.3</v>
      </c>
      <c r="H1628">
        <f t="shared" si="1720"/>
        <v>2037</v>
      </c>
      <c r="I1628">
        <v>1</v>
      </c>
      <c r="J1628">
        <f t="shared" si="1723"/>
        <v>89.69779999999983</v>
      </c>
      <c r="K1628">
        <f t="shared" si="1724"/>
        <v>0</v>
      </c>
      <c r="L1628">
        <f t="shared" si="1725"/>
        <v>89.69779999999983</v>
      </c>
    </row>
    <row r="1629" spans="2:12">
      <c r="B1629" s="1">
        <v>50267</v>
      </c>
      <c r="C1629" t="s">
        <v>50</v>
      </c>
      <c r="D1629">
        <v>12</v>
      </c>
      <c r="E1629">
        <v>13.3</v>
      </c>
      <c r="F1629">
        <f t="shared" si="1721"/>
        <v>1.5960000000000003</v>
      </c>
      <c r="G1629">
        <f t="shared" ref="G1629" si="1749">D1627+D1628+D1629</f>
        <v>43.3</v>
      </c>
      <c r="H1629">
        <f t="shared" si="1720"/>
        <v>2037</v>
      </c>
      <c r="I1629">
        <v>1</v>
      </c>
      <c r="J1629">
        <f t="shared" si="1723"/>
        <v>91.293799999999834</v>
      </c>
      <c r="K1629">
        <f t="shared" si="1724"/>
        <v>0</v>
      </c>
      <c r="L1629">
        <f t="shared" si="1725"/>
        <v>91.293799999999834</v>
      </c>
    </row>
    <row r="1630" spans="2:12">
      <c r="B1630" s="1">
        <v>50268</v>
      </c>
      <c r="C1630" t="s">
        <v>43</v>
      </c>
      <c r="D1630">
        <v>16.3</v>
      </c>
      <c r="E1630">
        <v>7.5</v>
      </c>
      <c r="F1630">
        <f t="shared" si="1721"/>
        <v>1.2224999999999999</v>
      </c>
      <c r="G1630">
        <f t="shared" ref="G1630" si="1750">D1627+D1628+D1629+D1630</f>
        <v>59.599999999999994</v>
      </c>
      <c r="H1630">
        <f t="shared" si="1720"/>
        <v>2037</v>
      </c>
      <c r="I1630">
        <v>1</v>
      </c>
      <c r="J1630">
        <f t="shared" si="1723"/>
        <v>92.516299999999831</v>
      </c>
      <c r="K1630">
        <f t="shared" si="1724"/>
        <v>0</v>
      </c>
      <c r="L1630">
        <f t="shared" si="1725"/>
        <v>92.516299999999831</v>
      </c>
    </row>
    <row r="1631" spans="2:12">
      <c r="B1631" s="1">
        <v>50269</v>
      </c>
      <c r="C1631" t="s">
        <v>42</v>
      </c>
      <c r="D1631">
        <v>22.8</v>
      </c>
      <c r="E1631">
        <v>2.7</v>
      </c>
      <c r="F1631">
        <f t="shared" si="1721"/>
        <v>0.61560000000000015</v>
      </c>
      <c r="G1631">
        <f t="shared" ref="G1631" si="1751">D1627+D1628+D1629+D1630+D1631</f>
        <v>82.399999999999991</v>
      </c>
      <c r="H1631">
        <f t="shared" si="1720"/>
        <v>2037</v>
      </c>
      <c r="I1631">
        <v>1</v>
      </c>
      <c r="J1631">
        <f t="shared" si="1723"/>
        <v>93.131899999999831</v>
      </c>
      <c r="K1631">
        <f t="shared" si="1724"/>
        <v>0</v>
      </c>
      <c r="L1631">
        <f t="shared" si="1725"/>
        <v>93.131899999999831</v>
      </c>
    </row>
    <row r="1632" spans="2:12">
      <c r="B1632" s="1">
        <v>50270</v>
      </c>
      <c r="C1632" t="s">
        <v>24</v>
      </c>
      <c r="D1632">
        <v>16.2</v>
      </c>
      <c r="E1632">
        <v>43.3</v>
      </c>
      <c r="F1632">
        <f t="shared" si="1721"/>
        <v>7.0145999999999988</v>
      </c>
      <c r="G1632">
        <f t="shared" ref="G1632" si="1752">D1627+D1628+D1629+D1630+D1631+D1632</f>
        <v>98.6</v>
      </c>
      <c r="H1632">
        <f t="shared" si="1720"/>
        <v>2037</v>
      </c>
      <c r="I1632">
        <v>1</v>
      </c>
      <c r="J1632">
        <f t="shared" si="1723"/>
        <v>100.14649999999983</v>
      </c>
      <c r="K1632">
        <f t="shared" si="1724"/>
        <v>1</v>
      </c>
      <c r="L1632">
        <f t="shared" si="1725"/>
        <v>0.14649999999983265</v>
      </c>
    </row>
    <row r="1633" spans="2:12">
      <c r="B1633" s="1">
        <v>50271</v>
      </c>
      <c r="C1633" t="s">
        <v>37</v>
      </c>
      <c r="D1633">
        <v>11.5</v>
      </c>
      <c r="E1633">
        <v>3.1</v>
      </c>
      <c r="F1633">
        <f t="shared" si="1721"/>
        <v>0.35649999999999998</v>
      </c>
      <c r="G1633">
        <f t="shared" ref="G1633" si="1753">D1627+D1628+D1629+D1630+D1631+D1632+D1633</f>
        <v>110.1</v>
      </c>
      <c r="H1633">
        <f t="shared" si="1720"/>
        <v>2037</v>
      </c>
      <c r="I1633">
        <v>1</v>
      </c>
      <c r="J1633">
        <f t="shared" si="1723"/>
        <v>0.50299999999983269</v>
      </c>
      <c r="K1633">
        <f t="shared" si="1724"/>
        <v>0</v>
      </c>
      <c r="L1633">
        <f t="shared" si="1725"/>
        <v>0.50299999999983269</v>
      </c>
    </row>
    <row r="1634" spans="2:12">
      <c r="B1634" s="1">
        <v>50272</v>
      </c>
      <c r="C1634" t="s">
        <v>27</v>
      </c>
      <c r="D1634">
        <v>13.5</v>
      </c>
      <c r="E1634">
        <v>0</v>
      </c>
      <c r="F1634">
        <f t="shared" si="1721"/>
        <v>0</v>
      </c>
      <c r="G1634">
        <f t="shared" ref="G1634:G1697" si="1754">D1634</f>
        <v>13.5</v>
      </c>
      <c r="H1634">
        <f t="shared" si="1720"/>
        <v>2037</v>
      </c>
      <c r="I1634">
        <v>1</v>
      </c>
      <c r="J1634">
        <f t="shared" si="1723"/>
        <v>0.50299999999983269</v>
      </c>
      <c r="K1634">
        <f t="shared" si="1724"/>
        <v>0</v>
      </c>
      <c r="L1634">
        <f t="shared" si="1725"/>
        <v>0.50299999999983269</v>
      </c>
    </row>
    <row r="1635" spans="2:12">
      <c r="B1635" s="1">
        <v>50273</v>
      </c>
      <c r="C1635" t="s">
        <v>42</v>
      </c>
      <c r="D1635">
        <v>16.2</v>
      </c>
      <c r="E1635">
        <v>6.4</v>
      </c>
      <c r="F1635">
        <f t="shared" si="1721"/>
        <v>1.0368000000000002</v>
      </c>
      <c r="G1635">
        <f t="shared" ref="G1635:G1698" si="1755">D1634+D1635</f>
        <v>29.7</v>
      </c>
      <c r="H1635">
        <f t="shared" si="1720"/>
        <v>2037</v>
      </c>
      <c r="I1635">
        <v>1</v>
      </c>
      <c r="J1635">
        <f t="shared" si="1723"/>
        <v>1.5397999999998329</v>
      </c>
      <c r="K1635">
        <f t="shared" si="1724"/>
        <v>0</v>
      </c>
      <c r="L1635">
        <f t="shared" si="1725"/>
        <v>1.5397999999998329</v>
      </c>
    </row>
    <row r="1636" spans="2:12">
      <c r="B1636" s="1">
        <v>50274</v>
      </c>
      <c r="C1636" t="s">
        <v>24</v>
      </c>
      <c r="D1636">
        <v>18.5</v>
      </c>
      <c r="E1636">
        <v>24.9</v>
      </c>
      <c r="F1636">
        <f t="shared" si="1721"/>
        <v>4.6064999999999996</v>
      </c>
      <c r="G1636">
        <f t="shared" ref="G1636" si="1756">D1634+D1635+D1636</f>
        <v>48.2</v>
      </c>
      <c r="H1636">
        <f t="shared" si="1720"/>
        <v>2037</v>
      </c>
      <c r="I1636">
        <v>1</v>
      </c>
      <c r="J1636">
        <f t="shared" si="1723"/>
        <v>6.1462999999998322</v>
      </c>
      <c r="K1636">
        <f t="shared" si="1724"/>
        <v>0</v>
      </c>
      <c r="L1636">
        <f t="shared" si="1725"/>
        <v>6.1462999999998322</v>
      </c>
    </row>
    <row r="1637" spans="2:12">
      <c r="B1637" s="1">
        <v>50275</v>
      </c>
      <c r="C1637" t="s">
        <v>50</v>
      </c>
      <c r="D1637">
        <v>10.9</v>
      </c>
      <c r="E1637">
        <v>0</v>
      </c>
      <c r="F1637">
        <f t="shared" si="1721"/>
        <v>0</v>
      </c>
      <c r="G1637">
        <f t="shared" ref="G1637" si="1757">D1634+D1635+D1636+D1637</f>
        <v>59.1</v>
      </c>
      <c r="H1637">
        <f t="shared" si="1720"/>
        <v>2037</v>
      </c>
      <c r="I1637">
        <v>1</v>
      </c>
      <c r="J1637">
        <f t="shared" si="1723"/>
        <v>6.1462999999998322</v>
      </c>
      <c r="K1637">
        <f t="shared" si="1724"/>
        <v>0</v>
      </c>
      <c r="L1637">
        <f t="shared" si="1725"/>
        <v>6.1462999999998322</v>
      </c>
    </row>
    <row r="1638" spans="2:12">
      <c r="B1638" s="1">
        <v>50276</v>
      </c>
      <c r="C1638" t="s">
        <v>42</v>
      </c>
      <c r="D1638">
        <v>23.9</v>
      </c>
      <c r="E1638">
        <v>4.5</v>
      </c>
      <c r="F1638">
        <f t="shared" si="1721"/>
        <v>1.0754999999999999</v>
      </c>
      <c r="G1638">
        <f t="shared" ref="G1638" si="1758">D1634+D1635+D1636+D1637+D1638</f>
        <v>83</v>
      </c>
      <c r="H1638">
        <f t="shared" si="1720"/>
        <v>2037</v>
      </c>
      <c r="I1638">
        <v>1</v>
      </c>
      <c r="J1638">
        <f t="shared" si="1723"/>
        <v>7.2217999999998321</v>
      </c>
      <c r="K1638">
        <f t="shared" si="1724"/>
        <v>0</v>
      </c>
      <c r="L1638">
        <f t="shared" si="1725"/>
        <v>7.2217999999998321</v>
      </c>
    </row>
    <row r="1639" spans="2:12">
      <c r="B1639" s="1">
        <v>50277</v>
      </c>
      <c r="C1639" t="s">
        <v>25</v>
      </c>
      <c r="D1639">
        <v>20.2</v>
      </c>
      <c r="E1639">
        <v>0</v>
      </c>
      <c r="F1639">
        <f t="shared" si="1721"/>
        <v>0</v>
      </c>
      <c r="G1639">
        <f t="shared" ref="G1639" si="1759">D1634+D1635+D1636+D1637+D1638+D1639</f>
        <v>103.2</v>
      </c>
      <c r="H1639">
        <f t="shared" si="1720"/>
        <v>2037</v>
      </c>
      <c r="I1639">
        <v>1</v>
      </c>
      <c r="J1639">
        <f t="shared" si="1723"/>
        <v>7.2217999999998321</v>
      </c>
      <c r="K1639">
        <f t="shared" si="1724"/>
        <v>0</v>
      </c>
      <c r="L1639">
        <f t="shared" si="1725"/>
        <v>7.2217999999998321</v>
      </c>
    </row>
    <row r="1640" spans="2:12">
      <c r="B1640" s="1">
        <v>50278</v>
      </c>
      <c r="C1640" t="s">
        <v>18</v>
      </c>
      <c r="D1640">
        <v>23.3</v>
      </c>
      <c r="E1640">
        <v>0</v>
      </c>
      <c r="F1640">
        <f t="shared" si="1721"/>
        <v>0</v>
      </c>
      <c r="G1640">
        <f t="shared" ref="G1640" si="1760">D1634+D1635+D1636+D1637+D1638+D1639+D1640</f>
        <v>126.5</v>
      </c>
      <c r="H1640">
        <f t="shared" si="1720"/>
        <v>2037</v>
      </c>
      <c r="I1640">
        <v>1</v>
      </c>
      <c r="J1640">
        <f t="shared" si="1723"/>
        <v>7.2217999999998321</v>
      </c>
      <c r="K1640">
        <f t="shared" si="1724"/>
        <v>0</v>
      </c>
      <c r="L1640">
        <f t="shared" si="1725"/>
        <v>7.2217999999998321</v>
      </c>
    </row>
    <row r="1641" spans="2:12">
      <c r="B1641" s="1">
        <v>50279</v>
      </c>
      <c r="C1641" t="s">
        <v>27</v>
      </c>
      <c r="D1641">
        <v>26.3</v>
      </c>
      <c r="E1641">
        <v>2.2000000000000002</v>
      </c>
      <c r="F1641">
        <f t="shared" si="1721"/>
        <v>0.57860000000000011</v>
      </c>
      <c r="G1641">
        <f t="shared" ref="G1641:G1704" si="1761">D1641</f>
        <v>26.3</v>
      </c>
      <c r="H1641">
        <f t="shared" si="1720"/>
        <v>2037</v>
      </c>
      <c r="I1641">
        <v>1</v>
      </c>
      <c r="J1641">
        <f t="shared" si="1723"/>
        <v>7.8003999999998319</v>
      </c>
      <c r="K1641">
        <f t="shared" si="1724"/>
        <v>0</v>
      </c>
      <c r="L1641">
        <f t="shared" si="1725"/>
        <v>7.8003999999998319</v>
      </c>
    </row>
    <row r="1642" spans="2:12">
      <c r="B1642" s="1">
        <v>50280</v>
      </c>
      <c r="C1642" t="s">
        <v>27</v>
      </c>
      <c r="D1642">
        <v>20.3</v>
      </c>
      <c r="E1642">
        <v>16.600000000000001</v>
      </c>
      <c r="F1642">
        <f t="shared" si="1721"/>
        <v>3.3698000000000001</v>
      </c>
      <c r="G1642">
        <f t="shared" ref="G1642:G1705" si="1762">D1641+D1642</f>
        <v>46.6</v>
      </c>
      <c r="H1642">
        <f t="shared" si="1720"/>
        <v>2037</v>
      </c>
      <c r="I1642">
        <v>1</v>
      </c>
      <c r="J1642">
        <f t="shared" si="1723"/>
        <v>11.170199999999832</v>
      </c>
      <c r="K1642">
        <f t="shared" si="1724"/>
        <v>0</v>
      </c>
      <c r="L1642">
        <f t="shared" si="1725"/>
        <v>11.170199999999832</v>
      </c>
    </row>
    <row r="1643" spans="2:12">
      <c r="B1643" s="1">
        <v>50281</v>
      </c>
      <c r="C1643" t="s">
        <v>24</v>
      </c>
      <c r="D1643">
        <v>11.1</v>
      </c>
      <c r="E1643">
        <v>38</v>
      </c>
      <c r="F1643">
        <f t="shared" si="1721"/>
        <v>4.218</v>
      </c>
      <c r="G1643">
        <f t="shared" ref="G1643" si="1763">D1641+D1642+D1643</f>
        <v>57.7</v>
      </c>
      <c r="H1643">
        <f t="shared" si="1720"/>
        <v>2037</v>
      </c>
      <c r="I1643">
        <v>1</v>
      </c>
      <c r="J1643">
        <f t="shared" si="1723"/>
        <v>15.388199999999832</v>
      </c>
      <c r="K1643">
        <f t="shared" si="1724"/>
        <v>0</v>
      </c>
      <c r="L1643">
        <f t="shared" si="1725"/>
        <v>15.388199999999832</v>
      </c>
    </row>
    <row r="1644" spans="2:12">
      <c r="B1644" s="1">
        <v>50282</v>
      </c>
      <c r="C1644" t="s">
        <v>15</v>
      </c>
      <c r="D1644">
        <v>10.7</v>
      </c>
      <c r="E1644">
        <v>1.2</v>
      </c>
      <c r="F1644">
        <f t="shared" si="1721"/>
        <v>0.12839999999999999</v>
      </c>
      <c r="G1644">
        <f t="shared" ref="G1644" si="1764">D1641+D1642+D1643+D1644</f>
        <v>68.400000000000006</v>
      </c>
      <c r="H1644">
        <f t="shared" si="1720"/>
        <v>2037</v>
      </c>
      <c r="I1644">
        <v>1</v>
      </c>
      <c r="J1644">
        <f t="shared" si="1723"/>
        <v>15.516599999999832</v>
      </c>
      <c r="K1644">
        <f t="shared" si="1724"/>
        <v>0</v>
      </c>
      <c r="L1644">
        <f t="shared" si="1725"/>
        <v>15.516599999999832</v>
      </c>
    </row>
    <row r="1645" spans="2:12">
      <c r="B1645" s="1">
        <v>50283</v>
      </c>
      <c r="C1645" t="s">
        <v>46</v>
      </c>
      <c r="D1645">
        <v>21.8</v>
      </c>
      <c r="E1645">
        <v>0</v>
      </c>
      <c r="F1645">
        <f t="shared" si="1721"/>
        <v>0</v>
      </c>
      <c r="G1645">
        <f t="shared" ref="G1645" si="1765">D1641+D1642+D1643+D1644+D1645</f>
        <v>90.2</v>
      </c>
      <c r="H1645">
        <f t="shared" si="1720"/>
        <v>2037</v>
      </c>
      <c r="I1645">
        <v>1</v>
      </c>
      <c r="J1645">
        <f t="shared" si="1723"/>
        <v>15.516599999999832</v>
      </c>
      <c r="K1645">
        <f t="shared" si="1724"/>
        <v>0</v>
      </c>
      <c r="L1645">
        <f t="shared" si="1725"/>
        <v>15.516599999999832</v>
      </c>
    </row>
    <row r="1646" spans="2:12">
      <c r="B1646" s="1">
        <v>50284</v>
      </c>
      <c r="C1646" t="s">
        <v>18</v>
      </c>
      <c r="D1646">
        <v>29.7</v>
      </c>
      <c r="E1646">
        <v>2.5</v>
      </c>
      <c r="F1646">
        <f t="shared" si="1721"/>
        <v>0.74250000000000005</v>
      </c>
      <c r="G1646">
        <f t="shared" ref="G1646" si="1766">D1641+D1642+D1643+D1644+D1645+D1646</f>
        <v>119.9</v>
      </c>
      <c r="H1646">
        <f t="shared" si="1720"/>
        <v>2037</v>
      </c>
      <c r="I1646">
        <v>1</v>
      </c>
      <c r="J1646">
        <f t="shared" si="1723"/>
        <v>16.259099999999833</v>
      </c>
      <c r="K1646">
        <f t="shared" si="1724"/>
        <v>0</v>
      </c>
      <c r="L1646">
        <f t="shared" si="1725"/>
        <v>16.259099999999833</v>
      </c>
    </row>
    <row r="1647" spans="2:12">
      <c r="B1647" s="1">
        <v>50285</v>
      </c>
      <c r="C1647" t="s">
        <v>24</v>
      </c>
      <c r="D1647">
        <v>21.7</v>
      </c>
      <c r="E1647">
        <v>16.100000000000001</v>
      </c>
      <c r="F1647">
        <f t="shared" si="1721"/>
        <v>3.4937</v>
      </c>
      <c r="G1647">
        <f t="shared" ref="G1647" si="1767">D1641+D1642+D1643+D1644+D1645+D1646+D1647</f>
        <v>141.6</v>
      </c>
      <c r="H1647">
        <f t="shared" si="1720"/>
        <v>2037</v>
      </c>
      <c r="I1647">
        <v>1</v>
      </c>
      <c r="J1647">
        <f t="shared" si="1723"/>
        <v>19.752799999999834</v>
      </c>
      <c r="K1647">
        <f t="shared" si="1724"/>
        <v>0</v>
      </c>
      <c r="L1647">
        <f t="shared" si="1725"/>
        <v>19.752799999999834</v>
      </c>
    </row>
    <row r="1648" spans="2:12">
      <c r="B1648" s="1">
        <v>50286</v>
      </c>
      <c r="C1648" t="s">
        <v>24</v>
      </c>
      <c r="D1648">
        <v>26</v>
      </c>
      <c r="E1648">
        <v>47.6</v>
      </c>
      <c r="F1648">
        <f t="shared" si="1721"/>
        <v>12.376000000000001</v>
      </c>
      <c r="G1648">
        <f t="shared" ref="G1648:G1711" si="1768">D1648</f>
        <v>26</v>
      </c>
      <c r="H1648">
        <f t="shared" si="1720"/>
        <v>2037</v>
      </c>
      <c r="I1648">
        <v>1</v>
      </c>
      <c r="J1648">
        <f t="shared" si="1723"/>
        <v>32.128799999999835</v>
      </c>
      <c r="K1648">
        <f t="shared" si="1724"/>
        <v>0</v>
      </c>
      <c r="L1648">
        <f t="shared" si="1725"/>
        <v>32.128799999999835</v>
      </c>
    </row>
    <row r="1649" spans="2:12">
      <c r="B1649" s="1">
        <v>50287</v>
      </c>
      <c r="C1649" t="s">
        <v>18</v>
      </c>
      <c r="D1649">
        <v>18</v>
      </c>
      <c r="E1649">
        <v>5.3</v>
      </c>
      <c r="F1649">
        <f t="shared" si="1721"/>
        <v>0.95399999999999996</v>
      </c>
      <c r="G1649">
        <f t="shared" ref="G1649:G1712" si="1769">D1648+D1649</f>
        <v>44</v>
      </c>
      <c r="H1649">
        <f t="shared" si="1720"/>
        <v>2037</v>
      </c>
      <c r="I1649">
        <v>1</v>
      </c>
      <c r="J1649">
        <f t="shared" si="1723"/>
        <v>33.082799999999835</v>
      </c>
      <c r="K1649">
        <f t="shared" si="1724"/>
        <v>0</v>
      </c>
      <c r="L1649">
        <f t="shared" si="1725"/>
        <v>33.082799999999835</v>
      </c>
    </row>
    <row r="1650" spans="2:12">
      <c r="B1650" s="1">
        <v>50288</v>
      </c>
      <c r="C1650" t="s">
        <v>37</v>
      </c>
      <c r="D1650">
        <v>15.8</v>
      </c>
      <c r="E1650">
        <v>3.6</v>
      </c>
      <c r="F1650">
        <f t="shared" si="1721"/>
        <v>0.56879999999999997</v>
      </c>
      <c r="G1650">
        <f t="shared" ref="G1650" si="1770">D1648+D1649+D1650</f>
        <v>59.8</v>
      </c>
      <c r="H1650">
        <f t="shared" si="1720"/>
        <v>2037</v>
      </c>
      <c r="I1650">
        <v>1</v>
      </c>
      <c r="J1650">
        <f t="shared" si="1723"/>
        <v>33.651599999999839</v>
      </c>
      <c r="K1650">
        <f t="shared" si="1724"/>
        <v>0</v>
      </c>
      <c r="L1650">
        <f t="shared" si="1725"/>
        <v>33.651599999999839</v>
      </c>
    </row>
    <row r="1651" spans="2:12">
      <c r="B1651" s="1">
        <v>50289</v>
      </c>
      <c r="C1651" t="s">
        <v>36</v>
      </c>
      <c r="D1651">
        <v>14.1</v>
      </c>
      <c r="E1651">
        <v>6.8</v>
      </c>
      <c r="F1651">
        <f t="shared" si="1721"/>
        <v>0.95879999999999999</v>
      </c>
      <c r="G1651">
        <f t="shared" ref="G1651" si="1771">D1648+D1649+D1650+D1651</f>
        <v>73.899999999999991</v>
      </c>
      <c r="H1651">
        <f t="shared" si="1720"/>
        <v>2037</v>
      </c>
      <c r="I1651">
        <v>1</v>
      </c>
      <c r="J1651">
        <f t="shared" si="1723"/>
        <v>34.610399999999835</v>
      </c>
      <c r="K1651">
        <f t="shared" si="1724"/>
        <v>0</v>
      </c>
      <c r="L1651">
        <f t="shared" si="1725"/>
        <v>34.610399999999835</v>
      </c>
    </row>
    <row r="1652" spans="2:12">
      <c r="B1652" s="1">
        <v>50290</v>
      </c>
      <c r="C1652" t="s">
        <v>37</v>
      </c>
      <c r="D1652">
        <v>22.3</v>
      </c>
      <c r="E1652">
        <v>1.8</v>
      </c>
      <c r="F1652">
        <f t="shared" si="1721"/>
        <v>0.40139999999999998</v>
      </c>
      <c r="G1652">
        <f t="shared" ref="G1652" si="1772">D1648+D1649+D1650+D1651+D1652</f>
        <v>96.199999999999989</v>
      </c>
      <c r="H1652">
        <f t="shared" si="1720"/>
        <v>2037</v>
      </c>
      <c r="I1652">
        <v>1</v>
      </c>
      <c r="J1652">
        <f t="shared" si="1723"/>
        <v>35.011799999999837</v>
      </c>
      <c r="K1652">
        <f t="shared" si="1724"/>
        <v>0</v>
      </c>
      <c r="L1652">
        <f t="shared" si="1725"/>
        <v>35.011799999999837</v>
      </c>
    </row>
    <row r="1653" spans="2:12">
      <c r="B1653" s="1">
        <v>50291</v>
      </c>
      <c r="C1653" t="s">
        <v>50</v>
      </c>
      <c r="D1653">
        <v>22.2</v>
      </c>
      <c r="E1653">
        <v>0</v>
      </c>
      <c r="F1653">
        <f t="shared" si="1721"/>
        <v>0</v>
      </c>
      <c r="G1653">
        <f t="shared" ref="G1653" si="1773">D1648+D1649+D1650+D1651+D1652+D1653</f>
        <v>118.39999999999999</v>
      </c>
      <c r="H1653">
        <f t="shared" si="1720"/>
        <v>2037</v>
      </c>
      <c r="I1653">
        <v>1</v>
      </c>
      <c r="J1653">
        <f t="shared" si="1723"/>
        <v>35.011799999999837</v>
      </c>
      <c r="K1653">
        <f t="shared" si="1724"/>
        <v>0</v>
      </c>
      <c r="L1653">
        <f t="shared" si="1725"/>
        <v>35.011799999999837</v>
      </c>
    </row>
    <row r="1654" spans="2:12">
      <c r="B1654" s="1">
        <v>50292</v>
      </c>
      <c r="C1654" t="s">
        <v>17</v>
      </c>
      <c r="D1654">
        <v>23.8</v>
      </c>
      <c r="E1654">
        <v>0</v>
      </c>
      <c r="F1654">
        <f t="shared" si="1721"/>
        <v>0</v>
      </c>
      <c r="G1654">
        <f t="shared" ref="G1654" si="1774">D1648+D1649+D1650+D1651+D1652+D1653+D1654</f>
        <v>142.19999999999999</v>
      </c>
      <c r="H1654">
        <f t="shared" si="1720"/>
        <v>2037</v>
      </c>
      <c r="I1654">
        <v>1</v>
      </c>
      <c r="J1654">
        <f t="shared" si="1723"/>
        <v>35.011799999999837</v>
      </c>
      <c r="K1654">
        <f t="shared" si="1724"/>
        <v>0</v>
      </c>
      <c r="L1654">
        <f t="shared" si="1725"/>
        <v>35.011799999999837</v>
      </c>
    </row>
    <row r="1655" spans="2:12">
      <c r="B1655" s="1">
        <v>50293</v>
      </c>
      <c r="C1655" t="s">
        <v>31</v>
      </c>
      <c r="D1655">
        <v>10</v>
      </c>
      <c r="E1655">
        <v>8.1</v>
      </c>
      <c r="F1655">
        <f t="shared" si="1721"/>
        <v>0.81</v>
      </c>
      <c r="G1655">
        <f t="shared" ref="G1655:G1718" si="1775">D1655</f>
        <v>10</v>
      </c>
      <c r="H1655">
        <f t="shared" si="1720"/>
        <v>2037</v>
      </c>
      <c r="I1655">
        <v>1</v>
      </c>
      <c r="J1655">
        <f t="shared" si="1723"/>
        <v>35.82179999999984</v>
      </c>
      <c r="K1655">
        <f t="shared" si="1724"/>
        <v>0</v>
      </c>
      <c r="L1655">
        <f t="shared" si="1725"/>
        <v>35.82179999999984</v>
      </c>
    </row>
    <row r="1656" spans="2:12">
      <c r="B1656" s="1">
        <v>50294</v>
      </c>
      <c r="C1656" t="s">
        <v>37</v>
      </c>
      <c r="D1656">
        <v>23.8</v>
      </c>
      <c r="E1656">
        <v>0</v>
      </c>
      <c r="F1656">
        <f t="shared" si="1721"/>
        <v>0</v>
      </c>
      <c r="G1656">
        <f t="shared" ref="G1656:G1719" si="1776">D1655+D1656</f>
        <v>33.799999999999997</v>
      </c>
      <c r="H1656">
        <f t="shared" si="1720"/>
        <v>2037</v>
      </c>
      <c r="I1656">
        <v>1</v>
      </c>
      <c r="J1656">
        <f t="shared" si="1723"/>
        <v>35.82179999999984</v>
      </c>
      <c r="K1656">
        <f t="shared" si="1724"/>
        <v>0</v>
      </c>
      <c r="L1656">
        <f t="shared" si="1725"/>
        <v>35.82179999999984</v>
      </c>
    </row>
    <row r="1657" spans="2:12">
      <c r="B1657" s="1">
        <v>50295</v>
      </c>
      <c r="C1657" t="s">
        <v>35</v>
      </c>
      <c r="D1657">
        <v>13.4</v>
      </c>
      <c r="E1657">
        <v>2.6</v>
      </c>
      <c r="F1657">
        <f t="shared" si="1721"/>
        <v>0.34840000000000004</v>
      </c>
      <c r="G1657">
        <f t="shared" ref="G1657" si="1777">D1655+D1656+D1657</f>
        <v>47.199999999999996</v>
      </c>
      <c r="H1657">
        <f t="shared" si="1720"/>
        <v>2037</v>
      </c>
      <c r="I1657">
        <v>1</v>
      </c>
      <c r="J1657">
        <f t="shared" si="1723"/>
        <v>36.170199999999838</v>
      </c>
      <c r="K1657">
        <f t="shared" si="1724"/>
        <v>0</v>
      </c>
      <c r="L1657">
        <f t="shared" si="1725"/>
        <v>36.170199999999838</v>
      </c>
    </row>
    <row r="1658" spans="2:12">
      <c r="B1658" s="1">
        <v>50296</v>
      </c>
      <c r="C1658" t="s">
        <v>37</v>
      </c>
      <c r="D1658">
        <v>17</v>
      </c>
      <c r="E1658">
        <v>1.5</v>
      </c>
      <c r="F1658">
        <f t="shared" si="1721"/>
        <v>0.255</v>
      </c>
      <c r="G1658">
        <f t="shared" ref="G1658" si="1778">D1655+D1656+D1657+D1658</f>
        <v>64.199999999999989</v>
      </c>
      <c r="H1658">
        <f t="shared" si="1720"/>
        <v>2037</v>
      </c>
      <c r="I1658">
        <v>1</v>
      </c>
      <c r="J1658">
        <f t="shared" si="1723"/>
        <v>36.42519999999984</v>
      </c>
      <c r="K1658">
        <f t="shared" si="1724"/>
        <v>0</v>
      </c>
      <c r="L1658">
        <f t="shared" si="1725"/>
        <v>36.42519999999984</v>
      </c>
    </row>
    <row r="1659" spans="2:12">
      <c r="B1659" s="1">
        <v>50297</v>
      </c>
      <c r="C1659" t="s">
        <v>17</v>
      </c>
      <c r="D1659">
        <v>25.5</v>
      </c>
      <c r="E1659">
        <v>0</v>
      </c>
      <c r="F1659">
        <f t="shared" si="1721"/>
        <v>0</v>
      </c>
      <c r="G1659">
        <f t="shared" ref="G1659" si="1779">D1655+D1656+D1657+D1658+D1659</f>
        <v>89.699999999999989</v>
      </c>
      <c r="H1659">
        <f t="shared" si="1720"/>
        <v>2037</v>
      </c>
      <c r="I1659">
        <v>1</v>
      </c>
      <c r="J1659">
        <f t="shared" si="1723"/>
        <v>36.42519999999984</v>
      </c>
      <c r="K1659">
        <f t="shared" si="1724"/>
        <v>0</v>
      </c>
      <c r="L1659">
        <f t="shared" si="1725"/>
        <v>36.42519999999984</v>
      </c>
    </row>
    <row r="1660" spans="2:12">
      <c r="B1660" s="1">
        <v>50298</v>
      </c>
      <c r="C1660" t="s">
        <v>31</v>
      </c>
      <c r="D1660">
        <v>19.7</v>
      </c>
      <c r="E1660">
        <v>0</v>
      </c>
      <c r="F1660">
        <f t="shared" si="1721"/>
        <v>0</v>
      </c>
      <c r="G1660">
        <f t="shared" ref="G1660" si="1780">D1655+D1656+D1657+D1658+D1659+D1660</f>
        <v>109.39999999999999</v>
      </c>
      <c r="H1660">
        <f t="shared" si="1720"/>
        <v>2037</v>
      </c>
      <c r="I1660">
        <v>1</v>
      </c>
      <c r="J1660">
        <f t="shared" si="1723"/>
        <v>36.42519999999984</v>
      </c>
      <c r="K1660">
        <f t="shared" si="1724"/>
        <v>0</v>
      </c>
      <c r="L1660">
        <f t="shared" si="1725"/>
        <v>36.42519999999984</v>
      </c>
    </row>
    <row r="1661" spans="2:12">
      <c r="B1661" s="1">
        <v>50299</v>
      </c>
      <c r="C1661" t="s">
        <v>24</v>
      </c>
      <c r="D1661">
        <v>22.8</v>
      </c>
      <c r="E1661">
        <v>10.7</v>
      </c>
      <c r="F1661">
        <f t="shared" si="1721"/>
        <v>2.4396</v>
      </c>
      <c r="G1661">
        <f t="shared" ref="G1661" si="1781">D1655+D1656+D1657+D1658+D1659+D1660+D1661</f>
        <v>132.19999999999999</v>
      </c>
      <c r="H1661">
        <f t="shared" si="1720"/>
        <v>2037</v>
      </c>
      <c r="I1661">
        <v>1</v>
      </c>
      <c r="J1661">
        <f t="shared" si="1723"/>
        <v>38.864799999999839</v>
      </c>
      <c r="K1661">
        <f t="shared" si="1724"/>
        <v>0</v>
      </c>
      <c r="L1661">
        <f t="shared" si="1725"/>
        <v>38.864799999999839</v>
      </c>
    </row>
    <row r="1662" spans="2:12">
      <c r="B1662" s="1">
        <v>50300</v>
      </c>
      <c r="C1662" t="s">
        <v>33</v>
      </c>
      <c r="D1662">
        <v>25.5</v>
      </c>
      <c r="E1662">
        <v>0</v>
      </c>
      <c r="F1662">
        <f t="shared" si="1721"/>
        <v>0</v>
      </c>
      <c r="G1662">
        <f t="shared" ref="G1662:G1725" si="1782">D1662</f>
        <v>25.5</v>
      </c>
      <c r="H1662">
        <f t="shared" si="1720"/>
        <v>2037</v>
      </c>
      <c r="I1662">
        <v>1</v>
      </c>
      <c r="J1662">
        <f t="shared" si="1723"/>
        <v>38.864799999999839</v>
      </c>
      <c r="K1662">
        <f t="shared" si="1724"/>
        <v>0</v>
      </c>
      <c r="L1662">
        <f t="shared" si="1725"/>
        <v>38.864799999999839</v>
      </c>
    </row>
    <row r="1663" spans="2:12">
      <c r="B1663" s="1">
        <v>50301</v>
      </c>
      <c r="C1663" t="s">
        <v>24</v>
      </c>
      <c r="D1663">
        <v>16.8</v>
      </c>
      <c r="E1663">
        <v>2.2000000000000002</v>
      </c>
      <c r="F1663">
        <f t="shared" si="1721"/>
        <v>0.3696000000000001</v>
      </c>
      <c r="G1663">
        <f t="shared" ref="G1663:G1726" si="1783">D1662+D1663</f>
        <v>42.3</v>
      </c>
      <c r="H1663">
        <f t="shared" si="1720"/>
        <v>2037</v>
      </c>
      <c r="I1663">
        <v>1</v>
      </c>
      <c r="J1663">
        <f t="shared" si="1723"/>
        <v>39.234399999999837</v>
      </c>
      <c r="K1663">
        <f t="shared" si="1724"/>
        <v>0</v>
      </c>
      <c r="L1663">
        <f t="shared" si="1725"/>
        <v>39.234399999999837</v>
      </c>
    </row>
    <row r="1664" spans="2:12">
      <c r="B1664" s="1">
        <v>50302</v>
      </c>
      <c r="C1664" t="s">
        <v>35</v>
      </c>
      <c r="D1664">
        <v>25.3</v>
      </c>
      <c r="E1664">
        <v>2.5</v>
      </c>
      <c r="F1664">
        <f t="shared" si="1721"/>
        <v>0.63249999999999995</v>
      </c>
      <c r="G1664">
        <f t="shared" ref="G1664" si="1784">D1662+D1663+D1664</f>
        <v>67.599999999999994</v>
      </c>
      <c r="H1664">
        <f t="shared" si="1720"/>
        <v>2037</v>
      </c>
      <c r="I1664">
        <v>1</v>
      </c>
      <c r="J1664">
        <f t="shared" si="1723"/>
        <v>39.866899999999838</v>
      </c>
      <c r="K1664">
        <f t="shared" si="1724"/>
        <v>0</v>
      </c>
      <c r="L1664">
        <f t="shared" si="1725"/>
        <v>39.866899999999838</v>
      </c>
    </row>
    <row r="1665" spans="2:12">
      <c r="B1665" s="1">
        <v>50303</v>
      </c>
      <c r="C1665" t="s">
        <v>49</v>
      </c>
      <c r="D1665">
        <v>26.3</v>
      </c>
      <c r="E1665">
        <v>0.4</v>
      </c>
      <c r="F1665">
        <f t="shared" si="1721"/>
        <v>0</v>
      </c>
      <c r="G1665">
        <f t="shared" ref="G1665" si="1785">D1662+D1663+D1664+D1665</f>
        <v>93.899999999999991</v>
      </c>
      <c r="H1665">
        <f t="shared" si="1720"/>
        <v>2037</v>
      </c>
      <c r="I1665">
        <v>1</v>
      </c>
      <c r="J1665">
        <f t="shared" si="1723"/>
        <v>39.866899999999838</v>
      </c>
      <c r="K1665">
        <f t="shared" si="1724"/>
        <v>0</v>
      </c>
      <c r="L1665">
        <f t="shared" si="1725"/>
        <v>39.866899999999838</v>
      </c>
    </row>
    <row r="1666" spans="2:12">
      <c r="B1666" s="1">
        <v>50304</v>
      </c>
      <c r="C1666" t="s">
        <v>27</v>
      </c>
      <c r="D1666">
        <v>21.9</v>
      </c>
      <c r="E1666">
        <v>7</v>
      </c>
      <c r="F1666">
        <f t="shared" si="1721"/>
        <v>1.5329999999999999</v>
      </c>
      <c r="G1666">
        <f t="shared" ref="G1666" si="1786">D1662+D1663+D1664+D1665+D1666</f>
        <v>115.79999999999998</v>
      </c>
      <c r="H1666">
        <f t="shared" si="1720"/>
        <v>2037</v>
      </c>
      <c r="I1666">
        <v>1</v>
      </c>
      <c r="J1666">
        <f t="shared" si="1723"/>
        <v>41.399899999999839</v>
      </c>
      <c r="K1666">
        <f t="shared" si="1724"/>
        <v>0</v>
      </c>
      <c r="L1666">
        <f t="shared" si="1725"/>
        <v>41.399899999999839</v>
      </c>
    </row>
    <row r="1667" spans="2:12">
      <c r="B1667" s="1">
        <v>50305</v>
      </c>
      <c r="C1667" t="s">
        <v>27</v>
      </c>
      <c r="D1667">
        <v>11.2</v>
      </c>
      <c r="E1667">
        <v>0</v>
      </c>
      <c r="F1667">
        <f t="shared" si="1721"/>
        <v>0</v>
      </c>
      <c r="G1667">
        <f t="shared" ref="G1667" si="1787">D1662+D1663+D1664+D1665+D1666+D1667</f>
        <v>126.99999999999999</v>
      </c>
      <c r="H1667">
        <f t="shared" si="1720"/>
        <v>2037</v>
      </c>
      <c r="I1667">
        <v>1</v>
      </c>
      <c r="J1667">
        <f t="shared" si="1723"/>
        <v>41.399899999999839</v>
      </c>
      <c r="K1667">
        <f t="shared" si="1724"/>
        <v>0</v>
      </c>
      <c r="L1667">
        <f t="shared" si="1725"/>
        <v>41.399899999999839</v>
      </c>
    </row>
    <row r="1668" spans="2:12">
      <c r="B1668" s="1">
        <v>50306</v>
      </c>
      <c r="C1668" t="s">
        <v>32</v>
      </c>
      <c r="D1668">
        <v>10.6</v>
      </c>
      <c r="E1668">
        <v>5.2</v>
      </c>
      <c r="F1668">
        <f t="shared" si="1721"/>
        <v>0.55120000000000002</v>
      </c>
      <c r="G1668">
        <f t="shared" ref="G1668" si="1788">D1662+D1663+D1664+D1665+D1666+D1667+D1668</f>
        <v>137.6</v>
      </c>
      <c r="H1668">
        <f t="shared" ref="H1668:H1731" si="1789">YEAR(B1668)</f>
        <v>2037</v>
      </c>
      <c r="I1668">
        <v>1</v>
      </c>
      <c r="J1668">
        <f t="shared" si="1723"/>
        <v>41.95109999999984</v>
      </c>
      <c r="K1668">
        <f t="shared" si="1724"/>
        <v>0</v>
      </c>
      <c r="L1668">
        <f t="shared" si="1725"/>
        <v>41.95109999999984</v>
      </c>
    </row>
    <row r="1669" spans="2:12">
      <c r="B1669" s="1">
        <v>50307</v>
      </c>
      <c r="C1669" t="s">
        <v>26</v>
      </c>
      <c r="D1669">
        <v>17.7</v>
      </c>
      <c r="E1669">
        <v>1</v>
      </c>
      <c r="F1669">
        <f t="shared" ref="F1669:F1732" si="1790">IF(E1669&gt;=1,D1669*E1669/100,0)</f>
        <v>0.17699999999999999</v>
      </c>
      <c r="G1669">
        <f t="shared" ref="G1669:G1732" si="1791">D1669</f>
        <v>17.7</v>
      </c>
      <c r="H1669">
        <f t="shared" si="1789"/>
        <v>2037</v>
      </c>
      <c r="I1669">
        <v>1</v>
      </c>
      <c r="J1669">
        <f t="shared" ref="J1669:J1732" si="1792">L1668+F1669</f>
        <v>42.12809999999984</v>
      </c>
      <c r="K1669">
        <f t="shared" ref="K1669:K1732" si="1793">IF(J1669&gt;=100,1,0)</f>
        <v>0</v>
      </c>
      <c r="L1669">
        <f t="shared" ref="L1669:L1732" si="1794">IF(K1669=1,J1669-100,J1669)</f>
        <v>42.12809999999984</v>
      </c>
    </row>
    <row r="1670" spans="2:12">
      <c r="B1670" s="1">
        <v>50308</v>
      </c>
      <c r="C1670" t="s">
        <v>18</v>
      </c>
      <c r="D1670">
        <v>19.899999999999999</v>
      </c>
      <c r="E1670">
        <v>0</v>
      </c>
      <c r="F1670">
        <f t="shared" si="1790"/>
        <v>0</v>
      </c>
      <c r="G1670">
        <f t="shared" ref="G1670:G1733" si="1795">D1669+D1670</f>
        <v>37.599999999999994</v>
      </c>
      <c r="H1670">
        <f t="shared" si="1789"/>
        <v>2037</v>
      </c>
      <c r="I1670">
        <v>1</v>
      </c>
      <c r="J1670">
        <f t="shared" si="1792"/>
        <v>42.12809999999984</v>
      </c>
      <c r="K1670">
        <f t="shared" si="1793"/>
        <v>0</v>
      </c>
      <c r="L1670">
        <f t="shared" si="1794"/>
        <v>42.12809999999984</v>
      </c>
    </row>
    <row r="1671" spans="2:12">
      <c r="B1671" s="1">
        <v>50309</v>
      </c>
      <c r="C1671" t="s">
        <v>24</v>
      </c>
      <c r="D1671">
        <v>25.1</v>
      </c>
      <c r="E1671">
        <v>42.1</v>
      </c>
      <c r="F1671">
        <f t="shared" si="1790"/>
        <v>10.5671</v>
      </c>
      <c r="G1671">
        <f t="shared" ref="G1671" si="1796">D1669+D1670+D1671</f>
        <v>62.699999999999996</v>
      </c>
      <c r="H1671">
        <f t="shared" si="1789"/>
        <v>2037</v>
      </c>
      <c r="I1671">
        <v>1</v>
      </c>
      <c r="J1671">
        <f t="shared" si="1792"/>
        <v>52.695199999999843</v>
      </c>
      <c r="K1671">
        <f t="shared" si="1793"/>
        <v>0</v>
      </c>
      <c r="L1671">
        <f t="shared" si="1794"/>
        <v>52.695199999999843</v>
      </c>
    </row>
    <row r="1672" spans="2:12">
      <c r="B1672" s="1">
        <v>50310</v>
      </c>
      <c r="C1672" t="s">
        <v>21</v>
      </c>
      <c r="D1672">
        <v>18.5</v>
      </c>
      <c r="E1672">
        <v>0.3</v>
      </c>
      <c r="F1672">
        <f t="shared" si="1790"/>
        <v>0</v>
      </c>
      <c r="G1672">
        <f t="shared" ref="G1672" si="1797">D1669+D1670+D1671+D1672</f>
        <v>81.199999999999989</v>
      </c>
      <c r="H1672">
        <f t="shared" si="1789"/>
        <v>2037</v>
      </c>
      <c r="I1672">
        <v>1</v>
      </c>
      <c r="J1672">
        <f t="shared" si="1792"/>
        <v>52.695199999999843</v>
      </c>
      <c r="K1672">
        <f t="shared" si="1793"/>
        <v>0</v>
      </c>
      <c r="L1672">
        <f t="shared" si="1794"/>
        <v>52.695199999999843</v>
      </c>
    </row>
    <row r="1673" spans="2:12">
      <c r="B1673" s="1">
        <v>50311</v>
      </c>
      <c r="C1673" t="s">
        <v>24</v>
      </c>
      <c r="D1673">
        <v>25.5</v>
      </c>
      <c r="E1673">
        <v>25.3</v>
      </c>
      <c r="F1673">
        <f t="shared" si="1790"/>
        <v>6.4514999999999993</v>
      </c>
      <c r="G1673">
        <f t="shared" ref="G1673" si="1798">D1669+D1670+D1671+D1672+D1673</f>
        <v>106.69999999999999</v>
      </c>
      <c r="H1673">
        <f t="shared" si="1789"/>
        <v>2037</v>
      </c>
      <c r="I1673">
        <v>1</v>
      </c>
      <c r="J1673">
        <f t="shared" si="1792"/>
        <v>59.146699999999839</v>
      </c>
      <c r="K1673">
        <f t="shared" si="1793"/>
        <v>0</v>
      </c>
      <c r="L1673">
        <f t="shared" si="1794"/>
        <v>59.146699999999839</v>
      </c>
    </row>
    <row r="1674" spans="2:12">
      <c r="B1674" s="1">
        <v>50312</v>
      </c>
      <c r="C1674" t="s">
        <v>24</v>
      </c>
      <c r="D1674">
        <v>12.8</v>
      </c>
      <c r="E1674">
        <v>0</v>
      </c>
      <c r="F1674">
        <f t="shared" si="1790"/>
        <v>0</v>
      </c>
      <c r="G1674">
        <f t="shared" ref="G1674" si="1799">D1669+D1670+D1671+D1672+D1673+D1674</f>
        <v>119.49999999999999</v>
      </c>
      <c r="H1674">
        <f t="shared" si="1789"/>
        <v>2037</v>
      </c>
      <c r="I1674">
        <v>1</v>
      </c>
      <c r="J1674">
        <f t="shared" si="1792"/>
        <v>59.146699999999839</v>
      </c>
      <c r="K1674">
        <f t="shared" si="1793"/>
        <v>0</v>
      </c>
      <c r="L1674">
        <f t="shared" si="1794"/>
        <v>59.146699999999839</v>
      </c>
    </row>
    <row r="1675" spans="2:12">
      <c r="B1675" s="1">
        <v>50313</v>
      </c>
      <c r="C1675" t="s">
        <v>50</v>
      </c>
      <c r="D1675">
        <v>23.6</v>
      </c>
      <c r="E1675">
        <v>34.299999999999997</v>
      </c>
      <c r="F1675">
        <f t="shared" si="1790"/>
        <v>8.0947999999999993</v>
      </c>
      <c r="G1675">
        <f t="shared" ref="G1675" si="1800">D1669+D1670+D1671+D1672+D1673+D1674+D1675</f>
        <v>143.1</v>
      </c>
      <c r="H1675">
        <f t="shared" si="1789"/>
        <v>2037</v>
      </c>
      <c r="I1675">
        <v>1</v>
      </c>
      <c r="J1675">
        <f t="shared" si="1792"/>
        <v>67.241499999999832</v>
      </c>
      <c r="K1675">
        <f t="shared" si="1793"/>
        <v>0</v>
      </c>
      <c r="L1675">
        <f t="shared" si="1794"/>
        <v>67.241499999999832</v>
      </c>
    </row>
    <row r="1676" spans="2:12">
      <c r="B1676" s="1">
        <v>50314</v>
      </c>
      <c r="C1676" t="s">
        <v>32</v>
      </c>
      <c r="D1676">
        <v>13.1</v>
      </c>
      <c r="E1676">
        <v>2</v>
      </c>
      <c r="F1676">
        <f t="shared" si="1790"/>
        <v>0.26200000000000001</v>
      </c>
      <c r="G1676">
        <f t="shared" ref="G1676:G1739" si="1801">D1676</f>
        <v>13.1</v>
      </c>
      <c r="H1676">
        <f t="shared" si="1789"/>
        <v>2037</v>
      </c>
      <c r="I1676">
        <v>1</v>
      </c>
      <c r="J1676">
        <f t="shared" si="1792"/>
        <v>67.503499999999832</v>
      </c>
      <c r="K1676">
        <f t="shared" si="1793"/>
        <v>0</v>
      </c>
      <c r="L1676">
        <f t="shared" si="1794"/>
        <v>67.503499999999832</v>
      </c>
    </row>
    <row r="1677" spans="2:12">
      <c r="B1677" s="1">
        <v>50315</v>
      </c>
      <c r="C1677" t="s">
        <v>35</v>
      </c>
      <c r="D1677">
        <v>23</v>
      </c>
      <c r="E1677">
        <v>0</v>
      </c>
      <c r="F1677">
        <f t="shared" si="1790"/>
        <v>0</v>
      </c>
      <c r="G1677">
        <f t="shared" ref="G1677:G1740" si="1802">D1676+D1677</f>
        <v>36.1</v>
      </c>
      <c r="H1677">
        <f t="shared" si="1789"/>
        <v>2037</v>
      </c>
      <c r="I1677">
        <v>1</v>
      </c>
      <c r="J1677">
        <f t="shared" si="1792"/>
        <v>67.503499999999832</v>
      </c>
      <c r="K1677">
        <f t="shared" si="1793"/>
        <v>0</v>
      </c>
      <c r="L1677">
        <f t="shared" si="1794"/>
        <v>67.503499999999832</v>
      </c>
    </row>
    <row r="1678" spans="2:12">
      <c r="B1678" s="1">
        <v>50316</v>
      </c>
      <c r="C1678" t="s">
        <v>27</v>
      </c>
      <c r="D1678">
        <v>13</v>
      </c>
      <c r="E1678">
        <v>15.8</v>
      </c>
      <c r="F1678">
        <f t="shared" si="1790"/>
        <v>2.0540000000000003</v>
      </c>
      <c r="G1678">
        <f t="shared" ref="G1678" si="1803">D1676+D1677+D1678</f>
        <v>49.1</v>
      </c>
      <c r="H1678">
        <f t="shared" si="1789"/>
        <v>2037</v>
      </c>
      <c r="I1678">
        <v>1</v>
      </c>
      <c r="J1678">
        <f t="shared" si="1792"/>
        <v>69.557499999999834</v>
      </c>
      <c r="K1678">
        <f t="shared" si="1793"/>
        <v>0</v>
      </c>
      <c r="L1678">
        <f t="shared" si="1794"/>
        <v>69.557499999999834</v>
      </c>
    </row>
    <row r="1679" spans="2:12">
      <c r="B1679" s="1">
        <v>50317</v>
      </c>
      <c r="C1679" t="s">
        <v>21</v>
      </c>
      <c r="D1679">
        <v>19.5</v>
      </c>
      <c r="E1679">
        <v>8</v>
      </c>
      <c r="F1679">
        <f t="shared" si="1790"/>
        <v>1.56</v>
      </c>
      <c r="G1679">
        <f t="shared" ref="G1679" si="1804">D1676+D1677+D1678+D1679</f>
        <v>68.599999999999994</v>
      </c>
      <c r="H1679">
        <f t="shared" si="1789"/>
        <v>2037</v>
      </c>
      <c r="I1679">
        <v>1</v>
      </c>
      <c r="J1679">
        <f t="shared" si="1792"/>
        <v>71.117499999999836</v>
      </c>
      <c r="K1679">
        <f t="shared" si="1793"/>
        <v>0</v>
      </c>
      <c r="L1679">
        <f t="shared" si="1794"/>
        <v>71.117499999999836</v>
      </c>
    </row>
    <row r="1680" spans="2:12">
      <c r="B1680" s="1">
        <v>50318</v>
      </c>
      <c r="C1680" t="s">
        <v>18</v>
      </c>
      <c r="D1680">
        <v>19.2</v>
      </c>
      <c r="E1680">
        <v>0</v>
      </c>
      <c r="F1680">
        <f t="shared" si="1790"/>
        <v>0</v>
      </c>
      <c r="G1680">
        <f t="shared" ref="G1680" si="1805">D1676+D1677+D1678+D1679+D1680</f>
        <v>87.8</v>
      </c>
      <c r="H1680">
        <f t="shared" si="1789"/>
        <v>2037</v>
      </c>
      <c r="I1680">
        <v>1</v>
      </c>
      <c r="J1680">
        <f t="shared" si="1792"/>
        <v>71.117499999999836</v>
      </c>
      <c r="K1680">
        <f t="shared" si="1793"/>
        <v>0</v>
      </c>
      <c r="L1680">
        <f t="shared" si="1794"/>
        <v>71.117499999999836</v>
      </c>
    </row>
    <row r="1681" spans="2:12">
      <c r="B1681" s="1">
        <v>50319</v>
      </c>
      <c r="C1681" t="s">
        <v>15</v>
      </c>
      <c r="D1681">
        <v>28.3</v>
      </c>
      <c r="E1681">
        <v>1.1000000000000001</v>
      </c>
      <c r="F1681">
        <f t="shared" si="1790"/>
        <v>0.31130000000000002</v>
      </c>
      <c r="G1681">
        <f t="shared" ref="G1681" si="1806">D1676+D1677+D1678+D1679+D1680+D1681</f>
        <v>116.1</v>
      </c>
      <c r="H1681">
        <f t="shared" si="1789"/>
        <v>2037</v>
      </c>
      <c r="I1681">
        <v>1</v>
      </c>
      <c r="J1681">
        <f t="shared" si="1792"/>
        <v>71.428799999999839</v>
      </c>
      <c r="K1681">
        <f t="shared" si="1793"/>
        <v>0</v>
      </c>
      <c r="L1681">
        <f t="shared" si="1794"/>
        <v>71.428799999999839</v>
      </c>
    </row>
    <row r="1682" spans="2:12">
      <c r="B1682" s="1">
        <v>50320</v>
      </c>
      <c r="C1682" t="s">
        <v>24</v>
      </c>
      <c r="D1682">
        <v>18.100000000000001</v>
      </c>
      <c r="E1682">
        <v>0</v>
      </c>
      <c r="F1682">
        <f t="shared" si="1790"/>
        <v>0</v>
      </c>
      <c r="G1682">
        <f t="shared" ref="G1682" si="1807">D1676+D1677+D1678+D1679+D1680+D1681+D1682</f>
        <v>134.19999999999999</v>
      </c>
      <c r="H1682">
        <f t="shared" si="1789"/>
        <v>2037</v>
      </c>
      <c r="I1682">
        <v>1</v>
      </c>
      <c r="J1682">
        <f t="shared" si="1792"/>
        <v>71.428799999999839</v>
      </c>
      <c r="K1682">
        <f t="shared" si="1793"/>
        <v>0</v>
      </c>
      <c r="L1682">
        <f t="shared" si="1794"/>
        <v>71.428799999999839</v>
      </c>
    </row>
    <row r="1683" spans="2:12">
      <c r="B1683" s="1">
        <v>50321</v>
      </c>
      <c r="C1683" t="s">
        <v>50</v>
      </c>
      <c r="D1683">
        <v>17.5</v>
      </c>
      <c r="E1683">
        <v>13.3</v>
      </c>
      <c r="F1683">
        <f t="shared" si="1790"/>
        <v>2.3275000000000001</v>
      </c>
      <c r="G1683">
        <f t="shared" ref="G1683:G1746" si="1808">D1683</f>
        <v>17.5</v>
      </c>
      <c r="H1683">
        <f t="shared" si="1789"/>
        <v>2037</v>
      </c>
      <c r="I1683">
        <v>1</v>
      </c>
      <c r="J1683">
        <f t="shared" si="1792"/>
        <v>73.75629999999984</v>
      </c>
      <c r="K1683">
        <f t="shared" si="1793"/>
        <v>0</v>
      </c>
      <c r="L1683">
        <f t="shared" si="1794"/>
        <v>73.75629999999984</v>
      </c>
    </row>
    <row r="1684" spans="2:12">
      <c r="B1684" s="1">
        <v>50322</v>
      </c>
      <c r="C1684" t="s">
        <v>17</v>
      </c>
      <c r="D1684">
        <v>26.7</v>
      </c>
      <c r="E1684">
        <v>12.9</v>
      </c>
      <c r="F1684">
        <f t="shared" si="1790"/>
        <v>3.4443000000000001</v>
      </c>
      <c r="G1684">
        <f t="shared" ref="G1684:G1747" si="1809">D1683+D1684</f>
        <v>44.2</v>
      </c>
      <c r="H1684">
        <f t="shared" si="1789"/>
        <v>2037</v>
      </c>
      <c r="I1684">
        <v>1</v>
      </c>
      <c r="J1684">
        <f t="shared" si="1792"/>
        <v>77.200599999999838</v>
      </c>
      <c r="K1684">
        <f t="shared" si="1793"/>
        <v>0</v>
      </c>
      <c r="L1684">
        <f t="shared" si="1794"/>
        <v>77.200599999999838</v>
      </c>
    </row>
    <row r="1685" spans="2:12">
      <c r="B1685" s="1">
        <v>50323</v>
      </c>
      <c r="C1685" t="s">
        <v>50</v>
      </c>
      <c r="D1685">
        <v>26.6</v>
      </c>
      <c r="E1685">
        <v>0</v>
      </c>
      <c r="F1685">
        <f t="shared" si="1790"/>
        <v>0</v>
      </c>
      <c r="G1685">
        <f t="shared" ref="G1685" si="1810">D1683+D1684+D1685</f>
        <v>70.800000000000011</v>
      </c>
      <c r="H1685">
        <f t="shared" si="1789"/>
        <v>2037</v>
      </c>
      <c r="I1685">
        <v>1</v>
      </c>
      <c r="J1685">
        <f t="shared" si="1792"/>
        <v>77.200599999999838</v>
      </c>
      <c r="K1685">
        <f t="shared" si="1793"/>
        <v>0</v>
      </c>
      <c r="L1685">
        <f t="shared" si="1794"/>
        <v>77.200599999999838</v>
      </c>
    </row>
    <row r="1686" spans="2:12">
      <c r="B1686" s="1">
        <v>50324</v>
      </c>
      <c r="C1686" t="s">
        <v>43</v>
      </c>
      <c r="D1686">
        <v>12.2</v>
      </c>
      <c r="E1686">
        <v>1.8</v>
      </c>
      <c r="F1686">
        <f t="shared" si="1790"/>
        <v>0.21960000000000002</v>
      </c>
      <c r="G1686">
        <f t="shared" ref="G1686" si="1811">D1683+D1684+D1685+D1686</f>
        <v>83.000000000000014</v>
      </c>
      <c r="H1686">
        <f t="shared" si="1789"/>
        <v>2037</v>
      </c>
      <c r="I1686">
        <v>1</v>
      </c>
      <c r="J1686">
        <f t="shared" si="1792"/>
        <v>77.420199999999838</v>
      </c>
      <c r="K1686">
        <f t="shared" si="1793"/>
        <v>0</v>
      </c>
      <c r="L1686">
        <f t="shared" si="1794"/>
        <v>77.420199999999838</v>
      </c>
    </row>
    <row r="1687" spans="2:12">
      <c r="B1687" s="1">
        <v>50325</v>
      </c>
      <c r="C1687" t="s">
        <v>18</v>
      </c>
      <c r="D1687">
        <v>27.4</v>
      </c>
      <c r="E1687">
        <v>4.8</v>
      </c>
      <c r="F1687">
        <f t="shared" si="1790"/>
        <v>1.3151999999999999</v>
      </c>
      <c r="G1687">
        <f t="shared" ref="G1687" si="1812">D1683+D1684+D1685+D1686+D1687</f>
        <v>110.4</v>
      </c>
      <c r="H1687">
        <f t="shared" si="1789"/>
        <v>2037</v>
      </c>
      <c r="I1687">
        <v>1</v>
      </c>
      <c r="J1687">
        <f t="shared" si="1792"/>
        <v>78.735399999999842</v>
      </c>
      <c r="K1687">
        <f t="shared" si="1793"/>
        <v>0</v>
      </c>
      <c r="L1687">
        <f t="shared" si="1794"/>
        <v>78.735399999999842</v>
      </c>
    </row>
    <row r="1688" spans="2:12">
      <c r="B1688" s="1">
        <v>50326</v>
      </c>
      <c r="C1688" t="s">
        <v>27</v>
      </c>
      <c r="D1688">
        <v>24.9</v>
      </c>
      <c r="E1688">
        <v>1.6</v>
      </c>
      <c r="F1688">
        <f t="shared" si="1790"/>
        <v>0.39840000000000003</v>
      </c>
      <c r="G1688">
        <f t="shared" ref="G1688" si="1813">D1683+D1684+D1685+D1686+D1687+D1688</f>
        <v>135.30000000000001</v>
      </c>
      <c r="H1688">
        <f t="shared" si="1789"/>
        <v>2037</v>
      </c>
      <c r="I1688">
        <v>1</v>
      </c>
      <c r="J1688">
        <f t="shared" si="1792"/>
        <v>79.133799999999837</v>
      </c>
      <c r="K1688">
        <f t="shared" si="1793"/>
        <v>0</v>
      </c>
      <c r="L1688">
        <f t="shared" si="1794"/>
        <v>79.133799999999837</v>
      </c>
    </row>
    <row r="1689" spans="2:12">
      <c r="B1689" s="1">
        <v>50327</v>
      </c>
      <c r="C1689" t="s">
        <v>38</v>
      </c>
      <c r="D1689">
        <v>21.4</v>
      </c>
      <c r="E1689">
        <v>5.5</v>
      </c>
      <c r="F1689">
        <f t="shared" si="1790"/>
        <v>1.1769999999999998</v>
      </c>
      <c r="G1689">
        <f t="shared" ref="G1689" si="1814">D1683+D1684+D1685+D1686+D1687+D1688+D1689</f>
        <v>156.70000000000002</v>
      </c>
      <c r="H1689">
        <f t="shared" si="1789"/>
        <v>2037</v>
      </c>
      <c r="I1689">
        <v>1</v>
      </c>
      <c r="J1689">
        <f t="shared" si="1792"/>
        <v>80.310799999999844</v>
      </c>
      <c r="K1689">
        <f t="shared" si="1793"/>
        <v>0</v>
      </c>
      <c r="L1689">
        <f t="shared" si="1794"/>
        <v>80.310799999999844</v>
      </c>
    </row>
    <row r="1690" spans="2:12">
      <c r="B1690" s="1">
        <v>50328</v>
      </c>
      <c r="C1690" t="s">
        <v>44</v>
      </c>
      <c r="D1690">
        <v>14.1</v>
      </c>
      <c r="E1690">
        <v>0</v>
      </c>
      <c r="F1690">
        <f t="shared" si="1790"/>
        <v>0</v>
      </c>
      <c r="G1690">
        <f t="shared" ref="G1690:G1753" si="1815">D1690</f>
        <v>14.1</v>
      </c>
      <c r="H1690">
        <f t="shared" si="1789"/>
        <v>2037</v>
      </c>
      <c r="I1690">
        <v>1</v>
      </c>
      <c r="J1690">
        <f t="shared" si="1792"/>
        <v>80.310799999999844</v>
      </c>
      <c r="K1690">
        <f t="shared" si="1793"/>
        <v>0</v>
      </c>
      <c r="L1690">
        <f t="shared" si="1794"/>
        <v>80.310799999999844</v>
      </c>
    </row>
    <row r="1691" spans="2:12">
      <c r="B1691" s="1">
        <v>50329</v>
      </c>
      <c r="C1691" t="s">
        <v>49</v>
      </c>
      <c r="D1691">
        <v>15.4</v>
      </c>
      <c r="E1691">
        <v>2.1</v>
      </c>
      <c r="F1691">
        <f t="shared" si="1790"/>
        <v>0.32340000000000002</v>
      </c>
      <c r="G1691">
        <f t="shared" ref="G1691:G1754" si="1816">D1690+D1691</f>
        <v>29.5</v>
      </c>
      <c r="H1691">
        <f t="shared" si="1789"/>
        <v>2037</v>
      </c>
      <c r="I1691">
        <v>1</v>
      </c>
      <c r="J1691">
        <f t="shared" si="1792"/>
        <v>80.634199999999851</v>
      </c>
      <c r="K1691">
        <f t="shared" si="1793"/>
        <v>0</v>
      </c>
      <c r="L1691">
        <f t="shared" si="1794"/>
        <v>80.634199999999851</v>
      </c>
    </row>
    <row r="1692" spans="2:12">
      <c r="B1692" s="1">
        <v>50330</v>
      </c>
      <c r="C1692" t="s">
        <v>27</v>
      </c>
      <c r="D1692">
        <v>27.7</v>
      </c>
      <c r="E1692">
        <v>0</v>
      </c>
      <c r="F1692">
        <f t="shared" si="1790"/>
        <v>0</v>
      </c>
      <c r="G1692">
        <f t="shared" ref="G1692" si="1817">D1690+D1691+D1692</f>
        <v>57.2</v>
      </c>
      <c r="H1692">
        <f t="shared" si="1789"/>
        <v>2037</v>
      </c>
      <c r="I1692">
        <v>1</v>
      </c>
      <c r="J1692">
        <f t="shared" si="1792"/>
        <v>80.634199999999851</v>
      </c>
      <c r="K1692">
        <f t="shared" si="1793"/>
        <v>0</v>
      </c>
      <c r="L1692">
        <f t="shared" si="1794"/>
        <v>80.634199999999851</v>
      </c>
    </row>
    <row r="1693" spans="2:12">
      <c r="B1693" s="1">
        <v>50331</v>
      </c>
      <c r="C1693" t="s">
        <v>24</v>
      </c>
      <c r="D1693">
        <v>15.5</v>
      </c>
      <c r="E1693">
        <v>43.4</v>
      </c>
      <c r="F1693">
        <f t="shared" si="1790"/>
        <v>6.7269999999999994</v>
      </c>
      <c r="G1693">
        <f t="shared" ref="G1693" si="1818">D1690+D1691+D1692+D1693</f>
        <v>72.7</v>
      </c>
      <c r="H1693">
        <f t="shared" si="1789"/>
        <v>2037</v>
      </c>
      <c r="I1693">
        <v>1</v>
      </c>
      <c r="J1693">
        <f t="shared" si="1792"/>
        <v>87.361199999999855</v>
      </c>
      <c r="K1693">
        <f t="shared" si="1793"/>
        <v>0</v>
      </c>
      <c r="L1693">
        <f t="shared" si="1794"/>
        <v>87.361199999999855</v>
      </c>
    </row>
    <row r="1694" spans="2:12">
      <c r="B1694" s="1">
        <v>50332</v>
      </c>
      <c r="C1694" t="s">
        <v>18</v>
      </c>
      <c r="D1694">
        <v>26.8</v>
      </c>
      <c r="E1694">
        <v>0</v>
      </c>
      <c r="F1694">
        <f t="shared" si="1790"/>
        <v>0</v>
      </c>
      <c r="G1694">
        <f t="shared" ref="G1694" si="1819">D1690+D1691+D1692+D1693+D1694</f>
        <v>99.5</v>
      </c>
      <c r="H1694">
        <f t="shared" si="1789"/>
        <v>2037</v>
      </c>
      <c r="I1694">
        <v>1</v>
      </c>
      <c r="J1694">
        <f t="shared" si="1792"/>
        <v>87.361199999999855</v>
      </c>
      <c r="K1694">
        <f t="shared" si="1793"/>
        <v>0</v>
      </c>
      <c r="L1694">
        <f t="shared" si="1794"/>
        <v>87.361199999999855</v>
      </c>
    </row>
    <row r="1695" spans="2:12">
      <c r="B1695" s="1">
        <v>50333</v>
      </c>
      <c r="C1695" t="s">
        <v>27</v>
      </c>
      <c r="D1695">
        <v>23.1</v>
      </c>
      <c r="E1695">
        <v>9.1</v>
      </c>
      <c r="F1695">
        <f t="shared" si="1790"/>
        <v>2.1021000000000001</v>
      </c>
      <c r="G1695">
        <f t="shared" ref="G1695" si="1820">D1690+D1691+D1692+D1693+D1694+D1695</f>
        <v>122.6</v>
      </c>
      <c r="H1695">
        <f t="shared" si="1789"/>
        <v>2037</v>
      </c>
      <c r="I1695">
        <v>1</v>
      </c>
      <c r="J1695">
        <f t="shared" si="1792"/>
        <v>89.463299999999862</v>
      </c>
      <c r="K1695">
        <f t="shared" si="1793"/>
        <v>0</v>
      </c>
      <c r="L1695">
        <f t="shared" si="1794"/>
        <v>89.463299999999862</v>
      </c>
    </row>
    <row r="1696" spans="2:12">
      <c r="B1696" s="1">
        <v>50334</v>
      </c>
      <c r="C1696" t="s">
        <v>17</v>
      </c>
      <c r="D1696">
        <v>22.8</v>
      </c>
      <c r="E1696">
        <v>12.9</v>
      </c>
      <c r="F1696">
        <f t="shared" si="1790"/>
        <v>2.9412000000000003</v>
      </c>
      <c r="G1696">
        <f t="shared" ref="G1696" si="1821">D1690+D1691+D1692+D1693+D1694+D1695+D1696</f>
        <v>145.4</v>
      </c>
      <c r="H1696">
        <f t="shared" si="1789"/>
        <v>2037</v>
      </c>
      <c r="I1696">
        <v>1</v>
      </c>
      <c r="J1696">
        <f t="shared" si="1792"/>
        <v>92.404499999999857</v>
      </c>
      <c r="K1696">
        <f t="shared" si="1793"/>
        <v>0</v>
      </c>
      <c r="L1696">
        <f t="shared" si="1794"/>
        <v>92.404499999999857</v>
      </c>
    </row>
    <row r="1697" spans="2:12">
      <c r="B1697" s="1">
        <v>50335</v>
      </c>
      <c r="C1697" t="s">
        <v>24</v>
      </c>
      <c r="D1697">
        <v>17.2</v>
      </c>
      <c r="E1697">
        <v>0</v>
      </c>
      <c r="F1697">
        <f t="shared" si="1790"/>
        <v>0</v>
      </c>
      <c r="G1697">
        <f t="shared" ref="G1697:G1760" si="1822">D1697</f>
        <v>17.2</v>
      </c>
      <c r="H1697">
        <f t="shared" si="1789"/>
        <v>2037</v>
      </c>
      <c r="I1697">
        <v>1</v>
      </c>
      <c r="J1697">
        <f t="shared" si="1792"/>
        <v>92.404499999999857</v>
      </c>
      <c r="K1697">
        <f t="shared" si="1793"/>
        <v>0</v>
      </c>
      <c r="L1697">
        <f t="shared" si="1794"/>
        <v>92.404499999999857</v>
      </c>
    </row>
    <row r="1698" spans="2:12">
      <c r="B1698" s="1">
        <v>50336</v>
      </c>
      <c r="C1698" t="s">
        <v>24</v>
      </c>
      <c r="D1698">
        <v>29.3</v>
      </c>
      <c r="E1698">
        <v>6.1</v>
      </c>
      <c r="F1698">
        <f t="shared" si="1790"/>
        <v>1.7872999999999999</v>
      </c>
      <c r="G1698">
        <f t="shared" ref="G1698:G1761" si="1823">D1697+D1698</f>
        <v>46.5</v>
      </c>
      <c r="H1698">
        <f t="shared" si="1789"/>
        <v>2037</v>
      </c>
      <c r="I1698">
        <v>1</v>
      </c>
      <c r="J1698">
        <f t="shared" si="1792"/>
        <v>94.191799999999859</v>
      </c>
      <c r="K1698">
        <f t="shared" si="1793"/>
        <v>0</v>
      </c>
      <c r="L1698">
        <f t="shared" si="1794"/>
        <v>94.191799999999859</v>
      </c>
    </row>
    <row r="1699" spans="2:12">
      <c r="B1699" s="1">
        <v>50337</v>
      </c>
      <c r="C1699" t="s">
        <v>27</v>
      </c>
      <c r="D1699">
        <v>19.5</v>
      </c>
      <c r="E1699">
        <v>14.2</v>
      </c>
      <c r="F1699">
        <f t="shared" si="1790"/>
        <v>2.7689999999999997</v>
      </c>
      <c r="G1699">
        <f t="shared" ref="G1699" si="1824">D1697+D1698+D1699</f>
        <v>66</v>
      </c>
      <c r="H1699">
        <f t="shared" si="1789"/>
        <v>2037</v>
      </c>
      <c r="I1699">
        <v>1</v>
      </c>
      <c r="J1699">
        <f t="shared" si="1792"/>
        <v>96.960799999999864</v>
      </c>
      <c r="K1699">
        <f t="shared" si="1793"/>
        <v>0</v>
      </c>
      <c r="L1699">
        <f t="shared" si="1794"/>
        <v>96.960799999999864</v>
      </c>
    </row>
    <row r="1700" spans="2:12">
      <c r="B1700" s="1">
        <v>50338</v>
      </c>
      <c r="C1700" t="s">
        <v>50</v>
      </c>
      <c r="D1700">
        <v>28.1</v>
      </c>
      <c r="E1700">
        <v>9.4</v>
      </c>
      <c r="F1700">
        <f t="shared" si="1790"/>
        <v>2.6414000000000004</v>
      </c>
      <c r="G1700">
        <f t="shared" ref="G1700" si="1825">D1697+D1698+D1699+D1700</f>
        <v>94.1</v>
      </c>
      <c r="H1700">
        <f t="shared" si="1789"/>
        <v>2037</v>
      </c>
      <c r="I1700">
        <v>1</v>
      </c>
      <c r="J1700">
        <f t="shared" si="1792"/>
        <v>99.602199999999868</v>
      </c>
      <c r="K1700">
        <f t="shared" si="1793"/>
        <v>0</v>
      </c>
      <c r="L1700">
        <f t="shared" si="1794"/>
        <v>99.602199999999868</v>
      </c>
    </row>
    <row r="1701" spans="2:12">
      <c r="B1701" s="1">
        <v>50339</v>
      </c>
      <c r="C1701" t="s">
        <v>25</v>
      </c>
      <c r="D1701">
        <v>21.1</v>
      </c>
      <c r="E1701">
        <v>12</v>
      </c>
      <c r="F1701">
        <f t="shared" si="1790"/>
        <v>2.532</v>
      </c>
      <c r="G1701">
        <f t="shared" ref="G1701" si="1826">D1697+D1698+D1699+D1700+D1701</f>
        <v>115.19999999999999</v>
      </c>
      <c r="H1701">
        <f t="shared" si="1789"/>
        <v>2037</v>
      </c>
      <c r="I1701">
        <v>1</v>
      </c>
      <c r="J1701">
        <f t="shared" si="1792"/>
        <v>102.13419999999986</v>
      </c>
      <c r="K1701">
        <f t="shared" si="1793"/>
        <v>1</v>
      </c>
      <c r="L1701">
        <f t="shared" si="1794"/>
        <v>2.1341999999998649</v>
      </c>
    </row>
    <row r="1702" spans="2:12">
      <c r="B1702" s="1">
        <v>50340</v>
      </c>
      <c r="C1702" t="s">
        <v>18</v>
      </c>
      <c r="D1702">
        <v>23.8</v>
      </c>
      <c r="E1702">
        <v>13.3</v>
      </c>
      <c r="F1702">
        <f t="shared" si="1790"/>
        <v>3.1654</v>
      </c>
      <c r="G1702">
        <f t="shared" ref="G1702" si="1827">D1697+D1698+D1699+D1700+D1701+D1702</f>
        <v>139</v>
      </c>
      <c r="H1702">
        <f t="shared" si="1789"/>
        <v>2037</v>
      </c>
      <c r="I1702">
        <v>1</v>
      </c>
      <c r="J1702">
        <f t="shared" si="1792"/>
        <v>5.2995999999998649</v>
      </c>
      <c r="K1702">
        <f t="shared" si="1793"/>
        <v>0</v>
      </c>
      <c r="L1702">
        <f t="shared" si="1794"/>
        <v>5.2995999999998649</v>
      </c>
    </row>
    <row r="1703" spans="2:12">
      <c r="B1703" s="1">
        <v>50341</v>
      </c>
      <c r="C1703" t="s">
        <v>37</v>
      </c>
      <c r="D1703">
        <v>19.399999999999999</v>
      </c>
      <c r="E1703">
        <v>2.2000000000000002</v>
      </c>
      <c r="F1703">
        <f t="shared" si="1790"/>
        <v>0.42680000000000001</v>
      </c>
      <c r="G1703">
        <f t="shared" ref="G1703" si="1828">D1697+D1698+D1699+D1700+D1701+D1702+D1703</f>
        <v>158.4</v>
      </c>
      <c r="H1703">
        <f t="shared" si="1789"/>
        <v>2037</v>
      </c>
      <c r="I1703">
        <v>1</v>
      </c>
      <c r="J1703">
        <f t="shared" si="1792"/>
        <v>5.7263999999998649</v>
      </c>
      <c r="K1703">
        <f t="shared" si="1793"/>
        <v>0</v>
      </c>
      <c r="L1703">
        <f t="shared" si="1794"/>
        <v>5.7263999999998649</v>
      </c>
    </row>
    <row r="1704" spans="2:12">
      <c r="B1704" s="1">
        <v>50342</v>
      </c>
      <c r="C1704" t="s">
        <v>18</v>
      </c>
      <c r="D1704">
        <v>25.8</v>
      </c>
      <c r="E1704">
        <v>17.100000000000001</v>
      </c>
      <c r="F1704">
        <f t="shared" si="1790"/>
        <v>4.4118000000000004</v>
      </c>
      <c r="G1704">
        <f t="shared" ref="G1704:G1767" si="1829">D1704</f>
        <v>25.8</v>
      </c>
      <c r="H1704">
        <f t="shared" si="1789"/>
        <v>2037</v>
      </c>
      <c r="I1704">
        <v>1</v>
      </c>
      <c r="J1704">
        <f t="shared" si="1792"/>
        <v>10.138199999999866</v>
      </c>
      <c r="K1704">
        <f t="shared" si="1793"/>
        <v>0</v>
      </c>
      <c r="L1704">
        <f t="shared" si="1794"/>
        <v>10.138199999999866</v>
      </c>
    </row>
    <row r="1705" spans="2:12">
      <c r="B1705" s="1">
        <v>50343</v>
      </c>
      <c r="C1705" t="s">
        <v>18</v>
      </c>
      <c r="D1705">
        <v>30</v>
      </c>
      <c r="E1705">
        <v>6.3</v>
      </c>
      <c r="F1705">
        <f t="shared" si="1790"/>
        <v>1.89</v>
      </c>
      <c r="G1705">
        <f t="shared" ref="G1705:G1768" si="1830">D1704+D1705</f>
        <v>55.8</v>
      </c>
      <c r="H1705">
        <f t="shared" si="1789"/>
        <v>2037</v>
      </c>
      <c r="I1705">
        <v>1</v>
      </c>
      <c r="J1705">
        <f t="shared" si="1792"/>
        <v>12.028199999999867</v>
      </c>
      <c r="K1705">
        <f t="shared" si="1793"/>
        <v>0</v>
      </c>
      <c r="L1705">
        <f t="shared" si="1794"/>
        <v>12.028199999999867</v>
      </c>
    </row>
    <row r="1706" spans="2:12">
      <c r="B1706" s="1">
        <v>50344</v>
      </c>
      <c r="C1706" t="s">
        <v>24</v>
      </c>
      <c r="D1706">
        <v>11</v>
      </c>
      <c r="E1706">
        <v>0</v>
      </c>
      <c r="F1706">
        <f t="shared" si="1790"/>
        <v>0</v>
      </c>
      <c r="G1706">
        <f t="shared" ref="G1706" si="1831">D1704+D1705+D1706</f>
        <v>66.8</v>
      </c>
      <c r="H1706">
        <f t="shared" si="1789"/>
        <v>2037</v>
      </c>
      <c r="I1706">
        <v>1</v>
      </c>
      <c r="J1706">
        <f t="shared" si="1792"/>
        <v>12.028199999999867</v>
      </c>
      <c r="K1706">
        <f t="shared" si="1793"/>
        <v>0</v>
      </c>
      <c r="L1706">
        <f t="shared" si="1794"/>
        <v>12.028199999999867</v>
      </c>
    </row>
    <row r="1707" spans="2:12">
      <c r="B1707" s="1">
        <v>50345</v>
      </c>
      <c r="C1707" t="s">
        <v>50</v>
      </c>
      <c r="D1707">
        <v>27.2</v>
      </c>
      <c r="E1707">
        <v>0</v>
      </c>
      <c r="F1707">
        <f t="shared" si="1790"/>
        <v>0</v>
      </c>
      <c r="G1707">
        <f t="shared" ref="G1707" si="1832">D1704+D1705+D1706+D1707</f>
        <v>94</v>
      </c>
      <c r="H1707">
        <f t="shared" si="1789"/>
        <v>2037</v>
      </c>
      <c r="I1707">
        <v>1</v>
      </c>
      <c r="J1707">
        <f t="shared" si="1792"/>
        <v>12.028199999999867</v>
      </c>
      <c r="K1707">
        <f t="shared" si="1793"/>
        <v>0</v>
      </c>
      <c r="L1707">
        <f t="shared" si="1794"/>
        <v>12.028199999999867</v>
      </c>
    </row>
    <row r="1708" spans="2:12">
      <c r="B1708" s="1">
        <v>50346</v>
      </c>
      <c r="C1708" t="s">
        <v>18</v>
      </c>
      <c r="D1708">
        <v>18.3</v>
      </c>
      <c r="E1708">
        <v>8.4</v>
      </c>
      <c r="F1708">
        <f t="shared" si="1790"/>
        <v>1.5371999999999999</v>
      </c>
      <c r="G1708">
        <f t="shared" ref="G1708" si="1833">D1704+D1705+D1706+D1707+D1708</f>
        <v>112.3</v>
      </c>
      <c r="H1708">
        <f t="shared" si="1789"/>
        <v>2037</v>
      </c>
      <c r="I1708">
        <v>1</v>
      </c>
      <c r="J1708">
        <f t="shared" si="1792"/>
        <v>13.565399999999867</v>
      </c>
      <c r="K1708">
        <f t="shared" si="1793"/>
        <v>0</v>
      </c>
      <c r="L1708">
        <f t="shared" si="1794"/>
        <v>13.565399999999867</v>
      </c>
    </row>
    <row r="1709" spans="2:12">
      <c r="B1709" s="1">
        <v>50347</v>
      </c>
      <c r="C1709" t="s">
        <v>49</v>
      </c>
      <c r="D1709">
        <v>14</v>
      </c>
      <c r="E1709">
        <v>2.5</v>
      </c>
      <c r="F1709">
        <f t="shared" si="1790"/>
        <v>0.35</v>
      </c>
      <c r="G1709">
        <f t="shared" ref="G1709" si="1834">D1704+D1705+D1706+D1707+D1708+D1709</f>
        <v>126.3</v>
      </c>
      <c r="H1709">
        <f t="shared" si="1789"/>
        <v>2037</v>
      </c>
      <c r="I1709">
        <v>1</v>
      </c>
      <c r="J1709">
        <f t="shared" si="1792"/>
        <v>13.915399999999867</v>
      </c>
      <c r="K1709">
        <f t="shared" si="1793"/>
        <v>0</v>
      </c>
      <c r="L1709">
        <f t="shared" si="1794"/>
        <v>13.915399999999867</v>
      </c>
    </row>
    <row r="1710" spans="2:12">
      <c r="B1710" s="1">
        <v>50348</v>
      </c>
      <c r="C1710" t="s">
        <v>18</v>
      </c>
      <c r="D1710">
        <v>26.2</v>
      </c>
      <c r="E1710">
        <v>6.9</v>
      </c>
      <c r="F1710">
        <f t="shared" si="1790"/>
        <v>1.8078000000000001</v>
      </c>
      <c r="G1710">
        <f t="shared" ref="G1710" si="1835">D1704+D1705+D1706+D1707+D1708+D1709+D1710</f>
        <v>152.5</v>
      </c>
      <c r="H1710">
        <f t="shared" si="1789"/>
        <v>2037</v>
      </c>
      <c r="I1710">
        <v>1</v>
      </c>
      <c r="J1710">
        <f t="shared" si="1792"/>
        <v>15.723199999999867</v>
      </c>
      <c r="K1710">
        <f t="shared" si="1793"/>
        <v>0</v>
      </c>
      <c r="L1710">
        <f t="shared" si="1794"/>
        <v>15.723199999999867</v>
      </c>
    </row>
    <row r="1711" spans="2:12">
      <c r="B1711" s="1">
        <v>50349</v>
      </c>
      <c r="C1711" t="s">
        <v>32</v>
      </c>
      <c r="D1711">
        <v>25.5</v>
      </c>
      <c r="E1711">
        <v>8.4</v>
      </c>
      <c r="F1711">
        <f t="shared" si="1790"/>
        <v>2.1420000000000003</v>
      </c>
      <c r="G1711">
        <f t="shared" ref="G1711:G1774" si="1836">D1711</f>
        <v>25.5</v>
      </c>
      <c r="H1711">
        <f t="shared" si="1789"/>
        <v>2037</v>
      </c>
      <c r="I1711">
        <v>1</v>
      </c>
      <c r="J1711">
        <f t="shared" si="1792"/>
        <v>17.865199999999867</v>
      </c>
      <c r="K1711">
        <f t="shared" si="1793"/>
        <v>0</v>
      </c>
      <c r="L1711">
        <f t="shared" si="1794"/>
        <v>17.865199999999867</v>
      </c>
    </row>
    <row r="1712" spans="2:12">
      <c r="B1712" s="1">
        <v>50350</v>
      </c>
      <c r="C1712" t="s">
        <v>47</v>
      </c>
      <c r="D1712">
        <v>23.1</v>
      </c>
      <c r="E1712">
        <v>11.4</v>
      </c>
      <c r="F1712">
        <f t="shared" si="1790"/>
        <v>2.6334000000000004</v>
      </c>
      <c r="G1712">
        <f t="shared" ref="G1712:G1775" si="1837">D1711+D1712</f>
        <v>48.6</v>
      </c>
      <c r="H1712">
        <f t="shared" si="1789"/>
        <v>2037</v>
      </c>
      <c r="I1712">
        <v>1</v>
      </c>
      <c r="J1712">
        <f t="shared" si="1792"/>
        <v>20.498599999999868</v>
      </c>
      <c r="K1712">
        <f t="shared" si="1793"/>
        <v>0</v>
      </c>
      <c r="L1712">
        <f t="shared" si="1794"/>
        <v>20.498599999999868</v>
      </c>
    </row>
    <row r="1713" spans="2:12">
      <c r="B1713" s="1">
        <v>50351</v>
      </c>
      <c r="C1713" t="s">
        <v>26</v>
      </c>
      <c r="D1713">
        <v>21.3</v>
      </c>
      <c r="E1713">
        <v>2.8</v>
      </c>
      <c r="F1713">
        <f t="shared" si="1790"/>
        <v>0.59640000000000004</v>
      </c>
      <c r="G1713">
        <f t="shared" ref="G1713" si="1838">D1711+D1712+D1713</f>
        <v>69.900000000000006</v>
      </c>
      <c r="H1713">
        <f t="shared" si="1789"/>
        <v>2037</v>
      </c>
      <c r="I1713">
        <v>1</v>
      </c>
      <c r="J1713">
        <f t="shared" si="1792"/>
        <v>21.094999999999867</v>
      </c>
      <c r="K1713">
        <f t="shared" si="1793"/>
        <v>0</v>
      </c>
      <c r="L1713">
        <f t="shared" si="1794"/>
        <v>21.094999999999867</v>
      </c>
    </row>
    <row r="1714" spans="2:12">
      <c r="B1714" s="1">
        <v>50352</v>
      </c>
      <c r="C1714" t="s">
        <v>26</v>
      </c>
      <c r="D1714">
        <v>16.3</v>
      </c>
      <c r="E1714">
        <v>7.6</v>
      </c>
      <c r="F1714">
        <f t="shared" si="1790"/>
        <v>1.2387999999999999</v>
      </c>
      <c r="G1714">
        <f t="shared" ref="G1714" si="1839">D1711+D1712+D1713+D1714</f>
        <v>86.2</v>
      </c>
      <c r="H1714">
        <f t="shared" si="1789"/>
        <v>2037</v>
      </c>
      <c r="I1714">
        <v>1</v>
      </c>
      <c r="J1714">
        <f t="shared" si="1792"/>
        <v>22.333799999999869</v>
      </c>
      <c r="K1714">
        <f t="shared" si="1793"/>
        <v>0</v>
      </c>
      <c r="L1714">
        <f t="shared" si="1794"/>
        <v>22.333799999999869</v>
      </c>
    </row>
    <row r="1715" spans="2:12">
      <c r="B1715" s="1">
        <v>50353</v>
      </c>
      <c r="C1715" t="s">
        <v>31</v>
      </c>
      <c r="D1715">
        <v>23.7</v>
      </c>
      <c r="E1715">
        <v>7.6</v>
      </c>
      <c r="F1715">
        <f t="shared" si="1790"/>
        <v>1.8011999999999997</v>
      </c>
      <c r="G1715">
        <f t="shared" ref="G1715" si="1840">D1711+D1712+D1713+D1714+D1715</f>
        <v>109.9</v>
      </c>
      <c r="H1715">
        <f t="shared" si="1789"/>
        <v>2037</v>
      </c>
      <c r="I1715">
        <v>1</v>
      </c>
      <c r="J1715">
        <f t="shared" si="1792"/>
        <v>24.13499999999987</v>
      </c>
      <c r="K1715">
        <f t="shared" si="1793"/>
        <v>0</v>
      </c>
      <c r="L1715">
        <f t="shared" si="1794"/>
        <v>24.13499999999987</v>
      </c>
    </row>
    <row r="1716" spans="2:12">
      <c r="B1716" s="1">
        <v>50354</v>
      </c>
      <c r="C1716" t="s">
        <v>47</v>
      </c>
      <c r="D1716">
        <v>24.8</v>
      </c>
      <c r="E1716">
        <v>0</v>
      </c>
      <c r="F1716">
        <f t="shared" si="1790"/>
        <v>0</v>
      </c>
      <c r="G1716">
        <f t="shared" ref="G1716" si="1841">D1711+D1712+D1713+D1714+D1715+D1716</f>
        <v>134.70000000000002</v>
      </c>
      <c r="H1716">
        <f t="shared" si="1789"/>
        <v>2037</v>
      </c>
      <c r="I1716">
        <v>1</v>
      </c>
      <c r="J1716">
        <f t="shared" si="1792"/>
        <v>24.13499999999987</v>
      </c>
      <c r="K1716">
        <f t="shared" si="1793"/>
        <v>0</v>
      </c>
      <c r="L1716">
        <f t="shared" si="1794"/>
        <v>24.13499999999987</v>
      </c>
    </row>
    <row r="1717" spans="2:12">
      <c r="B1717" s="1">
        <v>50355</v>
      </c>
      <c r="C1717" t="s">
        <v>48</v>
      </c>
      <c r="D1717">
        <v>21.7</v>
      </c>
      <c r="E1717">
        <v>1</v>
      </c>
      <c r="F1717">
        <f t="shared" si="1790"/>
        <v>0.217</v>
      </c>
      <c r="G1717">
        <f t="shared" ref="G1717" si="1842">D1711+D1712+D1713+D1714+D1715+D1716+D1717</f>
        <v>156.4</v>
      </c>
      <c r="H1717">
        <f t="shared" si="1789"/>
        <v>2037</v>
      </c>
      <c r="I1717">
        <v>1</v>
      </c>
      <c r="J1717">
        <f t="shared" si="1792"/>
        <v>24.351999999999869</v>
      </c>
      <c r="K1717">
        <f t="shared" si="1793"/>
        <v>0</v>
      </c>
      <c r="L1717">
        <f t="shared" si="1794"/>
        <v>24.351999999999869</v>
      </c>
    </row>
    <row r="1718" spans="2:12">
      <c r="B1718" s="1">
        <v>50356</v>
      </c>
      <c r="C1718" t="s">
        <v>24</v>
      </c>
      <c r="D1718">
        <v>16.7</v>
      </c>
      <c r="E1718">
        <v>21</v>
      </c>
      <c r="F1718">
        <f t="shared" si="1790"/>
        <v>3.5069999999999997</v>
      </c>
      <c r="G1718">
        <f t="shared" ref="G1718:G1781" si="1843">D1718</f>
        <v>16.7</v>
      </c>
      <c r="H1718">
        <f t="shared" si="1789"/>
        <v>2037</v>
      </c>
      <c r="I1718">
        <v>1</v>
      </c>
      <c r="J1718">
        <f t="shared" si="1792"/>
        <v>27.858999999999867</v>
      </c>
      <c r="K1718">
        <f t="shared" si="1793"/>
        <v>0</v>
      </c>
      <c r="L1718">
        <f t="shared" si="1794"/>
        <v>27.858999999999867</v>
      </c>
    </row>
    <row r="1719" spans="2:12">
      <c r="B1719" s="1">
        <v>50357</v>
      </c>
      <c r="C1719" t="s">
        <v>35</v>
      </c>
      <c r="D1719">
        <v>22.3</v>
      </c>
      <c r="E1719">
        <v>0.1</v>
      </c>
      <c r="F1719">
        <f t="shared" si="1790"/>
        <v>0</v>
      </c>
      <c r="G1719">
        <f t="shared" ref="G1719:G1782" si="1844">D1718+D1719</f>
        <v>39</v>
      </c>
      <c r="H1719">
        <f t="shared" si="1789"/>
        <v>2037</v>
      </c>
      <c r="I1719">
        <v>1</v>
      </c>
      <c r="J1719">
        <f t="shared" si="1792"/>
        <v>27.858999999999867</v>
      </c>
      <c r="K1719">
        <f t="shared" si="1793"/>
        <v>0</v>
      </c>
      <c r="L1719">
        <f t="shared" si="1794"/>
        <v>27.858999999999867</v>
      </c>
    </row>
    <row r="1720" spans="2:12">
      <c r="B1720" s="1">
        <v>50358</v>
      </c>
      <c r="C1720" t="s">
        <v>36</v>
      </c>
      <c r="D1720">
        <v>13.6</v>
      </c>
      <c r="E1720">
        <v>0</v>
      </c>
      <c r="F1720">
        <f t="shared" si="1790"/>
        <v>0</v>
      </c>
      <c r="G1720">
        <f t="shared" ref="G1720" si="1845">D1718+D1719+D1720</f>
        <v>52.6</v>
      </c>
      <c r="H1720">
        <f t="shared" si="1789"/>
        <v>2037</v>
      </c>
      <c r="I1720">
        <v>1</v>
      </c>
      <c r="J1720">
        <f t="shared" si="1792"/>
        <v>27.858999999999867</v>
      </c>
      <c r="K1720">
        <f t="shared" si="1793"/>
        <v>0</v>
      </c>
      <c r="L1720">
        <f t="shared" si="1794"/>
        <v>27.858999999999867</v>
      </c>
    </row>
    <row r="1721" spans="2:12">
      <c r="B1721" s="1">
        <v>50359</v>
      </c>
      <c r="C1721" t="s">
        <v>49</v>
      </c>
      <c r="D1721">
        <v>11.8</v>
      </c>
      <c r="E1721">
        <v>2.1</v>
      </c>
      <c r="F1721">
        <f t="shared" si="1790"/>
        <v>0.24780000000000002</v>
      </c>
      <c r="G1721">
        <f t="shared" ref="G1721" si="1846">D1718+D1719+D1720+D1721</f>
        <v>64.400000000000006</v>
      </c>
      <c r="H1721">
        <f t="shared" si="1789"/>
        <v>2037</v>
      </c>
      <c r="I1721">
        <v>1</v>
      </c>
      <c r="J1721">
        <f t="shared" si="1792"/>
        <v>28.106799999999868</v>
      </c>
      <c r="K1721">
        <f t="shared" si="1793"/>
        <v>0</v>
      </c>
      <c r="L1721">
        <f t="shared" si="1794"/>
        <v>28.106799999999868</v>
      </c>
    </row>
    <row r="1722" spans="2:12">
      <c r="B1722" s="1">
        <v>50360</v>
      </c>
      <c r="C1722" t="s">
        <v>25</v>
      </c>
      <c r="D1722">
        <v>11.1</v>
      </c>
      <c r="E1722">
        <v>0</v>
      </c>
      <c r="F1722">
        <f t="shared" si="1790"/>
        <v>0</v>
      </c>
      <c r="G1722">
        <f t="shared" ref="G1722" si="1847">D1718+D1719+D1720+D1721+D1722</f>
        <v>75.5</v>
      </c>
      <c r="H1722">
        <f t="shared" si="1789"/>
        <v>2037</v>
      </c>
      <c r="I1722">
        <v>1</v>
      </c>
      <c r="J1722">
        <f t="shared" si="1792"/>
        <v>28.106799999999868</v>
      </c>
      <c r="K1722">
        <f t="shared" si="1793"/>
        <v>0</v>
      </c>
      <c r="L1722">
        <f t="shared" si="1794"/>
        <v>28.106799999999868</v>
      </c>
    </row>
    <row r="1723" spans="2:12">
      <c r="B1723" s="1">
        <v>50361</v>
      </c>
      <c r="C1723" t="s">
        <v>27</v>
      </c>
      <c r="D1723">
        <v>11.2</v>
      </c>
      <c r="E1723">
        <v>15</v>
      </c>
      <c r="F1723">
        <f t="shared" si="1790"/>
        <v>1.68</v>
      </c>
      <c r="G1723">
        <f t="shared" ref="G1723" si="1848">D1718+D1719+D1720+D1721+D1722+D1723</f>
        <v>86.7</v>
      </c>
      <c r="H1723">
        <f t="shared" si="1789"/>
        <v>2037</v>
      </c>
      <c r="I1723">
        <v>1</v>
      </c>
      <c r="J1723">
        <f t="shared" si="1792"/>
        <v>29.786799999999868</v>
      </c>
      <c r="K1723">
        <f t="shared" si="1793"/>
        <v>0</v>
      </c>
      <c r="L1723">
        <f t="shared" si="1794"/>
        <v>29.786799999999868</v>
      </c>
    </row>
    <row r="1724" spans="2:12">
      <c r="B1724" s="1">
        <v>50362</v>
      </c>
      <c r="C1724" t="s">
        <v>35</v>
      </c>
      <c r="D1724">
        <v>19.100000000000001</v>
      </c>
      <c r="E1724">
        <v>0</v>
      </c>
      <c r="F1724">
        <f t="shared" si="1790"/>
        <v>0</v>
      </c>
      <c r="G1724">
        <f t="shared" ref="G1724" si="1849">D1718+D1719+D1720+D1721+D1722+D1723+D1724</f>
        <v>105.80000000000001</v>
      </c>
      <c r="H1724">
        <f t="shared" si="1789"/>
        <v>2037</v>
      </c>
      <c r="I1724">
        <v>1</v>
      </c>
      <c r="J1724">
        <f t="shared" si="1792"/>
        <v>29.786799999999868</v>
      </c>
      <c r="K1724">
        <f t="shared" si="1793"/>
        <v>0</v>
      </c>
      <c r="L1724">
        <f t="shared" si="1794"/>
        <v>29.786799999999868</v>
      </c>
    </row>
    <row r="1725" spans="2:12">
      <c r="B1725" s="1">
        <v>50363</v>
      </c>
      <c r="C1725" t="s">
        <v>24</v>
      </c>
      <c r="D1725">
        <v>11.1</v>
      </c>
      <c r="E1725">
        <v>46.3</v>
      </c>
      <c r="F1725">
        <f t="shared" si="1790"/>
        <v>5.1392999999999995</v>
      </c>
      <c r="G1725">
        <f t="shared" ref="G1725:G1788" si="1850">D1725</f>
        <v>11.1</v>
      </c>
      <c r="H1725">
        <f t="shared" si="1789"/>
        <v>2037</v>
      </c>
      <c r="I1725">
        <v>1</v>
      </c>
      <c r="J1725">
        <f t="shared" si="1792"/>
        <v>34.92609999999987</v>
      </c>
      <c r="K1725">
        <f t="shared" si="1793"/>
        <v>0</v>
      </c>
      <c r="L1725">
        <f t="shared" si="1794"/>
        <v>34.92609999999987</v>
      </c>
    </row>
    <row r="1726" spans="2:12">
      <c r="B1726" s="1">
        <v>50364</v>
      </c>
      <c r="C1726" t="s">
        <v>47</v>
      </c>
      <c r="D1726">
        <v>15.1</v>
      </c>
      <c r="E1726">
        <v>6.2</v>
      </c>
      <c r="F1726">
        <f t="shared" si="1790"/>
        <v>0.93620000000000003</v>
      </c>
      <c r="G1726">
        <f t="shared" ref="G1726:G1789" si="1851">D1725+D1726</f>
        <v>26.2</v>
      </c>
      <c r="H1726">
        <f t="shared" si="1789"/>
        <v>2037</v>
      </c>
      <c r="I1726">
        <v>1</v>
      </c>
      <c r="J1726">
        <f t="shared" si="1792"/>
        <v>35.86229999999987</v>
      </c>
      <c r="K1726">
        <f t="shared" si="1793"/>
        <v>0</v>
      </c>
      <c r="L1726">
        <f t="shared" si="1794"/>
        <v>35.86229999999987</v>
      </c>
    </row>
    <row r="1727" spans="2:12">
      <c r="B1727" s="1">
        <v>50365</v>
      </c>
      <c r="C1727" t="s">
        <v>32</v>
      </c>
      <c r="D1727">
        <v>21.7</v>
      </c>
      <c r="E1727">
        <v>0</v>
      </c>
      <c r="F1727">
        <f t="shared" si="1790"/>
        <v>0</v>
      </c>
      <c r="G1727">
        <f t="shared" ref="G1727" si="1852">D1725+D1726+D1727</f>
        <v>47.9</v>
      </c>
      <c r="H1727">
        <f t="shared" si="1789"/>
        <v>2037</v>
      </c>
      <c r="I1727">
        <v>1</v>
      </c>
      <c r="J1727">
        <f t="shared" si="1792"/>
        <v>35.86229999999987</v>
      </c>
      <c r="K1727">
        <f t="shared" si="1793"/>
        <v>0</v>
      </c>
      <c r="L1727">
        <f t="shared" si="1794"/>
        <v>35.86229999999987</v>
      </c>
    </row>
    <row r="1728" spans="2:12">
      <c r="B1728" s="1">
        <v>50366</v>
      </c>
      <c r="C1728" t="s">
        <v>35</v>
      </c>
      <c r="D1728">
        <v>19.7</v>
      </c>
      <c r="E1728">
        <v>0.2</v>
      </c>
      <c r="F1728">
        <f t="shared" si="1790"/>
        <v>0</v>
      </c>
      <c r="G1728">
        <f t="shared" ref="G1728" si="1853">D1725+D1726+D1727+D1728</f>
        <v>67.599999999999994</v>
      </c>
      <c r="H1728">
        <f t="shared" si="1789"/>
        <v>2037</v>
      </c>
      <c r="I1728">
        <v>1</v>
      </c>
      <c r="J1728">
        <f t="shared" si="1792"/>
        <v>35.86229999999987</v>
      </c>
      <c r="K1728">
        <f t="shared" si="1793"/>
        <v>0</v>
      </c>
      <c r="L1728">
        <f t="shared" si="1794"/>
        <v>35.86229999999987</v>
      </c>
    </row>
    <row r="1729" spans="2:12">
      <c r="B1729" s="1">
        <v>50367</v>
      </c>
      <c r="C1729" t="s">
        <v>18</v>
      </c>
      <c r="D1729">
        <v>17.5</v>
      </c>
      <c r="E1729">
        <v>2.2000000000000002</v>
      </c>
      <c r="F1729">
        <f t="shared" si="1790"/>
        <v>0.38500000000000001</v>
      </c>
      <c r="G1729">
        <f t="shared" ref="G1729" si="1854">D1725+D1726+D1727+D1728+D1729</f>
        <v>85.1</v>
      </c>
      <c r="H1729">
        <f t="shared" si="1789"/>
        <v>2037</v>
      </c>
      <c r="I1729">
        <v>1</v>
      </c>
      <c r="J1729">
        <f t="shared" si="1792"/>
        <v>36.247299999999868</v>
      </c>
      <c r="K1729">
        <f t="shared" si="1793"/>
        <v>0</v>
      </c>
      <c r="L1729">
        <f t="shared" si="1794"/>
        <v>36.247299999999868</v>
      </c>
    </row>
    <row r="1730" spans="2:12">
      <c r="B1730" s="1">
        <v>50368</v>
      </c>
      <c r="C1730" t="s">
        <v>17</v>
      </c>
      <c r="D1730">
        <v>18.8</v>
      </c>
      <c r="E1730">
        <v>11.3</v>
      </c>
      <c r="F1730">
        <f t="shared" si="1790"/>
        <v>2.1244000000000001</v>
      </c>
      <c r="G1730">
        <f t="shared" ref="G1730" si="1855">D1725+D1726+D1727+D1728+D1729+D1730</f>
        <v>103.89999999999999</v>
      </c>
      <c r="H1730">
        <f t="shared" si="1789"/>
        <v>2037</v>
      </c>
      <c r="I1730">
        <v>1</v>
      </c>
      <c r="J1730">
        <f t="shared" si="1792"/>
        <v>38.371699999999869</v>
      </c>
      <c r="K1730">
        <f t="shared" si="1793"/>
        <v>0</v>
      </c>
      <c r="L1730">
        <f t="shared" si="1794"/>
        <v>38.371699999999869</v>
      </c>
    </row>
    <row r="1731" spans="2:12">
      <c r="B1731" s="1">
        <v>50369</v>
      </c>
      <c r="C1731" t="s">
        <v>39</v>
      </c>
      <c r="D1731">
        <v>19.600000000000001</v>
      </c>
      <c r="E1731">
        <v>0.3</v>
      </c>
      <c r="F1731">
        <f t="shared" si="1790"/>
        <v>0</v>
      </c>
      <c r="G1731">
        <f t="shared" ref="G1731" si="1856">D1725+D1726+D1727+D1728+D1729+D1730+D1731</f>
        <v>123.5</v>
      </c>
      <c r="H1731">
        <f t="shared" si="1789"/>
        <v>2037</v>
      </c>
      <c r="I1731">
        <v>1</v>
      </c>
      <c r="J1731">
        <f t="shared" si="1792"/>
        <v>38.371699999999869</v>
      </c>
      <c r="K1731">
        <f t="shared" si="1793"/>
        <v>0</v>
      </c>
      <c r="L1731">
        <f t="shared" si="1794"/>
        <v>38.371699999999869</v>
      </c>
    </row>
    <row r="1732" spans="2:12">
      <c r="B1732" s="1">
        <v>50370</v>
      </c>
      <c r="C1732" t="s">
        <v>25</v>
      </c>
      <c r="D1732">
        <v>24.4</v>
      </c>
      <c r="E1732">
        <v>22</v>
      </c>
      <c r="F1732">
        <f t="shared" si="1790"/>
        <v>5.3679999999999994</v>
      </c>
      <c r="G1732">
        <f t="shared" ref="G1732:G1795" si="1857">D1732</f>
        <v>24.4</v>
      </c>
      <c r="H1732">
        <f t="shared" ref="H1732:H1795" si="1858">YEAR(B1732)</f>
        <v>2037</v>
      </c>
      <c r="I1732">
        <v>1</v>
      </c>
      <c r="J1732">
        <f t="shared" si="1792"/>
        <v>43.739699999999871</v>
      </c>
      <c r="K1732">
        <f t="shared" si="1793"/>
        <v>0</v>
      </c>
      <c r="L1732">
        <f t="shared" si="1794"/>
        <v>43.739699999999871</v>
      </c>
    </row>
    <row r="1733" spans="2:12">
      <c r="B1733" s="1">
        <v>50371</v>
      </c>
      <c r="C1733" t="s">
        <v>35</v>
      </c>
      <c r="D1733">
        <v>10.5</v>
      </c>
      <c r="E1733">
        <v>0.1</v>
      </c>
      <c r="F1733">
        <f t="shared" ref="F1733:F1796" si="1859">IF(E1733&gt;=1,D1733*E1733/100,0)</f>
        <v>0</v>
      </c>
      <c r="G1733">
        <f t="shared" ref="G1733:G1796" si="1860">D1732+D1733</f>
        <v>34.9</v>
      </c>
      <c r="H1733">
        <f t="shared" si="1858"/>
        <v>2037</v>
      </c>
      <c r="I1733">
        <v>1</v>
      </c>
      <c r="J1733">
        <f t="shared" ref="J1733:J1796" si="1861">L1732+F1733</f>
        <v>43.739699999999871</v>
      </c>
      <c r="K1733">
        <f t="shared" ref="K1733:K1796" si="1862">IF(J1733&gt;=100,1,0)</f>
        <v>0</v>
      </c>
      <c r="L1733">
        <f t="shared" ref="L1733:L1796" si="1863">IF(K1733=1,J1733-100,J1733)</f>
        <v>43.739699999999871</v>
      </c>
    </row>
    <row r="1734" spans="2:12">
      <c r="B1734" s="1">
        <v>50372</v>
      </c>
      <c r="C1734" t="s">
        <v>21</v>
      </c>
      <c r="D1734">
        <v>23.5</v>
      </c>
      <c r="E1734">
        <v>0</v>
      </c>
      <c r="F1734">
        <f t="shared" si="1859"/>
        <v>0</v>
      </c>
      <c r="G1734">
        <f t="shared" ref="G1734" si="1864">D1732+D1733+D1734</f>
        <v>58.4</v>
      </c>
      <c r="H1734">
        <f t="shared" si="1858"/>
        <v>2037</v>
      </c>
      <c r="I1734">
        <v>1</v>
      </c>
      <c r="J1734">
        <f t="shared" si="1861"/>
        <v>43.739699999999871</v>
      </c>
      <c r="K1734">
        <f t="shared" si="1862"/>
        <v>0</v>
      </c>
      <c r="L1734">
        <f t="shared" si="1863"/>
        <v>43.739699999999871</v>
      </c>
    </row>
    <row r="1735" spans="2:12">
      <c r="B1735" s="1">
        <v>50373</v>
      </c>
      <c r="C1735" t="s">
        <v>38</v>
      </c>
      <c r="D1735">
        <v>19.2</v>
      </c>
      <c r="E1735">
        <v>0</v>
      </c>
      <c r="F1735">
        <f t="shared" si="1859"/>
        <v>0</v>
      </c>
      <c r="G1735">
        <f t="shared" ref="G1735" si="1865">D1732+D1733+D1734+D1735</f>
        <v>77.599999999999994</v>
      </c>
      <c r="H1735">
        <f t="shared" si="1858"/>
        <v>2037</v>
      </c>
      <c r="I1735">
        <v>1</v>
      </c>
      <c r="J1735">
        <f t="shared" si="1861"/>
        <v>43.739699999999871</v>
      </c>
      <c r="K1735">
        <f t="shared" si="1862"/>
        <v>0</v>
      </c>
      <c r="L1735">
        <f t="shared" si="1863"/>
        <v>43.739699999999871</v>
      </c>
    </row>
    <row r="1736" spans="2:12">
      <c r="B1736" s="1">
        <v>50374</v>
      </c>
      <c r="C1736" t="s">
        <v>17</v>
      </c>
      <c r="D1736">
        <v>11</v>
      </c>
      <c r="E1736">
        <v>0</v>
      </c>
      <c r="F1736">
        <f t="shared" si="1859"/>
        <v>0</v>
      </c>
      <c r="G1736">
        <f t="shared" ref="G1736" si="1866">D1732+D1733+D1734+D1735+D1736</f>
        <v>88.6</v>
      </c>
      <c r="H1736">
        <f t="shared" si="1858"/>
        <v>2037</v>
      </c>
      <c r="I1736">
        <v>1</v>
      </c>
      <c r="J1736">
        <f t="shared" si="1861"/>
        <v>43.739699999999871</v>
      </c>
      <c r="K1736">
        <f t="shared" si="1862"/>
        <v>0</v>
      </c>
      <c r="L1736">
        <f t="shared" si="1863"/>
        <v>43.739699999999871</v>
      </c>
    </row>
    <row r="1737" spans="2:12">
      <c r="B1737" s="1">
        <v>50375</v>
      </c>
      <c r="C1737" t="s">
        <v>25</v>
      </c>
      <c r="D1737">
        <v>10.4</v>
      </c>
      <c r="E1737">
        <v>0</v>
      </c>
      <c r="F1737">
        <f t="shared" si="1859"/>
        <v>0</v>
      </c>
      <c r="G1737">
        <f t="shared" ref="G1737" si="1867">D1732+D1733+D1734+D1735+D1736+D1737</f>
        <v>99</v>
      </c>
      <c r="H1737">
        <f t="shared" si="1858"/>
        <v>2037</v>
      </c>
      <c r="I1737">
        <v>1</v>
      </c>
      <c r="J1737">
        <f t="shared" si="1861"/>
        <v>43.739699999999871</v>
      </c>
      <c r="K1737">
        <f t="shared" si="1862"/>
        <v>0</v>
      </c>
      <c r="L1737">
        <f t="shared" si="1863"/>
        <v>43.739699999999871</v>
      </c>
    </row>
    <row r="1738" spans="2:12">
      <c r="B1738" s="1">
        <v>50376</v>
      </c>
      <c r="C1738" t="s">
        <v>18</v>
      </c>
      <c r="D1738">
        <v>11.9</v>
      </c>
      <c r="E1738">
        <v>9</v>
      </c>
      <c r="F1738">
        <f t="shared" si="1859"/>
        <v>1.0710000000000002</v>
      </c>
      <c r="G1738">
        <f t="shared" ref="G1738" si="1868">D1732+D1733+D1734+D1735+D1736+D1737+D1738</f>
        <v>110.9</v>
      </c>
      <c r="H1738">
        <f t="shared" si="1858"/>
        <v>2037</v>
      </c>
      <c r="I1738">
        <v>1</v>
      </c>
      <c r="J1738">
        <f t="shared" si="1861"/>
        <v>44.810699999999869</v>
      </c>
      <c r="K1738">
        <f t="shared" si="1862"/>
        <v>0</v>
      </c>
      <c r="L1738">
        <f t="shared" si="1863"/>
        <v>44.810699999999869</v>
      </c>
    </row>
    <row r="1739" spans="2:12">
      <c r="B1739" s="1">
        <v>50377</v>
      </c>
      <c r="C1739" t="s">
        <v>31</v>
      </c>
      <c r="D1739">
        <v>23.1</v>
      </c>
      <c r="E1739">
        <v>2</v>
      </c>
      <c r="F1739">
        <f t="shared" si="1859"/>
        <v>0.46200000000000002</v>
      </c>
      <c r="G1739">
        <f t="shared" ref="G1739:G1802" si="1869">D1739</f>
        <v>23.1</v>
      </c>
      <c r="H1739">
        <f t="shared" si="1858"/>
        <v>2037</v>
      </c>
      <c r="I1739">
        <v>1</v>
      </c>
      <c r="J1739">
        <f t="shared" si="1861"/>
        <v>45.272699999999872</v>
      </c>
      <c r="K1739">
        <f t="shared" si="1862"/>
        <v>0</v>
      </c>
      <c r="L1739">
        <f t="shared" si="1863"/>
        <v>45.272699999999872</v>
      </c>
    </row>
    <row r="1740" spans="2:12">
      <c r="B1740" s="1">
        <v>50378</v>
      </c>
      <c r="C1740" t="s">
        <v>50</v>
      </c>
      <c r="D1740">
        <v>18.600000000000001</v>
      </c>
      <c r="E1740">
        <v>17.2</v>
      </c>
      <c r="F1740">
        <f t="shared" si="1859"/>
        <v>3.1992000000000003</v>
      </c>
      <c r="G1740">
        <f t="shared" ref="G1740:G1803" si="1870">D1739+D1740</f>
        <v>41.7</v>
      </c>
      <c r="H1740">
        <f t="shared" si="1858"/>
        <v>2037</v>
      </c>
      <c r="I1740">
        <v>1</v>
      </c>
      <c r="J1740">
        <f t="shared" si="1861"/>
        <v>48.47189999999987</v>
      </c>
      <c r="K1740">
        <f t="shared" si="1862"/>
        <v>0</v>
      </c>
      <c r="L1740">
        <f t="shared" si="1863"/>
        <v>48.47189999999987</v>
      </c>
    </row>
    <row r="1741" spans="2:12">
      <c r="B1741" s="1">
        <v>50379</v>
      </c>
      <c r="C1741" t="s">
        <v>17</v>
      </c>
      <c r="D1741">
        <v>21.8</v>
      </c>
      <c r="E1741">
        <v>12.3</v>
      </c>
      <c r="F1741">
        <f t="shared" si="1859"/>
        <v>2.6814000000000004</v>
      </c>
      <c r="G1741">
        <f t="shared" ref="G1741" si="1871">D1739+D1740+D1741</f>
        <v>63.5</v>
      </c>
      <c r="H1741">
        <f t="shared" si="1858"/>
        <v>2037</v>
      </c>
      <c r="I1741">
        <v>1</v>
      </c>
      <c r="J1741">
        <f t="shared" si="1861"/>
        <v>51.153299999999874</v>
      </c>
      <c r="K1741">
        <f t="shared" si="1862"/>
        <v>0</v>
      </c>
      <c r="L1741">
        <f t="shared" si="1863"/>
        <v>51.153299999999874</v>
      </c>
    </row>
    <row r="1742" spans="2:12">
      <c r="B1742" s="1">
        <v>50380</v>
      </c>
      <c r="C1742" t="s">
        <v>31</v>
      </c>
      <c r="D1742">
        <v>27.7</v>
      </c>
      <c r="E1742">
        <v>7.4</v>
      </c>
      <c r="F1742">
        <f t="shared" si="1859"/>
        <v>2.0498000000000003</v>
      </c>
      <c r="G1742">
        <f t="shared" ref="G1742" si="1872">D1739+D1740+D1741+D1742</f>
        <v>91.2</v>
      </c>
      <c r="H1742">
        <f t="shared" si="1858"/>
        <v>2037</v>
      </c>
      <c r="I1742">
        <v>1</v>
      </c>
      <c r="J1742">
        <f t="shared" si="1861"/>
        <v>53.203099999999871</v>
      </c>
      <c r="K1742">
        <f t="shared" si="1862"/>
        <v>0</v>
      </c>
      <c r="L1742">
        <f t="shared" si="1863"/>
        <v>53.203099999999871</v>
      </c>
    </row>
    <row r="1743" spans="2:12">
      <c r="B1743" s="1">
        <v>50381</v>
      </c>
      <c r="C1743" t="s">
        <v>50</v>
      </c>
      <c r="D1743">
        <v>23.2</v>
      </c>
      <c r="E1743">
        <v>24</v>
      </c>
      <c r="F1743">
        <f t="shared" si="1859"/>
        <v>5.5679999999999996</v>
      </c>
      <c r="G1743">
        <f t="shared" ref="G1743" si="1873">D1739+D1740+D1741+D1742+D1743</f>
        <v>114.4</v>
      </c>
      <c r="H1743">
        <f t="shared" si="1858"/>
        <v>2037</v>
      </c>
      <c r="I1743">
        <v>1</v>
      </c>
      <c r="J1743">
        <f t="shared" si="1861"/>
        <v>58.771099999999869</v>
      </c>
      <c r="K1743">
        <f t="shared" si="1862"/>
        <v>0</v>
      </c>
      <c r="L1743">
        <f t="shared" si="1863"/>
        <v>58.771099999999869</v>
      </c>
    </row>
    <row r="1744" spans="2:12">
      <c r="B1744" s="1">
        <v>50382</v>
      </c>
      <c r="C1744" t="s">
        <v>50</v>
      </c>
      <c r="D1744">
        <v>25.8</v>
      </c>
      <c r="E1744">
        <v>16.100000000000001</v>
      </c>
      <c r="F1744">
        <f t="shared" si="1859"/>
        <v>4.1538000000000004</v>
      </c>
      <c r="G1744">
        <f t="shared" ref="G1744" si="1874">D1739+D1740+D1741+D1742+D1743+D1744</f>
        <v>140.20000000000002</v>
      </c>
      <c r="H1744">
        <f t="shared" si="1858"/>
        <v>2037</v>
      </c>
      <c r="I1744">
        <v>1</v>
      </c>
      <c r="J1744">
        <f t="shared" si="1861"/>
        <v>62.924899999999866</v>
      </c>
      <c r="K1744">
        <f t="shared" si="1862"/>
        <v>0</v>
      </c>
      <c r="L1744">
        <f t="shared" si="1863"/>
        <v>62.924899999999866</v>
      </c>
    </row>
    <row r="1745" spans="2:12">
      <c r="B1745" s="1">
        <v>50383</v>
      </c>
      <c r="C1745" t="s">
        <v>15</v>
      </c>
      <c r="D1745">
        <v>19.8</v>
      </c>
      <c r="E1745">
        <v>6.6</v>
      </c>
      <c r="F1745">
        <f t="shared" si="1859"/>
        <v>1.3068</v>
      </c>
      <c r="G1745">
        <f t="shared" ref="G1745" si="1875">D1739+D1740+D1741+D1742+D1743+D1744+D1745</f>
        <v>160.00000000000003</v>
      </c>
      <c r="H1745">
        <f t="shared" si="1858"/>
        <v>2037</v>
      </c>
      <c r="I1745">
        <v>1</v>
      </c>
      <c r="J1745">
        <f t="shared" si="1861"/>
        <v>64.231699999999861</v>
      </c>
      <c r="K1745">
        <f t="shared" si="1862"/>
        <v>0</v>
      </c>
      <c r="L1745">
        <f t="shared" si="1863"/>
        <v>64.231699999999861</v>
      </c>
    </row>
    <row r="1746" spans="2:12">
      <c r="B1746" s="1">
        <v>50384</v>
      </c>
      <c r="C1746" t="s">
        <v>47</v>
      </c>
      <c r="D1746">
        <v>11.2</v>
      </c>
      <c r="E1746">
        <v>7.5</v>
      </c>
      <c r="F1746">
        <f t="shared" si="1859"/>
        <v>0.84</v>
      </c>
      <c r="G1746">
        <f t="shared" ref="G1746:G1809" si="1876">D1746</f>
        <v>11.2</v>
      </c>
      <c r="H1746">
        <f t="shared" si="1858"/>
        <v>2037</v>
      </c>
      <c r="I1746">
        <v>1</v>
      </c>
      <c r="J1746">
        <f t="shared" si="1861"/>
        <v>65.071699999999865</v>
      </c>
      <c r="K1746">
        <f t="shared" si="1862"/>
        <v>0</v>
      </c>
      <c r="L1746">
        <f t="shared" si="1863"/>
        <v>65.071699999999865</v>
      </c>
    </row>
    <row r="1747" spans="2:12">
      <c r="B1747" s="1">
        <v>50385</v>
      </c>
      <c r="C1747" t="s">
        <v>24</v>
      </c>
      <c r="D1747">
        <v>15.7</v>
      </c>
      <c r="E1747">
        <v>0</v>
      </c>
      <c r="F1747">
        <f t="shared" si="1859"/>
        <v>0</v>
      </c>
      <c r="G1747">
        <f t="shared" ref="G1747:G1810" si="1877">D1746+D1747</f>
        <v>26.9</v>
      </c>
      <c r="H1747">
        <f t="shared" si="1858"/>
        <v>2037</v>
      </c>
      <c r="I1747">
        <v>1</v>
      </c>
      <c r="J1747">
        <f t="shared" si="1861"/>
        <v>65.071699999999865</v>
      </c>
      <c r="K1747">
        <f t="shared" si="1862"/>
        <v>0</v>
      </c>
      <c r="L1747">
        <f t="shared" si="1863"/>
        <v>65.071699999999865</v>
      </c>
    </row>
    <row r="1748" spans="2:12">
      <c r="B1748" s="1">
        <v>50386</v>
      </c>
      <c r="C1748" t="s">
        <v>39</v>
      </c>
      <c r="D1748">
        <v>23.6</v>
      </c>
      <c r="E1748">
        <v>0.6</v>
      </c>
      <c r="F1748">
        <f t="shared" si="1859"/>
        <v>0</v>
      </c>
      <c r="G1748">
        <f t="shared" ref="G1748" si="1878">D1746+D1747+D1748</f>
        <v>50.5</v>
      </c>
      <c r="H1748">
        <f t="shared" si="1858"/>
        <v>2037</v>
      </c>
      <c r="I1748">
        <v>1</v>
      </c>
      <c r="J1748">
        <f t="shared" si="1861"/>
        <v>65.071699999999865</v>
      </c>
      <c r="K1748">
        <f t="shared" si="1862"/>
        <v>0</v>
      </c>
      <c r="L1748">
        <f t="shared" si="1863"/>
        <v>65.071699999999865</v>
      </c>
    </row>
    <row r="1749" spans="2:12">
      <c r="B1749" s="1">
        <v>50387</v>
      </c>
      <c r="C1749" t="s">
        <v>19</v>
      </c>
      <c r="D1749">
        <v>27.5</v>
      </c>
      <c r="E1749">
        <v>5.3</v>
      </c>
      <c r="F1749">
        <f t="shared" si="1859"/>
        <v>1.4575</v>
      </c>
      <c r="G1749">
        <f t="shared" ref="G1749" si="1879">D1746+D1747+D1748+D1749</f>
        <v>78</v>
      </c>
      <c r="H1749">
        <f t="shared" si="1858"/>
        <v>2037</v>
      </c>
      <c r="I1749">
        <v>1</v>
      </c>
      <c r="J1749">
        <f t="shared" si="1861"/>
        <v>66.529199999999861</v>
      </c>
      <c r="K1749">
        <f t="shared" si="1862"/>
        <v>0</v>
      </c>
      <c r="L1749">
        <f t="shared" si="1863"/>
        <v>66.529199999999861</v>
      </c>
    </row>
    <row r="1750" spans="2:12">
      <c r="B1750" s="1">
        <v>50388</v>
      </c>
      <c r="C1750" t="s">
        <v>15</v>
      </c>
      <c r="D1750">
        <v>17.3</v>
      </c>
      <c r="E1750">
        <v>0</v>
      </c>
      <c r="F1750">
        <f t="shared" si="1859"/>
        <v>0</v>
      </c>
      <c r="G1750">
        <f t="shared" ref="G1750" si="1880">D1746+D1747+D1748+D1749+D1750</f>
        <v>95.3</v>
      </c>
      <c r="H1750">
        <f t="shared" si="1858"/>
        <v>2037</v>
      </c>
      <c r="I1750">
        <v>1</v>
      </c>
      <c r="J1750">
        <f t="shared" si="1861"/>
        <v>66.529199999999861</v>
      </c>
      <c r="K1750">
        <f t="shared" si="1862"/>
        <v>0</v>
      </c>
      <c r="L1750">
        <f t="shared" si="1863"/>
        <v>66.529199999999861</v>
      </c>
    </row>
    <row r="1751" spans="2:12">
      <c r="B1751" s="1">
        <v>50389</v>
      </c>
      <c r="C1751" t="s">
        <v>50</v>
      </c>
      <c r="D1751">
        <v>11.2</v>
      </c>
      <c r="E1751">
        <v>32.700000000000003</v>
      </c>
      <c r="F1751">
        <f t="shared" si="1859"/>
        <v>3.6623999999999999</v>
      </c>
      <c r="G1751">
        <f t="shared" ref="G1751" si="1881">D1746+D1747+D1748+D1749+D1750+D1751</f>
        <v>106.5</v>
      </c>
      <c r="H1751">
        <f t="shared" si="1858"/>
        <v>2037</v>
      </c>
      <c r="I1751">
        <v>1</v>
      </c>
      <c r="J1751">
        <f t="shared" si="1861"/>
        <v>70.191599999999866</v>
      </c>
      <c r="K1751">
        <f t="shared" si="1862"/>
        <v>0</v>
      </c>
      <c r="L1751">
        <f t="shared" si="1863"/>
        <v>70.191599999999866</v>
      </c>
    </row>
    <row r="1752" spans="2:12">
      <c r="B1752" s="1">
        <v>50390</v>
      </c>
      <c r="C1752" t="s">
        <v>25</v>
      </c>
      <c r="D1752">
        <v>17.8</v>
      </c>
      <c r="E1752">
        <v>0</v>
      </c>
      <c r="F1752">
        <f t="shared" si="1859"/>
        <v>0</v>
      </c>
      <c r="G1752">
        <f t="shared" ref="G1752" si="1882">D1746+D1747+D1748+D1749+D1750+D1751+D1752</f>
        <v>124.3</v>
      </c>
      <c r="H1752">
        <f t="shared" si="1858"/>
        <v>2037</v>
      </c>
      <c r="I1752">
        <v>1</v>
      </c>
      <c r="J1752">
        <f t="shared" si="1861"/>
        <v>70.191599999999866</v>
      </c>
      <c r="K1752">
        <f t="shared" si="1862"/>
        <v>0</v>
      </c>
      <c r="L1752">
        <f t="shared" si="1863"/>
        <v>70.191599999999866</v>
      </c>
    </row>
    <row r="1753" spans="2:12">
      <c r="B1753" s="1">
        <v>50391</v>
      </c>
      <c r="C1753" t="s">
        <v>24</v>
      </c>
      <c r="D1753">
        <v>16.899999999999999</v>
      </c>
      <c r="E1753">
        <v>41.8</v>
      </c>
      <c r="F1753">
        <f t="shared" si="1859"/>
        <v>7.0641999999999987</v>
      </c>
      <c r="G1753">
        <f t="shared" ref="G1753:G1816" si="1883">D1753</f>
        <v>16.899999999999999</v>
      </c>
      <c r="H1753">
        <f t="shared" si="1858"/>
        <v>2037</v>
      </c>
      <c r="I1753">
        <v>1</v>
      </c>
      <c r="J1753">
        <f t="shared" si="1861"/>
        <v>77.255799999999866</v>
      </c>
      <c r="K1753">
        <f t="shared" si="1862"/>
        <v>0</v>
      </c>
      <c r="L1753">
        <f t="shared" si="1863"/>
        <v>77.255799999999866</v>
      </c>
    </row>
    <row r="1754" spans="2:12">
      <c r="B1754" s="1">
        <v>50392</v>
      </c>
      <c r="C1754" t="s">
        <v>25</v>
      </c>
      <c r="D1754">
        <v>18.3</v>
      </c>
      <c r="E1754">
        <v>0</v>
      </c>
      <c r="F1754">
        <f t="shared" si="1859"/>
        <v>0</v>
      </c>
      <c r="G1754">
        <f t="shared" ref="G1754:G1817" si="1884">D1753+D1754</f>
        <v>35.200000000000003</v>
      </c>
      <c r="H1754">
        <f t="shared" si="1858"/>
        <v>2037</v>
      </c>
      <c r="I1754">
        <v>1</v>
      </c>
      <c r="J1754">
        <f t="shared" si="1861"/>
        <v>77.255799999999866</v>
      </c>
      <c r="K1754">
        <f t="shared" si="1862"/>
        <v>0</v>
      </c>
      <c r="L1754">
        <f t="shared" si="1863"/>
        <v>77.255799999999866</v>
      </c>
    </row>
    <row r="1755" spans="2:12">
      <c r="B1755" s="1">
        <v>50393</v>
      </c>
      <c r="C1755" t="s">
        <v>42</v>
      </c>
      <c r="D1755">
        <v>12.2</v>
      </c>
      <c r="E1755">
        <v>0</v>
      </c>
      <c r="F1755">
        <f t="shared" si="1859"/>
        <v>0</v>
      </c>
      <c r="G1755">
        <f t="shared" ref="G1755" si="1885">D1753+D1754+D1755</f>
        <v>47.400000000000006</v>
      </c>
      <c r="H1755">
        <f t="shared" si="1858"/>
        <v>2037</v>
      </c>
      <c r="I1755">
        <v>1</v>
      </c>
      <c r="J1755">
        <f t="shared" si="1861"/>
        <v>77.255799999999866</v>
      </c>
      <c r="K1755">
        <f t="shared" si="1862"/>
        <v>0</v>
      </c>
      <c r="L1755">
        <f t="shared" si="1863"/>
        <v>77.255799999999866</v>
      </c>
    </row>
    <row r="1756" spans="2:12">
      <c r="B1756" s="1">
        <v>50394</v>
      </c>
      <c r="C1756" t="s">
        <v>27</v>
      </c>
      <c r="D1756">
        <v>21.2</v>
      </c>
      <c r="E1756">
        <v>0</v>
      </c>
      <c r="F1756">
        <f t="shared" si="1859"/>
        <v>0</v>
      </c>
      <c r="G1756">
        <f t="shared" ref="G1756" si="1886">D1753+D1754+D1755+D1756</f>
        <v>68.600000000000009</v>
      </c>
      <c r="H1756">
        <f t="shared" si="1858"/>
        <v>2037</v>
      </c>
      <c r="I1756">
        <v>1</v>
      </c>
      <c r="J1756">
        <f t="shared" si="1861"/>
        <v>77.255799999999866</v>
      </c>
      <c r="K1756">
        <f t="shared" si="1862"/>
        <v>0</v>
      </c>
      <c r="L1756">
        <f t="shared" si="1863"/>
        <v>77.255799999999866</v>
      </c>
    </row>
    <row r="1757" spans="2:12">
      <c r="B1757" s="1">
        <v>50395</v>
      </c>
      <c r="C1757" t="s">
        <v>24</v>
      </c>
      <c r="D1757">
        <v>19.600000000000001</v>
      </c>
      <c r="E1757">
        <v>48.2</v>
      </c>
      <c r="F1757">
        <f t="shared" si="1859"/>
        <v>9.4472000000000023</v>
      </c>
      <c r="G1757">
        <f t="shared" ref="G1757" si="1887">D1753+D1754+D1755+D1756+D1757</f>
        <v>88.200000000000017</v>
      </c>
      <c r="H1757">
        <f t="shared" si="1858"/>
        <v>2037</v>
      </c>
      <c r="I1757">
        <v>1</v>
      </c>
      <c r="J1757">
        <f t="shared" si="1861"/>
        <v>86.702999999999861</v>
      </c>
      <c r="K1757">
        <f t="shared" si="1862"/>
        <v>0</v>
      </c>
      <c r="L1757">
        <f t="shared" si="1863"/>
        <v>86.702999999999861</v>
      </c>
    </row>
    <row r="1758" spans="2:12">
      <c r="B1758" s="1">
        <v>50396</v>
      </c>
      <c r="C1758" t="s">
        <v>21</v>
      </c>
      <c r="D1758">
        <v>15.6</v>
      </c>
      <c r="E1758">
        <v>0.6</v>
      </c>
      <c r="F1758">
        <f t="shared" si="1859"/>
        <v>0</v>
      </c>
      <c r="G1758">
        <f t="shared" ref="G1758" si="1888">D1753+D1754+D1755+D1756+D1757+D1758</f>
        <v>103.80000000000001</v>
      </c>
      <c r="H1758">
        <f t="shared" si="1858"/>
        <v>2037</v>
      </c>
      <c r="I1758">
        <v>1</v>
      </c>
      <c r="J1758">
        <f t="shared" si="1861"/>
        <v>86.702999999999861</v>
      </c>
      <c r="K1758">
        <f t="shared" si="1862"/>
        <v>0</v>
      </c>
      <c r="L1758">
        <f t="shared" si="1863"/>
        <v>86.702999999999861</v>
      </c>
    </row>
    <row r="1759" spans="2:12">
      <c r="B1759" s="1">
        <v>50397</v>
      </c>
      <c r="C1759" t="s">
        <v>36</v>
      </c>
      <c r="D1759">
        <v>12.5</v>
      </c>
      <c r="E1759">
        <v>5.9</v>
      </c>
      <c r="F1759">
        <f t="shared" si="1859"/>
        <v>0.73750000000000004</v>
      </c>
      <c r="G1759">
        <f t="shared" ref="G1759" si="1889">D1753+D1754+D1755+D1756+D1757+D1758+D1759</f>
        <v>116.30000000000001</v>
      </c>
      <c r="H1759">
        <f t="shared" si="1858"/>
        <v>2037</v>
      </c>
      <c r="I1759">
        <v>1</v>
      </c>
      <c r="J1759">
        <f t="shared" si="1861"/>
        <v>87.440499999999858</v>
      </c>
      <c r="K1759">
        <f t="shared" si="1862"/>
        <v>0</v>
      </c>
      <c r="L1759">
        <f t="shared" si="1863"/>
        <v>87.440499999999858</v>
      </c>
    </row>
    <row r="1760" spans="2:12">
      <c r="B1760" s="1">
        <v>50398</v>
      </c>
      <c r="C1760" t="s">
        <v>26</v>
      </c>
      <c r="D1760">
        <v>29.3</v>
      </c>
      <c r="E1760">
        <v>0</v>
      </c>
      <c r="F1760">
        <f t="shared" si="1859"/>
        <v>0</v>
      </c>
      <c r="G1760">
        <f t="shared" ref="G1760:G1823" si="1890">D1760</f>
        <v>29.3</v>
      </c>
      <c r="H1760">
        <f t="shared" si="1858"/>
        <v>2037</v>
      </c>
      <c r="I1760">
        <v>1</v>
      </c>
      <c r="J1760">
        <f t="shared" si="1861"/>
        <v>87.440499999999858</v>
      </c>
      <c r="K1760">
        <f t="shared" si="1862"/>
        <v>0</v>
      </c>
      <c r="L1760">
        <f t="shared" si="1863"/>
        <v>87.440499999999858</v>
      </c>
    </row>
    <row r="1761" spans="2:12">
      <c r="B1761" s="1">
        <v>50399</v>
      </c>
      <c r="C1761" t="s">
        <v>47</v>
      </c>
      <c r="D1761">
        <v>24.6</v>
      </c>
      <c r="E1761">
        <v>0</v>
      </c>
      <c r="F1761">
        <f t="shared" si="1859"/>
        <v>0</v>
      </c>
      <c r="G1761">
        <f t="shared" ref="G1761:G1824" si="1891">D1760+D1761</f>
        <v>53.900000000000006</v>
      </c>
      <c r="H1761">
        <f t="shared" si="1858"/>
        <v>2037</v>
      </c>
      <c r="I1761">
        <v>1</v>
      </c>
      <c r="J1761">
        <f t="shared" si="1861"/>
        <v>87.440499999999858</v>
      </c>
      <c r="K1761">
        <f t="shared" si="1862"/>
        <v>0</v>
      </c>
      <c r="L1761">
        <f t="shared" si="1863"/>
        <v>87.440499999999858</v>
      </c>
    </row>
    <row r="1762" spans="2:12">
      <c r="B1762" s="1">
        <v>50400</v>
      </c>
      <c r="C1762" t="s">
        <v>21</v>
      </c>
      <c r="D1762">
        <v>21.2</v>
      </c>
      <c r="E1762">
        <v>3.1</v>
      </c>
      <c r="F1762">
        <f t="shared" si="1859"/>
        <v>0.65720000000000001</v>
      </c>
      <c r="G1762">
        <f t="shared" ref="G1762" si="1892">D1760+D1761+D1762</f>
        <v>75.100000000000009</v>
      </c>
      <c r="H1762">
        <f t="shared" si="1858"/>
        <v>2037</v>
      </c>
      <c r="I1762">
        <v>1</v>
      </c>
      <c r="J1762">
        <f t="shared" si="1861"/>
        <v>88.097699999999861</v>
      </c>
      <c r="K1762">
        <f t="shared" si="1862"/>
        <v>0</v>
      </c>
      <c r="L1762">
        <f t="shared" si="1863"/>
        <v>88.097699999999861</v>
      </c>
    </row>
    <row r="1763" spans="2:12">
      <c r="B1763" s="1">
        <v>50401</v>
      </c>
      <c r="C1763" t="s">
        <v>24</v>
      </c>
      <c r="D1763">
        <v>12.7</v>
      </c>
      <c r="E1763">
        <v>38.1</v>
      </c>
      <c r="F1763">
        <f t="shared" si="1859"/>
        <v>4.8387000000000002</v>
      </c>
      <c r="G1763">
        <f t="shared" ref="G1763" si="1893">D1760+D1761+D1762+D1763</f>
        <v>87.800000000000011</v>
      </c>
      <c r="H1763">
        <f t="shared" si="1858"/>
        <v>2037</v>
      </c>
      <c r="I1763">
        <v>1</v>
      </c>
      <c r="J1763">
        <f t="shared" si="1861"/>
        <v>92.936399999999864</v>
      </c>
      <c r="K1763">
        <f t="shared" si="1862"/>
        <v>0</v>
      </c>
      <c r="L1763">
        <f t="shared" si="1863"/>
        <v>92.936399999999864</v>
      </c>
    </row>
    <row r="1764" spans="2:12">
      <c r="B1764" s="1">
        <v>50402</v>
      </c>
      <c r="C1764" t="s">
        <v>35</v>
      </c>
      <c r="D1764">
        <v>20.6</v>
      </c>
      <c r="E1764">
        <v>5.2</v>
      </c>
      <c r="F1764">
        <f t="shared" si="1859"/>
        <v>1.0712000000000002</v>
      </c>
      <c r="G1764">
        <f t="shared" ref="G1764" si="1894">D1760+D1761+D1762+D1763+D1764</f>
        <v>108.4</v>
      </c>
      <c r="H1764">
        <f t="shared" si="1858"/>
        <v>2037</v>
      </c>
      <c r="I1764">
        <v>1</v>
      </c>
      <c r="J1764">
        <f t="shared" si="1861"/>
        <v>94.007599999999869</v>
      </c>
      <c r="K1764">
        <f t="shared" si="1862"/>
        <v>0</v>
      </c>
      <c r="L1764">
        <f t="shared" si="1863"/>
        <v>94.007599999999869</v>
      </c>
    </row>
    <row r="1765" spans="2:12">
      <c r="B1765" s="1">
        <v>50403</v>
      </c>
      <c r="C1765" t="s">
        <v>26</v>
      </c>
      <c r="D1765">
        <v>28.3</v>
      </c>
      <c r="E1765">
        <v>0</v>
      </c>
      <c r="F1765">
        <f t="shared" si="1859"/>
        <v>0</v>
      </c>
      <c r="G1765">
        <f t="shared" ref="G1765" si="1895">D1760+D1761+D1762+D1763+D1764+D1765</f>
        <v>136.70000000000002</v>
      </c>
      <c r="H1765">
        <f t="shared" si="1858"/>
        <v>2037</v>
      </c>
      <c r="I1765">
        <v>1</v>
      </c>
      <c r="J1765">
        <f t="shared" si="1861"/>
        <v>94.007599999999869</v>
      </c>
      <c r="K1765">
        <f t="shared" si="1862"/>
        <v>0</v>
      </c>
      <c r="L1765">
        <f t="shared" si="1863"/>
        <v>94.007599999999869</v>
      </c>
    </row>
    <row r="1766" spans="2:12">
      <c r="B1766" s="1">
        <v>50404</v>
      </c>
      <c r="C1766" t="s">
        <v>50</v>
      </c>
      <c r="D1766">
        <v>15.1</v>
      </c>
      <c r="E1766">
        <v>22.6</v>
      </c>
      <c r="F1766">
        <f t="shared" si="1859"/>
        <v>3.4125999999999999</v>
      </c>
      <c r="G1766">
        <f t="shared" ref="G1766" si="1896">D1760+D1761+D1762+D1763+D1764+D1765+D1766</f>
        <v>151.80000000000001</v>
      </c>
      <c r="H1766">
        <f t="shared" si="1858"/>
        <v>2037</v>
      </c>
      <c r="I1766">
        <v>1</v>
      </c>
      <c r="J1766">
        <f t="shared" si="1861"/>
        <v>97.420199999999866</v>
      </c>
      <c r="K1766">
        <f t="shared" si="1862"/>
        <v>0</v>
      </c>
      <c r="L1766">
        <f t="shared" si="1863"/>
        <v>97.420199999999866</v>
      </c>
    </row>
    <row r="1767" spans="2:12">
      <c r="B1767" s="1">
        <v>50405</v>
      </c>
      <c r="C1767" t="s">
        <v>32</v>
      </c>
      <c r="D1767">
        <v>24.8</v>
      </c>
      <c r="E1767">
        <v>10.5</v>
      </c>
      <c r="F1767">
        <f t="shared" si="1859"/>
        <v>2.6040000000000005</v>
      </c>
      <c r="G1767">
        <f t="shared" ref="G1767:G1830" si="1897">D1767</f>
        <v>24.8</v>
      </c>
      <c r="H1767">
        <f t="shared" si="1858"/>
        <v>2037</v>
      </c>
      <c r="I1767">
        <v>1</v>
      </c>
      <c r="J1767">
        <f t="shared" si="1861"/>
        <v>100.02419999999987</v>
      </c>
      <c r="K1767">
        <f t="shared" si="1862"/>
        <v>1</v>
      </c>
      <c r="L1767">
        <f t="shared" si="1863"/>
        <v>2.419999999986544E-2</v>
      </c>
    </row>
    <row r="1768" spans="2:12">
      <c r="B1768" s="1">
        <v>50406</v>
      </c>
      <c r="C1768" t="s">
        <v>46</v>
      </c>
      <c r="D1768">
        <v>16.899999999999999</v>
      </c>
      <c r="E1768">
        <v>1.2</v>
      </c>
      <c r="F1768">
        <f t="shared" si="1859"/>
        <v>0.20279999999999998</v>
      </c>
      <c r="G1768">
        <f t="shared" ref="G1768:G1831" si="1898">D1767+D1768</f>
        <v>41.7</v>
      </c>
      <c r="H1768">
        <f t="shared" si="1858"/>
        <v>2038</v>
      </c>
      <c r="I1768">
        <v>1</v>
      </c>
      <c r="J1768">
        <f t="shared" si="1861"/>
        <v>0.22699999999986542</v>
      </c>
      <c r="K1768">
        <f t="shared" si="1862"/>
        <v>0</v>
      </c>
      <c r="L1768">
        <f t="shared" si="1863"/>
        <v>0.22699999999986542</v>
      </c>
    </row>
    <row r="1769" spans="2:12">
      <c r="B1769" s="1">
        <v>50407</v>
      </c>
      <c r="C1769" t="s">
        <v>46</v>
      </c>
      <c r="D1769">
        <v>23.4</v>
      </c>
      <c r="E1769">
        <v>0</v>
      </c>
      <c r="F1769">
        <f t="shared" si="1859"/>
        <v>0</v>
      </c>
      <c r="G1769">
        <f t="shared" ref="G1769" si="1899">D1767+D1768+D1769</f>
        <v>65.099999999999994</v>
      </c>
      <c r="H1769">
        <f t="shared" si="1858"/>
        <v>2038</v>
      </c>
      <c r="I1769">
        <v>1</v>
      </c>
      <c r="J1769">
        <f t="shared" si="1861"/>
        <v>0.22699999999986542</v>
      </c>
      <c r="K1769">
        <f t="shared" si="1862"/>
        <v>0</v>
      </c>
      <c r="L1769">
        <f t="shared" si="1863"/>
        <v>0.22699999999986542</v>
      </c>
    </row>
    <row r="1770" spans="2:12">
      <c r="B1770" s="1">
        <v>50408</v>
      </c>
      <c r="C1770" t="s">
        <v>18</v>
      </c>
      <c r="D1770">
        <v>10.5</v>
      </c>
      <c r="E1770">
        <v>22.2</v>
      </c>
      <c r="F1770">
        <f t="shared" si="1859"/>
        <v>2.331</v>
      </c>
      <c r="G1770">
        <f t="shared" ref="G1770" si="1900">D1767+D1768+D1769+D1770</f>
        <v>75.599999999999994</v>
      </c>
      <c r="H1770">
        <f t="shared" si="1858"/>
        <v>2038</v>
      </c>
      <c r="I1770">
        <v>1</v>
      </c>
      <c r="J1770">
        <f t="shared" si="1861"/>
        <v>2.5579999999998653</v>
      </c>
      <c r="K1770">
        <f t="shared" si="1862"/>
        <v>0</v>
      </c>
      <c r="L1770">
        <f t="shared" si="1863"/>
        <v>2.5579999999998653</v>
      </c>
    </row>
    <row r="1771" spans="2:12">
      <c r="B1771" s="1">
        <v>50409</v>
      </c>
      <c r="C1771" t="s">
        <v>24</v>
      </c>
      <c r="D1771">
        <v>16.2</v>
      </c>
      <c r="E1771">
        <v>0</v>
      </c>
      <c r="F1771">
        <f t="shared" si="1859"/>
        <v>0</v>
      </c>
      <c r="G1771">
        <f t="shared" ref="G1771" si="1901">D1767+D1768+D1769+D1770+D1771</f>
        <v>91.8</v>
      </c>
      <c r="H1771">
        <f t="shared" si="1858"/>
        <v>2038</v>
      </c>
      <c r="I1771">
        <v>1</v>
      </c>
      <c r="J1771">
        <f t="shared" si="1861"/>
        <v>2.5579999999998653</v>
      </c>
      <c r="K1771">
        <f t="shared" si="1862"/>
        <v>0</v>
      </c>
      <c r="L1771">
        <f t="shared" si="1863"/>
        <v>2.5579999999998653</v>
      </c>
    </row>
    <row r="1772" spans="2:12">
      <c r="B1772" s="1">
        <v>50410</v>
      </c>
      <c r="C1772" t="s">
        <v>33</v>
      </c>
      <c r="D1772">
        <v>29.7</v>
      </c>
      <c r="E1772">
        <v>0.3</v>
      </c>
      <c r="F1772">
        <f t="shared" si="1859"/>
        <v>0</v>
      </c>
      <c r="G1772">
        <f t="shared" ref="G1772" si="1902">D1767+D1768+D1769+D1770+D1771+D1772</f>
        <v>121.5</v>
      </c>
      <c r="H1772">
        <f t="shared" si="1858"/>
        <v>2038</v>
      </c>
      <c r="I1772">
        <v>1</v>
      </c>
      <c r="J1772">
        <f t="shared" si="1861"/>
        <v>2.5579999999998653</v>
      </c>
      <c r="K1772">
        <f t="shared" si="1862"/>
        <v>0</v>
      </c>
      <c r="L1772">
        <f t="shared" si="1863"/>
        <v>2.5579999999998653</v>
      </c>
    </row>
    <row r="1773" spans="2:12">
      <c r="B1773" s="1">
        <v>50411</v>
      </c>
      <c r="C1773" t="s">
        <v>24</v>
      </c>
      <c r="D1773">
        <v>12.8</v>
      </c>
      <c r="E1773">
        <v>0</v>
      </c>
      <c r="F1773">
        <f t="shared" si="1859"/>
        <v>0</v>
      </c>
      <c r="G1773">
        <f t="shared" ref="G1773" si="1903">D1767+D1768+D1769+D1770+D1771+D1772+D1773</f>
        <v>134.30000000000001</v>
      </c>
      <c r="H1773">
        <f t="shared" si="1858"/>
        <v>2038</v>
      </c>
      <c r="I1773">
        <v>1</v>
      </c>
      <c r="J1773">
        <f t="shared" si="1861"/>
        <v>2.5579999999998653</v>
      </c>
      <c r="K1773">
        <f t="shared" si="1862"/>
        <v>0</v>
      </c>
      <c r="L1773">
        <f t="shared" si="1863"/>
        <v>2.5579999999998653</v>
      </c>
    </row>
    <row r="1774" spans="2:12">
      <c r="B1774" s="1">
        <v>50412</v>
      </c>
      <c r="C1774" t="s">
        <v>19</v>
      </c>
      <c r="D1774">
        <v>19.100000000000001</v>
      </c>
      <c r="E1774">
        <v>1.7</v>
      </c>
      <c r="F1774">
        <f t="shared" si="1859"/>
        <v>0.32469999999999999</v>
      </c>
      <c r="G1774">
        <f t="shared" ref="G1774:G1837" si="1904">D1774</f>
        <v>19.100000000000001</v>
      </c>
      <c r="H1774">
        <f t="shared" si="1858"/>
        <v>2038</v>
      </c>
      <c r="I1774">
        <v>1</v>
      </c>
      <c r="J1774">
        <f t="shared" si="1861"/>
        <v>2.8826999999998653</v>
      </c>
      <c r="K1774">
        <f t="shared" si="1862"/>
        <v>0</v>
      </c>
      <c r="L1774">
        <f t="shared" si="1863"/>
        <v>2.8826999999998653</v>
      </c>
    </row>
    <row r="1775" spans="2:12">
      <c r="B1775" s="1">
        <v>50413</v>
      </c>
      <c r="C1775" t="s">
        <v>25</v>
      </c>
      <c r="D1775">
        <v>27.7</v>
      </c>
      <c r="E1775">
        <v>0</v>
      </c>
      <c r="F1775">
        <f t="shared" si="1859"/>
        <v>0</v>
      </c>
      <c r="G1775">
        <f t="shared" ref="G1775:G1838" si="1905">D1774+D1775</f>
        <v>46.8</v>
      </c>
      <c r="H1775">
        <f t="shared" si="1858"/>
        <v>2038</v>
      </c>
      <c r="I1775">
        <v>1</v>
      </c>
      <c r="J1775">
        <f t="shared" si="1861"/>
        <v>2.8826999999998653</v>
      </c>
      <c r="K1775">
        <f t="shared" si="1862"/>
        <v>0</v>
      </c>
      <c r="L1775">
        <f t="shared" si="1863"/>
        <v>2.8826999999998653</v>
      </c>
    </row>
    <row r="1776" spans="2:12">
      <c r="B1776" s="1">
        <v>50414</v>
      </c>
      <c r="C1776" t="s">
        <v>31</v>
      </c>
      <c r="D1776">
        <v>22</v>
      </c>
      <c r="E1776">
        <v>5.9</v>
      </c>
      <c r="F1776">
        <f t="shared" si="1859"/>
        <v>1.298</v>
      </c>
      <c r="G1776">
        <f t="shared" ref="G1776" si="1906">D1774+D1775+D1776</f>
        <v>68.8</v>
      </c>
      <c r="H1776">
        <f t="shared" si="1858"/>
        <v>2038</v>
      </c>
      <c r="I1776">
        <v>1</v>
      </c>
      <c r="J1776">
        <f t="shared" si="1861"/>
        <v>4.1806999999998649</v>
      </c>
      <c r="K1776">
        <f t="shared" si="1862"/>
        <v>0</v>
      </c>
      <c r="L1776">
        <f t="shared" si="1863"/>
        <v>4.1806999999998649</v>
      </c>
    </row>
    <row r="1777" spans="2:12">
      <c r="B1777" s="1">
        <v>50415</v>
      </c>
      <c r="C1777" t="s">
        <v>17</v>
      </c>
      <c r="D1777">
        <v>19.600000000000001</v>
      </c>
      <c r="E1777">
        <v>2.7</v>
      </c>
      <c r="F1777">
        <f t="shared" si="1859"/>
        <v>0.52920000000000011</v>
      </c>
      <c r="G1777">
        <f t="shared" ref="G1777" si="1907">D1774+D1775+D1776+D1777</f>
        <v>88.4</v>
      </c>
      <c r="H1777">
        <f t="shared" si="1858"/>
        <v>2038</v>
      </c>
      <c r="I1777">
        <v>1</v>
      </c>
      <c r="J1777">
        <f t="shared" si="1861"/>
        <v>4.7098999999998652</v>
      </c>
      <c r="K1777">
        <f t="shared" si="1862"/>
        <v>0</v>
      </c>
      <c r="L1777">
        <f t="shared" si="1863"/>
        <v>4.7098999999998652</v>
      </c>
    </row>
    <row r="1778" spans="2:12">
      <c r="B1778" s="1">
        <v>50416</v>
      </c>
      <c r="C1778" t="s">
        <v>19</v>
      </c>
      <c r="D1778">
        <v>16</v>
      </c>
      <c r="E1778">
        <v>0.3</v>
      </c>
      <c r="F1778">
        <f t="shared" si="1859"/>
        <v>0</v>
      </c>
      <c r="G1778">
        <f t="shared" ref="G1778" si="1908">D1774+D1775+D1776+D1777+D1778</f>
        <v>104.4</v>
      </c>
      <c r="H1778">
        <f t="shared" si="1858"/>
        <v>2038</v>
      </c>
      <c r="I1778">
        <v>1</v>
      </c>
      <c r="J1778">
        <f t="shared" si="1861"/>
        <v>4.7098999999998652</v>
      </c>
      <c r="K1778">
        <f t="shared" si="1862"/>
        <v>0</v>
      </c>
      <c r="L1778">
        <f t="shared" si="1863"/>
        <v>4.7098999999998652</v>
      </c>
    </row>
    <row r="1779" spans="2:12">
      <c r="B1779" s="1">
        <v>50417</v>
      </c>
      <c r="C1779" t="s">
        <v>15</v>
      </c>
      <c r="D1779">
        <v>14</v>
      </c>
      <c r="E1779">
        <v>1.3</v>
      </c>
      <c r="F1779">
        <f t="shared" si="1859"/>
        <v>0.182</v>
      </c>
      <c r="G1779">
        <f t="shared" ref="G1779" si="1909">D1774+D1775+D1776+D1777+D1778+D1779</f>
        <v>118.4</v>
      </c>
      <c r="H1779">
        <f t="shared" si="1858"/>
        <v>2038</v>
      </c>
      <c r="I1779">
        <v>1</v>
      </c>
      <c r="J1779">
        <f t="shared" si="1861"/>
        <v>4.8918999999998656</v>
      </c>
      <c r="K1779">
        <f t="shared" si="1862"/>
        <v>0</v>
      </c>
      <c r="L1779">
        <f t="shared" si="1863"/>
        <v>4.8918999999998656</v>
      </c>
    </row>
    <row r="1780" spans="2:12">
      <c r="B1780" s="1">
        <v>50418</v>
      </c>
      <c r="C1780" t="s">
        <v>32</v>
      </c>
      <c r="D1780">
        <v>29.5</v>
      </c>
      <c r="E1780">
        <v>3.3</v>
      </c>
      <c r="F1780">
        <f t="shared" si="1859"/>
        <v>0.97349999999999992</v>
      </c>
      <c r="G1780">
        <f t="shared" ref="G1780" si="1910">D1774+D1775+D1776+D1777+D1778+D1779+D1780</f>
        <v>147.9</v>
      </c>
      <c r="H1780">
        <f t="shared" si="1858"/>
        <v>2038</v>
      </c>
      <c r="I1780">
        <v>1</v>
      </c>
      <c r="J1780">
        <f t="shared" si="1861"/>
        <v>5.8653999999998652</v>
      </c>
      <c r="K1780">
        <f t="shared" si="1862"/>
        <v>0</v>
      </c>
      <c r="L1780">
        <f t="shared" si="1863"/>
        <v>5.8653999999998652</v>
      </c>
    </row>
    <row r="1781" spans="2:12">
      <c r="B1781" s="1">
        <v>50419</v>
      </c>
      <c r="C1781" t="s">
        <v>18</v>
      </c>
      <c r="D1781">
        <v>12.2</v>
      </c>
      <c r="E1781">
        <v>0</v>
      </c>
      <c r="F1781">
        <f t="shared" si="1859"/>
        <v>0</v>
      </c>
      <c r="G1781">
        <f t="shared" ref="G1781:G1844" si="1911">D1781</f>
        <v>12.2</v>
      </c>
      <c r="H1781">
        <f t="shared" si="1858"/>
        <v>2038</v>
      </c>
      <c r="I1781">
        <v>1</v>
      </c>
      <c r="J1781">
        <f t="shared" si="1861"/>
        <v>5.8653999999998652</v>
      </c>
      <c r="K1781">
        <f t="shared" si="1862"/>
        <v>0</v>
      </c>
      <c r="L1781">
        <f t="shared" si="1863"/>
        <v>5.8653999999998652</v>
      </c>
    </row>
    <row r="1782" spans="2:12">
      <c r="B1782" s="1">
        <v>50420</v>
      </c>
      <c r="C1782" t="s">
        <v>25</v>
      </c>
      <c r="D1782">
        <v>15</v>
      </c>
      <c r="E1782">
        <v>7.4</v>
      </c>
      <c r="F1782">
        <f t="shared" si="1859"/>
        <v>1.1100000000000001</v>
      </c>
      <c r="G1782">
        <f t="shared" ref="G1782:G1845" si="1912">D1781+D1782</f>
        <v>27.2</v>
      </c>
      <c r="H1782">
        <f t="shared" si="1858"/>
        <v>2038</v>
      </c>
      <c r="I1782">
        <v>1</v>
      </c>
      <c r="J1782">
        <f t="shared" si="1861"/>
        <v>6.9753999999998655</v>
      </c>
      <c r="K1782">
        <f t="shared" si="1862"/>
        <v>0</v>
      </c>
      <c r="L1782">
        <f t="shared" si="1863"/>
        <v>6.9753999999998655</v>
      </c>
    </row>
    <row r="1783" spans="2:12">
      <c r="B1783" s="1">
        <v>50421</v>
      </c>
      <c r="C1783" t="s">
        <v>40</v>
      </c>
      <c r="D1783">
        <v>10.4</v>
      </c>
      <c r="E1783">
        <v>2</v>
      </c>
      <c r="F1783">
        <f t="shared" si="1859"/>
        <v>0.20800000000000002</v>
      </c>
      <c r="G1783">
        <f t="shared" ref="G1783" si="1913">D1781+D1782+D1783</f>
        <v>37.6</v>
      </c>
      <c r="H1783">
        <f t="shared" si="1858"/>
        <v>2038</v>
      </c>
      <c r="I1783">
        <v>1</v>
      </c>
      <c r="J1783">
        <f t="shared" si="1861"/>
        <v>7.1833999999998657</v>
      </c>
      <c r="K1783">
        <f t="shared" si="1862"/>
        <v>0</v>
      </c>
      <c r="L1783">
        <f t="shared" si="1863"/>
        <v>7.1833999999998657</v>
      </c>
    </row>
    <row r="1784" spans="2:12">
      <c r="B1784" s="1">
        <v>50422</v>
      </c>
      <c r="C1784" t="s">
        <v>50</v>
      </c>
      <c r="D1784">
        <v>18.600000000000001</v>
      </c>
      <c r="E1784">
        <v>4.5999999999999996</v>
      </c>
      <c r="F1784">
        <f t="shared" si="1859"/>
        <v>0.85560000000000003</v>
      </c>
      <c r="G1784">
        <f t="shared" ref="G1784" si="1914">D1781+D1782+D1783+D1784</f>
        <v>56.2</v>
      </c>
      <c r="H1784">
        <f t="shared" si="1858"/>
        <v>2038</v>
      </c>
      <c r="I1784">
        <v>1</v>
      </c>
      <c r="J1784">
        <f t="shared" si="1861"/>
        <v>8.0389999999998665</v>
      </c>
      <c r="K1784">
        <f t="shared" si="1862"/>
        <v>0</v>
      </c>
      <c r="L1784">
        <f t="shared" si="1863"/>
        <v>8.0389999999998665</v>
      </c>
    </row>
    <row r="1785" spans="2:12">
      <c r="B1785" s="1">
        <v>50423</v>
      </c>
      <c r="C1785" t="s">
        <v>47</v>
      </c>
      <c r="D1785">
        <v>23.7</v>
      </c>
      <c r="E1785">
        <v>7.2</v>
      </c>
      <c r="F1785">
        <f t="shared" si="1859"/>
        <v>1.7063999999999999</v>
      </c>
      <c r="G1785">
        <f t="shared" ref="G1785" si="1915">D1781+D1782+D1783+D1784+D1785</f>
        <v>79.900000000000006</v>
      </c>
      <c r="H1785">
        <f t="shared" si="1858"/>
        <v>2038</v>
      </c>
      <c r="I1785">
        <v>1</v>
      </c>
      <c r="J1785">
        <f t="shared" si="1861"/>
        <v>9.7453999999998668</v>
      </c>
      <c r="K1785">
        <f t="shared" si="1862"/>
        <v>0</v>
      </c>
      <c r="L1785">
        <f t="shared" si="1863"/>
        <v>9.7453999999998668</v>
      </c>
    </row>
    <row r="1786" spans="2:12">
      <c r="B1786" s="1">
        <v>50424</v>
      </c>
      <c r="C1786" t="s">
        <v>15</v>
      </c>
      <c r="D1786">
        <v>27.2</v>
      </c>
      <c r="E1786">
        <v>0</v>
      </c>
      <c r="F1786">
        <f t="shared" si="1859"/>
        <v>0</v>
      </c>
      <c r="G1786">
        <f t="shared" ref="G1786" si="1916">D1781+D1782+D1783+D1784+D1785+D1786</f>
        <v>107.10000000000001</v>
      </c>
      <c r="H1786">
        <f t="shared" si="1858"/>
        <v>2038</v>
      </c>
      <c r="I1786">
        <v>1</v>
      </c>
      <c r="J1786">
        <f t="shared" si="1861"/>
        <v>9.7453999999998668</v>
      </c>
      <c r="K1786">
        <f t="shared" si="1862"/>
        <v>0</v>
      </c>
      <c r="L1786">
        <f t="shared" si="1863"/>
        <v>9.7453999999998668</v>
      </c>
    </row>
    <row r="1787" spans="2:12">
      <c r="B1787" s="1">
        <v>50425</v>
      </c>
      <c r="C1787" t="s">
        <v>32</v>
      </c>
      <c r="D1787">
        <v>11.3</v>
      </c>
      <c r="E1787">
        <v>18.8</v>
      </c>
      <c r="F1787">
        <f t="shared" si="1859"/>
        <v>2.1244000000000001</v>
      </c>
      <c r="G1787">
        <f t="shared" ref="G1787" si="1917">D1781+D1782+D1783+D1784+D1785+D1786+D1787</f>
        <v>118.4</v>
      </c>
      <c r="H1787">
        <f t="shared" si="1858"/>
        <v>2038</v>
      </c>
      <c r="I1787">
        <v>1</v>
      </c>
      <c r="J1787">
        <f t="shared" si="1861"/>
        <v>11.869799999999866</v>
      </c>
      <c r="K1787">
        <f t="shared" si="1862"/>
        <v>0</v>
      </c>
      <c r="L1787">
        <f t="shared" si="1863"/>
        <v>11.869799999999866</v>
      </c>
    </row>
    <row r="1788" spans="2:12">
      <c r="B1788" s="1">
        <v>50426</v>
      </c>
      <c r="C1788" t="s">
        <v>18</v>
      </c>
      <c r="D1788">
        <v>22.1</v>
      </c>
      <c r="E1788">
        <v>0</v>
      </c>
      <c r="F1788">
        <f t="shared" si="1859"/>
        <v>0</v>
      </c>
      <c r="G1788">
        <f t="shared" ref="G1788:G1851" si="1918">D1788</f>
        <v>22.1</v>
      </c>
      <c r="H1788">
        <f t="shared" si="1858"/>
        <v>2038</v>
      </c>
      <c r="I1788">
        <v>1</v>
      </c>
      <c r="J1788">
        <f t="shared" si="1861"/>
        <v>11.869799999999866</v>
      </c>
      <c r="K1788">
        <f t="shared" si="1862"/>
        <v>0</v>
      </c>
      <c r="L1788">
        <f t="shared" si="1863"/>
        <v>11.869799999999866</v>
      </c>
    </row>
    <row r="1789" spans="2:12">
      <c r="B1789" s="1">
        <v>50427</v>
      </c>
      <c r="C1789" t="s">
        <v>26</v>
      </c>
      <c r="D1789">
        <v>11</v>
      </c>
      <c r="E1789">
        <v>0</v>
      </c>
      <c r="F1789">
        <f t="shared" si="1859"/>
        <v>0</v>
      </c>
      <c r="G1789">
        <f t="shared" ref="G1789:G1852" si="1919">D1788+D1789</f>
        <v>33.1</v>
      </c>
      <c r="H1789">
        <f t="shared" si="1858"/>
        <v>2038</v>
      </c>
      <c r="I1789">
        <v>1</v>
      </c>
      <c r="J1789">
        <f t="shared" si="1861"/>
        <v>11.869799999999866</v>
      </c>
      <c r="K1789">
        <f t="shared" si="1862"/>
        <v>0</v>
      </c>
      <c r="L1789">
        <f t="shared" si="1863"/>
        <v>11.869799999999866</v>
      </c>
    </row>
    <row r="1790" spans="2:12">
      <c r="B1790" s="1">
        <v>50428</v>
      </c>
      <c r="C1790" t="s">
        <v>50</v>
      </c>
      <c r="D1790">
        <v>14.7</v>
      </c>
      <c r="E1790">
        <v>0</v>
      </c>
      <c r="F1790">
        <f t="shared" si="1859"/>
        <v>0</v>
      </c>
      <c r="G1790">
        <f t="shared" ref="G1790" si="1920">D1788+D1789+D1790</f>
        <v>47.8</v>
      </c>
      <c r="H1790">
        <f t="shared" si="1858"/>
        <v>2038</v>
      </c>
      <c r="I1790">
        <v>1</v>
      </c>
      <c r="J1790">
        <f t="shared" si="1861"/>
        <v>11.869799999999866</v>
      </c>
      <c r="K1790">
        <f t="shared" si="1862"/>
        <v>0</v>
      </c>
      <c r="L1790">
        <f t="shared" si="1863"/>
        <v>11.869799999999866</v>
      </c>
    </row>
    <row r="1791" spans="2:12">
      <c r="B1791" s="1">
        <v>50429</v>
      </c>
      <c r="C1791" t="s">
        <v>50</v>
      </c>
      <c r="D1791">
        <v>10.4</v>
      </c>
      <c r="E1791">
        <v>14.4</v>
      </c>
      <c r="F1791">
        <f t="shared" si="1859"/>
        <v>1.4976000000000003</v>
      </c>
      <c r="G1791">
        <f t="shared" ref="G1791" si="1921">D1788+D1789+D1790+D1791</f>
        <v>58.199999999999996</v>
      </c>
      <c r="H1791">
        <f t="shared" si="1858"/>
        <v>2038</v>
      </c>
      <c r="I1791">
        <v>1</v>
      </c>
      <c r="J1791">
        <f t="shared" si="1861"/>
        <v>13.367399999999867</v>
      </c>
      <c r="K1791">
        <f t="shared" si="1862"/>
        <v>0</v>
      </c>
      <c r="L1791">
        <f t="shared" si="1863"/>
        <v>13.367399999999867</v>
      </c>
    </row>
    <row r="1792" spans="2:12">
      <c r="B1792" s="1">
        <v>50430</v>
      </c>
      <c r="C1792" t="s">
        <v>37</v>
      </c>
      <c r="D1792">
        <v>29.6</v>
      </c>
      <c r="E1792">
        <v>2.8</v>
      </c>
      <c r="F1792">
        <f t="shared" si="1859"/>
        <v>0.82879999999999998</v>
      </c>
      <c r="G1792">
        <f t="shared" ref="G1792" si="1922">D1788+D1789+D1790+D1791+D1792</f>
        <v>87.8</v>
      </c>
      <c r="H1792">
        <f t="shared" si="1858"/>
        <v>2038</v>
      </c>
      <c r="I1792">
        <v>1</v>
      </c>
      <c r="J1792">
        <f t="shared" si="1861"/>
        <v>14.196199999999866</v>
      </c>
      <c r="K1792">
        <f t="shared" si="1862"/>
        <v>0</v>
      </c>
      <c r="L1792">
        <f t="shared" si="1863"/>
        <v>14.196199999999866</v>
      </c>
    </row>
    <row r="1793" spans="2:12">
      <c r="B1793" s="1">
        <v>50431</v>
      </c>
      <c r="C1793" t="s">
        <v>47</v>
      </c>
      <c r="D1793">
        <v>11.3</v>
      </c>
      <c r="E1793">
        <v>7.2</v>
      </c>
      <c r="F1793">
        <f t="shared" si="1859"/>
        <v>0.8136000000000001</v>
      </c>
      <c r="G1793">
        <f t="shared" ref="G1793" si="1923">D1788+D1789+D1790+D1791+D1792+D1793</f>
        <v>99.1</v>
      </c>
      <c r="H1793">
        <f t="shared" si="1858"/>
        <v>2038</v>
      </c>
      <c r="I1793">
        <v>1</v>
      </c>
      <c r="J1793">
        <f t="shared" si="1861"/>
        <v>15.009799999999867</v>
      </c>
      <c r="K1793">
        <f t="shared" si="1862"/>
        <v>0</v>
      </c>
      <c r="L1793">
        <f t="shared" si="1863"/>
        <v>15.009799999999867</v>
      </c>
    </row>
    <row r="1794" spans="2:12">
      <c r="B1794" s="1">
        <v>50432</v>
      </c>
      <c r="C1794" t="s">
        <v>40</v>
      </c>
      <c r="D1794">
        <v>22.4</v>
      </c>
      <c r="E1794">
        <v>0</v>
      </c>
      <c r="F1794">
        <f t="shared" si="1859"/>
        <v>0</v>
      </c>
      <c r="G1794">
        <f t="shared" ref="G1794" si="1924">D1788+D1789+D1790+D1791+D1792+D1793+D1794</f>
        <v>121.5</v>
      </c>
      <c r="H1794">
        <f t="shared" si="1858"/>
        <v>2038</v>
      </c>
      <c r="I1794">
        <v>1</v>
      </c>
      <c r="J1794">
        <f t="shared" si="1861"/>
        <v>15.009799999999867</v>
      </c>
      <c r="K1794">
        <f t="shared" si="1862"/>
        <v>0</v>
      </c>
      <c r="L1794">
        <f t="shared" si="1863"/>
        <v>15.009799999999867</v>
      </c>
    </row>
    <row r="1795" spans="2:12">
      <c r="B1795" s="1">
        <v>50433</v>
      </c>
      <c r="C1795" t="s">
        <v>50</v>
      </c>
      <c r="D1795">
        <v>19.600000000000001</v>
      </c>
      <c r="E1795">
        <v>28.7</v>
      </c>
      <c r="F1795">
        <f t="shared" si="1859"/>
        <v>5.6251999999999995</v>
      </c>
      <c r="G1795">
        <f t="shared" ref="G1795:G1858" si="1925">D1795</f>
        <v>19.600000000000001</v>
      </c>
      <c r="H1795">
        <f t="shared" si="1858"/>
        <v>2038</v>
      </c>
      <c r="I1795">
        <v>1</v>
      </c>
      <c r="J1795">
        <f t="shared" si="1861"/>
        <v>20.634999999999867</v>
      </c>
      <c r="K1795">
        <f t="shared" si="1862"/>
        <v>0</v>
      </c>
      <c r="L1795">
        <f t="shared" si="1863"/>
        <v>20.634999999999867</v>
      </c>
    </row>
    <row r="1796" spans="2:12">
      <c r="B1796" s="1">
        <v>50434</v>
      </c>
      <c r="C1796" t="s">
        <v>17</v>
      </c>
      <c r="D1796">
        <v>28.5</v>
      </c>
      <c r="E1796">
        <v>12.9</v>
      </c>
      <c r="F1796">
        <f t="shared" si="1859"/>
        <v>3.6765000000000003</v>
      </c>
      <c r="G1796">
        <f t="shared" ref="G1796:G1859" si="1926">D1795+D1796</f>
        <v>48.1</v>
      </c>
      <c r="H1796">
        <f t="shared" ref="H1796:H1859" si="1927">YEAR(B1796)</f>
        <v>2038</v>
      </c>
      <c r="I1796">
        <v>1</v>
      </c>
      <c r="J1796">
        <f t="shared" si="1861"/>
        <v>24.311499999999867</v>
      </c>
      <c r="K1796">
        <f t="shared" si="1862"/>
        <v>0</v>
      </c>
      <c r="L1796">
        <f t="shared" si="1863"/>
        <v>24.311499999999867</v>
      </c>
    </row>
    <row r="1797" spans="2:12">
      <c r="B1797" s="1">
        <v>50435</v>
      </c>
      <c r="C1797" t="s">
        <v>37</v>
      </c>
      <c r="D1797">
        <v>10.9</v>
      </c>
      <c r="E1797">
        <v>0</v>
      </c>
      <c r="F1797">
        <f t="shared" ref="F1797:F1860" si="1928">IF(E1797&gt;=1,D1797*E1797/100,0)</f>
        <v>0</v>
      </c>
      <c r="G1797">
        <f t="shared" ref="G1797" si="1929">D1795+D1796+D1797</f>
        <v>59</v>
      </c>
      <c r="H1797">
        <f t="shared" si="1927"/>
        <v>2038</v>
      </c>
      <c r="I1797">
        <v>1</v>
      </c>
      <c r="J1797">
        <f t="shared" ref="J1797:J1860" si="1930">L1796+F1797</f>
        <v>24.311499999999867</v>
      </c>
      <c r="K1797">
        <f t="shared" ref="K1797:K1860" si="1931">IF(J1797&gt;=100,1,0)</f>
        <v>0</v>
      </c>
      <c r="L1797">
        <f t="shared" ref="L1797:L1860" si="1932">IF(K1797=1,J1797-100,J1797)</f>
        <v>24.311499999999867</v>
      </c>
    </row>
    <row r="1798" spans="2:12">
      <c r="B1798" s="1">
        <v>50436</v>
      </c>
      <c r="C1798" t="s">
        <v>27</v>
      </c>
      <c r="D1798">
        <v>13.4</v>
      </c>
      <c r="E1798">
        <v>15.7</v>
      </c>
      <c r="F1798">
        <f t="shared" si="1928"/>
        <v>2.1038000000000001</v>
      </c>
      <c r="G1798">
        <f t="shared" ref="G1798" si="1933">D1795+D1796+D1797+D1798</f>
        <v>72.400000000000006</v>
      </c>
      <c r="H1798">
        <f t="shared" si="1927"/>
        <v>2038</v>
      </c>
      <c r="I1798">
        <v>1</v>
      </c>
      <c r="J1798">
        <f t="shared" si="1930"/>
        <v>26.415299999999867</v>
      </c>
      <c r="K1798">
        <f t="shared" si="1931"/>
        <v>0</v>
      </c>
      <c r="L1798">
        <f t="shared" si="1932"/>
        <v>26.415299999999867</v>
      </c>
    </row>
    <row r="1799" spans="2:12">
      <c r="B1799" s="1">
        <v>50437</v>
      </c>
      <c r="C1799" t="s">
        <v>50</v>
      </c>
      <c r="D1799">
        <v>27.3</v>
      </c>
      <c r="E1799">
        <v>0</v>
      </c>
      <c r="F1799">
        <f t="shared" si="1928"/>
        <v>0</v>
      </c>
      <c r="G1799">
        <f t="shared" ref="G1799" si="1934">D1795+D1796+D1797+D1798+D1799</f>
        <v>99.7</v>
      </c>
      <c r="H1799">
        <f t="shared" si="1927"/>
        <v>2038</v>
      </c>
      <c r="I1799">
        <v>1</v>
      </c>
      <c r="J1799">
        <f t="shared" si="1930"/>
        <v>26.415299999999867</v>
      </c>
      <c r="K1799">
        <f t="shared" si="1931"/>
        <v>0</v>
      </c>
      <c r="L1799">
        <f t="shared" si="1932"/>
        <v>26.415299999999867</v>
      </c>
    </row>
    <row r="1800" spans="2:12">
      <c r="B1800" s="1">
        <v>50438</v>
      </c>
      <c r="C1800" t="s">
        <v>21</v>
      </c>
      <c r="D1800">
        <v>23.6</v>
      </c>
      <c r="E1800">
        <v>0</v>
      </c>
      <c r="F1800">
        <f t="shared" si="1928"/>
        <v>0</v>
      </c>
      <c r="G1800">
        <f t="shared" ref="G1800" si="1935">D1795+D1796+D1797+D1798+D1799+D1800</f>
        <v>123.30000000000001</v>
      </c>
      <c r="H1800">
        <f t="shared" si="1927"/>
        <v>2038</v>
      </c>
      <c r="I1800">
        <v>1</v>
      </c>
      <c r="J1800">
        <f t="shared" si="1930"/>
        <v>26.415299999999867</v>
      </c>
      <c r="K1800">
        <f t="shared" si="1931"/>
        <v>0</v>
      </c>
      <c r="L1800">
        <f t="shared" si="1932"/>
        <v>26.415299999999867</v>
      </c>
    </row>
    <row r="1801" spans="2:12">
      <c r="B1801" s="1">
        <v>50439</v>
      </c>
      <c r="C1801" t="s">
        <v>18</v>
      </c>
      <c r="D1801">
        <v>26.5</v>
      </c>
      <c r="E1801">
        <v>20.3</v>
      </c>
      <c r="F1801">
        <f t="shared" si="1928"/>
        <v>5.3795000000000002</v>
      </c>
      <c r="G1801">
        <f t="shared" ref="G1801" si="1936">D1795+D1796+D1797+D1798+D1799+D1800+D1801</f>
        <v>149.80000000000001</v>
      </c>
      <c r="H1801">
        <f t="shared" si="1927"/>
        <v>2038</v>
      </c>
      <c r="I1801">
        <v>1</v>
      </c>
      <c r="J1801">
        <f t="shared" si="1930"/>
        <v>31.794799999999867</v>
      </c>
      <c r="K1801">
        <f t="shared" si="1931"/>
        <v>0</v>
      </c>
      <c r="L1801">
        <f t="shared" si="1932"/>
        <v>31.794799999999867</v>
      </c>
    </row>
    <row r="1802" spans="2:12">
      <c r="B1802" s="1">
        <v>50440</v>
      </c>
      <c r="C1802" t="s">
        <v>21</v>
      </c>
      <c r="D1802">
        <v>23.6</v>
      </c>
      <c r="E1802">
        <v>6.5</v>
      </c>
      <c r="F1802">
        <f t="shared" si="1928"/>
        <v>1.534</v>
      </c>
      <c r="G1802">
        <f t="shared" ref="G1802:G1865" si="1937">D1802</f>
        <v>23.6</v>
      </c>
      <c r="H1802">
        <f t="shared" si="1927"/>
        <v>2038</v>
      </c>
      <c r="I1802">
        <v>1</v>
      </c>
      <c r="J1802">
        <f t="shared" si="1930"/>
        <v>33.328799999999866</v>
      </c>
      <c r="K1802">
        <f t="shared" si="1931"/>
        <v>0</v>
      </c>
      <c r="L1802">
        <f t="shared" si="1932"/>
        <v>33.328799999999866</v>
      </c>
    </row>
    <row r="1803" spans="2:12">
      <c r="B1803" s="1">
        <v>50441</v>
      </c>
      <c r="C1803" t="s">
        <v>25</v>
      </c>
      <c r="D1803">
        <v>22.4</v>
      </c>
      <c r="E1803">
        <v>13.3</v>
      </c>
      <c r="F1803">
        <f t="shared" si="1928"/>
        <v>2.9792000000000001</v>
      </c>
      <c r="G1803">
        <f t="shared" ref="G1803:G1866" si="1938">D1802+D1803</f>
        <v>46</v>
      </c>
      <c r="H1803">
        <f t="shared" si="1927"/>
        <v>2038</v>
      </c>
      <c r="I1803">
        <v>1</v>
      </c>
      <c r="J1803">
        <f t="shared" si="1930"/>
        <v>36.307999999999865</v>
      </c>
      <c r="K1803">
        <f t="shared" si="1931"/>
        <v>0</v>
      </c>
      <c r="L1803">
        <f t="shared" si="1932"/>
        <v>36.307999999999865</v>
      </c>
    </row>
    <row r="1804" spans="2:12">
      <c r="B1804" s="1">
        <v>50442</v>
      </c>
      <c r="C1804" t="s">
        <v>47</v>
      </c>
      <c r="D1804">
        <v>22</v>
      </c>
      <c r="E1804">
        <v>15.5</v>
      </c>
      <c r="F1804">
        <f t="shared" si="1928"/>
        <v>3.41</v>
      </c>
      <c r="G1804">
        <f t="shared" ref="G1804" si="1939">D1802+D1803+D1804</f>
        <v>68</v>
      </c>
      <c r="H1804">
        <f t="shared" si="1927"/>
        <v>2038</v>
      </c>
      <c r="I1804">
        <v>1</v>
      </c>
      <c r="J1804">
        <f t="shared" si="1930"/>
        <v>39.717999999999861</v>
      </c>
      <c r="K1804">
        <f t="shared" si="1931"/>
        <v>0</v>
      </c>
      <c r="L1804">
        <f t="shared" si="1932"/>
        <v>39.717999999999861</v>
      </c>
    </row>
    <row r="1805" spans="2:12">
      <c r="B1805" s="1">
        <v>50443</v>
      </c>
      <c r="C1805" t="s">
        <v>38</v>
      </c>
      <c r="D1805">
        <v>10.8</v>
      </c>
      <c r="E1805">
        <v>0.4</v>
      </c>
      <c r="F1805">
        <f t="shared" si="1928"/>
        <v>0</v>
      </c>
      <c r="G1805">
        <f t="shared" ref="G1805" si="1940">D1802+D1803+D1804+D1805</f>
        <v>78.8</v>
      </c>
      <c r="H1805">
        <f t="shared" si="1927"/>
        <v>2038</v>
      </c>
      <c r="I1805">
        <v>1</v>
      </c>
      <c r="J1805">
        <f t="shared" si="1930"/>
        <v>39.717999999999861</v>
      </c>
      <c r="K1805">
        <f t="shared" si="1931"/>
        <v>0</v>
      </c>
      <c r="L1805">
        <f t="shared" si="1932"/>
        <v>39.717999999999861</v>
      </c>
    </row>
    <row r="1806" spans="2:12">
      <c r="B1806" s="1">
        <v>50444</v>
      </c>
      <c r="C1806" t="s">
        <v>32</v>
      </c>
      <c r="D1806">
        <v>21.6</v>
      </c>
      <c r="E1806">
        <v>0</v>
      </c>
      <c r="F1806">
        <f t="shared" si="1928"/>
        <v>0</v>
      </c>
      <c r="G1806">
        <f t="shared" ref="G1806" si="1941">D1802+D1803+D1804+D1805+D1806</f>
        <v>100.4</v>
      </c>
      <c r="H1806">
        <f t="shared" si="1927"/>
        <v>2038</v>
      </c>
      <c r="I1806">
        <v>1</v>
      </c>
      <c r="J1806">
        <f t="shared" si="1930"/>
        <v>39.717999999999861</v>
      </c>
      <c r="K1806">
        <f t="shared" si="1931"/>
        <v>0</v>
      </c>
      <c r="L1806">
        <f t="shared" si="1932"/>
        <v>39.717999999999861</v>
      </c>
    </row>
    <row r="1807" spans="2:12">
      <c r="B1807" s="1">
        <v>50445</v>
      </c>
      <c r="C1807" t="s">
        <v>19</v>
      </c>
      <c r="D1807">
        <v>10.1</v>
      </c>
      <c r="E1807">
        <v>0</v>
      </c>
      <c r="F1807">
        <f t="shared" si="1928"/>
        <v>0</v>
      </c>
      <c r="G1807">
        <f t="shared" ref="G1807" si="1942">D1802+D1803+D1804+D1805+D1806+D1807</f>
        <v>110.5</v>
      </c>
      <c r="H1807">
        <f t="shared" si="1927"/>
        <v>2038</v>
      </c>
      <c r="I1807">
        <v>1</v>
      </c>
      <c r="J1807">
        <f t="shared" si="1930"/>
        <v>39.717999999999861</v>
      </c>
      <c r="K1807">
        <f t="shared" si="1931"/>
        <v>0</v>
      </c>
      <c r="L1807">
        <f t="shared" si="1932"/>
        <v>39.717999999999861</v>
      </c>
    </row>
    <row r="1808" spans="2:12">
      <c r="B1808" s="1">
        <v>50446</v>
      </c>
      <c r="C1808" t="s">
        <v>25</v>
      </c>
      <c r="D1808">
        <v>29</v>
      </c>
      <c r="E1808">
        <v>12.6</v>
      </c>
      <c r="F1808">
        <f t="shared" si="1928"/>
        <v>3.6539999999999999</v>
      </c>
      <c r="G1808">
        <f t="shared" ref="G1808" si="1943">D1802+D1803+D1804+D1805+D1806+D1807+D1808</f>
        <v>139.5</v>
      </c>
      <c r="H1808">
        <f t="shared" si="1927"/>
        <v>2038</v>
      </c>
      <c r="I1808">
        <v>1</v>
      </c>
      <c r="J1808">
        <f t="shared" si="1930"/>
        <v>43.371999999999858</v>
      </c>
      <c r="K1808">
        <f t="shared" si="1931"/>
        <v>0</v>
      </c>
      <c r="L1808">
        <f t="shared" si="1932"/>
        <v>43.371999999999858</v>
      </c>
    </row>
    <row r="1809" spans="2:12">
      <c r="B1809" s="1">
        <v>50447</v>
      </c>
      <c r="C1809" t="s">
        <v>19</v>
      </c>
      <c r="D1809">
        <v>16.399999999999999</v>
      </c>
      <c r="E1809">
        <v>3.7</v>
      </c>
      <c r="F1809">
        <f t="shared" si="1928"/>
        <v>0.60680000000000001</v>
      </c>
      <c r="G1809">
        <f t="shared" ref="G1809:G1872" si="1944">D1809</f>
        <v>16.399999999999999</v>
      </c>
      <c r="H1809">
        <f t="shared" si="1927"/>
        <v>2038</v>
      </c>
      <c r="I1809">
        <v>1</v>
      </c>
      <c r="J1809">
        <f t="shared" si="1930"/>
        <v>43.978799999999858</v>
      </c>
      <c r="K1809">
        <f t="shared" si="1931"/>
        <v>0</v>
      </c>
      <c r="L1809">
        <f t="shared" si="1932"/>
        <v>43.978799999999858</v>
      </c>
    </row>
    <row r="1810" spans="2:12">
      <c r="B1810" s="1">
        <v>50448</v>
      </c>
      <c r="C1810" t="s">
        <v>50</v>
      </c>
      <c r="D1810">
        <v>13.5</v>
      </c>
      <c r="E1810">
        <v>38.5</v>
      </c>
      <c r="F1810">
        <f t="shared" si="1928"/>
        <v>5.1974999999999998</v>
      </c>
      <c r="G1810">
        <f t="shared" ref="G1810:G1873" si="1945">D1809+D1810</f>
        <v>29.9</v>
      </c>
      <c r="H1810">
        <f t="shared" si="1927"/>
        <v>2038</v>
      </c>
      <c r="I1810">
        <v>1</v>
      </c>
      <c r="J1810">
        <f t="shared" si="1930"/>
        <v>49.176299999999856</v>
      </c>
      <c r="K1810">
        <f t="shared" si="1931"/>
        <v>0</v>
      </c>
      <c r="L1810">
        <f t="shared" si="1932"/>
        <v>49.176299999999856</v>
      </c>
    </row>
    <row r="1811" spans="2:12">
      <c r="B1811" s="1">
        <v>50449</v>
      </c>
      <c r="C1811" t="s">
        <v>31</v>
      </c>
      <c r="D1811">
        <v>18.100000000000001</v>
      </c>
      <c r="E1811">
        <v>3</v>
      </c>
      <c r="F1811">
        <f t="shared" si="1928"/>
        <v>0.54300000000000004</v>
      </c>
      <c r="G1811">
        <f t="shared" ref="G1811" si="1946">D1809+D1810+D1811</f>
        <v>48</v>
      </c>
      <c r="H1811">
        <f t="shared" si="1927"/>
        <v>2038</v>
      </c>
      <c r="I1811">
        <v>1</v>
      </c>
      <c r="J1811">
        <f t="shared" si="1930"/>
        <v>49.719299999999855</v>
      </c>
      <c r="K1811">
        <f t="shared" si="1931"/>
        <v>0</v>
      </c>
      <c r="L1811">
        <f t="shared" si="1932"/>
        <v>49.719299999999855</v>
      </c>
    </row>
    <row r="1812" spans="2:12">
      <c r="B1812" s="1">
        <v>50450</v>
      </c>
      <c r="C1812" t="s">
        <v>18</v>
      </c>
      <c r="D1812">
        <v>20.399999999999999</v>
      </c>
      <c r="E1812">
        <v>11.7</v>
      </c>
      <c r="F1812">
        <f t="shared" si="1928"/>
        <v>2.3867999999999996</v>
      </c>
      <c r="G1812">
        <f t="shared" ref="G1812" si="1947">D1809+D1810+D1811+D1812</f>
        <v>68.400000000000006</v>
      </c>
      <c r="H1812">
        <f t="shared" si="1927"/>
        <v>2038</v>
      </c>
      <c r="I1812">
        <v>1</v>
      </c>
      <c r="J1812">
        <f t="shared" si="1930"/>
        <v>52.106099999999856</v>
      </c>
      <c r="K1812">
        <f t="shared" si="1931"/>
        <v>0</v>
      </c>
      <c r="L1812">
        <f t="shared" si="1932"/>
        <v>52.106099999999856</v>
      </c>
    </row>
    <row r="1813" spans="2:12">
      <c r="B1813" s="1">
        <v>50451</v>
      </c>
      <c r="C1813" t="s">
        <v>32</v>
      </c>
      <c r="D1813">
        <v>29.6</v>
      </c>
      <c r="E1813">
        <v>0.9</v>
      </c>
      <c r="F1813">
        <f t="shared" si="1928"/>
        <v>0</v>
      </c>
      <c r="G1813">
        <f t="shared" ref="G1813" si="1948">D1809+D1810+D1811+D1812+D1813</f>
        <v>98</v>
      </c>
      <c r="H1813">
        <f t="shared" si="1927"/>
        <v>2038</v>
      </c>
      <c r="I1813">
        <v>1</v>
      </c>
      <c r="J1813">
        <f t="shared" si="1930"/>
        <v>52.106099999999856</v>
      </c>
      <c r="K1813">
        <f t="shared" si="1931"/>
        <v>0</v>
      </c>
      <c r="L1813">
        <f t="shared" si="1932"/>
        <v>52.106099999999856</v>
      </c>
    </row>
    <row r="1814" spans="2:12">
      <c r="B1814" s="1">
        <v>50452</v>
      </c>
      <c r="C1814" t="s">
        <v>45</v>
      </c>
      <c r="D1814">
        <v>11.4</v>
      </c>
      <c r="E1814">
        <v>0.6</v>
      </c>
      <c r="F1814">
        <f t="shared" si="1928"/>
        <v>0</v>
      </c>
      <c r="G1814">
        <f t="shared" ref="G1814" si="1949">D1809+D1810+D1811+D1812+D1813+D1814</f>
        <v>109.4</v>
      </c>
      <c r="H1814">
        <f t="shared" si="1927"/>
        <v>2038</v>
      </c>
      <c r="I1814">
        <v>1</v>
      </c>
      <c r="J1814">
        <f t="shared" si="1930"/>
        <v>52.106099999999856</v>
      </c>
      <c r="K1814">
        <f t="shared" si="1931"/>
        <v>0</v>
      </c>
      <c r="L1814">
        <f t="shared" si="1932"/>
        <v>52.106099999999856</v>
      </c>
    </row>
    <row r="1815" spans="2:12">
      <c r="B1815" s="1">
        <v>50453</v>
      </c>
      <c r="C1815" t="s">
        <v>25</v>
      </c>
      <c r="D1815">
        <v>28.8</v>
      </c>
      <c r="E1815">
        <v>14.1</v>
      </c>
      <c r="F1815">
        <f t="shared" si="1928"/>
        <v>4.0607999999999995</v>
      </c>
      <c r="G1815">
        <f t="shared" ref="G1815" si="1950">D1809+D1810+D1811+D1812+D1813+D1814+D1815</f>
        <v>138.20000000000002</v>
      </c>
      <c r="H1815">
        <f t="shared" si="1927"/>
        <v>2038</v>
      </c>
      <c r="I1815">
        <v>1</v>
      </c>
      <c r="J1815">
        <f t="shared" si="1930"/>
        <v>56.166899999999856</v>
      </c>
      <c r="K1815">
        <f t="shared" si="1931"/>
        <v>0</v>
      </c>
      <c r="L1815">
        <f t="shared" si="1932"/>
        <v>56.166899999999856</v>
      </c>
    </row>
    <row r="1816" spans="2:12">
      <c r="B1816" s="1">
        <v>50454</v>
      </c>
      <c r="C1816" t="s">
        <v>24</v>
      </c>
      <c r="D1816">
        <v>11.8</v>
      </c>
      <c r="E1816">
        <v>42.4</v>
      </c>
      <c r="F1816">
        <f t="shared" si="1928"/>
        <v>5.0031999999999996</v>
      </c>
      <c r="G1816">
        <f t="shared" ref="G1816:G1879" si="1951">D1816</f>
        <v>11.8</v>
      </c>
      <c r="H1816">
        <f t="shared" si="1927"/>
        <v>2038</v>
      </c>
      <c r="I1816">
        <v>1</v>
      </c>
      <c r="J1816">
        <f t="shared" si="1930"/>
        <v>61.170099999999856</v>
      </c>
      <c r="K1816">
        <f t="shared" si="1931"/>
        <v>0</v>
      </c>
      <c r="L1816">
        <f t="shared" si="1932"/>
        <v>61.170099999999856</v>
      </c>
    </row>
    <row r="1817" spans="2:12">
      <c r="B1817" s="1">
        <v>50455</v>
      </c>
      <c r="C1817" t="s">
        <v>18</v>
      </c>
      <c r="D1817">
        <v>11.5</v>
      </c>
      <c r="E1817">
        <v>10.1</v>
      </c>
      <c r="F1817">
        <f t="shared" si="1928"/>
        <v>1.1615</v>
      </c>
      <c r="G1817">
        <f t="shared" ref="G1817:G1880" si="1952">D1816+D1817</f>
        <v>23.3</v>
      </c>
      <c r="H1817">
        <f t="shared" si="1927"/>
        <v>2038</v>
      </c>
      <c r="I1817">
        <v>1</v>
      </c>
      <c r="J1817">
        <f t="shared" si="1930"/>
        <v>62.331599999999852</v>
      </c>
      <c r="K1817">
        <f t="shared" si="1931"/>
        <v>0</v>
      </c>
      <c r="L1817">
        <f t="shared" si="1932"/>
        <v>62.331599999999852</v>
      </c>
    </row>
    <row r="1818" spans="2:12">
      <c r="B1818" s="1">
        <v>50456</v>
      </c>
      <c r="C1818" t="s">
        <v>27</v>
      </c>
      <c r="D1818">
        <v>13.6</v>
      </c>
      <c r="E1818">
        <v>8.4</v>
      </c>
      <c r="F1818">
        <f t="shared" si="1928"/>
        <v>1.1423999999999999</v>
      </c>
      <c r="G1818">
        <f t="shared" ref="G1818" si="1953">D1816+D1817+D1818</f>
        <v>36.9</v>
      </c>
      <c r="H1818">
        <f t="shared" si="1927"/>
        <v>2038</v>
      </c>
      <c r="I1818">
        <v>1</v>
      </c>
      <c r="J1818">
        <f t="shared" si="1930"/>
        <v>63.473999999999855</v>
      </c>
      <c r="K1818">
        <f t="shared" si="1931"/>
        <v>0</v>
      </c>
      <c r="L1818">
        <f t="shared" si="1932"/>
        <v>63.473999999999855</v>
      </c>
    </row>
    <row r="1819" spans="2:12">
      <c r="B1819" s="1">
        <v>50457</v>
      </c>
      <c r="C1819" t="s">
        <v>41</v>
      </c>
      <c r="D1819">
        <v>14.1</v>
      </c>
      <c r="E1819">
        <v>0.7</v>
      </c>
      <c r="F1819">
        <f t="shared" si="1928"/>
        <v>0</v>
      </c>
      <c r="G1819">
        <f t="shared" ref="G1819" si="1954">D1816+D1817+D1818+D1819</f>
        <v>51</v>
      </c>
      <c r="H1819">
        <f t="shared" si="1927"/>
        <v>2038</v>
      </c>
      <c r="I1819">
        <v>1</v>
      </c>
      <c r="J1819">
        <f t="shared" si="1930"/>
        <v>63.473999999999855</v>
      </c>
      <c r="K1819">
        <f t="shared" si="1931"/>
        <v>0</v>
      </c>
      <c r="L1819">
        <f t="shared" si="1932"/>
        <v>63.473999999999855</v>
      </c>
    </row>
    <row r="1820" spans="2:12">
      <c r="B1820" s="1">
        <v>50458</v>
      </c>
      <c r="C1820" t="s">
        <v>50</v>
      </c>
      <c r="D1820">
        <v>19.399999999999999</v>
      </c>
      <c r="E1820">
        <v>32.700000000000003</v>
      </c>
      <c r="F1820">
        <f t="shared" si="1928"/>
        <v>6.3437999999999999</v>
      </c>
      <c r="G1820">
        <f t="shared" ref="G1820" si="1955">D1816+D1817+D1818+D1819+D1820</f>
        <v>70.400000000000006</v>
      </c>
      <c r="H1820">
        <f t="shared" si="1927"/>
        <v>2038</v>
      </c>
      <c r="I1820">
        <v>1</v>
      </c>
      <c r="J1820">
        <f t="shared" si="1930"/>
        <v>69.817799999999849</v>
      </c>
      <c r="K1820">
        <f t="shared" si="1931"/>
        <v>0</v>
      </c>
      <c r="L1820">
        <f t="shared" si="1932"/>
        <v>69.817799999999849</v>
      </c>
    </row>
    <row r="1821" spans="2:12">
      <c r="B1821" s="1">
        <v>50459</v>
      </c>
      <c r="C1821" t="s">
        <v>48</v>
      </c>
      <c r="D1821">
        <v>28.5</v>
      </c>
      <c r="E1821">
        <v>0</v>
      </c>
      <c r="F1821">
        <f t="shared" si="1928"/>
        <v>0</v>
      </c>
      <c r="G1821">
        <f t="shared" ref="G1821" si="1956">D1816+D1817+D1818+D1819+D1820+D1821</f>
        <v>98.9</v>
      </c>
      <c r="H1821">
        <f t="shared" si="1927"/>
        <v>2038</v>
      </c>
      <c r="I1821">
        <v>1</v>
      </c>
      <c r="J1821">
        <f t="shared" si="1930"/>
        <v>69.817799999999849</v>
      </c>
      <c r="K1821">
        <f t="shared" si="1931"/>
        <v>0</v>
      </c>
      <c r="L1821">
        <f t="shared" si="1932"/>
        <v>69.817799999999849</v>
      </c>
    </row>
    <row r="1822" spans="2:12">
      <c r="B1822" s="1">
        <v>50460</v>
      </c>
      <c r="C1822" t="s">
        <v>50</v>
      </c>
      <c r="D1822">
        <v>23.7</v>
      </c>
      <c r="E1822">
        <v>12.2</v>
      </c>
      <c r="F1822">
        <f t="shared" si="1928"/>
        <v>2.8914</v>
      </c>
      <c r="G1822">
        <f t="shared" ref="G1822" si="1957">D1816+D1817+D1818+D1819+D1820+D1821+D1822</f>
        <v>122.60000000000001</v>
      </c>
      <c r="H1822">
        <f t="shared" si="1927"/>
        <v>2038</v>
      </c>
      <c r="I1822">
        <v>1</v>
      </c>
      <c r="J1822">
        <f t="shared" si="1930"/>
        <v>72.709199999999854</v>
      </c>
      <c r="K1822">
        <f t="shared" si="1931"/>
        <v>0</v>
      </c>
      <c r="L1822">
        <f t="shared" si="1932"/>
        <v>72.709199999999854</v>
      </c>
    </row>
    <row r="1823" spans="2:12">
      <c r="B1823" s="1">
        <v>50461</v>
      </c>
      <c r="C1823" t="s">
        <v>40</v>
      </c>
      <c r="D1823">
        <v>21.7</v>
      </c>
      <c r="E1823">
        <v>0</v>
      </c>
      <c r="F1823">
        <f t="shared" si="1928"/>
        <v>0</v>
      </c>
      <c r="G1823">
        <f t="shared" ref="G1823:G1886" si="1958">D1823</f>
        <v>21.7</v>
      </c>
      <c r="H1823">
        <f t="shared" si="1927"/>
        <v>2038</v>
      </c>
      <c r="I1823">
        <v>1</v>
      </c>
      <c r="J1823">
        <f t="shared" si="1930"/>
        <v>72.709199999999854</v>
      </c>
      <c r="K1823">
        <f t="shared" si="1931"/>
        <v>0</v>
      </c>
      <c r="L1823">
        <f t="shared" si="1932"/>
        <v>72.709199999999854</v>
      </c>
    </row>
    <row r="1824" spans="2:12">
      <c r="B1824" s="1">
        <v>50462</v>
      </c>
      <c r="C1824" t="s">
        <v>17</v>
      </c>
      <c r="D1824">
        <v>13.3</v>
      </c>
      <c r="E1824">
        <v>0</v>
      </c>
      <c r="F1824">
        <f t="shared" si="1928"/>
        <v>0</v>
      </c>
      <c r="G1824">
        <f t="shared" ref="G1824:G1887" si="1959">D1823+D1824</f>
        <v>35</v>
      </c>
      <c r="H1824">
        <f t="shared" si="1927"/>
        <v>2038</v>
      </c>
      <c r="I1824">
        <v>1</v>
      </c>
      <c r="J1824">
        <f t="shared" si="1930"/>
        <v>72.709199999999854</v>
      </c>
      <c r="K1824">
        <f t="shared" si="1931"/>
        <v>0</v>
      </c>
      <c r="L1824">
        <f t="shared" si="1932"/>
        <v>72.709199999999854</v>
      </c>
    </row>
    <row r="1825" spans="2:12">
      <c r="B1825" s="1">
        <v>50463</v>
      </c>
      <c r="C1825" t="s">
        <v>21</v>
      </c>
      <c r="D1825">
        <v>14.4</v>
      </c>
      <c r="E1825">
        <v>0</v>
      </c>
      <c r="F1825">
        <f t="shared" si="1928"/>
        <v>0</v>
      </c>
      <c r="G1825">
        <f t="shared" ref="G1825" si="1960">D1823+D1824+D1825</f>
        <v>49.4</v>
      </c>
      <c r="H1825">
        <f t="shared" si="1927"/>
        <v>2038</v>
      </c>
      <c r="I1825">
        <v>1</v>
      </c>
      <c r="J1825">
        <f t="shared" si="1930"/>
        <v>72.709199999999854</v>
      </c>
      <c r="K1825">
        <f t="shared" si="1931"/>
        <v>0</v>
      </c>
      <c r="L1825">
        <f t="shared" si="1932"/>
        <v>72.709199999999854</v>
      </c>
    </row>
    <row r="1826" spans="2:12">
      <c r="B1826" s="1">
        <v>50464</v>
      </c>
      <c r="C1826" t="s">
        <v>25</v>
      </c>
      <c r="D1826">
        <v>28.5</v>
      </c>
      <c r="E1826">
        <v>21.5</v>
      </c>
      <c r="F1826">
        <f t="shared" si="1928"/>
        <v>6.1275000000000004</v>
      </c>
      <c r="G1826">
        <f t="shared" ref="G1826" si="1961">D1823+D1824+D1825+D1826</f>
        <v>77.900000000000006</v>
      </c>
      <c r="H1826">
        <f t="shared" si="1927"/>
        <v>2038</v>
      </c>
      <c r="I1826">
        <v>1</v>
      </c>
      <c r="J1826">
        <f t="shared" si="1930"/>
        <v>78.836699999999851</v>
      </c>
      <c r="K1826">
        <f t="shared" si="1931"/>
        <v>0</v>
      </c>
      <c r="L1826">
        <f t="shared" si="1932"/>
        <v>78.836699999999851</v>
      </c>
    </row>
    <row r="1827" spans="2:12">
      <c r="B1827" s="1">
        <v>50465</v>
      </c>
      <c r="C1827" t="s">
        <v>50</v>
      </c>
      <c r="D1827">
        <v>20.5</v>
      </c>
      <c r="E1827">
        <v>0</v>
      </c>
      <c r="F1827">
        <f t="shared" si="1928"/>
        <v>0</v>
      </c>
      <c r="G1827">
        <f t="shared" ref="G1827" si="1962">D1823+D1824+D1825+D1826+D1827</f>
        <v>98.4</v>
      </c>
      <c r="H1827">
        <f t="shared" si="1927"/>
        <v>2038</v>
      </c>
      <c r="I1827">
        <v>1</v>
      </c>
      <c r="J1827">
        <f t="shared" si="1930"/>
        <v>78.836699999999851</v>
      </c>
      <c r="K1827">
        <f t="shared" si="1931"/>
        <v>0</v>
      </c>
      <c r="L1827">
        <f t="shared" si="1932"/>
        <v>78.836699999999851</v>
      </c>
    </row>
    <row r="1828" spans="2:12">
      <c r="B1828" s="1">
        <v>50466</v>
      </c>
      <c r="C1828" t="s">
        <v>24</v>
      </c>
      <c r="D1828">
        <v>11.4</v>
      </c>
      <c r="E1828">
        <v>39</v>
      </c>
      <c r="F1828">
        <f t="shared" si="1928"/>
        <v>4.4460000000000006</v>
      </c>
      <c r="G1828">
        <f t="shared" ref="G1828" si="1963">D1823+D1824+D1825+D1826+D1827+D1828</f>
        <v>109.80000000000001</v>
      </c>
      <c r="H1828">
        <f t="shared" si="1927"/>
        <v>2038</v>
      </c>
      <c r="I1828">
        <v>1</v>
      </c>
      <c r="J1828">
        <f t="shared" si="1930"/>
        <v>83.282699999999849</v>
      </c>
      <c r="K1828">
        <f t="shared" si="1931"/>
        <v>0</v>
      </c>
      <c r="L1828">
        <f t="shared" si="1932"/>
        <v>83.282699999999849</v>
      </c>
    </row>
    <row r="1829" spans="2:12">
      <c r="B1829" s="1">
        <v>50467</v>
      </c>
      <c r="C1829" t="s">
        <v>21</v>
      </c>
      <c r="D1829">
        <v>12.5</v>
      </c>
      <c r="E1829">
        <v>0</v>
      </c>
      <c r="F1829">
        <f t="shared" si="1928"/>
        <v>0</v>
      </c>
      <c r="G1829">
        <f t="shared" ref="G1829" si="1964">D1823+D1824+D1825+D1826+D1827+D1828+D1829</f>
        <v>122.30000000000001</v>
      </c>
      <c r="H1829">
        <f t="shared" si="1927"/>
        <v>2038</v>
      </c>
      <c r="I1829">
        <v>1</v>
      </c>
      <c r="J1829">
        <f t="shared" si="1930"/>
        <v>83.282699999999849</v>
      </c>
      <c r="K1829">
        <f t="shared" si="1931"/>
        <v>0</v>
      </c>
      <c r="L1829">
        <f t="shared" si="1932"/>
        <v>83.282699999999849</v>
      </c>
    </row>
    <row r="1830" spans="2:12">
      <c r="B1830" s="1">
        <v>50468</v>
      </c>
      <c r="C1830" t="s">
        <v>32</v>
      </c>
      <c r="D1830">
        <v>16.600000000000001</v>
      </c>
      <c r="E1830">
        <v>4.5999999999999996</v>
      </c>
      <c r="F1830">
        <f t="shared" si="1928"/>
        <v>0.76359999999999995</v>
      </c>
      <c r="G1830">
        <f t="shared" ref="G1830:G1893" si="1965">D1830</f>
        <v>16.600000000000001</v>
      </c>
      <c r="H1830">
        <f t="shared" si="1927"/>
        <v>2038</v>
      </c>
      <c r="I1830">
        <v>1</v>
      </c>
      <c r="J1830">
        <f t="shared" si="1930"/>
        <v>84.046299999999846</v>
      </c>
      <c r="K1830">
        <f t="shared" si="1931"/>
        <v>0</v>
      </c>
      <c r="L1830">
        <f t="shared" si="1932"/>
        <v>84.046299999999846</v>
      </c>
    </row>
    <row r="1831" spans="2:12">
      <c r="B1831" s="1">
        <v>50469</v>
      </c>
      <c r="C1831" t="s">
        <v>32</v>
      </c>
      <c r="D1831">
        <v>10.6</v>
      </c>
      <c r="E1831">
        <v>11.3</v>
      </c>
      <c r="F1831">
        <f t="shared" si="1928"/>
        <v>1.1978</v>
      </c>
      <c r="G1831">
        <f t="shared" ref="G1831:G1894" si="1966">D1830+D1831</f>
        <v>27.200000000000003</v>
      </c>
      <c r="H1831">
        <f t="shared" si="1927"/>
        <v>2038</v>
      </c>
      <c r="I1831">
        <v>1</v>
      </c>
      <c r="J1831">
        <f t="shared" si="1930"/>
        <v>85.244099999999847</v>
      </c>
      <c r="K1831">
        <f t="shared" si="1931"/>
        <v>0</v>
      </c>
      <c r="L1831">
        <f t="shared" si="1932"/>
        <v>85.244099999999847</v>
      </c>
    </row>
    <row r="1832" spans="2:12">
      <c r="B1832" s="1">
        <v>50470</v>
      </c>
      <c r="C1832" t="s">
        <v>18</v>
      </c>
      <c r="D1832">
        <v>27.9</v>
      </c>
      <c r="E1832">
        <v>16.100000000000001</v>
      </c>
      <c r="F1832">
        <f t="shared" si="1928"/>
        <v>4.4919000000000002</v>
      </c>
      <c r="G1832">
        <f t="shared" ref="G1832" si="1967">D1830+D1831+D1832</f>
        <v>55.1</v>
      </c>
      <c r="H1832">
        <f t="shared" si="1927"/>
        <v>2038</v>
      </c>
      <c r="I1832">
        <v>1</v>
      </c>
      <c r="J1832">
        <f t="shared" si="1930"/>
        <v>89.735999999999848</v>
      </c>
      <c r="K1832">
        <f t="shared" si="1931"/>
        <v>0</v>
      </c>
      <c r="L1832">
        <f t="shared" si="1932"/>
        <v>89.735999999999848</v>
      </c>
    </row>
    <row r="1833" spans="2:12">
      <c r="B1833" s="1">
        <v>50471</v>
      </c>
      <c r="C1833" t="s">
        <v>24</v>
      </c>
      <c r="D1833">
        <v>11.1</v>
      </c>
      <c r="E1833">
        <v>28.2</v>
      </c>
      <c r="F1833">
        <f t="shared" si="1928"/>
        <v>3.1301999999999999</v>
      </c>
      <c r="G1833">
        <f t="shared" ref="G1833" si="1968">D1830+D1831+D1832+D1833</f>
        <v>66.2</v>
      </c>
      <c r="H1833">
        <f t="shared" si="1927"/>
        <v>2038</v>
      </c>
      <c r="I1833">
        <v>1</v>
      </c>
      <c r="J1833">
        <f t="shared" si="1930"/>
        <v>92.86619999999985</v>
      </c>
      <c r="K1833">
        <f t="shared" si="1931"/>
        <v>0</v>
      </c>
      <c r="L1833">
        <f t="shared" si="1932"/>
        <v>92.86619999999985</v>
      </c>
    </row>
    <row r="1834" spans="2:12">
      <c r="B1834" s="1">
        <v>50472</v>
      </c>
      <c r="C1834" t="s">
        <v>18</v>
      </c>
      <c r="D1834">
        <v>21.5</v>
      </c>
      <c r="E1834">
        <v>12.8</v>
      </c>
      <c r="F1834">
        <f t="shared" si="1928"/>
        <v>2.7519999999999998</v>
      </c>
      <c r="G1834">
        <f t="shared" ref="G1834" si="1969">D1830+D1831+D1832+D1833+D1834</f>
        <v>87.7</v>
      </c>
      <c r="H1834">
        <f t="shared" si="1927"/>
        <v>2038</v>
      </c>
      <c r="I1834">
        <v>1</v>
      </c>
      <c r="J1834">
        <f t="shared" si="1930"/>
        <v>95.618199999999845</v>
      </c>
      <c r="K1834">
        <f t="shared" si="1931"/>
        <v>0</v>
      </c>
      <c r="L1834">
        <f t="shared" si="1932"/>
        <v>95.618199999999845</v>
      </c>
    </row>
    <row r="1835" spans="2:12">
      <c r="B1835" s="1">
        <v>50473</v>
      </c>
      <c r="C1835" t="s">
        <v>17</v>
      </c>
      <c r="D1835">
        <v>28.4</v>
      </c>
      <c r="E1835">
        <v>4.5999999999999996</v>
      </c>
      <c r="F1835">
        <f t="shared" si="1928"/>
        <v>1.3063999999999998</v>
      </c>
      <c r="G1835">
        <f t="shared" ref="G1835" si="1970">D1830+D1831+D1832+D1833+D1834+D1835</f>
        <v>116.1</v>
      </c>
      <c r="H1835">
        <f t="shared" si="1927"/>
        <v>2038</v>
      </c>
      <c r="I1835">
        <v>1</v>
      </c>
      <c r="J1835">
        <f t="shared" si="1930"/>
        <v>96.924599999999842</v>
      </c>
      <c r="K1835">
        <f t="shared" si="1931"/>
        <v>0</v>
      </c>
      <c r="L1835">
        <f t="shared" si="1932"/>
        <v>96.924599999999842</v>
      </c>
    </row>
    <row r="1836" spans="2:12">
      <c r="B1836" s="1">
        <v>50474</v>
      </c>
      <c r="C1836" t="s">
        <v>43</v>
      </c>
      <c r="D1836">
        <v>18.100000000000001</v>
      </c>
      <c r="E1836">
        <v>5.9</v>
      </c>
      <c r="F1836">
        <f t="shared" si="1928"/>
        <v>1.0679000000000003</v>
      </c>
      <c r="G1836">
        <f t="shared" ref="G1836" si="1971">D1830+D1831+D1832+D1833+D1834+D1835+D1836</f>
        <v>134.19999999999999</v>
      </c>
      <c r="H1836">
        <f t="shared" si="1927"/>
        <v>2038</v>
      </c>
      <c r="I1836">
        <v>1</v>
      </c>
      <c r="J1836">
        <f t="shared" si="1930"/>
        <v>97.992499999999836</v>
      </c>
      <c r="K1836">
        <f t="shared" si="1931"/>
        <v>0</v>
      </c>
      <c r="L1836">
        <f t="shared" si="1932"/>
        <v>97.992499999999836</v>
      </c>
    </row>
    <row r="1837" spans="2:12">
      <c r="B1837" s="1">
        <v>50475</v>
      </c>
      <c r="C1837" t="s">
        <v>40</v>
      </c>
      <c r="D1837">
        <v>25.3</v>
      </c>
      <c r="E1837">
        <v>0</v>
      </c>
      <c r="F1837">
        <f t="shared" si="1928"/>
        <v>0</v>
      </c>
      <c r="G1837">
        <f t="shared" ref="G1837:G1900" si="1972">D1837</f>
        <v>25.3</v>
      </c>
      <c r="H1837">
        <f t="shared" si="1927"/>
        <v>2038</v>
      </c>
      <c r="I1837">
        <v>1</v>
      </c>
      <c r="J1837">
        <f t="shared" si="1930"/>
        <v>97.992499999999836</v>
      </c>
      <c r="K1837">
        <f t="shared" si="1931"/>
        <v>0</v>
      </c>
      <c r="L1837">
        <f t="shared" si="1932"/>
        <v>97.992499999999836</v>
      </c>
    </row>
    <row r="1838" spans="2:12">
      <c r="B1838" s="1">
        <v>50476</v>
      </c>
      <c r="C1838" t="s">
        <v>21</v>
      </c>
      <c r="D1838">
        <v>15.6</v>
      </c>
      <c r="E1838">
        <v>10.6</v>
      </c>
      <c r="F1838">
        <f t="shared" si="1928"/>
        <v>1.6536</v>
      </c>
      <c r="G1838">
        <f t="shared" ref="G1838:G1901" si="1973">D1837+D1838</f>
        <v>40.9</v>
      </c>
      <c r="H1838">
        <f t="shared" si="1927"/>
        <v>2038</v>
      </c>
      <c r="I1838">
        <v>1</v>
      </c>
      <c r="J1838">
        <f t="shared" si="1930"/>
        <v>99.646099999999834</v>
      </c>
      <c r="K1838">
        <f t="shared" si="1931"/>
        <v>0</v>
      </c>
      <c r="L1838">
        <f t="shared" si="1932"/>
        <v>99.646099999999834</v>
      </c>
    </row>
    <row r="1839" spans="2:12">
      <c r="B1839" s="1">
        <v>50477</v>
      </c>
      <c r="C1839" t="s">
        <v>50</v>
      </c>
      <c r="D1839">
        <v>19.899999999999999</v>
      </c>
      <c r="E1839">
        <v>0</v>
      </c>
      <c r="F1839">
        <f t="shared" si="1928"/>
        <v>0</v>
      </c>
      <c r="G1839">
        <f t="shared" ref="G1839" si="1974">D1837+D1838+D1839</f>
        <v>60.8</v>
      </c>
      <c r="H1839">
        <f t="shared" si="1927"/>
        <v>2038</v>
      </c>
      <c r="I1839">
        <v>1</v>
      </c>
      <c r="J1839">
        <f t="shared" si="1930"/>
        <v>99.646099999999834</v>
      </c>
      <c r="K1839">
        <f t="shared" si="1931"/>
        <v>0</v>
      </c>
      <c r="L1839">
        <f t="shared" si="1932"/>
        <v>99.646099999999834</v>
      </c>
    </row>
    <row r="1840" spans="2:12">
      <c r="B1840" s="1">
        <v>50478</v>
      </c>
      <c r="C1840" t="s">
        <v>18</v>
      </c>
      <c r="D1840">
        <v>24.7</v>
      </c>
      <c r="E1840">
        <v>14.7</v>
      </c>
      <c r="F1840">
        <f t="shared" si="1928"/>
        <v>3.6308999999999996</v>
      </c>
      <c r="G1840">
        <f t="shared" ref="G1840" si="1975">D1837+D1838+D1839+D1840</f>
        <v>85.5</v>
      </c>
      <c r="H1840">
        <f t="shared" si="1927"/>
        <v>2038</v>
      </c>
      <c r="I1840">
        <v>1</v>
      </c>
      <c r="J1840">
        <f t="shared" si="1930"/>
        <v>103.27699999999983</v>
      </c>
      <c r="K1840">
        <f t="shared" si="1931"/>
        <v>1</v>
      </c>
      <c r="L1840">
        <f t="shared" si="1932"/>
        <v>3.2769999999998305</v>
      </c>
    </row>
    <row r="1841" spans="2:12">
      <c r="B1841" s="1">
        <v>50479</v>
      </c>
      <c r="C1841" t="s">
        <v>35</v>
      </c>
      <c r="D1841">
        <v>21.9</v>
      </c>
      <c r="E1841">
        <v>5.6</v>
      </c>
      <c r="F1841">
        <f t="shared" si="1928"/>
        <v>1.2263999999999999</v>
      </c>
      <c r="G1841">
        <f t="shared" ref="G1841" si="1976">D1837+D1838+D1839+D1840+D1841</f>
        <v>107.4</v>
      </c>
      <c r="H1841">
        <f t="shared" si="1927"/>
        <v>2038</v>
      </c>
      <c r="I1841">
        <v>1</v>
      </c>
      <c r="J1841">
        <f t="shared" si="1930"/>
        <v>4.5033999999998304</v>
      </c>
      <c r="K1841">
        <f t="shared" si="1931"/>
        <v>0</v>
      </c>
      <c r="L1841">
        <f t="shared" si="1932"/>
        <v>4.5033999999998304</v>
      </c>
    </row>
    <row r="1842" spans="2:12">
      <c r="B1842" s="1">
        <v>50480</v>
      </c>
      <c r="C1842" t="s">
        <v>31</v>
      </c>
      <c r="D1842">
        <v>18</v>
      </c>
      <c r="E1842">
        <v>6.2</v>
      </c>
      <c r="F1842">
        <f t="shared" si="1928"/>
        <v>1.1160000000000001</v>
      </c>
      <c r="G1842">
        <f t="shared" ref="G1842" si="1977">D1837+D1838+D1839+D1840+D1841+D1842</f>
        <v>125.4</v>
      </c>
      <c r="H1842">
        <f t="shared" si="1927"/>
        <v>2038</v>
      </c>
      <c r="I1842">
        <v>1</v>
      </c>
      <c r="J1842">
        <f t="shared" si="1930"/>
        <v>5.6193999999998301</v>
      </c>
      <c r="K1842">
        <f t="shared" si="1931"/>
        <v>0</v>
      </c>
      <c r="L1842">
        <f t="shared" si="1932"/>
        <v>5.6193999999998301</v>
      </c>
    </row>
    <row r="1843" spans="2:12">
      <c r="B1843" s="1">
        <v>50481</v>
      </c>
      <c r="C1843" t="s">
        <v>44</v>
      </c>
      <c r="D1843">
        <v>24.5</v>
      </c>
      <c r="E1843">
        <v>0.6</v>
      </c>
      <c r="F1843">
        <f t="shared" si="1928"/>
        <v>0</v>
      </c>
      <c r="G1843">
        <f t="shared" ref="G1843" si="1978">D1837+D1838+D1839+D1840+D1841+D1842+D1843</f>
        <v>149.9</v>
      </c>
      <c r="H1843">
        <f t="shared" si="1927"/>
        <v>2038</v>
      </c>
      <c r="I1843">
        <v>1</v>
      </c>
      <c r="J1843">
        <f t="shared" si="1930"/>
        <v>5.6193999999998301</v>
      </c>
      <c r="K1843">
        <f t="shared" si="1931"/>
        <v>0</v>
      </c>
      <c r="L1843">
        <f t="shared" si="1932"/>
        <v>5.6193999999998301</v>
      </c>
    </row>
    <row r="1844" spans="2:12">
      <c r="B1844" s="1">
        <v>50482</v>
      </c>
      <c r="C1844" t="s">
        <v>19</v>
      </c>
      <c r="D1844">
        <v>10.9</v>
      </c>
      <c r="E1844">
        <v>0</v>
      </c>
      <c r="F1844">
        <f t="shared" si="1928"/>
        <v>0</v>
      </c>
      <c r="G1844">
        <f t="shared" ref="G1844:G1907" si="1979">D1844</f>
        <v>10.9</v>
      </c>
      <c r="H1844">
        <f t="shared" si="1927"/>
        <v>2038</v>
      </c>
      <c r="I1844">
        <v>1</v>
      </c>
      <c r="J1844">
        <f t="shared" si="1930"/>
        <v>5.6193999999998301</v>
      </c>
      <c r="K1844">
        <f t="shared" si="1931"/>
        <v>0</v>
      </c>
      <c r="L1844">
        <f t="shared" si="1932"/>
        <v>5.6193999999998301</v>
      </c>
    </row>
    <row r="1845" spans="2:12">
      <c r="B1845" s="1">
        <v>50483</v>
      </c>
      <c r="C1845" t="s">
        <v>36</v>
      </c>
      <c r="D1845">
        <v>11.3</v>
      </c>
      <c r="E1845">
        <v>2.7</v>
      </c>
      <c r="F1845">
        <f t="shared" si="1928"/>
        <v>0.30510000000000004</v>
      </c>
      <c r="G1845">
        <f t="shared" ref="G1845:G1908" si="1980">D1844+D1845</f>
        <v>22.200000000000003</v>
      </c>
      <c r="H1845">
        <f t="shared" si="1927"/>
        <v>2038</v>
      </c>
      <c r="I1845">
        <v>1</v>
      </c>
      <c r="J1845">
        <f t="shared" si="1930"/>
        <v>5.9244999999998305</v>
      </c>
      <c r="K1845">
        <f t="shared" si="1931"/>
        <v>0</v>
      </c>
      <c r="L1845">
        <f t="shared" si="1932"/>
        <v>5.9244999999998305</v>
      </c>
    </row>
    <row r="1846" spans="2:12">
      <c r="B1846" s="1">
        <v>50484</v>
      </c>
      <c r="C1846" t="s">
        <v>24</v>
      </c>
      <c r="D1846">
        <v>13.2</v>
      </c>
      <c r="E1846">
        <v>30</v>
      </c>
      <c r="F1846">
        <f t="shared" si="1928"/>
        <v>3.96</v>
      </c>
      <c r="G1846">
        <f t="shared" ref="G1846" si="1981">D1844+D1845+D1846</f>
        <v>35.400000000000006</v>
      </c>
      <c r="H1846">
        <f t="shared" si="1927"/>
        <v>2038</v>
      </c>
      <c r="I1846">
        <v>1</v>
      </c>
      <c r="J1846">
        <f t="shared" si="1930"/>
        <v>9.8844999999998304</v>
      </c>
      <c r="K1846">
        <f t="shared" si="1931"/>
        <v>0</v>
      </c>
      <c r="L1846">
        <f t="shared" si="1932"/>
        <v>9.8844999999998304</v>
      </c>
    </row>
    <row r="1847" spans="2:12">
      <c r="B1847" s="1">
        <v>50485</v>
      </c>
      <c r="C1847" t="s">
        <v>19</v>
      </c>
      <c r="D1847">
        <v>18.7</v>
      </c>
      <c r="E1847">
        <v>4.7</v>
      </c>
      <c r="F1847">
        <f t="shared" si="1928"/>
        <v>0.87890000000000001</v>
      </c>
      <c r="G1847">
        <f t="shared" ref="G1847" si="1982">D1844+D1845+D1846+D1847</f>
        <v>54.100000000000009</v>
      </c>
      <c r="H1847">
        <f t="shared" si="1927"/>
        <v>2038</v>
      </c>
      <c r="I1847">
        <v>1</v>
      </c>
      <c r="J1847">
        <f t="shared" si="1930"/>
        <v>10.76339999999983</v>
      </c>
      <c r="K1847">
        <f t="shared" si="1931"/>
        <v>0</v>
      </c>
      <c r="L1847">
        <f t="shared" si="1932"/>
        <v>10.76339999999983</v>
      </c>
    </row>
    <row r="1848" spans="2:12">
      <c r="B1848" s="1">
        <v>50486</v>
      </c>
      <c r="C1848" t="s">
        <v>19</v>
      </c>
      <c r="D1848">
        <v>12.1</v>
      </c>
      <c r="E1848">
        <v>1.5</v>
      </c>
      <c r="F1848">
        <f t="shared" si="1928"/>
        <v>0.18149999999999999</v>
      </c>
      <c r="G1848">
        <f t="shared" ref="G1848" si="1983">D1844+D1845+D1846+D1847+D1848</f>
        <v>66.2</v>
      </c>
      <c r="H1848">
        <f t="shared" si="1927"/>
        <v>2038</v>
      </c>
      <c r="I1848">
        <v>1</v>
      </c>
      <c r="J1848">
        <f t="shared" si="1930"/>
        <v>10.94489999999983</v>
      </c>
      <c r="K1848">
        <f t="shared" si="1931"/>
        <v>0</v>
      </c>
      <c r="L1848">
        <f t="shared" si="1932"/>
        <v>10.94489999999983</v>
      </c>
    </row>
    <row r="1849" spans="2:12">
      <c r="B1849" s="1">
        <v>50487</v>
      </c>
      <c r="C1849" t="s">
        <v>32</v>
      </c>
      <c r="D1849">
        <v>11.9</v>
      </c>
      <c r="E1849">
        <v>1.3</v>
      </c>
      <c r="F1849">
        <f t="shared" si="1928"/>
        <v>0.1547</v>
      </c>
      <c r="G1849">
        <f t="shared" ref="G1849" si="1984">D1844+D1845+D1846+D1847+D1848+D1849</f>
        <v>78.100000000000009</v>
      </c>
      <c r="H1849">
        <f t="shared" si="1927"/>
        <v>2038</v>
      </c>
      <c r="I1849">
        <v>1</v>
      </c>
      <c r="J1849">
        <f t="shared" si="1930"/>
        <v>11.09959999999983</v>
      </c>
      <c r="K1849">
        <f t="shared" si="1931"/>
        <v>0</v>
      </c>
      <c r="L1849">
        <f t="shared" si="1932"/>
        <v>11.09959999999983</v>
      </c>
    </row>
    <row r="1850" spans="2:12">
      <c r="B1850" s="1">
        <v>50488</v>
      </c>
      <c r="C1850" t="s">
        <v>36</v>
      </c>
      <c r="D1850">
        <v>17.7</v>
      </c>
      <c r="E1850">
        <v>2.6</v>
      </c>
      <c r="F1850">
        <f t="shared" si="1928"/>
        <v>0.46020000000000005</v>
      </c>
      <c r="G1850">
        <f t="shared" ref="G1850" si="1985">D1844+D1845+D1846+D1847+D1848+D1849+D1850</f>
        <v>95.800000000000011</v>
      </c>
      <c r="H1850">
        <f t="shared" si="1927"/>
        <v>2038</v>
      </c>
      <c r="I1850">
        <v>1</v>
      </c>
      <c r="J1850">
        <f t="shared" si="1930"/>
        <v>11.55979999999983</v>
      </c>
      <c r="K1850">
        <f t="shared" si="1931"/>
        <v>0</v>
      </c>
      <c r="L1850">
        <f t="shared" si="1932"/>
        <v>11.55979999999983</v>
      </c>
    </row>
    <row r="1851" spans="2:12">
      <c r="B1851" s="1">
        <v>50489</v>
      </c>
      <c r="C1851" t="s">
        <v>46</v>
      </c>
      <c r="D1851">
        <v>25.9</v>
      </c>
      <c r="E1851">
        <v>0.8</v>
      </c>
      <c r="F1851">
        <f t="shared" si="1928"/>
        <v>0</v>
      </c>
      <c r="G1851">
        <f t="shared" ref="G1851:G1914" si="1986">D1851</f>
        <v>25.9</v>
      </c>
      <c r="H1851">
        <f t="shared" si="1927"/>
        <v>2038</v>
      </c>
      <c r="I1851">
        <v>1</v>
      </c>
      <c r="J1851">
        <f t="shared" si="1930"/>
        <v>11.55979999999983</v>
      </c>
      <c r="K1851">
        <f t="shared" si="1931"/>
        <v>0</v>
      </c>
      <c r="L1851">
        <f t="shared" si="1932"/>
        <v>11.55979999999983</v>
      </c>
    </row>
    <row r="1852" spans="2:12">
      <c r="B1852" s="1">
        <v>50490</v>
      </c>
      <c r="C1852" t="s">
        <v>17</v>
      </c>
      <c r="D1852">
        <v>27.7</v>
      </c>
      <c r="E1852">
        <v>0</v>
      </c>
      <c r="F1852">
        <f t="shared" si="1928"/>
        <v>0</v>
      </c>
      <c r="G1852">
        <f t="shared" ref="G1852:G1915" si="1987">D1851+D1852</f>
        <v>53.599999999999994</v>
      </c>
      <c r="H1852">
        <f t="shared" si="1927"/>
        <v>2038</v>
      </c>
      <c r="I1852">
        <v>1</v>
      </c>
      <c r="J1852">
        <f t="shared" si="1930"/>
        <v>11.55979999999983</v>
      </c>
      <c r="K1852">
        <f t="shared" si="1931"/>
        <v>0</v>
      </c>
      <c r="L1852">
        <f t="shared" si="1932"/>
        <v>11.55979999999983</v>
      </c>
    </row>
    <row r="1853" spans="2:12">
      <c r="B1853" s="1">
        <v>50491</v>
      </c>
      <c r="C1853" t="s">
        <v>27</v>
      </c>
      <c r="D1853">
        <v>13.3</v>
      </c>
      <c r="E1853">
        <v>13.3</v>
      </c>
      <c r="F1853">
        <f t="shared" si="1928"/>
        <v>1.7689000000000001</v>
      </c>
      <c r="G1853">
        <f t="shared" ref="G1853" si="1988">D1851+D1852+D1853</f>
        <v>66.899999999999991</v>
      </c>
      <c r="H1853">
        <f t="shared" si="1927"/>
        <v>2038</v>
      </c>
      <c r="I1853">
        <v>1</v>
      </c>
      <c r="J1853">
        <f t="shared" si="1930"/>
        <v>13.328699999999831</v>
      </c>
      <c r="K1853">
        <f t="shared" si="1931"/>
        <v>0</v>
      </c>
      <c r="L1853">
        <f t="shared" si="1932"/>
        <v>13.328699999999831</v>
      </c>
    </row>
    <row r="1854" spans="2:12">
      <c r="B1854" s="1">
        <v>50492</v>
      </c>
      <c r="C1854" t="s">
        <v>50</v>
      </c>
      <c r="D1854">
        <v>11.7</v>
      </c>
      <c r="E1854">
        <v>4.9000000000000004</v>
      </c>
      <c r="F1854">
        <f t="shared" si="1928"/>
        <v>0.57330000000000003</v>
      </c>
      <c r="G1854">
        <f t="shared" ref="G1854" si="1989">D1851+D1852+D1853+D1854</f>
        <v>78.599999999999994</v>
      </c>
      <c r="H1854">
        <f t="shared" si="1927"/>
        <v>2038</v>
      </c>
      <c r="I1854">
        <v>1</v>
      </c>
      <c r="J1854">
        <f t="shared" si="1930"/>
        <v>13.90199999999983</v>
      </c>
      <c r="K1854">
        <f t="shared" si="1931"/>
        <v>0</v>
      </c>
      <c r="L1854">
        <f t="shared" si="1932"/>
        <v>13.90199999999983</v>
      </c>
    </row>
    <row r="1855" spans="2:12">
      <c r="B1855" s="1">
        <v>50493</v>
      </c>
      <c r="C1855" t="s">
        <v>36</v>
      </c>
      <c r="D1855">
        <v>26.5</v>
      </c>
      <c r="E1855">
        <v>4.5</v>
      </c>
      <c r="F1855">
        <f t="shared" si="1928"/>
        <v>1.1924999999999999</v>
      </c>
      <c r="G1855">
        <f t="shared" ref="G1855" si="1990">D1851+D1852+D1853+D1854+D1855</f>
        <v>105.1</v>
      </c>
      <c r="H1855">
        <f t="shared" si="1927"/>
        <v>2038</v>
      </c>
      <c r="I1855">
        <v>1</v>
      </c>
      <c r="J1855">
        <f t="shared" si="1930"/>
        <v>15.094499999999829</v>
      </c>
      <c r="K1855">
        <f t="shared" si="1931"/>
        <v>0</v>
      </c>
      <c r="L1855">
        <f t="shared" si="1932"/>
        <v>15.094499999999829</v>
      </c>
    </row>
    <row r="1856" spans="2:12">
      <c r="B1856" s="1">
        <v>50494</v>
      </c>
      <c r="C1856" t="s">
        <v>38</v>
      </c>
      <c r="D1856">
        <v>18.7</v>
      </c>
      <c r="E1856">
        <v>2.2999999999999998</v>
      </c>
      <c r="F1856">
        <f t="shared" si="1928"/>
        <v>0.43009999999999998</v>
      </c>
      <c r="G1856">
        <f t="shared" ref="G1856" si="1991">D1851+D1852+D1853+D1854+D1855+D1856</f>
        <v>123.8</v>
      </c>
      <c r="H1856">
        <f t="shared" si="1927"/>
        <v>2038</v>
      </c>
      <c r="I1856">
        <v>1</v>
      </c>
      <c r="J1856">
        <f t="shared" si="1930"/>
        <v>15.524599999999829</v>
      </c>
      <c r="K1856">
        <f t="shared" si="1931"/>
        <v>0</v>
      </c>
      <c r="L1856">
        <f t="shared" si="1932"/>
        <v>15.524599999999829</v>
      </c>
    </row>
    <row r="1857" spans="2:12">
      <c r="B1857" s="1">
        <v>50495</v>
      </c>
      <c r="C1857" t="s">
        <v>43</v>
      </c>
      <c r="D1857">
        <v>11.7</v>
      </c>
      <c r="E1857">
        <v>6</v>
      </c>
      <c r="F1857">
        <f t="shared" si="1928"/>
        <v>0.70199999999999985</v>
      </c>
      <c r="G1857">
        <f t="shared" ref="G1857" si="1992">D1851+D1852+D1853+D1854+D1855+D1856+D1857</f>
        <v>135.5</v>
      </c>
      <c r="H1857">
        <f t="shared" si="1927"/>
        <v>2038</v>
      </c>
      <c r="I1857">
        <v>1</v>
      </c>
      <c r="J1857">
        <f t="shared" si="1930"/>
        <v>16.226599999999827</v>
      </c>
      <c r="K1857">
        <f t="shared" si="1931"/>
        <v>0</v>
      </c>
      <c r="L1857">
        <f t="shared" si="1932"/>
        <v>16.226599999999827</v>
      </c>
    </row>
    <row r="1858" spans="2:12">
      <c r="B1858" s="1">
        <v>50496</v>
      </c>
      <c r="C1858" t="s">
        <v>50</v>
      </c>
      <c r="D1858">
        <v>27.5</v>
      </c>
      <c r="E1858">
        <v>22.6</v>
      </c>
      <c r="F1858">
        <f t="shared" si="1928"/>
        <v>6.2149999999999999</v>
      </c>
      <c r="G1858">
        <f t="shared" ref="G1858:G1921" si="1993">D1858</f>
        <v>27.5</v>
      </c>
      <c r="H1858">
        <f t="shared" si="1927"/>
        <v>2038</v>
      </c>
      <c r="I1858">
        <v>1</v>
      </c>
      <c r="J1858">
        <f t="shared" si="1930"/>
        <v>22.441599999999827</v>
      </c>
      <c r="K1858">
        <f t="shared" si="1931"/>
        <v>0</v>
      </c>
      <c r="L1858">
        <f t="shared" si="1932"/>
        <v>22.441599999999827</v>
      </c>
    </row>
    <row r="1859" spans="2:12">
      <c r="B1859" s="1">
        <v>50497</v>
      </c>
      <c r="C1859" t="s">
        <v>38</v>
      </c>
      <c r="D1859">
        <v>27.4</v>
      </c>
      <c r="E1859">
        <v>0</v>
      </c>
      <c r="F1859">
        <f t="shared" si="1928"/>
        <v>0</v>
      </c>
      <c r="G1859">
        <f t="shared" ref="G1859:G1922" si="1994">D1858+D1859</f>
        <v>54.9</v>
      </c>
      <c r="H1859">
        <f t="shared" si="1927"/>
        <v>2038</v>
      </c>
      <c r="I1859">
        <v>1</v>
      </c>
      <c r="J1859">
        <f t="shared" si="1930"/>
        <v>22.441599999999827</v>
      </c>
      <c r="K1859">
        <f t="shared" si="1931"/>
        <v>0</v>
      </c>
      <c r="L1859">
        <f t="shared" si="1932"/>
        <v>22.441599999999827</v>
      </c>
    </row>
    <row r="1860" spans="2:12">
      <c r="B1860" s="1">
        <v>50498</v>
      </c>
      <c r="C1860" t="s">
        <v>25</v>
      </c>
      <c r="D1860">
        <v>14.8</v>
      </c>
      <c r="E1860">
        <v>0</v>
      </c>
      <c r="F1860">
        <f t="shared" si="1928"/>
        <v>0</v>
      </c>
      <c r="G1860">
        <f t="shared" ref="G1860" si="1995">D1858+D1859+D1860</f>
        <v>69.7</v>
      </c>
      <c r="H1860">
        <f t="shared" ref="H1860:H1923" si="1996">YEAR(B1860)</f>
        <v>2038</v>
      </c>
      <c r="I1860">
        <v>1</v>
      </c>
      <c r="J1860">
        <f t="shared" si="1930"/>
        <v>22.441599999999827</v>
      </c>
      <c r="K1860">
        <f t="shared" si="1931"/>
        <v>0</v>
      </c>
      <c r="L1860">
        <f t="shared" si="1932"/>
        <v>22.441599999999827</v>
      </c>
    </row>
    <row r="1861" spans="2:12">
      <c r="B1861" s="1">
        <v>50499</v>
      </c>
      <c r="C1861" t="s">
        <v>42</v>
      </c>
      <c r="D1861">
        <v>26.2</v>
      </c>
      <c r="E1861">
        <v>0</v>
      </c>
      <c r="F1861">
        <f t="shared" ref="F1861:F1924" si="1997">IF(E1861&gt;=1,D1861*E1861/100,0)</f>
        <v>0</v>
      </c>
      <c r="G1861">
        <f t="shared" ref="G1861" si="1998">D1858+D1859+D1860+D1861</f>
        <v>95.9</v>
      </c>
      <c r="H1861">
        <f t="shared" si="1996"/>
        <v>2038</v>
      </c>
      <c r="I1861">
        <v>1</v>
      </c>
      <c r="J1861">
        <f t="shared" ref="J1861:J1924" si="1999">L1860+F1861</f>
        <v>22.441599999999827</v>
      </c>
      <c r="K1861">
        <f t="shared" ref="K1861:K1924" si="2000">IF(J1861&gt;=100,1,0)</f>
        <v>0</v>
      </c>
      <c r="L1861">
        <f t="shared" ref="L1861:L1924" si="2001">IF(K1861=1,J1861-100,J1861)</f>
        <v>22.441599999999827</v>
      </c>
    </row>
    <row r="1862" spans="2:12">
      <c r="B1862" s="1">
        <v>50500</v>
      </c>
      <c r="C1862" t="s">
        <v>32</v>
      </c>
      <c r="D1862">
        <v>12.9</v>
      </c>
      <c r="E1862">
        <v>17.899999999999999</v>
      </c>
      <c r="F1862">
        <f t="shared" si="1997"/>
        <v>2.3090999999999999</v>
      </c>
      <c r="G1862">
        <f t="shared" ref="G1862" si="2002">D1858+D1859+D1860+D1861+D1862</f>
        <v>108.80000000000001</v>
      </c>
      <c r="H1862">
        <f t="shared" si="1996"/>
        <v>2038</v>
      </c>
      <c r="I1862">
        <v>1</v>
      </c>
      <c r="J1862">
        <f t="shared" si="1999"/>
        <v>24.750699999999828</v>
      </c>
      <c r="K1862">
        <f t="shared" si="2000"/>
        <v>0</v>
      </c>
      <c r="L1862">
        <f t="shared" si="2001"/>
        <v>24.750699999999828</v>
      </c>
    </row>
    <row r="1863" spans="2:12">
      <c r="B1863" s="1">
        <v>50501</v>
      </c>
      <c r="C1863" t="s">
        <v>49</v>
      </c>
      <c r="D1863">
        <v>12.5</v>
      </c>
      <c r="E1863">
        <v>0</v>
      </c>
      <c r="F1863">
        <f t="shared" si="1997"/>
        <v>0</v>
      </c>
      <c r="G1863">
        <f t="shared" ref="G1863" si="2003">D1858+D1859+D1860+D1861+D1862+D1863</f>
        <v>121.30000000000001</v>
      </c>
      <c r="H1863">
        <f t="shared" si="1996"/>
        <v>2038</v>
      </c>
      <c r="I1863">
        <v>1</v>
      </c>
      <c r="J1863">
        <f t="shared" si="1999"/>
        <v>24.750699999999828</v>
      </c>
      <c r="K1863">
        <f t="shared" si="2000"/>
        <v>0</v>
      </c>
      <c r="L1863">
        <f t="shared" si="2001"/>
        <v>24.750699999999828</v>
      </c>
    </row>
    <row r="1864" spans="2:12">
      <c r="B1864" s="1">
        <v>50502</v>
      </c>
      <c r="C1864" t="s">
        <v>37</v>
      </c>
      <c r="D1864">
        <v>12.3</v>
      </c>
      <c r="E1864">
        <v>0</v>
      </c>
      <c r="F1864">
        <f t="shared" si="1997"/>
        <v>0</v>
      </c>
      <c r="G1864">
        <f t="shared" ref="G1864" si="2004">D1858+D1859+D1860+D1861+D1862+D1863+D1864</f>
        <v>133.60000000000002</v>
      </c>
      <c r="H1864">
        <f t="shared" si="1996"/>
        <v>2038</v>
      </c>
      <c r="I1864">
        <v>1</v>
      </c>
      <c r="J1864">
        <f t="shared" si="1999"/>
        <v>24.750699999999828</v>
      </c>
      <c r="K1864">
        <f t="shared" si="2000"/>
        <v>0</v>
      </c>
      <c r="L1864">
        <f t="shared" si="2001"/>
        <v>24.750699999999828</v>
      </c>
    </row>
    <row r="1865" spans="2:12">
      <c r="B1865" s="1">
        <v>50503</v>
      </c>
      <c r="C1865" t="s">
        <v>15</v>
      </c>
      <c r="D1865">
        <v>19.399999999999999</v>
      </c>
      <c r="E1865">
        <v>0</v>
      </c>
      <c r="F1865">
        <f t="shared" si="1997"/>
        <v>0</v>
      </c>
      <c r="G1865">
        <f t="shared" ref="G1865:G1928" si="2005">D1865</f>
        <v>19.399999999999999</v>
      </c>
      <c r="H1865">
        <f t="shared" si="1996"/>
        <v>2038</v>
      </c>
      <c r="I1865">
        <v>1</v>
      </c>
      <c r="J1865">
        <f t="shared" si="1999"/>
        <v>24.750699999999828</v>
      </c>
      <c r="K1865">
        <f t="shared" si="2000"/>
        <v>0</v>
      </c>
      <c r="L1865">
        <f t="shared" si="2001"/>
        <v>24.750699999999828</v>
      </c>
    </row>
    <row r="1866" spans="2:12">
      <c r="B1866" s="1">
        <v>50504</v>
      </c>
      <c r="C1866" t="s">
        <v>32</v>
      </c>
      <c r="D1866">
        <v>20.9</v>
      </c>
      <c r="E1866">
        <v>0</v>
      </c>
      <c r="F1866">
        <f t="shared" si="1997"/>
        <v>0</v>
      </c>
      <c r="G1866">
        <f t="shared" ref="G1866:G1929" si="2006">D1865+D1866</f>
        <v>40.299999999999997</v>
      </c>
      <c r="H1866">
        <f t="shared" si="1996"/>
        <v>2038</v>
      </c>
      <c r="I1866">
        <v>1</v>
      </c>
      <c r="J1866">
        <f t="shared" si="1999"/>
        <v>24.750699999999828</v>
      </c>
      <c r="K1866">
        <f t="shared" si="2000"/>
        <v>0</v>
      </c>
      <c r="L1866">
        <f t="shared" si="2001"/>
        <v>24.750699999999828</v>
      </c>
    </row>
    <row r="1867" spans="2:12">
      <c r="B1867" s="1">
        <v>50505</v>
      </c>
      <c r="C1867" t="s">
        <v>21</v>
      </c>
      <c r="D1867">
        <v>10.4</v>
      </c>
      <c r="E1867">
        <v>0</v>
      </c>
      <c r="F1867">
        <f t="shared" si="1997"/>
        <v>0</v>
      </c>
      <c r="G1867">
        <f t="shared" ref="G1867" si="2007">D1865+D1866+D1867</f>
        <v>50.699999999999996</v>
      </c>
      <c r="H1867">
        <f t="shared" si="1996"/>
        <v>2038</v>
      </c>
      <c r="I1867">
        <v>1</v>
      </c>
      <c r="J1867">
        <f t="shared" si="1999"/>
        <v>24.750699999999828</v>
      </c>
      <c r="K1867">
        <f t="shared" si="2000"/>
        <v>0</v>
      </c>
      <c r="L1867">
        <f t="shared" si="2001"/>
        <v>24.750699999999828</v>
      </c>
    </row>
    <row r="1868" spans="2:12">
      <c r="B1868" s="1">
        <v>50506</v>
      </c>
      <c r="C1868" t="s">
        <v>25</v>
      </c>
      <c r="D1868">
        <v>22.2</v>
      </c>
      <c r="E1868">
        <v>2.5</v>
      </c>
      <c r="F1868">
        <f t="shared" si="1997"/>
        <v>0.55500000000000005</v>
      </c>
      <c r="G1868">
        <f t="shared" ref="G1868" si="2008">D1865+D1866+D1867+D1868</f>
        <v>72.899999999999991</v>
      </c>
      <c r="H1868">
        <f t="shared" si="1996"/>
        <v>2038</v>
      </c>
      <c r="I1868">
        <v>1</v>
      </c>
      <c r="J1868">
        <f t="shared" si="1999"/>
        <v>25.305699999999828</v>
      </c>
      <c r="K1868">
        <f t="shared" si="2000"/>
        <v>0</v>
      </c>
      <c r="L1868">
        <f t="shared" si="2001"/>
        <v>25.305699999999828</v>
      </c>
    </row>
    <row r="1869" spans="2:12">
      <c r="B1869" s="1">
        <v>50507</v>
      </c>
      <c r="C1869" t="s">
        <v>24</v>
      </c>
      <c r="D1869">
        <v>16.8</v>
      </c>
      <c r="E1869">
        <v>0</v>
      </c>
      <c r="F1869">
        <f t="shared" si="1997"/>
        <v>0</v>
      </c>
      <c r="G1869">
        <f t="shared" ref="G1869" si="2009">D1865+D1866+D1867+D1868+D1869</f>
        <v>89.699999999999989</v>
      </c>
      <c r="H1869">
        <f t="shared" si="1996"/>
        <v>2038</v>
      </c>
      <c r="I1869">
        <v>1</v>
      </c>
      <c r="J1869">
        <f t="shared" si="1999"/>
        <v>25.305699999999828</v>
      </c>
      <c r="K1869">
        <f t="shared" si="2000"/>
        <v>0</v>
      </c>
      <c r="L1869">
        <f t="shared" si="2001"/>
        <v>25.305699999999828</v>
      </c>
    </row>
    <row r="1870" spans="2:12">
      <c r="B1870" s="1">
        <v>50508</v>
      </c>
      <c r="C1870" t="s">
        <v>50</v>
      </c>
      <c r="D1870">
        <v>21.7</v>
      </c>
      <c r="E1870">
        <v>33.299999999999997</v>
      </c>
      <c r="F1870">
        <f t="shared" si="1997"/>
        <v>7.2260999999999989</v>
      </c>
      <c r="G1870">
        <f t="shared" ref="G1870" si="2010">D1865+D1866+D1867+D1868+D1869+D1870</f>
        <v>111.39999999999999</v>
      </c>
      <c r="H1870">
        <f t="shared" si="1996"/>
        <v>2038</v>
      </c>
      <c r="I1870">
        <v>1</v>
      </c>
      <c r="J1870">
        <f t="shared" si="1999"/>
        <v>32.531799999999826</v>
      </c>
      <c r="K1870">
        <f t="shared" si="2000"/>
        <v>0</v>
      </c>
      <c r="L1870">
        <f t="shared" si="2001"/>
        <v>32.531799999999826</v>
      </c>
    </row>
    <row r="1871" spans="2:12">
      <c r="B1871" s="1">
        <v>50509</v>
      </c>
      <c r="C1871" t="s">
        <v>25</v>
      </c>
      <c r="D1871">
        <v>10.199999999999999</v>
      </c>
      <c r="E1871">
        <v>16.600000000000001</v>
      </c>
      <c r="F1871">
        <f t="shared" si="1997"/>
        <v>1.6932</v>
      </c>
      <c r="G1871">
        <f t="shared" ref="G1871" si="2011">D1865+D1866+D1867+D1868+D1869+D1870+D1871</f>
        <v>121.6</v>
      </c>
      <c r="H1871">
        <f t="shared" si="1996"/>
        <v>2038</v>
      </c>
      <c r="I1871">
        <v>1</v>
      </c>
      <c r="J1871">
        <f t="shared" si="1999"/>
        <v>34.224999999999824</v>
      </c>
      <c r="K1871">
        <f t="shared" si="2000"/>
        <v>0</v>
      </c>
      <c r="L1871">
        <f t="shared" si="2001"/>
        <v>34.224999999999824</v>
      </c>
    </row>
    <row r="1872" spans="2:12">
      <c r="B1872" s="1">
        <v>50510</v>
      </c>
      <c r="C1872" t="s">
        <v>24</v>
      </c>
      <c r="D1872">
        <v>16.5</v>
      </c>
      <c r="E1872">
        <v>0</v>
      </c>
      <c r="F1872">
        <f t="shared" si="1997"/>
        <v>0</v>
      </c>
      <c r="G1872">
        <f t="shared" ref="G1872:G1935" si="2012">D1872</f>
        <v>16.5</v>
      </c>
      <c r="H1872">
        <f t="shared" si="1996"/>
        <v>2038</v>
      </c>
      <c r="I1872">
        <v>1</v>
      </c>
      <c r="J1872">
        <f t="shared" si="1999"/>
        <v>34.224999999999824</v>
      </c>
      <c r="K1872">
        <f t="shared" si="2000"/>
        <v>0</v>
      </c>
      <c r="L1872">
        <f t="shared" si="2001"/>
        <v>34.224999999999824</v>
      </c>
    </row>
    <row r="1873" spans="2:12">
      <c r="B1873" s="1">
        <v>50511</v>
      </c>
      <c r="C1873" t="s">
        <v>33</v>
      </c>
      <c r="D1873">
        <v>29.1</v>
      </c>
      <c r="E1873">
        <v>0.5</v>
      </c>
      <c r="F1873">
        <f t="shared" si="1997"/>
        <v>0</v>
      </c>
      <c r="G1873">
        <f t="shared" ref="G1873:G1936" si="2013">D1872+D1873</f>
        <v>45.6</v>
      </c>
      <c r="H1873">
        <f t="shared" si="1996"/>
        <v>2038</v>
      </c>
      <c r="I1873">
        <v>1</v>
      </c>
      <c r="J1873">
        <f t="shared" si="1999"/>
        <v>34.224999999999824</v>
      </c>
      <c r="K1873">
        <f t="shared" si="2000"/>
        <v>0</v>
      </c>
      <c r="L1873">
        <f t="shared" si="2001"/>
        <v>34.224999999999824</v>
      </c>
    </row>
    <row r="1874" spans="2:12">
      <c r="B1874" s="1">
        <v>50512</v>
      </c>
      <c r="C1874" t="s">
        <v>25</v>
      </c>
      <c r="D1874">
        <v>17.8</v>
      </c>
      <c r="E1874">
        <v>0</v>
      </c>
      <c r="F1874">
        <f t="shared" si="1997"/>
        <v>0</v>
      </c>
      <c r="G1874">
        <f t="shared" ref="G1874" si="2014">D1872+D1873+D1874</f>
        <v>63.400000000000006</v>
      </c>
      <c r="H1874">
        <f t="shared" si="1996"/>
        <v>2038</v>
      </c>
      <c r="I1874">
        <v>1</v>
      </c>
      <c r="J1874">
        <f t="shared" si="1999"/>
        <v>34.224999999999824</v>
      </c>
      <c r="K1874">
        <f t="shared" si="2000"/>
        <v>0</v>
      </c>
      <c r="L1874">
        <f t="shared" si="2001"/>
        <v>34.224999999999824</v>
      </c>
    </row>
    <row r="1875" spans="2:12">
      <c r="B1875" s="1">
        <v>50513</v>
      </c>
      <c r="C1875" t="s">
        <v>24</v>
      </c>
      <c r="D1875">
        <v>10</v>
      </c>
      <c r="E1875">
        <v>0</v>
      </c>
      <c r="F1875">
        <f t="shared" si="1997"/>
        <v>0</v>
      </c>
      <c r="G1875">
        <f t="shared" ref="G1875" si="2015">D1872+D1873+D1874+D1875</f>
        <v>73.400000000000006</v>
      </c>
      <c r="H1875">
        <f t="shared" si="1996"/>
        <v>2038</v>
      </c>
      <c r="I1875">
        <v>1</v>
      </c>
      <c r="J1875">
        <f t="shared" si="1999"/>
        <v>34.224999999999824</v>
      </c>
      <c r="K1875">
        <f t="shared" si="2000"/>
        <v>0</v>
      </c>
      <c r="L1875">
        <f t="shared" si="2001"/>
        <v>34.224999999999824</v>
      </c>
    </row>
    <row r="1876" spans="2:12">
      <c r="B1876" s="1">
        <v>50514</v>
      </c>
      <c r="C1876" t="s">
        <v>21</v>
      </c>
      <c r="D1876">
        <v>15.5</v>
      </c>
      <c r="E1876">
        <v>8.6</v>
      </c>
      <c r="F1876">
        <f t="shared" si="1997"/>
        <v>1.3329999999999997</v>
      </c>
      <c r="G1876">
        <f t="shared" ref="G1876" si="2016">D1872+D1873+D1874+D1875+D1876</f>
        <v>88.9</v>
      </c>
      <c r="H1876">
        <f t="shared" si="1996"/>
        <v>2038</v>
      </c>
      <c r="I1876">
        <v>1</v>
      </c>
      <c r="J1876">
        <f t="shared" si="1999"/>
        <v>35.557999999999822</v>
      </c>
      <c r="K1876">
        <f t="shared" si="2000"/>
        <v>0</v>
      </c>
      <c r="L1876">
        <f t="shared" si="2001"/>
        <v>35.557999999999822</v>
      </c>
    </row>
    <row r="1877" spans="2:12">
      <c r="B1877" s="1">
        <v>50515</v>
      </c>
      <c r="C1877" t="s">
        <v>24</v>
      </c>
      <c r="D1877">
        <v>15.3</v>
      </c>
      <c r="E1877">
        <v>21.4</v>
      </c>
      <c r="F1877">
        <f t="shared" si="1997"/>
        <v>3.2742</v>
      </c>
      <c r="G1877">
        <f t="shared" ref="G1877" si="2017">D1872+D1873+D1874+D1875+D1876+D1877</f>
        <v>104.2</v>
      </c>
      <c r="H1877">
        <f t="shared" si="1996"/>
        <v>2038</v>
      </c>
      <c r="I1877">
        <v>1</v>
      </c>
      <c r="J1877">
        <f t="shared" si="1999"/>
        <v>38.832199999999823</v>
      </c>
      <c r="K1877">
        <f t="shared" si="2000"/>
        <v>0</v>
      </c>
      <c r="L1877">
        <f t="shared" si="2001"/>
        <v>38.832199999999823</v>
      </c>
    </row>
    <row r="1878" spans="2:12">
      <c r="B1878" s="1">
        <v>50516</v>
      </c>
      <c r="C1878" t="s">
        <v>26</v>
      </c>
      <c r="D1878">
        <v>23.7</v>
      </c>
      <c r="E1878">
        <v>0</v>
      </c>
      <c r="F1878">
        <f t="shared" si="1997"/>
        <v>0</v>
      </c>
      <c r="G1878">
        <f t="shared" ref="G1878" si="2018">D1872+D1873+D1874+D1875+D1876+D1877+D1878</f>
        <v>127.9</v>
      </c>
      <c r="H1878">
        <f t="shared" si="1996"/>
        <v>2038</v>
      </c>
      <c r="I1878">
        <v>1</v>
      </c>
      <c r="J1878">
        <f t="shared" si="1999"/>
        <v>38.832199999999823</v>
      </c>
      <c r="K1878">
        <f t="shared" si="2000"/>
        <v>0</v>
      </c>
      <c r="L1878">
        <f t="shared" si="2001"/>
        <v>38.832199999999823</v>
      </c>
    </row>
    <row r="1879" spans="2:12">
      <c r="B1879" s="1">
        <v>50517</v>
      </c>
      <c r="C1879" t="s">
        <v>25</v>
      </c>
      <c r="D1879">
        <v>26.1</v>
      </c>
      <c r="E1879">
        <v>12.5</v>
      </c>
      <c r="F1879">
        <f t="shared" si="1997"/>
        <v>3.2625000000000002</v>
      </c>
      <c r="G1879">
        <f t="shared" ref="G1879:G1910" si="2019">D1879</f>
        <v>26.1</v>
      </c>
      <c r="H1879">
        <f t="shared" si="1996"/>
        <v>2038</v>
      </c>
      <c r="I1879">
        <v>1</v>
      </c>
      <c r="J1879">
        <f t="shared" si="1999"/>
        <v>42.094699999999825</v>
      </c>
      <c r="K1879">
        <f t="shared" si="2000"/>
        <v>0</v>
      </c>
      <c r="L1879">
        <f t="shared" si="2001"/>
        <v>42.094699999999825</v>
      </c>
    </row>
    <row r="1880" spans="2:12">
      <c r="B1880" s="1">
        <v>50518</v>
      </c>
      <c r="C1880" t="s">
        <v>25</v>
      </c>
      <c r="D1880">
        <v>13.4</v>
      </c>
      <c r="E1880">
        <v>0</v>
      </c>
      <c r="F1880">
        <f t="shared" si="1997"/>
        <v>0</v>
      </c>
      <c r="G1880">
        <f t="shared" ref="G1880:G1911" si="2020">D1879+D1880</f>
        <v>39.5</v>
      </c>
      <c r="H1880">
        <f t="shared" si="1996"/>
        <v>2038</v>
      </c>
      <c r="I1880">
        <v>1</v>
      </c>
      <c r="J1880">
        <f t="shared" si="1999"/>
        <v>42.094699999999825</v>
      </c>
      <c r="K1880">
        <f t="shared" si="2000"/>
        <v>0</v>
      </c>
      <c r="L1880">
        <f t="shared" si="2001"/>
        <v>42.094699999999825</v>
      </c>
    </row>
    <row r="1881" spans="2:12">
      <c r="B1881" s="1">
        <v>50519</v>
      </c>
      <c r="C1881" t="s">
        <v>15</v>
      </c>
      <c r="D1881">
        <v>17.8</v>
      </c>
      <c r="E1881">
        <v>3.7</v>
      </c>
      <c r="F1881">
        <f t="shared" si="1997"/>
        <v>0.65859999999999996</v>
      </c>
      <c r="G1881">
        <f t="shared" ref="G1881" si="2021">D1879+D1880+D1881</f>
        <v>57.3</v>
      </c>
      <c r="H1881">
        <f t="shared" si="1996"/>
        <v>2038</v>
      </c>
      <c r="I1881">
        <v>1</v>
      </c>
      <c r="J1881">
        <f t="shared" si="1999"/>
        <v>42.753299999999825</v>
      </c>
      <c r="K1881">
        <f t="shared" si="2000"/>
        <v>0</v>
      </c>
      <c r="L1881">
        <f t="shared" si="2001"/>
        <v>42.753299999999825</v>
      </c>
    </row>
    <row r="1882" spans="2:12">
      <c r="B1882" s="1">
        <v>50520</v>
      </c>
      <c r="C1882" t="s">
        <v>37</v>
      </c>
      <c r="D1882">
        <v>13</v>
      </c>
      <c r="E1882">
        <v>2.7</v>
      </c>
      <c r="F1882">
        <f t="shared" si="1997"/>
        <v>0.35100000000000003</v>
      </c>
      <c r="G1882">
        <f t="shared" ref="G1882" si="2022">D1879+D1880+D1881+D1882</f>
        <v>70.3</v>
      </c>
      <c r="H1882">
        <f t="shared" si="1996"/>
        <v>2038</v>
      </c>
      <c r="I1882">
        <v>1</v>
      </c>
      <c r="J1882">
        <f t="shared" si="1999"/>
        <v>43.104299999999824</v>
      </c>
      <c r="K1882">
        <f t="shared" si="2000"/>
        <v>0</v>
      </c>
      <c r="L1882">
        <f t="shared" si="2001"/>
        <v>43.104299999999824</v>
      </c>
    </row>
    <row r="1883" spans="2:12">
      <c r="B1883" s="1">
        <v>50521</v>
      </c>
      <c r="C1883" t="s">
        <v>18</v>
      </c>
      <c r="D1883">
        <v>28.2</v>
      </c>
      <c r="E1883">
        <v>0</v>
      </c>
      <c r="F1883">
        <f t="shared" si="1997"/>
        <v>0</v>
      </c>
      <c r="G1883">
        <f t="shared" ref="G1883" si="2023">D1879+D1880+D1881+D1882+D1883</f>
        <v>98.5</v>
      </c>
      <c r="H1883">
        <f t="shared" si="1996"/>
        <v>2038</v>
      </c>
      <c r="I1883">
        <v>1</v>
      </c>
      <c r="J1883">
        <f t="shared" si="1999"/>
        <v>43.104299999999824</v>
      </c>
      <c r="K1883">
        <f t="shared" si="2000"/>
        <v>0</v>
      </c>
      <c r="L1883">
        <f t="shared" si="2001"/>
        <v>43.104299999999824</v>
      </c>
    </row>
    <row r="1884" spans="2:12">
      <c r="B1884" s="1">
        <v>50522</v>
      </c>
      <c r="C1884" t="s">
        <v>24</v>
      </c>
      <c r="D1884">
        <v>23</v>
      </c>
      <c r="E1884">
        <v>0</v>
      </c>
      <c r="F1884">
        <f t="shared" si="1997"/>
        <v>0</v>
      </c>
      <c r="G1884">
        <f t="shared" ref="G1884" si="2024">D1879+D1880+D1881+D1882+D1883+D1884</f>
        <v>121.5</v>
      </c>
      <c r="H1884">
        <f t="shared" si="1996"/>
        <v>2038</v>
      </c>
      <c r="I1884">
        <v>1</v>
      </c>
      <c r="J1884">
        <f t="shared" si="1999"/>
        <v>43.104299999999824</v>
      </c>
      <c r="K1884">
        <f t="shared" si="2000"/>
        <v>0</v>
      </c>
      <c r="L1884">
        <f t="shared" si="2001"/>
        <v>43.104299999999824</v>
      </c>
    </row>
    <row r="1885" spans="2:12">
      <c r="B1885" s="1">
        <v>50523</v>
      </c>
      <c r="C1885" t="s">
        <v>18</v>
      </c>
      <c r="D1885">
        <v>21.5</v>
      </c>
      <c r="E1885">
        <v>0</v>
      </c>
      <c r="F1885">
        <f t="shared" si="1997"/>
        <v>0</v>
      </c>
      <c r="G1885">
        <f t="shared" ref="G1885" si="2025">D1879+D1880+D1881+D1882+D1883+D1884+D1885</f>
        <v>143</v>
      </c>
      <c r="H1885">
        <f t="shared" si="1996"/>
        <v>2038</v>
      </c>
      <c r="I1885">
        <v>1</v>
      </c>
      <c r="J1885">
        <f t="shared" si="1999"/>
        <v>43.104299999999824</v>
      </c>
      <c r="K1885">
        <f t="shared" si="2000"/>
        <v>0</v>
      </c>
      <c r="L1885">
        <f t="shared" si="2001"/>
        <v>43.104299999999824</v>
      </c>
    </row>
    <row r="1886" spans="2:12">
      <c r="B1886" s="1">
        <v>50524</v>
      </c>
      <c r="C1886" t="s">
        <v>47</v>
      </c>
      <c r="D1886">
        <v>22.3</v>
      </c>
      <c r="E1886">
        <v>0</v>
      </c>
      <c r="F1886">
        <f t="shared" si="1997"/>
        <v>0</v>
      </c>
      <c r="G1886">
        <f t="shared" ref="G1886:G1917" si="2026">D1886</f>
        <v>22.3</v>
      </c>
      <c r="H1886">
        <f t="shared" si="1996"/>
        <v>2038</v>
      </c>
      <c r="I1886">
        <v>1</v>
      </c>
      <c r="J1886">
        <f t="shared" si="1999"/>
        <v>43.104299999999824</v>
      </c>
      <c r="K1886">
        <f t="shared" si="2000"/>
        <v>0</v>
      </c>
      <c r="L1886">
        <f t="shared" si="2001"/>
        <v>43.104299999999824</v>
      </c>
    </row>
    <row r="1887" spans="2:12">
      <c r="B1887" s="1">
        <v>50525</v>
      </c>
      <c r="C1887" t="s">
        <v>24</v>
      </c>
      <c r="D1887">
        <v>28.2</v>
      </c>
      <c r="E1887">
        <v>0</v>
      </c>
      <c r="F1887">
        <f t="shared" si="1997"/>
        <v>0</v>
      </c>
      <c r="G1887">
        <f t="shared" ref="G1887:G1918" si="2027">D1886+D1887</f>
        <v>50.5</v>
      </c>
      <c r="H1887">
        <f t="shared" si="1996"/>
        <v>2038</v>
      </c>
      <c r="I1887">
        <v>1</v>
      </c>
      <c r="J1887">
        <f t="shared" si="1999"/>
        <v>43.104299999999824</v>
      </c>
      <c r="K1887">
        <f t="shared" si="2000"/>
        <v>0</v>
      </c>
      <c r="L1887">
        <f t="shared" si="2001"/>
        <v>43.104299999999824</v>
      </c>
    </row>
    <row r="1888" spans="2:12">
      <c r="B1888" s="1">
        <v>50526</v>
      </c>
      <c r="C1888" t="s">
        <v>37</v>
      </c>
      <c r="D1888">
        <v>11.9</v>
      </c>
      <c r="E1888">
        <v>3.4</v>
      </c>
      <c r="F1888">
        <f t="shared" si="1997"/>
        <v>0.40460000000000002</v>
      </c>
      <c r="G1888">
        <f t="shared" ref="G1888" si="2028">D1886+D1887+D1888</f>
        <v>62.4</v>
      </c>
      <c r="H1888">
        <f t="shared" si="1996"/>
        <v>2038</v>
      </c>
      <c r="I1888">
        <v>1</v>
      </c>
      <c r="J1888">
        <f t="shared" si="1999"/>
        <v>43.508899999999826</v>
      </c>
      <c r="K1888">
        <f t="shared" si="2000"/>
        <v>0</v>
      </c>
      <c r="L1888">
        <f t="shared" si="2001"/>
        <v>43.508899999999826</v>
      </c>
    </row>
    <row r="1889" spans="2:12">
      <c r="B1889" s="1">
        <v>50527</v>
      </c>
      <c r="C1889" t="s">
        <v>47</v>
      </c>
      <c r="D1889">
        <v>20.9</v>
      </c>
      <c r="E1889">
        <v>7.5</v>
      </c>
      <c r="F1889">
        <f t="shared" si="1997"/>
        <v>1.5674999999999999</v>
      </c>
      <c r="G1889">
        <f t="shared" ref="G1889" si="2029">D1886+D1887+D1888+D1889</f>
        <v>83.3</v>
      </c>
      <c r="H1889">
        <f t="shared" si="1996"/>
        <v>2038</v>
      </c>
      <c r="I1889">
        <v>1</v>
      </c>
      <c r="J1889">
        <f t="shared" si="1999"/>
        <v>45.076399999999829</v>
      </c>
      <c r="K1889">
        <f t="shared" si="2000"/>
        <v>0</v>
      </c>
      <c r="L1889">
        <f t="shared" si="2001"/>
        <v>45.076399999999829</v>
      </c>
    </row>
    <row r="1890" spans="2:12">
      <c r="B1890" s="1">
        <v>50528</v>
      </c>
      <c r="C1890" t="s">
        <v>45</v>
      </c>
      <c r="D1890">
        <v>18.399999999999999</v>
      </c>
      <c r="E1890">
        <v>0.2</v>
      </c>
      <c r="F1890">
        <f t="shared" si="1997"/>
        <v>0</v>
      </c>
      <c r="G1890">
        <f t="shared" ref="G1890" si="2030">D1886+D1887+D1888+D1889+D1890</f>
        <v>101.69999999999999</v>
      </c>
      <c r="H1890">
        <f t="shared" si="1996"/>
        <v>2038</v>
      </c>
      <c r="I1890">
        <v>1</v>
      </c>
      <c r="J1890">
        <f t="shared" si="1999"/>
        <v>45.076399999999829</v>
      </c>
      <c r="K1890">
        <f t="shared" si="2000"/>
        <v>0</v>
      </c>
      <c r="L1890">
        <f t="shared" si="2001"/>
        <v>45.076399999999829</v>
      </c>
    </row>
    <row r="1891" spans="2:12">
      <c r="B1891" s="1">
        <v>50529</v>
      </c>
      <c r="C1891" t="s">
        <v>24</v>
      </c>
      <c r="D1891">
        <v>27.8</v>
      </c>
      <c r="E1891">
        <v>35.9</v>
      </c>
      <c r="F1891">
        <f t="shared" si="1997"/>
        <v>9.9802</v>
      </c>
      <c r="G1891">
        <f t="shared" ref="G1891" si="2031">D1886+D1887+D1888+D1889+D1890+D1891</f>
        <v>129.5</v>
      </c>
      <c r="H1891">
        <f t="shared" si="1996"/>
        <v>2038</v>
      </c>
      <c r="I1891">
        <v>1</v>
      </c>
      <c r="J1891">
        <f t="shared" si="1999"/>
        <v>55.056599999999833</v>
      </c>
      <c r="K1891">
        <f t="shared" si="2000"/>
        <v>0</v>
      </c>
      <c r="L1891">
        <f t="shared" si="2001"/>
        <v>55.056599999999833</v>
      </c>
    </row>
    <row r="1892" spans="2:12">
      <c r="B1892" s="1">
        <v>50530</v>
      </c>
      <c r="C1892" t="s">
        <v>50</v>
      </c>
      <c r="D1892">
        <v>20.7</v>
      </c>
      <c r="E1892">
        <v>14.7</v>
      </c>
      <c r="F1892">
        <f t="shared" si="1997"/>
        <v>3.0428999999999995</v>
      </c>
      <c r="G1892">
        <f t="shared" ref="G1892" si="2032">D1886+D1887+D1888+D1889+D1890+D1891+D1892</f>
        <v>150.19999999999999</v>
      </c>
      <c r="H1892">
        <f t="shared" si="1996"/>
        <v>2038</v>
      </c>
      <c r="I1892">
        <v>1</v>
      </c>
      <c r="J1892">
        <f t="shared" si="1999"/>
        <v>58.099499999999836</v>
      </c>
      <c r="K1892">
        <f t="shared" si="2000"/>
        <v>0</v>
      </c>
      <c r="L1892">
        <f t="shared" si="2001"/>
        <v>58.099499999999836</v>
      </c>
    </row>
    <row r="1893" spans="2:12">
      <c r="B1893" s="1">
        <v>50531</v>
      </c>
      <c r="C1893" t="s">
        <v>15</v>
      </c>
      <c r="D1893">
        <v>13</v>
      </c>
      <c r="E1893">
        <v>0</v>
      </c>
      <c r="F1893">
        <f t="shared" si="1997"/>
        <v>0</v>
      </c>
      <c r="G1893">
        <f t="shared" ref="G1893:G1924" si="2033">D1893</f>
        <v>13</v>
      </c>
      <c r="H1893">
        <f t="shared" si="1996"/>
        <v>2038</v>
      </c>
      <c r="I1893">
        <v>1</v>
      </c>
      <c r="J1893">
        <f t="shared" si="1999"/>
        <v>58.099499999999836</v>
      </c>
      <c r="K1893">
        <f t="shared" si="2000"/>
        <v>0</v>
      </c>
      <c r="L1893">
        <f t="shared" si="2001"/>
        <v>58.099499999999836</v>
      </c>
    </row>
    <row r="1894" spans="2:12">
      <c r="B1894" s="1">
        <v>50532</v>
      </c>
      <c r="C1894" t="s">
        <v>50</v>
      </c>
      <c r="D1894">
        <v>29.4</v>
      </c>
      <c r="E1894">
        <v>0</v>
      </c>
      <c r="F1894">
        <f t="shared" si="1997"/>
        <v>0</v>
      </c>
      <c r="G1894">
        <f t="shared" ref="G1894:G1925" si="2034">D1893+D1894</f>
        <v>42.4</v>
      </c>
      <c r="H1894">
        <f t="shared" si="1996"/>
        <v>2038</v>
      </c>
      <c r="I1894">
        <v>1</v>
      </c>
      <c r="J1894">
        <f t="shared" si="1999"/>
        <v>58.099499999999836</v>
      </c>
      <c r="K1894">
        <f t="shared" si="2000"/>
        <v>0</v>
      </c>
      <c r="L1894">
        <f t="shared" si="2001"/>
        <v>58.099499999999836</v>
      </c>
    </row>
    <row r="1895" spans="2:12">
      <c r="B1895" s="1">
        <v>50533</v>
      </c>
      <c r="C1895" t="s">
        <v>17</v>
      </c>
      <c r="D1895">
        <v>19.8</v>
      </c>
      <c r="E1895">
        <v>13.9</v>
      </c>
      <c r="F1895">
        <f t="shared" si="1997"/>
        <v>2.7522000000000002</v>
      </c>
      <c r="G1895">
        <f t="shared" ref="G1895" si="2035">D1893+D1894+D1895</f>
        <v>62.2</v>
      </c>
      <c r="H1895">
        <f t="shared" si="1996"/>
        <v>2038</v>
      </c>
      <c r="I1895">
        <v>1</v>
      </c>
      <c r="J1895">
        <f t="shared" si="1999"/>
        <v>60.851699999999838</v>
      </c>
      <c r="K1895">
        <f t="shared" si="2000"/>
        <v>0</v>
      </c>
      <c r="L1895">
        <f t="shared" si="2001"/>
        <v>60.851699999999838</v>
      </c>
    </row>
    <row r="1896" spans="2:12">
      <c r="B1896" s="1">
        <v>50534</v>
      </c>
      <c r="C1896" t="s">
        <v>25</v>
      </c>
      <c r="D1896">
        <v>10.9</v>
      </c>
      <c r="E1896">
        <v>17</v>
      </c>
      <c r="F1896">
        <f t="shared" si="1997"/>
        <v>1.8530000000000002</v>
      </c>
      <c r="G1896">
        <f t="shared" ref="G1896" si="2036">D1893+D1894+D1895+D1896</f>
        <v>73.100000000000009</v>
      </c>
      <c r="H1896">
        <f t="shared" si="1996"/>
        <v>2038</v>
      </c>
      <c r="I1896">
        <v>1</v>
      </c>
      <c r="J1896">
        <f t="shared" si="1999"/>
        <v>62.704699999999839</v>
      </c>
      <c r="K1896">
        <f t="shared" si="2000"/>
        <v>0</v>
      </c>
      <c r="L1896">
        <f t="shared" si="2001"/>
        <v>62.704699999999839</v>
      </c>
    </row>
    <row r="1897" spans="2:12">
      <c r="B1897" s="1">
        <v>50535</v>
      </c>
      <c r="C1897" t="s">
        <v>24</v>
      </c>
      <c r="D1897">
        <v>27.3</v>
      </c>
      <c r="E1897">
        <v>15.8</v>
      </c>
      <c r="F1897">
        <f t="shared" si="1997"/>
        <v>4.3134000000000006</v>
      </c>
      <c r="G1897">
        <f t="shared" ref="G1897" si="2037">D1893+D1894+D1895+D1896+D1897</f>
        <v>100.4</v>
      </c>
      <c r="H1897">
        <f t="shared" si="1996"/>
        <v>2038</v>
      </c>
      <c r="I1897">
        <v>1</v>
      </c>
      <c r="J1897">
        <f t="shared" si="1999"/>
        <v>67.018099999999833</v>
      </c>
      <c r="K1897">
        <f t="shared" si="2000"/>
        <v>0</v>
      </c>
      <c r="L1897">
        <f t="shared" si="2001"/>
        <v>67.018099999999833</v>
      </c>
    </row>
    <row r="1898" spans="2:12">
      <c r="B1898" s="1">
        <v>50536</v>
      </c>
      <c r="C1898" t="s">
        <v>50</v>
      </c>
      <c r="D1898">
        <v>16.399999999999999</v>
      </c>
      <c r="E1898">
        <v>0</v>
      </c>
      <c r="F1898">
        <f t="shared" si="1997"/>
        <v>0</v>
      </c>
      <c r="G1898">
        <f t="shared" ref="G1898" si="2038">D1893+D1894+D1895+D1896+D1897+D1898</f>
        <v>116.80000000000001</v>
      </c>
      <c r="H1898">
        <f t="shared" si="1996"/>
        <v>2038</v>
      </c>
      <c r="I1898">
        <v>1</v>
      </c>
      <c r="J1898">
        <f t="shared" si="1999"/>
        <v>67.018099999999833</v>
      </c>
      <c r="K1898">
        <f t="shared" si="2000"/>
        <v>0</v>
      </c>
      <c r="L1898">
        <f t="shared" si="2001"/>
        <v>67.018099999999833</v>
      </c>
    </row>
    <row r="1899" spans="2:12">
      <c r="B1899" s="1">
        <v>50537</v>
      </c>
      <c r="C1899" t="s">
        <v>32</v>
      </c>
      <c r="D1899">
        <v>28</v>
      </c>
      <c r="E1899">
        <v>9.6999999999999993</v>
      </c>
      <c r="F1899">
        <f t="shared" si="1997"/>
        <v>2.7159999999999997</v>
      </c>
      <c r="G1899">
        <f t="shared" ref="G1899" si="2039">D1893+D1894+D1895+D1896+D1897+D1898+D1899</f>
        <v>144.80000000000001</v>
      </c>
      <c r="H1899">
        <f t="shared" si="1996"/>
        <v>2038</v>
      </c>
      <c r="I1899">
        <v>1</v>
      </c>
      <c r="J1899">
        <f t="shared" si="1999"/>
        <v>69.734099999999827</v>
      </c>
      <c r="K1899">
        <f t="shared" si="2000"/>
        <v>0</v>
      </c>
      <c r="L1899">
        <f t="shared" si="2001"/>
        <v>69.734099999999827</v>
      </c>
    </row>
    <row r="1900" spans="2:12">
      <c r="B1900" s="1">
        <v>50538</v>
      </c>
      <c r="C1900" t="s">
        <v>18</v>
      </c>
      <c r="D1900">
        <v>17.399999999999999</v>
      </c>
      <c r="E1900">
        <v>6.6</v>
      </c>
      <c r="F1900">
        <f t="shared" si="1997"/>
        <v>1.1483999999999999</v>
      </c>
      <c r="G1900">
        <f t="shared" ref="G1900:G1931" si="2040">D1900</f>
        <v>17.399999999999999</v>
      </c>
      <c r="H1900">
        <f t="shared" si="1996"/>
        <v>2038</v>
      </c>
      <c r="I1900">
        <v>1</v>
      </c>
      <c r="J1900">
        <f t="shared" si="1999"/>
        <v>70.882499999999823</v>
      </c>
      <c r="K1900">
        <f t="shared" si="2000"/>
        <v>0</v>
      </c>
      <c r="L1900">
        <f t="shared" si="2001"/>
        <v>70.882499999999823</v>
      </c>
    </row>
    <row r="1901" spans="2:12">
      <c r="B1901" s="1">
        <v>50539</v>
      </c>
      <c r="C1901" t="s">
        <v>19</v>
      </c>
      <c r="D1901">
        <v>25.7</v>
      </c>
      <c r="E1901">
        <v>0.7</v>
      </c>
      <c r="F1901">
        <f t="shared" si="1997"/>
        <v>0</v>
      </c>
      <c r="G1901">
        <f t="shared" ref="G1901:G1932" si="2041">D1900+D1901</f>
        <v>43.099999999999994</v>
      </c>
      <c r="H1901">
        <f t="shared" si="1996"/>
        <v>2038</v>
      </c>
      <c r="I1901">
        <v>1</v>
      </c>
      <c r="J1901">
        <f t="shared" si="1999"/>
        <v>70.882499999999823</v>
      </c>
      <c r="K1901">
        <f t="shared" si="2000"/>
        <v>0</v>
      </c>
      <c r="L1901">
        <f t="shared" si="2001"/>
        <v>70.882499999999823</v>
      </c>
    </row>
    <row r="1902" spans="2:12">
      <c r="B1902" s="1">
        <v>50540</v>
      </c>
      <c r="C1902" t="s">
        <v>50</v>
      </c>
      <c r="D1902">
        <v>20.100000000000001</v>
      </c>
      <c r="E1902">
        <v>11</v>
      </c>
      <c r="F1902">
        <f t="shared" si="1997"/>
        <v>2.2110000000000003</v>
      </c>
      <c r="G1902">
        <f t="shared" ref="G1902" si="2042">D1900+D1901+D1902</f>
        <v>63.199999999999996</v>
      </c>
      <c r="H1902">
        <f t="shared" si="1996"/>
        <v>2038</v>
      </c>
      <c r="I1902">
        <v>1</v>
      </c>
      <c r="J1902">
        <f t="shared" si="1999"/>
        <v>73.093499999999821</v>
      </c>
      <c r="K1902">
        <f t="shared" si="2000"/>
        <v>0</v>
      </c>
      <c r="L1902">
        <f t="shared" si="2001"/>
        <v>73.093499999999821</v>
      </c>
    </row>
    <row r="1903" spans="2:12">
      <c r="B1903" s="1">
        <v>50541</v>
      </c>
      <c r="C1903" t="s">
        <v>50</v>
      </c>
      <c r="D1903">
        <v>17.899999999999999</v>
      </c>
      <c r="E1903">
        <v>0</v>
      </c>
      <c r="F1903">
        <f t="shared" si="1997"/>
        <v>0</v>
      </c>
      <c r="G1903">
        <f t="shared" ref="G1903" si="2043">D1900+D1901+D1902+D1903</f>
        <v>81.099999999999994</v>
      </c>
      <c r="H1903">
        <f t="shared" si="1996"/>
        <v>2038</v>
      </c>
      <c r="I1903">
        <v>1</v>
      </c>
      <c r="J1903">
        <f t="shared" si="1999"/>
        <v>73.093499999999821</v>
      </c>
      <c r="K1903">
        <f t="shared" si="2000"/>
        <v>0</v>
      </c>
      <c r="L1903">
        <f t="shared" si="2001"/>
        <v>73.093499999999821</v>
      </c>
    </row>
    <row r="1904" spans="2:12">
      <c r="B1904" s="1">
        <v>50542</v>
      </c>
      <c r="C1904" t="s">
        <v>25</v>
      </c>
      <c r="D1904">
        <v>10.7</v>
      </c>
      <c r="E1904">
        <v>6.4</v>
      </c>
      <c r="F1904">
        <f t="shared" si="1997"/>
        <v>0.68480000000000008</v>
      </c>
      <c r="G1904">
        <f t="shared" ref="G1904" si="2044">D1900+D1901+D1902+D1903+D1904</f>
        <v>91.8</v>
      </c>
      <c r="H1904">
        <f t="shared" si="1996"/>
        <v>2038</v>
      </c>
      <c r="I1904">
        <v>1</v>
      </c>
      <c r="J1904">
        <f t="shared" si="1999"/>
        <v>73.778299999999817</v>
      </c>
      <c r="K1904">
        <f t="shared" si="2000"/>
        <v>0</v>
      </c>
      <c r="L1904">
        <f t="shared" si="2001"/>
        <v>73.778299999999817</v>
      </c>
    </row>
    <row r="1905" spans="2:12">
      <c r="B1905" s="1">
        <v>50543</v>
      </c>
      <c r="C1905" t="s">
        <v>21</v>
      </c>
      <c r="D1905">
        <v>20.399999999999999</v>
      </c>
      <c r="E1905">
        <v>0</v>
      </c>
      <c r="F1905">
        <f t="shared" si="1997"/>
        <v>0</v>
      </c>
      <c r="G1905">
        <f t="shared" ref="G1905" si="2045">D1900+D1901+D1902+D1903+D1904+D1905</f>
        <v>112.19999999999999</v>
      </c>
      <c r="H1905">
        <f t="shared" si="1996"/>
        <v>2038</v>
      </c>
      <c r="I1905">
        <v>1</v>
      </c>
      <c r="J1905">
        <f t="shared" si="1999"/>
        <v>73.778299999999817</v>
      </c>
      <c r="K1905">
        <f t="shared" si="2000"/>
        <v>0</v>
      </c>
      <c r="L1905">
        <f t="shared" si="2001"/>
        <v>73.778299999999817</v>
      </c>
    </row>
    <row r="1906" spans="2:12">
      <c r="B1906" s="1">
        <v>50544</v>
      </c>
      <c r="C1906" t="s">
        <v>26</v>
      </c>
      <c r="D1906">
        <v>25.4</v>
      </c>
      <c r="E1906">
        <v>1</v>
      </c>
      <c r="F1906">
        <f t="shared" si="1997"/>
        <v>0.254</v>
      </c>
      <c r="G1906">
        <f t="shared" ref="G1906" si="2046">D1900+D1901+D1902+D1903+D1904+D1905+D1906</f>
        <v>137.6</v>
      </c>
      <c r="H1906">
        <f t="shared" si="1996"/>
        <v>2038</v>
      </c>
      <c r="I1906">
        <v>1</v>
      </c>
      <c r="J1906">
        <f t="shared" si="1999"/>
        <v>74.032299999999822</v>
      </c>
      <c r="K1906">
        <f t="shared" si="2000"/>
        <v>0</v>
      </c>
      <c r="L1906">
        <f t="shared" si="2001"/>
        <v>74.032299999999822</v>
      </c>
    </row>
    <row r="1907" spans="2:12">
      <c r="B1907" s="1">
        <v>50545</v>
      </c>
      <c r="C1907" t="s">
        <v>19</v>
      </c>
      <c r="D1907">
        <v>10.9</v>
      </c>
      <c r="E1907">
        <v>0.2</v>
      </c>
      <c r="F1907">
        <f t="shared" si="1997"/>
        <v>0</v>
      </c>
      <c r="G1907">
        <f t="shared" ref="G1907:G1938" si="2047">D1907</f>
        <v>10.9</v>
      </c>
      <c r="H1907">
        <f t="shared" si="1996"/>
        <v>2038</v>
      </c>
      <c r="I1907">
        <v>1</v>
      </c>
      <c r="J1907">
        <f t="shared" si="1999"/>
        <v>74.032299999999822</v>
      </c>
      <c r="K1907">
        <f t="shared" si="2000"/>
        <v>0</v>
      </c>
      <c r="L1907">
        <f t="shared" si="2001"/>
        <v>74.032299999999822</v>
      </c>
    </row>
    <row r="1908" spans="2:12">
      <c r="B1908" s="1">
        <v>50546</v>
      </c>
      <c r="C1908" t="s">
        <v>38</v>
      </c>
      <c r="D1908">
        <v>18.5</v>
      </c>
      <c r="E1908">
        <v>0.5</v>
      </c>
      <c r="F1908">
        <f t="shared" si="1997"/>
        <v>0</v>
      </c>
      <c r="G1908">
        <f t="shared" ref="G1908:G1939" si="2048">D1907+D1908</f>
        <v>29.4</v>
      </c>
      <c r="H1908">
        <f t="shared" si="1996"/>
        <v>2038</v>
      </c>
      <c r="I1908">
        <v>1</v>
      </c>
      <c r="J1908">
        <f t="shared" si="1999"/>
        <v>74.032299999999822</v>
      </c>
      <c r="K1908">
        <f t="shared" si="2000"/>
        <v>0</v>
      </c>
      <c r="L1908">
        <f t="shared" si="2001"/>
        <v>74.032299999999822</v>
      </c>
    </row>
    <row r="1909" spans="2:12">
      <c r="B1909" s="1">
        <v>50547</v>
      </c>
      <c r="C1909" t="s">
        <v>24</v>
      </c>
      <c r="D1909">
        <v>14.8</v>
      </c>
      <c r="E1909">
        <v>50.3</v>
      </c>
      <c r="F1909">
        <f t="shared" si="1997"/>
        <v>7.444399999999999</v>
      </c>
      <c r="G1909">
        <f t="shared" ref="G1909" si="2049">D1907+D1908+D1909</f>
        <v>44.2</v>
      </c>
      <c r="H1909">
        <f t="shared" si="1996"/>
        <v>2038</v>
      </c>
      <c r="I1909">
        <v>1</v>
      </c>
      <c r="J1909">
        <f t="shared" si="1999"/>
        <v>81.476699999999823</v>
      </c>
      <c r="K1909">
        <f t="shared" si="2000"/>
        <v>0</v>
      </c>
      <c r="L1909">
        <f t="shared" si="2001"/>
        <v>81.476699999999823</v>
      </c>
    </row>
    <row r="1910" spans="2:12">
      <c r="B1910" s="1">
        <v>50548</v>
      </c>
      <c r="C1910" t="s">
        <v>47</v>
      </c>
      <c r="D1910">
        <v>28.5</v>
      </c>
      <c r="E1910">
        <v>0.7</v>
      </c>
      <c r="F1910">
        <f t="shared" si="1997"/>
        <v>0</v>
      </c>
      <c r="G1910">
        <f t="shared" ref="G1910" si="2050">D1907+D1908+D1909+D1910</f>
        <v>72.7</v>
      </c>
      <c r="H1910">
        <f t="shared" si="1996"/>
        <v>2038</v>
      </c>
      <c r="I1910">
        <v>1</v>
      </c>
      <c r="J1910">
        <f t="shared" si="1999"/>
        <v>81.476699999999823</v>
      </c>
      <c r="K1910">
        <f t="shared" si="2000"/>
        <v>0</v>
      </c>
      <c r="L1910">
        <f t="shared" si="2001"/>
        <v>81.476699999999823</v>
      </c>
    </row>
    <row r="1911" spans="2:12">
      <c r="B1911" s="1">
        <v>50549</v>
      </c>
      <c r="C1911" t="s">
        <v>41</v>
      </c>
      <c r="D1911">
        <v>19.399999999999999</v>
      </c>
      <c r="E1911">
        <v>0</v>
      </c>
      <c r="F1911">
        <f t="shared" si="1997"/>
        <v>0</v>
      </c>
      <c r="G1911">
        <f t="shared" ref="G1911" si="2051">D1907+D1908+D1909+D1910+D1911</f>
        <v>92.1</v>
      </c>
      <c r="H1911">
        <f t="shared" si="1996"/>
        <v>2038</v>
      </c>
      <c r="I1911">
        <v>1</v>
      </c>
      <c r="J1911">
        <f t="shared" si="1999"/>
        <v>81.476699999999823</v>
      </c>
      <c r="K1911">
        <f t="shared" si="2000"/>
        <v>0</v>
      </c>
      <c r="L1911">
        <f t="shared" si="2001"/>
        <v>81.476699999999823</v>
      </c>
    </row>
    <row r="1912" spans="2:12">
      <c r="B1912" s="1">
        <v>50550</v>
      </c>
      <c r="C1912" t="s">
        <v>35</v>
      </c>
      <c r="D1912">
        <v>20.7</v>
      </c>
      <c r="E1912">
        <v>4.7</v>
      </c>
      <c r="F1912">
        <f t="shared" si="1997"/>
        <v>0.9729000000000001</v>
      </c>
      <c r="G1912">
        <f t="shared" ref="G1912" si="2052">D1907+D1908+D1909+D1910+D1911+D1912</f>
        <v>112.8</v>
      </c>
      <c r="H1912">
        <f t="shared" si="1996"/>
        <v>2038</v>
      </c>
      <c r="I1912">
        <v>1</v>
      </c>
      <c r="J1912">
        <f t="shared" si="1999"/>
        <v>82.449599999999819</v>
      </c>
      <c r="K1912">
        <f t="shared" si="2000"/>
        <v>0</v>
      </c>
      <c r="L1912">
        <f t="shared" si="2001"/>
        <v>82.449599999999819</v>
      </c>
    </row>
    <row r="1913" spans="2:12">
      <c r="B1913" s="1">
        <v>50551</v>
      </c>
      <c r="C1913" t="s">
        <v>36</v>
      </c>
      <c r="D1913">
        <v>25.7</v>
      </c>
      <c r="E1913">
        <v>0</v>
      </c>
      <c r="F1913">
        <f t="shared" si="1997"/>
        <v>0</v>
      </c>
      <c r="G1913">
        <f t="shared" ref="G1913" si="2053">D1907+D1908+D1909+D1910+D1911+D1912+D1913</f>
        <v>138.5</v>
      </c>
      <c r="H1913">
        <f t="shared" si="1996"/>
        <v>2038</v>
      </c>
      <c r="I1913">
        <v>1</v>
      </c>
      <c r="J1913">
        <f t="shared" si="1999"/>
        <v>82.449599999999819</v>
      </c>
      <c r="K1913">
        <f t="shared" si="2000"/>
        <v>0</v>
      </c>
      <c r="L1913">
        <f t="shared" si="2001"/>
        <v>82.449599999999819</v>
      </c>
    </row>
    <row r="1914" spans="2:12">
      <c r="B1914" s="1">
        <v>50552</v>
      </c>
      <c r="C1914" t="s">
        <v>50</v>
      </c>
      <c r="D1914">
        <v>21.4</v>
      </c>
      <c r="E1914">
        <v>0</v>
      </c>
      <c r="F1914">
        <f t="shared" si="1997"/>
        <v>0</v>
      </c>
      <c r="G1914">
        <f t="shared" ref="G1914:G1945" si="2054">D1914</f>
        <v>21.4</v>
      </c>
      <c r="H1914">
        <f t="shared" si="1996"/>
        <v>2038</v>
      </c>
      <c r="I1914">
        <v>1</v>
      </c>
      <c r="J1914">
        <f t="shared" si="1999"/>
        <v>82.449599999999819</v>
      </c>
      <c r="K1914">
        <f t="shared" si="2000"/>
        <v>0</v>
      </c>
      <c r="L1914">
        <f t="shared" si="2001"/>
        <v>82.449599999999819</v>
      </c>
    </row>
    <row r="1915" spans="2:12">
      <c r="B1915" s="1">
        <v>50553</v>
      </c>
      <c r="C1915" t="s">
        <v>24</v>
      </c>
      <c r="D1915">
        <v>19.2</v>
      </c>
      <c r="E1915">
        <v>0</v>
      </c>
      <c r="F1915">
        <f t="shared" si="1997"/>
        <v>0</v>
      </c>
      <c r="G1915">
        <f t="shared" ref="G1915:G1946" si="2055">D1914+D1915</f>
        <v>40.599999999999994</v>
      </c>
      <c r="H1915">
        <f t="shared" si="1996"/>
        <v>2038</v>
      </c>
      <c r="I1915">
        <v>1</v>
      </c>
      <c r="J1915">
        <f t="shared" si="1999"/>
        <v>82.449599999999819</v>
      </c>
      <c r="K1915">
        <f t="shared" si="2000"/>
        <v>0</v>
      </c>
      <c r="L1915">
        <f t="shared" si="2001"/>
        <v>82.449599999999819</v>
      </c>
    </row>
    <row r="1916" spans="2:12">
      <c r="B1916" s="1">
        <v>50554</v>
      </c>
      <c r="C1916" t="s">
        <v>47</v>
      </c>
      <c r="D1916">
        <v>19.399999999999999</v>
      </c>
      <c r="E1916">
        <v>14.2</v>
      </c>
      <c r="F1916">
        <f t="shared" si="1997"/>
        <v>2.7547999999999995</v>
      </c>
      <c r="G1916">
        <f t="shared" ref="G1916" si="2056">D1914+D1915+D1916</f>
        <v>59.999999999999993</v>
      </c>
      <c r="H1916">
        <f t="shared" si="1996"/>
        <v>2038</v>
      </c>
      <c r="I1916">
        <v>1</v>
      </c>
      <c r="J1916">
        <f t="shared" si="1999"/>
        <v>85.204399999999822</v>
      </c>
      <c r="K1916">
        <f t="shared" si="2000"/>
        <v>0</v>
      </c>
      <c r="L1916">
        <f t="shared" si="2001"/>
        <v>85.204399999999822</v>
      </c>
    </row>
    <row r="1917" spans="2:12">
      <c r="B1917" s="1">
        <v>50555</v>
      </c>
      <c r="C1917" t="s">
        <v>50</v>
      </c>
      <c r="D1917">
        <v>24.2</v>
      </c>
      <c r="E1917">
        <v>1.9</v>
      </c>
      <c r="F1917">
        <f t="shared" si="1997"/>
        <v>0.45979999999999999</v>
      </c>
      <c r="G1917">
        <f t="shared" ref="G1917" si="2057">D1914+D1915+D1916+D1917</f>
        <v>84.199999999999989</v>
      </c>
      <c r="H1917">
        <f t="shared" si="1996"/>
        <v>2038</v>
      </c>
      <c r="I1917">
        <v>1</v>
      </c>
      <c r="J1917">
        <f t="shared" si="1999"/>
        <v>85.664199999999823</v>
      </c>
      <c r="K1917">
        <f t="shared" si="2000"/>
        <v>0</v>
      </c>
      <c r="L1917">
        <f t="shared" si="2001"/>
        <v>85.664199999999823</v>
      </c>
    </row>
    <row r="1918" spans="2:12">
      <c r="B1918" s="1">
        <v>50556</v>
      </c>
      <c r="C1918" t="s">
        <v>18</v>
      </c>
      <c r="D1918">
        <v>27.7</v>
      </c>
      <c r="E1918">
        <v>19.5</v>
      </c>
      <c r="F1918">
        <f t="shared" si="1997"/>
        <v>5.4014999999999995</v>
      </c>
      <c r="G1918">
        <f t="shared" ref="G1918" si="2058">D1914+D1915+D1916+D1917+D1918</f>
        <v>111.89999999999999</v>
      </c>
      <c r="H1918">
        <f t="shared" si="1996"/>
        <v>2038</v>
      </c>
      <c r="I1918">
        <v>1</v>
      </c>
      <c r="J1918">
        <f t="shared" si="1999"/>
        <v>91.065699999999822</v>
      </c>
      <c r="K1918">
        <f t="shared" si="2000"/>
        <v>0</v>
      </c>
      <c r="L1918">
        <f t="shared" si="2001"/>
        <v>91.065699999999822</v>
      </c>
    </row>
    <row r="1919" spans="2:12">
      <c r="B1919" s="1">
        <v>50557</v>
      </c>
      <c r="C1919" t="s">
        <v>15</v>
      </c>
      <c r="D1919">
        <v>16.899999999999999</v>
      </c>
      <c r="E1919">
        <v>4.0999999999999996</v>
      </c>
      <c r="F1919">
        <f t="shared" si="1997"/>
        <v>0.69289999999999996</v>
      </c>
      <c r="G1919">
        <f t="shared" ref="G1919" si="2059">D1914+D1915+D1916+D1917+D1918+D1919</f>
        <v>128.79999999999998</v>
      </c>
      <c r="H1919">
        <f t="shared" si="1996"/>
        <v>2038</v>
      </c>
      <c r="I1919">
        <v>1</v>
      </c>
      <c r="J1919">
        <f t="shared" si="1999"/>
        <v>91.758599999999817</v>
      </c>
      <c r="K1919">
        <f t="shared" si="2000"/>
        <v>0</v>
      </c>
      <c r="L1919">
        <f t="shared" si="2001"/>
        <v>91.758599999999817</v>
      </c>
    </row>
    <row r="1920" spans="2:12">
      <c r="B1920" s="1">
        <v>50558</v>
      </c>
      <c r="C1920" t="s">
        <v>50</v>
      </c>
      <c r="D1920">
        <v>11.8</v>
      </c>
      <c r="E1920">
        <v>0</v>
      </c>
      <c r="F1920">
        <f t="shared" si="1997"/>
        <v>0</v>
      </c>
      <c r="G1920">
        <f t="shared" ref="G1920" si="2060">D1914+D1915+D1916+D1917+D1918+D1919+D1920</f>
        <v>140.6</v>
      </c>
      <c r="H1920">
        <f t="shared" si="1996"/>
        <v>2038</v>
      </c>
      <c r="I1920">
        <v>1</v>
      </c>
      <c r="J1920">
        <f t="shared" si="1999"/>
        <v>91.758599999999817</v>
      </c>
      <c r="K1920">
        <f t="shared" si="2000"/>
        <v>0</v>
      </c>
      <c r="L1920">
        <f t="shared" si="2001"/>
        <v>91.758599999999817</v>
      </c>
    </row>
    <row r="1921" spans="2:12">
      <c r="B1921" s="1">
        <v>50559</v>
      </c>
      <c r="C1921" t="s">
        <v>26</v>
      </c>
      <c r="D1921">
        <v>15.7</v>
      </c>
      <c r="E1921">
        <v>9.4</v>
      </c>
      <c r="F1921">
        <f t="shared" si="1997"/>
        <v>1.4758000000000002</v>
      </c>
      <c r="G1921">
        <f t="shared" ref="G1921:G1952" si="2061">D1921</f>
        <v>15.7</v>
      </c>
      <c r="H1921">
        <f t="shared" si="1996"/>
        <v>2038</v>
      </c>
      <c r="I1921">
        <v>1</v>
      </c>
      <c r="J1921">
        <f t="shared" si="1999"/>
        <v>93.234399999999823</v>
      </c>
      <c r="K1921">
        <f t="shared" si="2000"/>
        <v>0</v>
      </c>
      <c r="L1921">
        <f t="shared" si="2001"/>
        <v>93.234399999999823</v>
      </c>
    </row>
    <row r="1922" spans="2:12">
      <c r="B1922" s="1">
        <v>50560</v>
      </c>
      <c r="C1922" t="s">
        <v>17</v>
      </c>
      <c r="D1922">
        <v>14.2</v>
      </c>
      <c r="E1922">
        <v>0</v>
      </c>
      <c r="F1922">
        <f t="shared" si="1997"/>
        <v>0</v>
      </c>
      <c r="G1922">
        <f t="shared" ref="G1922:G1953" si="2062">D1921+D1922</f>
        <v>29.9</v>
      </c>
      <c r="H1922">
        <f t="shared" si="1996"/>
        <v>2038</v>
      </c>
      <c r="I1922">
        <v>1</v>
      </c>
      <c r="J1922">
        <f t="shared" si="1999"/>
        <v>93.234399999999823</v>
      </c>
      <c r="K1922">
        <f t="shared" si="2000"/>
        <v>0</v>
      </c>
      <c r="L1922">
        <f t="shared" si="2001"/>
        <v>93.234399999999823</v>
      </c>
    </row>
    <row r="1923" spans="2:12">
      <c r="B1923" s="1">
        <v>50561</v>
      </c>
      <c r="C1923" t="s">
        <v>32</v>
      </c>
      <c r="D1923">
        <v>18.100000000000001</v>
      </c>
      <c r="E1923">
        <v>13.1</v>
      </c>
      <c r="F1923">
        <f t="shared" si="1997"/>
        <v>2.3711000000000002</v>
      </c>
      <c r="G1923">
        <f t="shared" ref="G1923" si="2063">D1921+D1922+D1923</f>
        <v>48</v>
      </c>
      <c r="H1923">
        <f t="shared" si="1996"/>
        <v>2038</v>
      </c>
      <c r="I1923">
        <v>1</v>
      </c>
      <c r="J1923">
        <f t="shared" si="1999"/>
        <v>95.605499999999822</v>
      </c>
      <c r="K1923">
        <f t="shared" si="2000"/>
        <v>0</v>
      </c>
      <c r="L1923">
        <f t="shared" si="2001"/>
        <v>95.605499999999822</v>
      </c>
    </row>
    <row r="1924" spans="2:12">
      <c r="B1924" s="1">
        <v>50562</v>
      </c>
      <c r="C1924" t="s">
        <v>50</v>
      </c>
      <c r="D1924">
        <v>21.9</v>
      </c>
      <c r="E1924">
        <v>27.5</v>
      </c>
      <c r="F1924">
        <f t="shared" si="1997"/>
        <v>6.0225</v>
      </c>
      <c r="G1924">
        <f t="shared" ref="G1924" si="2064">D1921+D1922+D1923+D1924</f>
        <v>69.900000000000006</v>
      </c>
      <c r="H1924">
        <f t="shared" ref="H1924:H1987" si="2065">YEAR(B1924)</f>
        <v>2038</v>
      </c>
      <c r="I1924">
        <v>1</v>
      </c>
      <c r="J1924">
        <f t="shared" si="1999"/>
        <v>101.62799999999982</v>
      </c>
      <c r="K1924">
        <f t="shared" si="2000"/>
        <v>1</v>
      </c>
      <c r="L1924">
        <f t="shared" si="2001"/>
        <v>1.6279999999998154</v>
      </c>
    </row>
    <row r="1925" spans="2:12">
      <c r="B1925" s="1">
        <v>50563</v>
      </c>
      <c r="C1925" t="s">
        <v>24</v>
      </c>
      <c r="D1925">
        <v>28</v>
      </c>
      <c r="E1925">
        <v>2.1</v>
      </c>
      <c r="F1925">
        <f t="shared" ref="F1925:F1988" si="2066">IF(E1925&gt;=1,D1925*E1925/100,0)</f>
        <v>0.58800000000000008</v>
      </c>
      <c r="G1925">
        <f t="shared" ref="G1925" si="2067">D1921+D1922+D1923+D1924+D1925</f>
        <v>97.9</v>
      </c>
      <c r="H1925">
        <f t="shared" si="2065"/>
        <v>2038</v>
      </c>
      <c r="I1925">
        <v>1</v>
      </c>
      <c r="J1925">
        <f t="shared" ref="J1925:J1988" si="2068">L1924+F1925</f>
        <v>2.2159999999998155</v>
      </c>
      <c r="K1925">
        <f t="shared" ref="K1925:K1988" si="2069">IF(J1925&gt;=100,1,0)</f>
        <v>0</v>
      </c>
      <c r="L1925">
        <f t="shared" ref="L1925:L1988" si="2070">IF(K1925=1,J1925-100,J1925)</f>
        <v>2.2159999999998155</v>
      </c>
    </row>
    <row r="1926" spans="2:12">
      <c r="B1926" s="1">
        <v>50564</v>
      </c>
      <c r="C1926" t="s">
        <v>27</v>
      </c>
      <c r="D1926">
        <v>14.2</v>
      </c>
      <c r="E1926">
        <v>7</v>
      </c>
      <c r="F1926">
        <f t="shared" si="2066"/>
        <v>0.99399999999999988</v>
      </c>
      <c r="G1926">
        <f t="shared" ref="G1926" si="2071">D1921+D1922+D1923+D1924+D1925+D1926</f>
        <v>112.10000000000001</v>
      </c>
      <c r="H1926">
        <f t="shared" si="2065"/>
        <v>2038</v>
      </c>
      <c r="I1926">
        <v>1</v>
      </c>
      <c r="J1926">
        <f t="shared" si="2068"/>
        <v>3.2099999999998152</v>
      </c>
      <c r="K1926">
        <f t="shared" si="2069"/>
        <v>0</v>
      </c>
      <c r="L1926">
        <f t="shared" si="2070"/>
        <v>3.2099999999998152</v>
      </c>
    </row>
    <row r="1927" spans="2:12">
      <c r="B1927" s="1">
        <v>50565</v>
      </c>
      <c r="C1927" t="s">
        <v>27</v>
      </c>
      <c r="D1927">
        <v>11.1</v>
      </c>
      <c r="E1927">
        <v>0</v>
      </c>
      <c r="F1927">
        <f t="shared" si="2066"/>
        <v>0</v>
      </c>
      <c r="G1927">
        <f t="shared" ref="G1927" si="2072">D1921+D1922+D1923+D1924+D1925+D1926+D1927</f>
        <v>123.2</v>
      </c>
      <c r="H1927">
        <f t="shared" si="2065"/>
        <v>2038</v>
      </c>
      <c r="I1927">
        <v>1</v>
      </c>
      <c r="J1927">
        <f t="shared" si="2068"/>
        <v>3.2099999999998152</v>
      </c>
      <c r="K1927">
        <f t="shared" si="2069"/>
        <v>0</v>
      </c>
      <c r="L1927">
        <f t="shared" si="2070"/>
        <v>3.2099999999998152</v>
      </c>
    </row>
    <row r="1928" spans="2:12">
      <c r="B1928" s="1">
        <v>50566</v>
      </c>
      <c r="C1928" t="s">
        <v>31</v>
      </c>
      <c r="D1928">
        <v>11.8</v>
      </c>
      <c r="E1928">
        <v>6</v>
      </c>
      <c r="F1928">
        <f t="shared" si="2066"/>
        <v>0.70800000000000007</v>
      </c>
      <c r="G1928">
        <f t="shared" ref="G1928:G1959" si="2073">D1928</f>
        <v>11.8</v>
      </c>
      <c r="H1928">
        <f t="shared" si="2065"/>
        <v>2038</v>
      </c>
      <c r="I1928">
        <v>1</v>
      </c>
      <c r="J1928">
        <f t="shared" si="2068"/>
        <v>3.9179999999998154</v>
      </c>
      <c r="K1928">
        <f t="shared" si="2069"/>
        <v>0</v>
      </c>
      <c r="L1928">
        <f t="shared" si="2070"/>
        <v>3.9179999999998154</v>
      </c>
    </row>
    <row r="1929" spans="2:12">
      <c r="B1929" s="1">
        <v>50567</v>
      </c>
      <c r="C1929" t="s">
        <v>48</v>
      </c>
      <c r="D1929">
        <v>26.8</v>
      </c>
      <c r="E1929">
        <v>0.9</v>
      </c>
      <c r="F1929">
        <f t="shared" si="2066"/>
        <v>0</v>
      </c>
      <c r="G1929">
        <f t="shared" ref="G1929:G1960" si="2074">D1928+D1929</f>
        <v>38.6</v>
      </c>
      <c r="H1929">
        <f t="shared" si="2065"/>
        <v>2038</v>
      </c>
      <c r="I1929">
        <v>1</v>
      </c>
      <c r="J1929">
        <f t="shared" si="2068"/>
        <v>3.9179999999998154</v>
      </c>
      <c r="K1929">
        <f t="shared" si="2069"/>
        <v>0</v>
      </c>
      <c r="L1929">
        <f t="shared" si="2070"/>
        <v>3.9179999999998154</v>
      </c>
    </row>
    <row r="1930" spans="2:12">
      <c r="B1930" s="1">
        <v>50568</v>
      </c>
      <c r="C1930" t="s">
        <v>24</v>
      </c>
      <c r="D1930">
        <v>27.3</v>
      </c>
      <c r="E1930">
        <v>44.5</v>
      </c>
      <c r="F1930">
        <f t="shared" si="2066"/>
        <v>12.148500000000002</v>
      </c>
      <c r="G1930">
        <f t="shared" ref="G1930" si="2075">D1928+D1929+D1930</f>
        <v>65.900000000000006</v>
      </c>
      <c r="H1930">
        <f t="shared" si="2065"/>
        <v>2038</v>
      </c>
      <c r="I1930">
        <v>1</v>
      </c>
      <c r="J1930">
        <f t="shared" si="2068"/>
        <v>16.066499999999817</v>
      </c>
      <c r="K1930">
        <f t="shared" si="2069"/>
        <v>0</v>
      </c>
      <c r="L1930">
        <f t="shared" si="2070"/>
        <v>16.066499999999817</v>
      </c>
    </row>
    <row r="1931" spans="2:12">
      <c r="B1931" s="1">
        <v>50569</v>
      </c>
      <c r="C1931" t="s">
        <v>19</v>
      </c>
      <c r="D1931">
        <v>14.3</v>
      </c>
      <c r="E1931">
        <v>3.7</v>
      </c>
      <c r="F1931">
        <f t="shared" si="2066"/>
        <v>0.52910000000000001</v>
      </c>
      <c r="G1931">
        <f t="shared" ref="G1931" si="2076">D1928+D1929+D1930+D1931</f>
        <v>80.2</v>
      </c>
      <c r="H1931">
        <f t="shared" si="2065"/>
        <v>2038</v>
      </c>
      <c r="I1931">
        <v>1</v>
      </c>
      <c r="J1931">
        <f t="shared" si="2068"/>
        <v>16.595599999999816</v>
      </c>
      <c r="K1931">
        <f t="shared" si="2069"/>
        <v>0</v>
      </c>
      <c r="L1931">
        <f t="shared" si="2070"/>
        <v>16.595599999999816</v>
      </c>
    </row>
    <row r="1932" spans="2:12">
      <c r="B1932" s="1">
        <v>50570</v>
      </c>
      <c r="C1932" t="s">
        <v>15</v>
      </c>
      <c r="D1932">
        <v>19.399999999999999</v>
      </c>
      <c r="E1932">
        <v>0</v>
      </c>
      <c r="F1932">
        <f t="shared" si="2066"/>
        <v>0</v>
      </c>
      <c r="G1932">
        <f t="shared" ref="G1932" si="2077">D1928+D1929+D1930+D1931+D1932</f>
        <v>99.6</v>
      </c>
      <c r="H1932">
        <f t="shared" si="2065"/>
        <v>2038</v>
      </c>
      <c r="I1932">
        <v>1</v>
      </c>
      <c r="J1932">
        <f t="shared" si="2068"/>
        <v>16.595599999999816</v>
      </c>
      <c r="K1932">
        <f t="shared" si="2069"/>
        <v>0</v>
      </c>
      <c r="L1932">
        <f t="shared" si="2070"/>
        <v>16.595599999999816</v>
      </c>
    </row>
    <row r="1933" spans="2:12">
      <c r="B1933" s="1">
        <v>50571</v>
      </c>
      <c r="C1933" t="s">
        <v>50</v>
      </c>
      <c r="D1933">
        <v>26.5</v>
      </c>
      <c r="E1933">
        <v>0</v>
      </c>
      <c r="F1933">
        <f t="shared" si="2066"/>
        <v>0</v>
      </c>
      <c r="G1933">
        <f t="shared" ref="G1933" si="2078">D1928+D1929+D1930+D1931+D1932+D1933</f>
        <v>126.1</v>
      </c>
      <c r="H1933">
        <f t="shared" si="2065"/>
        <v>2038</v>
      </c>
      <c r="I1933">
        <v>1</v>
      </c>
      <c r="J1933">
        <f t="shared" si="2068"/>
        <v>16.595599999999816</v>
      </c>
      <c r="K1933">
        <f t="shared" si="2069"/>
        <v>0</v>
      </c>
      <c r="L1933">
        <f t="shared" si="2070"/>
        <v>16.595599999999816</v>
      </c>
    </row>
    <row r="1934" spans="2:12">
      <c r="B1934" s="1">
        <v>50572</v>
      </c>
      <c r="C1934" t="s">
        <v>50</v>
      </c>
      <c r="D1934">
        <v>28.3</v>
      </c>
      <c r="E1934">
        <v>14.4</v>
      </c>
      <c r="F1934">
        <f t="shared" si="2066"/>
        <v>4.0752000000000006</v>
      </c>
      <c r="G1934">
        <f t="shared" ref="G1934" si="2079">D1928+D1929+D1930+D1931+D1932+D1933+D1934</f>
        <v>154.4</v>
      </c>
      <c r="H1934">
        <f t="shared" si="2065"/>
        <v>2038</v>
      </c>
      <c r="I1934">
        <v>1</v>
      </c>
      <c r="J1934">
        <f t="shared" si="2068"/>
        <v>20.670799999999815</v>
      </c>
      <c r="K1934">
        <f t="shared" si="2069"/>
        <v>0</v>
      </c>
      <c r="L1934">
        <f t="shared" si="2070"/>
        <v>20.670799999999815</v>
      </c>
    </row>
    <row r="1935" spans="2:12">
      <c r="B1935" s="1">
        <v>50573</v>
      </c>
      <c r="C1935" t="s">
        <v>38</v>
      </c>
      <c r="D1935">
        <v>19.8</v>
      </c>
      <c r="E1935">
        <v>0</v>
      </c>
      <c r="F1935">
        <f t="shared" si="2066"/>
        <v>0</v>
      </c>
      <c r="G1935">
        <f t="shared" ref="G1935:G1966" si="2080">D1935</f>
        <v>19.8</v>
      </c>
      <c r="H1935">
        <f t="shared" si="2065"/>
        <v>2038</v>
      </c>
      <c r="I1935">
        <v>1</v>
      </c>
      <c r="J1935">
        <f t="shared" si="2068"/>
        <v>20.670799999999815</v>
      </c>
      <c r="K1935">
        <f t="shared" si="2069"/>
        <v>0</v>
      </c>
      <c r="L1935">
        <f t="shared" si="2070"/>
        <v>20.670799999999815</v>
      </c>
    </row>
    <row r="1936" spans="2:12">
      <c r="B1936" s="1">
        <v>50574</v>
      </c>
      <c r="C1936" t="s">
        <v>24</v>
      </c>
      <c r="D1936">
        <v>16</v>
      </c>
      <c r="E1936">
        <v>28.7</v>
      </c>
      <c r="F1936">
        <f t="shared" si="2066"/>
        <v>4.5919999999999996</v>
      </c>
      <c r="G1936">
        <f t="shared" ref="G1936:G1967" si="2081">D1935+D1936</f>
        <v>35.799999999999997</v>
      </c>
      <c r="H1936">
        <f t="shared" si="2065"/>
        <v>2038</v>
      </c>
      <c r="I1936">
        <v>1</v>
      </c>
      <c r="J1936">
        <f t="shared" si="2068"/>
        <v>25.262799999999814</v>
      </c>
      <c r="K1936">
        <f t="shared" si="2069"/>
        <v>0</v>
      </c>
      <c r="L1936">
        <f t="shared" si="2070"/>
        <v>25.262799999999814</v>
      </c>
    </row>
    <row r="1937" spans="2:12">
      <c r="B1937" s="1">
        <v>50575</v>
      </c>
      <c r="C1937" t="s">
        <v>50</v>
      </c>
      <c r="D1937">
        <v>14.5</v>
      </c>
      <c r="E1937">
        <v>12</v>
      </c>
      <c r="F1937">
        <f t="shared" si="2066"/>
        <v>1.74</v>
      </c>
      <c r="G1937">
        <f t="shared" ref="G1937" si="2082">D1935+D1936+D1937</f>
        <v>50.3</v>
      </c>
      <c r="H1937">
        <f t="shared" si="2065"/>
        <v>2038</v>
      </c>
      <c r="I1937">
        <v>1</v>
      </c>
      <c r="J1937">
        <f t="shared" si="2068"/>
        <v>27.002799999999812</v>
      </c>
      <c r="K1937">
        <f t="shared" si="2069"/>
        <v>0</v>
      </c>
      <c r="L1937">
        <f t="shared" si="2070"/>
        <v>27.002799999999812</v>
      </c>
    </row>
    <row r="1938" spans="2:12">
      <c r="B1938" s="1">
        <v>50576</v>
      </c>
      <c r="C1938" t="s">
        <v>32</v>
      </c>
      <c r="D1938">
        <v>14.3</v>
      </c>
      <c r="E1938">
        <v>13</v>
      </c>
      <c r="F1938">
        <f t="shared" si="2066"/>
        <v>1.859</v>
      </c>
      <c r="G1938">
        <f t="shared" ref="G1938" si="2083">D1935+D1936+D1937+D1938</f>
        <v>64.599999999999994</v>
      </c>
      <c r="H1938">
        <f t="shared" si="2065"/>
        <v>2038</v>
      </c>
      <c r="I1938">
        <v>1</v>
      </c>
      <c r="J1938">
        <f t="shared" si="2068"/>
        <v>28.86179999999981</v>
      </c>
      <c r="K1938">
        <f t="shared" si="2069"/>
        <v>0</v>
      </c>
      <c r="L1938">
        <f t="shared" si="2070"/>
        <v>28.86179999999981</v>
      </c>
    </row>
    <row r="1939" spans="2:12">
      <c r="B1939" s="1">
        <v>50577</v>
      </c>
      <c r="C1939" t="s">
        <v>47</v>
      </c>
      <c r="D1939">
        <v>12.7</v>
      </c>
      <c r="E1939">
        <v>10.7</v>
      </c>
      <c r="F1939">
        <f t="shared" si="2066"/>
        <v>1.3588999999999998</v>
      </c>
      <c r="G1939">
        <f t="shared" ref="G1939" si="2084">D1935+D1936+D1937+D1938+D1939</f>
        <v>77.3</v>
      </c>
      <c r="H1939">
        <f t="shared" si="2065"/>
        <v>2038</v>
      </c>
      <c r="I1939">
        <v>1</v>
      </c>
      <c r="J1939">
        <f t="shared" si="2068"/>
        <v>30.220699999999809</v>
      </c>
      <c r="K1939">
        <f t="shared" si="2069"/>
        <v>0</v>
      </c>
      <c r="L1939">
        <f t="shared" si="2070"/>
        <v>30.220699999999809</v>
      </c>
    </row>
    <row r="1940" spans="2:12">
      <c r="B1940" s="1">
        <v>50578</v>
      </c>
      <c r="C1940" t="s">
        <v>43</v>
      </c>
      <c r="D1940">
        <v>12.6</v>
      </c>
      <c r="E1940">
        <v>0</v>
      </c>
      <c r="F1940">
        <f t="shared" si="2066"/>
        <v>0</v>
      </c>
      <c r="G1940">
        <f t="shared" ref="G1940" si="2085">D1935+D1936+D1937+D1938+D1939+D1940</f>
        <v>89.899999999999991</v>
      </c>
      <c r="H1940">
        <f t="shared" si="2065"/>
        <v>2038</v>
      </c>
      <c r="I1940">
        <v>1</v>
      </c>
      <c r="J1940">
        <f t="shared" si="2068"/>
        <v>30.220699999999809</v>
      </c>
      <c r="K1940">
        <f t="shared" si="2069"/>
        <v>0</v>
      </c>
      <c r="L1940">
        <f t="shared" si="2070"/>
        <v>30.220699999999809</v>
      </c>
    </row>
    <row r="1941" spans="2:12">
      <c r="B1941" s="1">
        <v>50579</v>
      </c>
      <c r="C1941" t="s">
        <v>36</v>
      </c>
      <c r="D1941">
        <v>19.899999999999999</v>
      </c>
      <c r="E1941">
        <v>6.6</v>
      </c>
      <c r="F1941">
        <f t="shared" si="2066"/>
        <v>1.3133999999999997</v>
      </c>
      <c r="G1941">
        <f t="shared" ref="G1941" si="2086">D1935+D1936+D1937+D1938+D1939+D1940+D1941</f>
        <v>109.79999999999998</v>
      </c>
      <c r="H1941">
        <f t="shared" si="2065"/>
        <v>2038</v>
      </c>
      <c r="I1941">
        <v>1</v>
      </c>
      <c r="J1941">
        <f t="shared" si="2068"/>
        <v>31.53409999999981</v>
      </c>
      <c r="K1941">
        <f t="shared" si="2069"/>
        <v>0</v>
      </c>
      <c r="L1941">
        <f t="shared" si="2070"/>
        <v>31.53409999999981</v>
      </c>
    </row>
    <row r="1942" spans="2:12">
      <c r="B1942" s="1">
        <v>50580</v>
      </c>
      <c r="C1942" t="s">
        <v>18</v>
      </c>
      <c r="D1942">
        <v>27.4</v>
      </c>
      <c r="E1942">
        <v>6.6</v>
      </c>
      <c r="F1942">
        <f t="shared" si="2066"/>
        <v>1.8083999999999998</v>
      </c>
      <c r="G1942">
        <f t="shared" ref="G1942:G1973" si="2087">D1942</f>
        <v>27.4</v>
      </c>
      <c r="H1942">
        <f t="shared" si="2065"/>
        <v>2038</v>
      </c>
      <c r="I1942">
        <v>1</v>
      </c>
      <c r="J1942">
        <f t="shared" si="2068"/>
        <v>33.342499999999809</v>
      </c>
      <c r="K1942">
        <f t="shared" si="2069"/>
        <v>0</v>
      </c>
      <c r="L1942">
        <f t="shared" si="2070"/>
        <v>33.342499999999809</v>
      </c>
    </row>
    <row r="1943" spans="2:12">
      <c r="B1943" s="1">
        <v>50581</v>
      </c>
      <c r="C1943" t="s">
        <v>50</v>
      </c>
      <c r="D1943">
        <v>27.4</v>
      </c>
      <c r="E1943">
        <v>0</v>
      </c>
      <c r="F1943">
        <f t="shared" si="2066"/>
        <v>0</v>
      </c>
      <c r="G1943">
        <f t="shared" ref="G1943:G1974" si="2088">D1942+D1943</f>
        <v>54.8</v>
      </c>
      <c r="H1943">
        <f t="shared" si="2065"/>
        <v>2038</v>
      </c>
      <c r="I1943">
        <v>1</v>
      </c>
      <c r="J1943">
        <f t="shared" si="2068"/>
        <v>33.342499999999809</v>
      </c>
      <c r="K1943">
        <f t="shared" si="2069"/>
        <v>0</v>
      </c>
      <c r="L1943">
        <f t="shared" si="2070"/>
        <v>33.342499999999809</v>
      </c>
    </row>
    <row r="1944" spans="2:12">
      <c r="B1944" s="1">
        <v>50582</v>
      </c>
      <c r="C1944" t="s">
        <v>23</v>
      </c>
      <c r="D1944">
        <v>11.2</v>
      </c>
      <c r="E1944">
        <v>0.3</v>
      </c>
      <c r="F1944">
        <f t="shared" si="2066"/>
        <v>0</v>
      </c>
      <c r="G1944">
        <f t="shared" ref="G1944" si="2089">D1942+D1943+D1944</f>
        <v>66</v>
      </c>
      <c r="H1944">
        <f t="shared" si="2065"/>
        <v>2038</v>
      </c>
      <c r="I1944">
        <v>1</v>
      </c>
      <c r="J1944">
        <f t="shared" si="2068"/>
        <v>33.342499999999809</v>
      </c>
      <c r="K1944">
        <f t="shared" si="2069"/>
        <v>0</v>
      </c>
      <c r="L1944">
        <f t="shared" si="2070"/>
        <v>33.342499999999809</v>
      </c>
    </row>
    <row r="1945" spans="2:12">
      <c r="B1945" s="1">
        <v>50583</v>
      </c>
      <c r="C1945" t="s">
        <v>25</v>
      </c>
      <c r="D1945">
        <v>19.899999999999999</v>
      </c>
      <c r="E1945">
        <v>19.399999999999999</v>
      </c>
      <c r="F1945">
        <f t="shared" si="2066"/>
        <v>3.8605999999999994</v>
      </c>
      <c r="G1945">
        <f t="shared" ref="G1945" si="2090">D1942+D1943+D1944+D1945</f>
        <v>85.9</v>
      </c>
      <c r="H1945">
        <f t="shared" si="2065"/>
        <v>2038</v>
      </c>
      <c r="I1945">
        <v>1</v>
      </c>
      <c r="J1945">
        <f t="shared" si="2068"/>
        <v>37.203099999999807</v>
      </c>
      <c r="K1945">
        <f t="shared" si="2069"/>
        <v>0</v>
      </c>
      <c r="L1945">
        <f t="shared" si="2070"/>
        <v>37.203099999999807</v>
      </c>
    </row>
    <row r="1946" spans="2:12">
      <c r="B1946" s="1">
        <v>50584</v>
      </c>
      <c r="C1946" t="s">
        <v>12</v>
      </c>
      <c r="D1946">
        <v>13</v>
      </c>
      <c r="E1946">
        <v>0.4</v>
      </c>
      <c r="F1946">
        <f t="shared" si="2066"/>
        <v>0</v>
      </c>
      <c r="G1946">
        <f t="shared" ref="G1946" si="2091">D1942+D1943+D1944+D1945+D1946</f>
        <v>98.9</v>
      </c>
      <c r="H1946">
        <f t="shared" si="2065"/>
        <v>2038</v>
      </c>
      <c r="I1946">
        <v>1</v>
      </c>
      <c r="J1946">
        <f t="shared" si="2068"/>
        <v>37.203099999999807</v>
      </c>
      <c r="K1946">
        <f t="shared" si="2069"/>
        <v>0</v>
      </c>
      <c r="L1946">
        <f t="shared" si="2070"/>
        <v>37.203099999999807</v>
      </c>
    </row>
    <row r="1947" spans="2:12">
      <c r="B1947" s="1">
        <v>50585</v>
      </c>
      <c r="C1947" t="s">
        <v>47</v>
      </c>
      <c r="D1947">
        <v>25.4</v>
      </c>
      <c r="E1947">
        <v>12.4</v>
      </c>
      <c r="F1947">
        <f t="shared" si="2066"/>
        <v>3.1496</v>
      </c>
      <c r="G1947">
        <f t="shared" ref="G1947" si="2092">D1942+D1943+D1944+D1945+D1946+D1947</f>
        <v>124.30000000000001</v>
      </c>
      <c r="H1947">
        <f t="shared" si="2065"/>
        <v>2038</v>
      </c>
      <c r="I1947">
        <v>1</v>
      </c>
      <c r="J1947">
        <f t="shared" si="2068"/>
        <v>40.352699999999807</v>
      </c>
      <c r="K1947">
        <f t="shared" si="2069"/>
        <v>0</v>
      </c>
      <c r="L1947">
        <f t="shared" si="2070"/>
        <v>40.352699999999807</v>
      </c>
    </row>
    <row r="1948" spans="2:12">
      <c r="B1948" s="1">
        <v>50586</v>
      </c>
      <c r="C1948" t="s">
        <v>21</v>
      </c>
      <c r="D1948">
        <v>23.5</v>
      </c>
      <c r="E1948">
        <v>0.7</v>
      </c>
      <c r="F1948">
        <f t="shared" si="2066"/>
        <v>0</v>
      </c>
      <c r="G1948">
        <f t="shared" ref="G1948" si="2093">D1942+D1943+D1944+D1945+D1946+D1947+D1948</f>
        <v>147.80000000000001</v>
      </c>
      <c r="H1948">
        <f t="shared" si="2065"/>
        <v>2038</v>
      </c>
      <c r="I1948">
        <v>1</v>
      </c>
      <c r="J1948">
        <f t="shared" si="2068"/>
        <v>40.352699999999807</v>
      </c>
      <c r="K1948">
        <f t="shared" si="2069"/>
        <v>0</v>
      </c>
      <c r="L1948">
        <f t="shared" si="2070"/>
        <v>40.352699999999807</v>
      </c>
    </row>
    <row r="1949" spans="2:12">
      <c r="B1949" s="1">
        <v>50587</v>
      </c>
      <c r="C1949" t="s">
        <v>43</v>
      </c>
      <c r="D1949">
        <v>16</v>
      </c>
      <c r="E1949">
        <v>0.1</v>
      </c>
      <c r="F1949">
        <f t="shared" si="2066"/>
        <v>0</v>
      </c>
      <c r="G1949">
        <f t="shared" ref="G1949:G1980" si="2094">D1949</f>
        <v>16</v>
      </c>
      <c r="H1949">
        <f t="shared" si="2065"/>
        <v>2038</v>
      </c>
      <c r="I1949">
        <v>1</v>
      </c>
      <c r="J1949">
        <f t="shared" si="2068"/>
        <v>40.352699999999807</v>
      </c>
      <c r="K1949">
        <f t="shared" si="2069"/>
        <v>0</v>
      </c>
      <c r="L1949">
        <f t="shared" si="2070"/>
        <v>40.352699999999807</v>
      </c>
    </row>
    <row r="1950" spans="2:12">
      <c r="B1950" s="1">
        <v>50588</v>
      </c>
      <c r="C1950" t="s">
        <v>17</v>
      </c>
      <c r="D1950">
        <v>25</v>
      </c>
      <c r="E1950">
        <v>11.7</v>
      </c>
      <c r="F1950">
        <f t="shared" si="2066"/>
        <v>2.9249999999999998</v>
      </c>
      <c r="G1950">
        <f t="shared" ref="G1950:G1981" si="2095">D1949+D1950</f>
        <v>41</v>
      </c>
      <c r="H1950">
        <f t="shared" si="2065"/>
        <v>2038</v>
      </c>
      <c r="I1950">
        <v>1</v>
      </c>
      <c r="J1950">
        <f t="shared" si="2068"/>
        <v>43.277699999999804</v>
      </c>
      <c r="K1950">
        <f t="shared" si="2069"/>
        <v>0</v>
      </c>
      <c r="L1950">
        <f t="shared" si="2070"/>
        <v>43.277699999999804</v>
      </c>
    </row>
    <row r="1951" spans="2:12">
      <c r="B1951" s="1">
        <v>50589</v>
      </c>
      <c r="C1951" t="s">
        <v>41</v>
      </c>
      <c r="D1951">
        <v>22.2</v>
      </c>
      <c r="E1951">
        <v>0.9</v>
      </c>
      <c r="F1951">
        <f t="shared" si="2066"/>
        <v>0</v>
      </c>
      <c r="G1951">
        <f t="shared" ref="G1951" si="2096">D1949+D1950+D1951</f>
        <v>63.2</v>
      </c>
      <c r="H1951">
        <f t="shared" si="2065"/>
        <v>2038</v>
      </c>
      <c r="I1951">
        <v>1</v>
      </c>
      <c r="J1951">
        <f t="shared" si="2068"/>
        <v>43.277699999999804</v>
      </c>
      <c r="K1951">
        <f t="shared" si="2069"/>
        <v>0</v>
      </c>
      <c r="L1951">
        <f t="shared" si="2070"/>
        <v>43.277699999999804</v>
      </c>
    </row>
    <row r="1952" spans="2:12">
      <c r="B1952" s="1">
        <v>50590</v>
      </c>
      <c r="C1952" t="s">
        <v>37</v>
      </c>
      <c r="D1952">
        <v>29.6</v>
      </c>
      <c r="E1952">
        <v>0</v>
      </c>
      <c r="F1952">
        <f t="shared" si="2066"/>
        <v>0</v>
      </c>
      <c r="G1952">
        <f t="shared" ref="G1952" si="2097">D1949+D1950+D1951+D1952</f>
        <v>92.800000000000011</v>
      </c>
      <c r="H1952">
        <f t="shared" si="2065"/>
        <v>2038</v>
      </c>
      <c r="I1952">
        <v>1</v>
      </c>
      <c r="J1952">
        <f t="shared" si="2068"/>
        <v>43.277699999999804</v>
      </c>
      <c r="K1952">
        <f t="shared" si="2069"/>
        <v>0</v>
      </c>
      <c r="L1952">
        <f t="shared" si="2070"/>
        <v>43.277699999999804</v>
      </c>
    </row>
    <row r="1953" spans="2:12">
      <c r="B1953" s="1">
        <v>50591</v>
      </c>
      <c r="C1953" t="s">
        <v>24</v>
      </c>
      <c r="D1953">
        <v>10.1</v>
      </c>
      <c r="E1953">
        <v>0</v>
      </c>
      <c r="F1953">
        <f t="shared" si="2066"/>
        <v>0</v>
      </c>
      <c r="G1953">
        <f t="shared" ref="G1953" si="2098">D1949+D1950+D1951+D1952+D1953</f>
        <v>102.9</v>
      </c>
      <c r="H1953">
        <f t="shared" si="2065"/>
        <v>2038</v>
      </c>
      <c r="I1953">
        <v>1</v>
      </c>
      <c r="J1953">
        <f t="shared" si="2068"/>
        <v>43.277699999999804</v>
      </c>
      <c r="K1953">
        <f t="shared" si="2069"/>
        <v>0</v>
      </c>
      <c r="L1953">
        <f t="shared" si="2070"/>
        <v>43.277699999999804</v>
      </c>
    </row>
    <row r="1954" spans="2:12">
      <c r="B1954" s="1">
        <v>50592</v>
      </c>
      <c r="C1954" t="s">
        <v>21</v>
      </c>
      <c r="D1954">
        <v>26.3</v>
      </c>
      <c r="E1954">
        <v>6.7</v>
      </c>
      <c r="F1954">
        <f t="shared" si="2066"/>
        <v>1.7621</v>
      </c>
      <c r="G1954">
        <f t="shared" ref="G1954" si="2099">D1949+D1950+D1951+D1952+D1953+D1954</f>
        <v>129.20000000000002</v>
      </c>
      <c r="H1954">
        <f t="shared" si="2065"/>
        <v>2038</v>
      </c>
      <c r="I1954">
        <v>1</v>
      </c>
      <c r="J1954">
        <f t="shared" si="2068"/>
        <v>45.039799999999801</v>
      </c>
      <c r="K1954">
        <f t="shared" si="2069"/>
        <v>0</v>
      </c>
      <c r="L1954">
        <f t="shared" si="2070"/>
        <v>45.039799999999801</v>
      </c>
    </row>
    <row r="1955" spans="2:12">
      <c r="B1955" s="1">
        <v>50593</v>
      </c>
      <c r="C1955" t="s">
        <v>24</v>
      </c>
      <c r="D1955">
        <v>27.3</v>
      </c>
      <c r="E1955">
        <v>15.3</v>
      </c>
      <c r="F1955">
        <f t="shared" si="2066"/>
        <v>4.1769000000000007</v>
      </c>
      <c r="G1955">
        <f t="shared" ref="G1955" si="2100">D1949+D1950+D1951+D1952+D1953+D1954+D1955</f>
        <v>156.50000000000003</v>
      </c>
      <c r="H1955">
        <f t="shared" si="2065"/>
        <v>2038</v>
      </c>
      <c r="I1955">
        <v>1</v>
      </c>
      <c r="J1955">
        <f t="shared" si="2068"/>
        <v>49.216699999999804</v>
      </c>
      <c r="K1955">
        <f t="shared" si="2069"/>
        <v>0</v>
      </c>
      <c r="L1955">
        <f t="shared" si="2070"/>
        <v>49.216699999999804</v>
      </c>
    </row>
    <row r="1956" spans="2:12">
      <c r="B1956" s="1">
        <v>50594</v>
      </c>
      <c r="C1956" t="s">
        <v>25</v>
      </c>
      <c r="D1956">
        <v>27.8</v>
      </c>
      <c r="E1956">
        <v>0</v>
      </c>
      <c r="F1956">
        <f t="shared" si="2066"/>
        <v>0</v>
      </c>
      <c r="G1956">
        <f t="shared" ref="G1956:G1987" si="2101">D1956</f>
        <v>27.8</v>
      </c>
      <c r="H1956">
        <f t="shared" si="2065"/>
        <v>2038</v>
      </c>
      <c r="I1956">
        <v>1</v>
      </c>
      <c r="J1956">
        <f t="shared" si="2068"/>
        <v>49.216699999999804</v>
      </c>
      <c r="K1956">
        <f t="shared" si="2069"/>
        <v>0</v>
      </c>
      <c r="L1956">
        <f t="shared" si="2070"/>
        <v>49.216699999999804</v>
      </c>
    </row>
    <row r="1957" spans="2:12">
      <c r="B1957" s="1">
        <v>50595</v>
      </c>
      <c r="C1957" t="s">
        <v>17</v>
      </c>
      <c r="D1957">
        <v>16.7</v>
      </c>
      <c r="E1957">
        <v>4.9000000000000004</v>
      </c>
      <c r="F1957">
        <f t="shared" si="2066"/>
        <v>0.81830000000000003</v>
      </c>
      <c r="G1957">
        <f t="shared" ref="G1957:G1988" si="2102">D1956+D1957</f>
        <v>44.5</v>
      </c>
      <c r="H1957">
        <f t="shared" si="2065"/>
        <v>2038</v>
      </c>
      <c r="I1957">
        <v>1</v>
      </c>
      <c r="J1957">
        <f t="shared" si="2068"/>
        <v>50.034999999999805</v>
      </c>
      <c r="K1957">
        <f t="shared" si="2069"/>
        <v>0</v>
      </c>
      <c r="L1957">
        <f t="shared" si="2070"/>
        <v>50.034999999999805</v>
      </c>
    </row>
    <row r="1958" spans="2:12">
      <c r="B1958" s="1">
        <v>50596</v>
      </c>
      <c r="C1958" t="s">
        <v>32</v>
      </c>
      <c r="D1958">
        <v>15</v>
      </c>
      <c r="E1958">
        <v>9.4</v>
      </c>
      <c r="F1958">
        <f t="shared" si="2066"/>
        <v>1.41</v>
      </c>
      <c r="G1958">
        <f t="shared" ref="G1958" si="2103">D1956+D1957+D1958</f>
        <v>59.5</v>
      </c>
      <c r="H1958">
        <f t="shared" si="2065"/>
        <v>2038</v>
      </c>
      <c r="I1958">
        <v>1</v>
      </c>
      <c r="J1958">
        <f t="shared" si="2068"/>
        <v>51.444999999999801</v>
      </c>
      <c r="K1958">
        <f t="shared" si="2069"/>
        <v>0</v>
      </c>
      <c r="L1958">
        <f t="shared" si="2070"/>
        <v>51.444999999999801</v>
      </c>
    </row>
    <row r="1959" spans="2:12">
      <c r="B1959" s="1">
        <v>50597</v>
      </c>
      <c r="C1959" t="s">
        <v>24</v>
      </c>
      <c r="D1959">
        <v>10.4</v>
      </c>
      <c r="E1959">
        <v>28.5</v>
      </c>
      <c r="F1959">
        <f t="shared" si="2066"/>
        <v>2.9640000000000004</v>
      </c>
      <c r="G1959">
        <f t="shared" ref="G1959" si="2104">D1956+D1957+D1958+D1959</f>
        <v>69.900000000000006</v>
      </c>
      <c r="H1959">
        <f t="shared" si="2065"/>
        <v>2038</v>
      </c>
      <c r="I1959">
        <v>1</v>
      </c>
      <c r="J1959">
        <f t="shared" si="2068"/>
        <v>54.4089999999998</v>
      </c>
      <c r="K1959">
        <f t="shared" si="2069"/>
        <v>0</v>
      </c>
      <c r="L1959">
        <f t="shared" si="2070"/>
        <v>54.4089999999998</v>
      </c>
    </row>
    <row r="1960" spans="2:12">
      <c r="B1960" s="1">
        <v>50598</v>
      </c>
      <c r="C1960" t="s">
        <v>32</v>
      </c>
      <c r="D1960">
        <v>18.100000000000001</v>
      </c>
      <c r="E1960">
        <v>9.6</v>
      </c>
      <c r="F1960">
        <f t="shared" si="2066"/>
        <v>1.7376000000000003</v>
      </c>
      <c r="G1960">
        <f t="shared" ref="G1960" si="2105">D1956+D1957+D1958+D1959+D1960</f>
        <v>88</v>
      </c>
      <c r="H1960">
        <f t="shared" si="2065"/>
        <v>2038</v>
      </c>
      <c r="I1960">
        <v>1</v>
      </c>
      <c r="J1960">
        <f t="shared" si="2068"/>
        <v>56.1465999999998</v>
      </c>
      <c r="K1960">
        <f t="shared" si="2069"/>
        <v>0</v>
      </c>
      <c r="L1960">
        <f t="shared" si="2070"/>
        <v>56.1465999999998</v>
      </c>
    </row>
    <row r="1961" spans="2:12">
      <c r="B1961" s="1">
        <v>50599</v>
      </c>
      <c r="C1961" t="s">
        <v>48</v>
      </c>
      <c r="D1961">
        <v>26.7</v>
      </c>
      <c r="E1961">
        <v>1.5</v>
      </c>
      <c r="F1961">
        <f t="shared" si="2066"/>
        <v>0.40049999999999997</v>
      </c>
      <c r="G1961">
        <f t="shared" ref="G1961" si="2106">D1956+D1957+D1958+D1959+D1960+D1961</f>
        <v>114.7</v>
      </c>
      <c r="H1961">
        <f t="shared" si="2065"/>
        <v>2038</v>
      </c>
      <c r="I1961">
        <v>1</v>
      </c>
      <c r="J1961">
        <f t="shared" si="2068"/>
        <v>56.547099999999801</v>
      </c>
      <c r="K1961">
        <f t="shared" si="2069"/>
        <v>0</v>
      </c>
      <c r="L1961">
        <f t="shared" si="2070"/>
        <v>56.547099999999801</v>
      </c>
    </row>
    <row r="1962" spans="2:12">
      <c r="B1962" s="1">
        <v>50600</v>
      </c>
      <c r="C1962" t="s">
        <v>27</v>
      </c>
      <c r="D1962">
        <v>22.9</v>
      </c>
      <c r="E1962">
        <v>8.9</v>
      </c>
      <c r="F1962">
        <f t="shared" si="2066"/>
        <v>2.0381</v>
      </c>
      <c r="G1962">
        <f t="shared" ref="G1962" si="2107">D1956+D1957+D1958+D1959+D1960+D1961+D1962</f>
        <v>137.6</v>
      </c>
      <c r="H1962">
        <f t="shared" si="2065"/>
        <v>2038</v>
      </c>
      <c r="I1962">
        <v>1</v>
      </c>
      <c r="J1962">
        <f t="shared" si="2068"/>
        <v>58.585199999999801</v>
      </c>
      <c r="K1962">
        <f t="shared" si="2069"/>
        <v>0</v>
      </c>
      <c r="L1962">
        <f t="shared" si="2070"/>
        <v>58.585199999999801</v>
      </c>
    </row>
    <row r="1963" spans="2:12">
      <c r="B1963" s="1">
        <v>50601</v>
      </c>
      <c r="C1963" t="s">
        <v>32</v>
      </c>
      <c r="D1963">
        <v>29.3</v>
      </c>
      <c r="E1963">
        <v>0</v>
      </c>
      <c r="F1963">
        <f t="shared" si="2066"/>
        <v>0</v>
      </c>
      <c r="G1963">
        <f t="shared" ref="G1963:G1994" si="2108">D1963</f>
        <v>29.3</v>
      </c>
      <c r="H1963">
        <f t="shared" si="2065"/>
        <v>2038</v>
      </c>
      <c r="I1963">
        <v>1</v>
      </c>
      <c r="J1963">
        <f t="shared" si="2068"/>
        <v>58.585199999999801</v>
      </c>
      <c r="K1963">
        <f t="shared" si="2069"/>
        <v>0</v>
      </c>
      <c r="L1963">
        <f t="shared" si="2070"/>
        <v>58.585199999999801</v>
      </c>
    </row>
    <row r="1964" spans="2:12">
      <c r="B1964" s="1">
        <v>50602</v>
      </c>
      <c r="C1964" t="s">
        <v>18</v>
      </c>
      <c r="D1964">
        <v>26.4</v>
      </c>
      <c r="E1964">
        <v>3.2</v>
      </c>
      <c r="F1964">
        <f t="shared" si="2066"/>
        <v>0.8448</v>
      </c>
      <c r="G1964">
        <f t="shared" ref="G1964:G1995" si="2109">D1963+D1964</f>
        <v>55.7</v>
      </c>
      <c r="H1964">
        <f t="shared" si="2065"/>
        <v>2038</v>
      </c>
      <c r="I1964">
        <v>1</v>
      </c>
      <c r="J1964">
        <f t="shared" si="2068"/>
        <v>59.429999999999801</v>
      </c>
      <c r="K1964">
        <f t="shared" si="2069"/>
        <v>0</v>
      </c>
      <c r="L1964">
        <f t="shared" si="2070"/>
        <v>59.429999999999801</v>
      </c>
    </row>
    <row r="1965" spans="2:12">
      <c r="B1965" s="1">
        <v>50603</v>
      </c>
      <c r="C1965" t="s">
        <v>47</v>
      </c>
      <c r="D1965">
        <v>20</v>
      </c>
      <c r="E1965">
        <v>7.3</v>
      </c>
      <c r="F1965">
        <f t="shared" si="2066"/>
        <v>1.46</v>
      </c>
      <c r="G1965">
        <f t="shared" ref="G1965" si="2110">D1963+D1964+D1965</f>
        <v>75.7</v>
      </c>
      <c r="H1965">
        <f t="shared" si="2065"/>
        <v>2038</v>
      </c>
      <c r="I1965">
        <v>1</v>
      </c>
      <c r="J1965">
        <f t="shared" si="2068"/>
        <v>60.889999999999802</v>
      </c>
      <c r="K1965">
        <f t="shared" si="2069"/>
        <v>0</v>
      </c>
      <c r="L1965">
        <f t="shared" si="2070"/>
        <v>60.889999999999802</v>
      </c>
    </row>
    <row r="1966" spans="2:12">
      <c r="B1966" s="1">
        <v>50604</v>
      </c>
      <c r="C1966" t="s">
        <v>25</v>
      </c>
      <c r="D1966">
        <v>17.100000000000001</v>
      </c>
      <c r="E1966">
        <v>0</v>
      </c>
      <c r="F1966">
        <f t="shared" si="2066"/>
        <v>0</v>
      </c>
      <c r="G1966">
        <f t="shared" ref="G1966" si="2111">D1963+D1964+D1965+D1966</f>
        <v>92.800000000000011</v>
      </c>
      <c r="H1966">
        <f t="shared" si="2065"/>
        <v>2038</v>
      </c>
      <c r="I1966">
        <v>1</v>
      </c>
      <c r="J1966">
        <f t="shared" si="2068"/>
        <v>60.889999999999802</v>
      </c>
      <c r="K1966">
        <f t="shared" si="2069"/>
        <v>0</v>
      </c>
      <c r="L1966">
        <f t="shared" si="2070"/>
        <v>60.889999999999802</v>
      </c>
    </row>
    <row r="1967" spans="2:12">
      <c r="B1967" s="1">
        <v>50605</v>
      </c>
      <c r="C1967" t="s">
        <v>15</v>
      </c>
      <c r="D1967">
        <v>18.8</v>
      </c>
      <c r="E1967">
        <v>0</v>
      </c>
      <c r="F1967">
        <f t="shared" si="2066"/>
        <v>0</v>
      </c>
      <c r="G1967">
        <f t="shared" ref="G1967" si="2112">D1963+D1964+D1965+D1966+D1967</f>
        <v>111.60000000000001</v>
      </c>
      <c r="H1967">
        <f t="shared" si="2065"/>
        <v>2038</v>
      </c>
      <c r="I1967">
        <v>1</v>
      </c>
      <c r="J1967">
        <f t="shared" si="2068"/>
        <v>60.889999999999802</v>
      </c>
      <c r="K1967">
        <f t="shared" si="2069"/>
        <v>0</v>
      </c>
      <c r="L1967">
        <f t="shared" si="2070"/>
        <v>60.889999999999802</v>
      </c>
    </row>
    <row r="1968" spans="2:12">
      <c r="B1968" s="1">
        <v>50606</v>
      </c>
      <c r="C1968" t="s">
        <v>27</v>
      </c>
      <c r="D1968">
        <v>12.6</v>
      </c>
      <c r="E1968">
        <v>4.4000000000000004</v>
      </c>
      <c r="F1968">
        <f t="shared" si="2066"/>
        <v>0.5544</v>
      </c>
      <c r="G1968">
        <f t="shared" ref="G1968" si="2113">D1963+D1964+D1965+D1966+D1967+D1968</f>
        <v>124.2</v>
      </c>
      <c r="H1968">
        <f t="shared" si="2065"/>
        <v>2038</v>
      </c>
      <c r="I1968">
        <v>1</v>
      </c>
      <c r="J1968">
        <f t="shared" si="2068"/>
        <v>61.444399999999803</v>
      </c>
      <c r="K1968">
        <f t="shared" si="2069"/>
        <v>0</v>
      </c>
      <c r="L1968">
        <f t="shared" si="2070"/>
        <v>61.444399999999803</v>
      </c>
    </row>
    <row r="1969" spans="2:12">
      <c r="B1969" s="1">
        <v>50607</v>
      </c>
      <c r="C1969" t="s">
        <v>43</v>
      </c>
      <c r="D1969">
        <v>24</v>
      </c>
      <c r="E1969">
        <v>0</v>
      </c>
      <c r="F1969">
        <f t="shared" si="2066"/>
        <v>0</v>
      </c>
      <c r="G1969">
        <f t="shared" ref="G1969" si="2114">D1963+D1964+D1965+D1966+D1967+D1968+D1969</f>
        <v>148.19999999999999</v>
      </c>
      <c r="H1969">
        <f t="shared" si="2065"/>
        <v>2038</v>
      </c>
      <c r="I1969">
        <v>1</v>
      </c>
      <c r="J1969">
        <f t="shared" si="2068"/>
        <v>61.444399999999803</v>
      </c>
      <c r="K1969">
        <f t="shared" si="2069"/>
        <v>0</v>
      </c>
      <c r="L1969">
        <f t="shared" si="2070"/>
        <v>61.444399999999803</v>
      </c>
    </row>
    <row r="1970" spans="2:12">
      <c r="B1970" s="1">
        <v>50608</v>
      </c>
      <c r="C1970" t="s">
        <v>50</v>
      </c>
      <c r="D1970">
        <v>13.4</v>
      </c>
      <c r="E1970">
        <v>35.6</v>
      </c>
      <c r="F1970">
        <f t="shared" si="2066"/>
        <v>4.7704000000000004</v>
      </c>
      <c r="G1970">
        <f t="shared" ref="G1970:G2001" si="2115">D1970</f>
        <v>13.4</v>
      </c>
      <c r="H1970">
        <f t="shared" si="2065"/>
        <v>2038</v>
      </c>
      <c r="I1970">
        <v>1</v>
      </c>
      <c r="J1970">
        <f t="shared" si="2068"/>
        <v>66.214799999999798</v>
      </c>
      <c r="K1970">
        <f t="shared" si="2069"/>
        <v>0</v>
      </c>
      <c r="L1970">
        <f t="shared" si="2070"/>
        <v>66.214799999999798</v>
      </c>
    </row>
    <row r="1971" spans="2:12">
      <c r="B1971" s="1">
        <v>50609</v>
      </c>
      <c r="C1971" t="s">
        <v>24</v>
      </c>
      <c r="D1971">
        <v>25.7</v>
      </c>
      <c r="E1971">
        <v>21.1</v>
      </c>
      <c r="F1971">
        <f t="shared" si="2066"/>
        <v>5.4226999999999999</v>
      </c>
      <c r="G1971">
        <f t="shared" ref="G1971:G2002" si="2116">D1970+D1971</f>
        <v>39.1</v>
      </c>
      <c r="H1971">
        <f t="shared" si="2065"/>
        <v>2038</v>
      </c>
      <c r="I1971">
        <v>1</v>
      </c>
      <c r="J1971">
        <f t="shared" si="2068"/>
        <v>71.637499999999804</v>
      </c>
      <c r="K1971">
        <f t="shared" si="2069"/>
        <v>0</v>
      </c>
      <c r="L1971">
        <f t="shared" si="2070"/>
        <v>71.637499999999804</v>
      </c>
    </row>
    <row r="1972" spans="2:12">
      <c r="B1972" s="1">
        <v>50610</v>
      </c>
      <c r="C1972" t="s">
        <v>46</v>
      </c>
      <c r="D1972">
        <v>24.9</v>
      </c>
      <c r="E1972">
        <v>2</v>
      </c>
      <c r="F1972">
        <f t="shared" si="2066"/>
        <v>0.498</v>
      </c>
      <c r="G1972">
        <f t="shared" ref="G1972" si="2117">D1970+D1971+D1972</f>
        <v>64</v>
      </c>
      <c r="H1972">
        <f t="shared" si="2065"/>
        <v>2038</v>
      </c>
      <c r="I1972">
        <v>1</v>
      </c>
      <c r="J1972">
        <f t="shared" si="2068"/>
        <v>72.135499999999809</v>
      </c>
      <c r="K1972">
        <f t="shared" si="2069"/>
        <v>0</v>
      </c>
      <c r="L1972">
        <f t="shared" si="2070"/>
        <v>72.135499999999809</v>
      </c>
    </row>
    <row r="1973" spans="2:12">
      <c r="B1973" s="1">
        <v>50611</v>
      </c>
      <c r="C1973" t="s">
        <v>25</v>
      </c>
      <c r="D1973">
        <v>12.5</v>
      </c>
      <c r="E1973">
        <v>0</v>
      </c>
      <c r="F1973">
        <f t="shared" si="2066"/>
        <v>0</v>
      </c>
      <c r="G1973">
        <f t="shared" ref="G1973" si="2118">D1970+D1971+D1972+D1973</f>
        <v>76.5</v>
      </c>
      <c r="H1973">
        <f t="shared" si="2065"/>
        <v>2038</v>
      </c>
      <c r="I1973">
        <v>1</v>
      </c>
      <c r="J1973">
        <f t="shared" si="2068"/>
        <v>72.135499999999809</v>
      </c>
      <c r="K1973">
        <f t="shared" si="2069"/>
        <v>0</v>
      </c>
      <c r="L1973">
        <f t="shared" si="2070"/>
        <v>72.135499999999809</v>
      </c>
    </row>
    <row r="1974" spans="2:12">
      <c r="B1974" s="1">
        <v>50612</v>
      </c>
      <c r="C1974" t="s">
        <v>24</v>
      </c>
      <c r="D1974">
        <v>21.8</v>
      </c>
      <c r="E1974">
        <v>0</v>
      </c>
      <c r="F1974">
        <f t="shared" si="2066"/>
        <v>0</v>
      </c>
      <c r="G1974">
        <f t="shared" ref="G1974" si="2119">D1970+D1971+D1972+D1973+D1974</f>
        <v>98.3</v>
      </c>
      <c r="H1974">
        <f t="shared" si="2065"/>
        <v>2038</v>
      </c>
      <c r="I1974">
        <v>1</v>
      </c>
      <c r="J1974">
        <f t="shared" si="2068"/>
        <v>72.135499999999809</v>
      </c>
      <c r="K1974">
        <f t="shared" si="2069"/>
        <v>0</v>
      </c>
      <c r="L1974">
        <f t="shared" si="2070"/>
        <v>72.135499999999809</v>
      </c>
    </row>
    <row r="1975" spans="2:12">
      <c r="B1975" s="1">
        <v>50613</v>
      </c>
      <c r="C1975" t="s">
        <v>15</v>
      </c>
      <c r="D1975">
        <v>15.8</v>
      </c>
      <c r="E1975">
        <v>6.7</v>
      </c>
      <c r="F1975">
        <f t="shared" si="2066"/>
        <v>1.0586000000000002</v>
      </c>
      <c r="G1975">
        <f t="shared" ref="G1975" si="2120">D1970+D1971+D1972+D1973+D1974+D1975</f>
        <v>114.1</v>
      </c>
      <c r="H1975">
        <f t="shared" si="2065"/>
        <v>2038</v>
      </c>
      <c r="I1975">
        <v>1</v>
      </c>
      <c r="J1975">
        <f t="shared" si="2068"/>
        <v>73.194099999999807</v>
      </c>
      <c r="K1975">
        <f t="shared" si="2069"/>
        <v>0</v>
      </c>
      <c r="L1975">
        <f t="shared" si="2070"/>
        <v>73.194099999999807</v>
      </c>
    </row>
    <row r="1976" spans="2:12">
      <c r="B1976" s="1">
        <v>50614</v>
      </c>
      <c r="C1976" t="s">
        <v>26</v>
      </c>
      <c r="D1976">
        <v>13.9</v>
      </c>
      <c r="E1976">
        <v>0</v>
      </c>
      <c r="F1976">
        <f t="shared" si="2066"/>
        <v>0</v>
      </c>
      <c r="G1976">
        <f t="shared" ref="G1976" si="2121">D1970+D1971+D1972+D1973+D1974+D1975+D1976</f>
        <v>128</v>
      </c>
      <c r="H1976">
        <f t="shared" si="2065"/>
        <v>2038</v>
      </c>
      <c r="I1976">
        <v>1</v>
      </c>
      <c r="J1976">
        <f t="shared" si="2068"/>
        <v>73.194099999999807</v>
      </c>
      <c r="K1976">
        <f t="shared" si="2069"/>
        <v>0</v>
      </c>
      <c r="L1976">
        <f t="shared" si="2070"/>
        <v>73.194099999999807</v>
      </c>
    </row>
    <row r="1977" spans="2:12">
      <c r="B1977" s="1">
        <v>50615</v>
      </c>
      <c r="C1977" t="s">
        <v>40</v>
      </c>
      <c r="D1977">
        <v>12.2</v>
      </c>
      <c r="E1977">
        <v>4.4000000000000004</v>
      </c>
      <c r="F1977">
        <f t="shared" si="2066"/>
        <v>0.53679999999999994</v>
      </c>
      <c r="G1977">
        <f t="shared" ref="G1977:G2008" si="2122">D1977</f>
        <v>12.2</v>
      </c>
      <c r="H1977">
        <f t="shared" si="2065"/>
        <v>2038</v>
      </c>
      <c r="I1977">
        <v>1</v>
      </c>
      <c r="J1977">
        <f t="shared" si="2068"/>
        <v>73.730899999999806</v>
      </c>
      <c r="K1977">
        <f t="shared" si="2069"/>
        <v>0</v>
      </c>
      <c r="L1977">
        <f t="shared" si="2070"/>
        <v>73.730899999999806</v>
      </c>
    </row>
    <row r="1978" spans="2:12">
      <c r="B1978" s="1">
        <v>50616</v>
      </c>
      <c r="C1978" t="s">
        <v>25</v>
      </c>
      <c r="D1978">
        <v>12.2</v>
      </c>
      <c r="E1978">
        <v>0</v>
      </c>
      <c r="F1978">
        <f t="shared" si="2066"/>
        <v>0</v>
      </c>
      <c r="G1978">
        <f t="shared" ref="G1978:G2009" si="2123">D1977+D1978</f>
        <v>24.4</v>
      </c>
      <c r="H1978">
        <f t="shared" si="2065"/>
        <v>2038</v>
      </c>
      <c r="I1978">
        <v>1</v>
      </c>
      <c r="J1978">
        <f t="shared" si="2068"/>
        <v>73.730899999999806</v>
      </c>
      <c r="K1978">
        <f t="shared" si="2069"/>
        <v>0</v>
      </c>
      <c r="L1978">
        <f t="shared" si="2070"/>
        <v>73.730899999999806</v>
      </c>
    </row>
    <row r="1979" spans="2:12">
      <c r="B1979" s="1">
        <v>50617</v>
      </c>
      <c r="C1979" t="s">
        <v>50</v>
      </c>
      <c r="D1979">
        <v>13.7</v>
      </c>
      <c r="E1979">
        <v>28</v>
      </c>
      <c r="F1979">
        <f t="shared" si="2066"/>
        <v>3.8359999999999999</v>
      </c>
      <c r="G1979">
        <f t="shared" ref="G1979" si="2124">D1977+D1978+D1979</f>
        <v>38.099999999999994</v>
      </c>
      <c r="H1979">
        <f t="shared" si="2065"/>
        <v>2038</v>
      </c>
      <c r="I1979">
        <v>1</v>
      </c>
      <c r="J1979">
        <f t="shared" si="2068"/>
        <v>77.566899999999805</v>
      </c>
      <c r="K1979">
        <f t="shared" si="2069"/>
        <v>0</v>
      </c>
      <c r="L1979">
        <f t="shared" si="2070"/>
        <v>77.566899999999805</v>
      </c>
    </row>
    <row r="1980" spans="2:12">
      <c r="B1980" s="1">
        <v>50618</v>
      </c>
      <c r="C1980" t="s">
        <v>42</v>
      </c>
      <c r="D1980">
        <v>27.9</v>
      </c>
      <c r="E1980">
        <v>0</v>
      </c>
      <c r="F1980">
        <f t="shared" si="2066"/>
        <v>0</v>
      </c>
      <c r="G1980">
        <f t="shared" ref="G1980" si="2125">D1977+D1978+D1979+D1980</f>
        <v>66</v>
      </c>
      <c r="H1980">
        <f t="shared" si="2065"/>
        <v>2038</v>
      </c>
      <c r="I1980">
        <v>1</v>
      </c>
      <c r="J1980">
        <f t="shared" si="2068"/>
        <v>77.566899999999805</v>
      </c>
      <c r="K1980">
        <f t="shared" si="2069"/>
        <v>0</v>
      </c>
      <c r="L1980">
        <f t="shared" si="2070"/>
        <v>77.566899999999805</v>
      </c>
    </row>
    <row r="1981" spans="2:12">
      <c r="B1981" s="1">
        <v>50619</v>
      </c>
      <c r="C1981" t="s">
        <v>27</v>
      </c>
      <c r="D1981">
        <v>25.6</v>
      </c>
      <c r="E1981">
        <v>1.7</v>
      </c>
      <c r="F1981">
        <f t="shared" si="2066"/>
        <v>0.43520000000000003</v>
      </c>
      <c r="G1981">
        <f t="shared" ref="G1981" si="2126">D1977+D1978+D1979+D1980+D1981</f>
        <v>91.6</v>
      </c>
      <c r="H1981">
        <f t="shared" si="2065"/>
        <v>2038</v>
      </c>
      <c r="I1981">
        <v>1</v>
      </c>
      <c r="J1981">
        <f t="shared" si="2068"/>
        <v>78.0020999999998</v>
      </c>
      <c r="K1981">
        <f t="shared" si="2069"/>
        <v>0</v>
      </c>
      <c r="L1981">
        <f t="shared" si="2070"/>
        <v>78.0020999999998</v>
      </c>
    </row>
    <row r="1982" spans="2:12">
      <c r="B1982" s="1">
        <v>50620</v>
      </c>
      <c r="C1982" t="s">
        <v>31</v>
      </c>
      <c r="D1982">
        <v>11.7</v>
      </c>
      <c r="E1982">
        <v>4.5999999999999996</v>
      </c>
      <c r="F1982">
        <f t="shared" si="2066"/>
        <v>0.5381999999999999</v>
      </c>
      <c r="G1982">
        <f t="shared" ref="G1982" si="2127">D1977+D1978+D1979+D1980+D1981+D1982</f>
        <v>103.3</v>
      </c>
      <c r="H1982">
        <f t="shared" si="2065"/>
        <v>2038</v>
      </c>
      <c r="I1982">
        <v>1</v>
      </c>
      <c r="J1982">
        <f t="shared" si="2068"/>
        <v>78.540299999999803</v>
      </c>
      <c r="K1982">
        <f t="shared" si="2069"/>
        <v>0</v>
      </c>
      <c r="L1982">
        <f t="shared" si="2070"/>
        <v>78.540299999999803</v>
      </c>
    </row>
    <row r="1983" spans="2:12">
      <c r="B1983" s="1">
        <v>50621</v>
      </c>
      <c r="C1983" t="s">
        <v>19</v>
      </c>
      <c r="D1983">
        <v>27.3</v>
      </c>
      <c r="E1983">
        <v>0</v>
      </c>
      <c r="F1983">
        <f t="shared" si="2066"/>
        <v>0</v>
      </c>
      <c r="G1983">
        <f t="shared" ref="G1983" si="2128">D1977+D1978+D1979+D1980+D1981+D1982+D1983</f>
        <v>130.6</v>
      </c>
      <c r="H1983">
        <f t="shared" si="2065"/>
        <v>2038</v>
      </c>
      <c r="I1983">
        <v>1</v>
      </c>
      <c r="J1983">
        <f t="shared" si="2068"/>
        <v>78.540299999999803</v>
      </c>
      <c r="K1983">
        <f t="shared" si="2069"/>
        <v>0</v>
      </c>
      <c r="L1983">
        <f t="shared" si="2070"/>
        <v>78.540299999999803</v>
      </c>
    </row>
    <row r="1984" spans="2:12">
      <c r="B1984" s="1">
        <v>50622</v>
      </c>
      <c r="C1984" t="s">
        <v>25</v>
      </c>
      <c r="D1984">
        <v>25.6</v>
      </c>
      <c r="E1984">
        <v>18.2</v>
      </c>
      <c r="F1984">
        <f t="shared" si="2066"/>
        <v>4.6592000000000002</v>
      </c>
      <c r="G1984">
        <f t="shared" ref="G1984:G2015" si="2129">D1984</f>
        <v>25.6</v>
      </c>
      <c r="H1984">
        <f t="shared" si="2065"/>
        <v>2038</v>
      </c>
      <c r="I1984">
        <v>1</v>
      </c>
      <c r="J1984">
        <f t="shared" si="2068"/>
        <v>83.199499999999802</v>
      </c>
      <c r="K1984">
        <f t="shared" si="2069"/>
        <v>0</v>
      </c>
      <c r="L1984">
        <f t="shared" si="2070"/>
        <v>83.199499999999802</v>
      </c>
    </row>
    <row r="1985" spans="2:12">
      <c r="B1985" s="1">
        <v>50623</v>
      </c>
      <c r="C1985" t="s">
        <v>23</v>
      </c>
      <c r="D1985">
        <v>23.6</v>
      </c>
      <c r="E1985">
        <v>0.1</v>
      </c>
      <c r="F1985">
        <f t="shared" si="2066"/>
        <v>0</v>
      </c>
      <c r="G1985">
        <f t="shared" ref="G1985:G2016" si="2130">D1984+D1985</f>
        <v>49.2</v>
      </c>
      <c r="H1985">
        <f t="shared" si="2065"/>
        <v>2038</v>
      </c>
      <c r="I1985">
        <v>1</v>
      </c>
      <c r="J1985">
        <f t="shared" si="2068"/>
        <v>83.199499999999802</v>
      </c>
      <c r="K1985">
        <f t="shared" si="2069"/>
        <v>0</v>
      </c>
      <c r="L1985">
        <f t="shared" si="2070"/>
        <v>83.199499999999802</v>
      </c>
    </row>
    <row r="1986" spans="2:12">
      <c r="B1986" s="1">
        <v>50624</v>
      </c>
      <c r="C1986" t="s">
        <v>24</v>
      </c>
      <c r="D1986">
        <v>14.6</v>
      </c>
      <c r="E1986">
        <v>0</v>
      </c>
      <c r="F1986">
        <f t="shared" si="2066"/>
        <v>0</v>
      </c>
      <c r="G1986">
        <f t="shared" ref="G1986" si="2131">D1984+D1985+D1986</f>
        <v>63.800000000000004</v>
      </c>
      <c r="H1986">
        <f t="shared" si="2065"/>
        <v>2038</v>
      </c>
      <c r="I1986">
        <v>1</v>
      </c>
      <c r="J1986">
        <f t="shared" si="2068"/>
        <v>83.199499999999802</v>
      </c>
      <c r="K1986">
        <f t="shared" si="2069"/>
        <v>0</v>
      </c>
      <c r="L1986">
        <f t="shared" si="2070"/>
        <v>83.199499999999802</v>
      </c>
    </row>
    <row r="1987" spans="2:12">
      <c r="B1987" s="1">
        <v>50625</v>
      </c>
      <c r="C1987" t="s">
        <v>21</v>
      </c>
      <c r="D1987">
        <v>17.399999999999999</v>
      </c>
      <c r="E1987">
        <v>7.8</v>
      </c>
      <c r="F1987">
        <f t="shared" si="2066"/>
        <v>1.3572</v>
      </c>
      <c r="G1987">
        <f t="shared" ref="G1987" si="2132">D1984+D1985+D1986+D1987</f>
        <v>81.2</v>
      </c>
      <c r="H1987">
        <f t="shared" si="2065"/>
        <v>2038</v>
      </c>
      <c r="I1987">
        <v>1</v>
      </c>
      <c r="J1987">
        <f t="shared" si="2068"/>
        <v>84.556699999999807</v>
      </c>
      <c r="K1987">
        <f t="shared" si="2069"/>
        <v>0</v>
      </c>
      <c r="L1987">
        <f t="shared" si="2070"/>
        <v>84.556699999999807</v>
      </c>
    </row>
    <row r="1988" spans="2:12">
      <c r="B1988" s="1">
        <v>50626</v>
      </c>
      <c r="C1988" t="s">
        <v>24</v>
      </c>
      <c r="D1988">
        <v>27.4</v>
      </c>
      <c r="E1988">
        <v>0</v>
      </c>
      <c r="F1988">
        <f t="shared" si="2066"/>
        <v>0</v>
      </c>
      <c r="G1988">
        <f t="shared" ref="G1988" si="2133">D1984+D1985+D1986+D1987+D1988</f>
        <v>108.6</v>
      </c>
      <c r="H1988">
        <f t="shared" ref="H1988:H2051" si="2134">YEAR(B1988)</f>
        <v>2038</v>
      </c>
      <c r="I1988">
        <v>1</v>
      </c>
      <c r="J1988">
        <f t="shared" si="2068"/>
        <v>84.556699999999807</v>
      </c>
      <c r="K1988">
        <f t="shared" si="2069"/>
        <v>0</v>
      </c>
      <c r="L1988">
        <f t="shared" si="2070"/>
        <v>84.556699999999807</v>
      </c>
    </row>
    <row r="1989" spans="2:12">
      <c r="B1989" s="1">
        <v>50627</v>
      </c>
      <c r="C1989" t="s">
        <v>50</v>
      </c>
      <c r="D1989">
        <v>15.2</v>
      </c>
      <c r="E1989">
        <v>5.9</v>
      </c>
      <c r="F1989">
        <f t="shared" ref="F1989:F2052" si="2135">IF(E1989&gt;=1,D1989*E1989/100,0)</f>
        <v>0.89680000000000004</v>
      </c>
      <c r="G1989">
        <f t="shared" ref="G1989" si="2136">D1984+D1985+D1986+D1987+D1988+D1989</f>
        <v>123.8</v>
      </c>
      <c r="H1989">
        <f t="shared" si="2134"/>
        <v>2038</v>
      </c>
      <c r="I1989">
        <v>1</v>
      </c>
      <c r="J1989">
        <f t="shared" ref="J1989:J2052" si="2137">L1988+F1989</f>
        <v>85.453499999999806</v>
      </c>
      <c r="K1989">
        <f t="shared" ref="K1989:K2052" si="2138">IF(J1989&gt;=100,1,0)</f>
        <v>0</v>
      </c>
      <c r="L1989">
        <f t="shared" ref="L1989:L2052" si="2139">IF(K1989=1,J1989-100,J1989)</f>
        <v>85.453499999999806</v>
      </c>
    </row>
    <row r="1990" spans="2:12">
      <c r="B1990" s="1">
        <v>50628</v>
      </c>
      <c r="C1990" t="s">
        <v>44</v>
      </c>
      <c r="D1990">
        <v>11.6</v>
      </c>
      <c r="E1990">
        <v>0</v>
      </c>
      <c r="F1990">
        <f t="shared" si="2135"/>
        <v>0</v>
      </c>
      <c r="G1990">
        <f t="shared" ref="G1990" si="2140">D1984+D1985+D1986+D1987+D1988+D1989+D1990</f>
        <v>135.4</v>
      </c>
      <c r="H1990">
        <f t="shared" si="2134"/>
        <v>2038</v>
      </c>
      <c r="I1990">
        <v>1</v>
      </c>
      <c r="J1990">
        <f t="shared" si="2137"/>
        <v>85.453499999999806</v>
      </c>
      <c r="K1990">
        <f t="shared" si="2138"/>
        <v>0</v>
      </c>
      <c r="L1990">
        <f t="shared" si="2139"/>
        <v>85.453499999999806</v>
      </c>
    </row>
    <row r="1991" spans="2:12">
      <c r="B1991" s="1">
        <v>50629</v>
      </c>
      <c r="C1991" t="s">
        <v>36</v>
      </c>
      <c r="D1991">
        <v>10.8</v>
      </c>
      <c r="E1991">
        <v>1.6</v>
      </c>
      <c r="F1991">
        <f t="shared" si="2135"/>
        <v>0.17280000000000001</v>
      </c>
      <c r="G1991">
        <f t="shared" ref="G1991:G2022" si="2141">D1991</f>
        <v>10.8</v>
      </c>
      <c r="H1991">
        <f t="shared" si="2134"/>
        <v>2038</v>
      </c>
      <c r="I1991">
        <v>1</v>
      </c>
      <c r="J1991">
        <f t="shared" si="2137"/>
        <v>85.626299999999802</v>
      </c>
      <c r="K1991">
        <f t="shared" si="2138"/>
        <v>0</v>
      </c>
      <c r="L1991">
        <f t="shared" si="2139"/>
        <v>85.626299999999802</v>
      </c>
    </row>
    <row r="1992" spans="2:12">
      <c r="B1992" s="1">
        <v>50630</v>
      </c>
      <c r="C1992" t="s">
        <v>43</v>
      </c>
      <c r="D1992">
        <v>12</v>
      </c>
      <c r="E1992">
        <v>3.9</v>
      </c>
      <c r="F1992">
        <f t="shared" si="2135"/>
        <v>0.46799999999999997</v>
      </c>
      <c r="G1992">
        <f t="shared" ref="G1992:G2023" si="2142">D1991+D1992</f>
        <v>22.8</v>
      </c>
      <c r="H1992">
        <f t="shared" si="2134"/>
        <v>2038</v>
      </c>
      <c r="I1992">
        <v>1</v>
      </c>
      <c r="J1992">
        <f t="shared" si="2137"/>
        <v>86.094299999999805</v>
      </c>
      <c r="K1992">
        <f t="shared" si="2138"/>
        <v>0</v>
      </c>
      <c r="L1992">
        <f t="shared" si="2139"/>
        <v>86.094299999999805</v>
      </c>
    </row>
    <row r="1993" spans="2:12">
      <c r="B1993" s="1">
        <v>50631</v>
      </c>
      <c r="C1993" t="s">
        <v>36</v>
      </c>
      <c r="D1993">
        <v>14</v>
      </c>
      <c r="E1993">
        <v>5</v>
      </c>
      <c r="F1993">
        <f t="shared" si="2135"/>
        <v>0.7</v>
      </c>
      <c r="G1993">
        <f t="shared" ref="G1993" si="2143">D1991+D1992+D1993</f>
        <v>36.799999999999997</v>
      </c>
      <c r="H1993">
        <f t="shared" si="2134"/>
        <v>2038</v>
      </c>
      <c r="I1993">
        <v>1</v>
      </c>
      <c r="J1993">
        <f t="shared" si="2137"/>
        <v>86.794299999999808</v>
      </c>
      <c r="K1993">
        <f t="shared" si="2138"/>
        <v>0</v>
      </c>
      <c r="L1993">
        <f t="shared" si="2139"/>
        <v>86.794299999999808</v>
      </c>
    </row>
    <row r="1994" spans="2:12">
      <c r="B1994" s="1">
        <v>50632</v>
      </c>
      <c r="C1994" t="s">
        <v>50</v>
      </c>
      <c r="D1994">
        <v>26.4</v>
      </c>
      <c r="E1994">
        <v>0</v>
      </c>
      <c r="F1994">
        <f t="shared" si="2135"/>
        <v>0</v>
      </c>
      <c r="G1994">
        <f t="shared" ref="G1994" si="2144">D1991+D1992+D1993+D1994</f>
        <v>63.199999999999996</v>
      </c>
      <c r="H1994">
        <f t="shared" si="2134"/>
        <v>2038</v>
      </c>
      <c r="I1994">
        <v>1</v>
      </c>
      <c r="J1994">
        <f t="shared" si="2137"/>
        <v>86.794299999999808</v>
      </c>
      <c r="K1994">
        <f t="shared" si="2138"/>
        <v>0</v>
      </c>
      <c r="L1994">
        <f t="shared" si="2139"/>
        <v>86.794299999999808</v>
      </c>
    </row>
    <row r="1995" spans="2:12">
      <c r="B1995" s="1">
        <v>50633</v>
      </c>
      <c r="C1995" t="s">
        <v>32</v>
      </c>
      <c r="D1995">
        <v>23</v>
      </c>
      <c r="E1995">
        <v>20.100000000000001</v>
      </c>
      <c r="F1995">
        <f t="shared" si="2135"/>
        <v>4.6230000000000002</v>
      </c>
      <c r="G1995">
        <f t="shared" ref="G1995" si="2145">D1991+D1992+D1993+D1994+D1995</f>
        <v>86.199999999999989</v>
      </c>
      <c r="H1995">
        <f t="shared" si="2134"/>
        <v>2038</v>
      </c>
      <c r="I1995">
        <v>1</v>
      </c>
      <c r="J1995">
        <f t="shared" si="2137"/>
        <v>91.417299999999813</v>
      </c>
      <c r="K1995">
        <f t="shared" si="2138"/>
        <v>0</v>
      </c>
      <c r="L1995">
        <f t="shared" si="2139"/>
        <v>91.417299999999813</v>
      </c>
    </row>
    <row r="1996" spans="2:12">
      <c r="B1996" s="1">
        <v>50634</v>
      </c>
      <c r="C1996" t="s">
        <v>19</v>
      </c>
      <c r="D1996">
        <v>20.5</v>
      </c>
      <c r="E1996">
        <v>1.1000000000000001</v>
      </c>
      <c r="F1996">
        <f t="shared" si="2135"/>
        <v>0.22550000000000001</v>
      </c>
      <c r="G1996">
        <f t="shared" ref="G1996" si="2146">D1991+D1992+D1993+D1994+D1995+D1996</f>
        <v>106.69999999999999</v>
      </c>
      <c r="H1996">
        <f t="shared" si="2134"/>
        <v>2038</v>
      </c>
      <c r="I1996">
        <v>1</v>
      </c>
      <c r="J1996">
        <f t="shared" si="2137"/>
        <v>91.642799999999809</v>
      </c>
      <c r="K1996">
        <f t="shared" si="2138"/>
        <v>0</v>
      </c>
      <c r="L1996">
        <f t="shared" si="2139"/>
        <v>91.642799999999809</v>
      </c>
    </row>
    <row r="1997" spans="2:12">
      <c r="B1997" s="1">
        <v>50635</v>
      </c>
      <c r="C1997" t="s">
        <v>31</v>
      </c>
      <c r="D1997">
        <v>15.9</v>
      </c>
      <c r="E1997">
        <v>3.1</v>
      </c>
      <c r="F1997">
        <f t="shared" si="2135"/>
        <v>0.4929</v>
      </c>
      <c r="G1997">
        <f t="shared" ref="G1997" si="2147">D1991+D1992+D1993+D1994+D1995+D1996+D1997</f>
        <v>122.6</v>
      </c>
      <c r="H1997">
        <f t="shared" si="2134"/>
        <v>2038</v>
      </c>
      <c r="I1997">
        <v>1</v>
      </c>
      <c r="J1997">
        <f t="shared" si="2137"/>
        <v>92.135699999999815</v>
      </c>
      <c r="K1997">
        <f t="shared" si="2138"/>
        <v>0</v>
      </c>
      <c r="L1997">
        <f t="shared" si="2139"/>
        <v>92.135699999999815</v>
      </c>
    </row>
    <row r="1998" spans="2:12">
      <c r="B1998" s="1">
        <v>50636</v>
      </c>
      <c r="C1998" t="s">
        <v>24</v>
      </c>
      <c r="D1998">
        <v>20.8</v>
      </c>
      <c r="E1998">
        <v>6.9</v>
      </c>
      <c r="F1998">
        <f t="shared" si="2135"/>
        <v>1.4352</v>
      </c>
      <c r="G1998">
        <f t="shared" ref="G1998:G2029" si="2148">D1998</f>
        <v>20.8</v>
      </c>
      <c r="H1998">
        <f t="shared" si="2134"/>
        <v>2038</v>
      </c>
      <c r="I1998">
        <v>1</v>
      </c>
      <c r="J1998">
        <f t="shared" si="2137"/>
        <v>93.57089999999981</v>
      </c>
      <c r="K1998">
        <f t="shared" si="2138"/>
        <v>0</v>
      </c>
      <c r="L1998">
        <f t="shared" si="2139"/>
        <v>93.57089999999981</v>
      </c>
    </row>
    <row r="1999" spans="2:12">
      <c r="B1999" s="1">
        <v>50637</v>
      </c>
      <c r="C1999" t="s">
        <v>46</v>
      </c>
      <c r="D1999">
        <v>12.9</v>
      </c>
      <c r="E1999">
        <v>1.5</v>
      </c>
      <c r="F1999">
        <f t="shared" si="2135"/>
        <v>0.19350000000000001</v>
      </c>
      <c r="G1999">
        <f t="shared" ref="G1999:G2030" si="2149">D1998+D1999</f>
        <v>33.700000000000003</v>
      </c>
      <c r="H1999">
        <f t="shared" si="2134"/>
        <v>2038</v>
      </c>
      <c r="I1999">
        <v>1</v>
      </c>
      <c r="J1999">
        <f t="shared" si="2137"/>
        <v>93.76439999999981</v>
      </c>
      <c r="K1999">
        <f t="shared" si="2138"/>
        <v>0</v>
      </c>
      <c r="L1999">
        <f t="shared" si="2139"/>
        <v>93.76439999999981</v>
      </c>
    </row>
    <row r="2000" spans="2:12">
      <c r="B2000" s="1">
        <v>50638</v>
      </c>
      <c r="C2000" t="s">
        <v>50</v>
      </c>
      <c r="D2000">
        <v>11.6</v>
      </c>
      <c r="E2000">
        <v>15.8</v>
      </c>
      <c r="F2000">
        <f t="shared" si="2135"/>
        <v>1.8328</v>
      </c>
      <c r="G2000">
        <f t="shared" ref="G2000" si="2150">D1998+D1999+D2000</f>
        <v>45.300000000000004</v>
      </c>
      <c r="H2000">
        <f t="shared" si="2134"/>
        <v>2038</v>
      </c>
      <c r="I2000">
        <v>1</v>
      </c>
      <c r="J2000">
        <f t="shared" si="2137"/>
        <v>95.597199999999816</v>
      </c>
      <c r="K2000">
        <f t="shared" si="2138"/>
        <v>0</v>
      </c>
      <c r="L2000">
        <f t="shared" si="2139"/>
        <v>95.597199999999816</v>
      </c>
    </row>
    <row r="2001" spans="2:12">
      <c r="B2001" s="1">
        <v>50639</v>
      </c>
      <c r="C2001" t="s">
        <v>27</v>
      </c>
      <c r="D2001">
        <v>25.6</v>
      </c>
      <c r="E2001">
        <v>0</v>
      </c>
      <c r="F2001">
        <f t="shared" si="2135"/>
        <v>0</v>
      </c>
      <c r="G2001">
        <f t="shared" ref="G2001" si="2151">D1998+D1999+D2000+D2001</f>
        <v>70.900000000000006</v>
      </c>
      <c r="H2001">
        <f t="shared" si="2134"/>
        <v>2038</v>
      </c>
      <c r="I2001">
        <v>1</v>
      </c>
      <c r="J2001">
        <f t="shared" si="2137"/>
        <v>95.597199999999816</v>
      </c>
      <c r="K2001">
        <f t="shared" si="2138"/>
        <v>0</v>
      </c>
      <c r="L2001">
        <f t="shared" si="2139"/>
        <v>95.597199999999816</v>
      </c>
    </row>
    <row r="2002" spans="2:12">
      <c r="B2002" s="1">
        <v>50640</v>
      </c>
      <c r="C2002" t="s">
        <v>18</v>
      </c>
      <c r="D2002">
        <v>15.7</v>
      </c>
      <c r="E2002">
        <v>6.7</v>
      </c>
      <c r="F2002">
        <f t="shared" si="2135"/>
        <v>1.0519000000000001</v>
      </c>
      <c r="G2002">
        <f t="shared" ref="G2002" si="2152">D1998+D1999+D2000+D2001+D2002</f>
        <v>86.600000000000009</v>
      </c>
      <c r="H2002">
        <f t="shared" si="2134"/>
        <v>2038</v>
      </c>
      <c r="I2002">
        <v>1</v>
      </c>
      <c r="J2002">
        <f t="shared" si="2137"/>
        <v>96.649099999999819</v>
      </c>
      <c r="K2002">
        <f t="shared" si="2138"/>
        <v>0</v>
      </c>
      <c r="L2002">
        <f t="shared" si="2139"/>
        <v>96.649099999999819</v>
      </c>
    </row>
    <row r="2003" spans="2:12">
      <c r="B2003" s="1">
        <v>50641</v>
      </c>
      <c r="C2003" t="s">
        <v>31</v>
      </c>
      <c r="D2003">
        <v>25.5</v>
      </c>
      <c r="E2003">
        <v>0</v>
      </c>
      <c r="F2003">
        <f t="shared" si="2135"/>
        <v>0</v>
      </c>
      <c r="G2003">
        <f t="shared" ref="G2003" si="2153">D1998+D1999+D2000+D2001+D2002+D2003</f>
        <v>112.10000000000001</v>
      </c>
      <c r="H2003">
        <f t="shared" si="2134"/>
        <v>2038</v>
      </c>
      <c r="I2003">
        <v>1</v>
      </c>
      <c r="J2003">
        <f t="shared" si="2137"/>
        <v>96.649099999999819</v>
      </c>
      <c r="K2003">
        <f t="shared" si="2138"/>
        <v>0</v>
      </c>
      <c r="L2003">
        <f t="shared" si="2139"/>
        <v>96.649099999999819</v>
      </c>
    </row>
    <row r="2004" spans="2:12">
      <c r="B2004" s="1">
        <v>50642</v>
      </c>
      <c r="C2004" t="s">
        <v>43</v>
      </c>
      <c r="D2004">
        <v>19.5</v>
      </c>
      <c r="E2004">
        <v>3.4</v>
      </c>
      <c r="F2004">
        <f t="shared" si="2135"/>
        <v>0.66299999999999992</v>
      </c>
      <c r="G2004">
        <f t="shared" ref="G2004" si="2154">D1998+D1999+D2000+D2001+D2002+D2003+D2004</f>
        <v>131.60000000000002</v>
      </c>
      <c r="H2004">
        <f t="shared" si="2134"/>
        <v>2038</v>
      </c>
      <c r="I2004">
        <v>1</v>
      </c>
      <c r="J2004">
        <f t="shared" si="2137"/>
        <v>97.312099999999816</v>
      </c>
      <c r="K2004">
        <f t="shared" si="2138"/>
        <v>0</v>
      </c>
      <c r="L2004">
        <f t="shared" si="2139"/>
        <v>97.312099999999816</v>
      </c>
    </row>
    <row r="2005" spans="2:12">
      <c r="B2005" s="1">
        <v>50643</v>
      </c>
      <c r="C2005" t="s">
        <v>49</v>
      </c>
      <c r="D2005">
        <v>14.1</v>
      </c>
      <c r="E2005">
        <v>0</v>
      </c>
      <c r="F2005">
        <f t="shared" si="2135"/>
        <v>0</v>
      </c>
      <c r="G2005">
        <f t="shared" ref="G2005:G2036" si="2155">D2005</f>
        <v>14.1</v>
      </c>
      <c r="H2005">
        <f t="shared" si="2134"/>
        <v>2038</v>
      </c>
      <c r="I2005">
        <v>1</v>
      </c>
      <c r="J2005">
        <f t="shared" si="2137"/>
        <v>97.312099999999816</v>
      </c>
      <c r="K2005">
        <f t="shared" si="2138"/>
        <v>0</v>
      </c>
      <c r="L2005">
        <f t="shared" si="2139"/>
        <v>97.312099999999816</v>
      </c>
    </row>
    <row r="2006" spans="2:12">
      <c r="B2006" s="1">
        <v>50644</v>
      </c>
      <c r="C2006" t="s">
        <v>17</v>
      </c>
      <c r="D2006">
        <v>26.4</v>
      </c>
      <c r="E2006">
        <v>0</v>
      </c>
      <c r="F2006">
        <f t="shared" si="2135"/>
        <v>0</v>
      </c>
      <c r="G2006">
        <f t="shared" ref="G2006:G2037" si="2156">D2005+D2006</f>
        <v>40.5</v>
      </c>
      <c r="H2006">
        <f t="shared" si="2134"/>
        <v>2038</v>
      </c>
      <c r="I2006">
        <v>1</v>
      </c>
      <c r="J2006">
        <f t="shared" si="2137"/>
        <v>97.312099999999816</v>
      </c>
      <c r="K2006">
        <f t="shared" si="2138"/>
        <v>0</v>
      </c>
      <c r="L2006">
        <f t="shared" si="2139"/>
        <v>97.312099999999816</v>
      </c>
    </row>
    <row r="2007" spans="2:12">
      <c r="B2007" s="1">
        <v>50645</v>
      </c>
      <c r="C2007" t="s">
        <v>32</v>
      </c>
      <c r="D2007">
        <v>11.7</v>
      </c>
      <c r="E2007">
        <v>8.4</v>
      </c>
      <c r="F2007">
        <f t="shared" si="2135"/>
        <v>0.98280000000000001</v>
      </c>
      <c r="G2007">
        <f t="shared" ref="G2007" si="2157">D2005+D2006+D2007</f>
        <v>52.2</v>
      </c>
      <c r="H2007">
        <f t="shared" si="2134"/>
        <v>2038</v>
      </c>
      <c r="I2007">
        <v>1</v>
      </c>
      <c r="J2007">
        <f t="shared" si="2137"/>
        <v>98.294899999999814</v>
      </c>
      <c r="K2007">
        <f t="shared" si="2138"/>
        <v>0</v>
      </c>
      <c r="L2007">
        <f t="shared" si="2139"/>
        <v>98.294899999999814</v>
      </c>
    </row>
    <row r="2008" spans="2:12">
      <c r="B2008" s="1">
        <v>50646</v>
      </c>
      <c r="C2008" t="s">
        <v>49</v>
      </c>
      <c r="D2008">
        <v>28</v>
      </c>
      <c r="E2008">
        <v>0</v>
      </c>
      <c r="F2008">
        <f t="shared" si="2135"/>
        <v>0</v>
      </c>
      <c r="G2008">
        <f t="shared" ref="G2008" si="2158">D2005+D2006+D2007+D2008</f>
        <v>80.2</v>
      </c>
      <c r="H2008">
        <f t="shared" si="2134"/>
        <v>2038</v>
      </c>
      <c r="I2008">
        <v>1</v>
      </c>
      <c r="J2008">
        <f t="shared" si="2137"/>
        <v>98.294899999999814</v>
      </c>
      <c r="K2008">
        <f t="shared" si="2138"/>
        <v>0</v>
      </c>
      <c r="L2008">
        <f t="shared" si="2139"/>
        <v>98.294899999999814</v>
      </c>
    </row>
    <row r="2009" spans="2:12">
      <c r="B2009" s="1">
        <v>50647</v>
      </c>
      <c r="C2009" t="s">
        <v>42</v>
      </c>
      <c r="D2009">
        <v>13</v>
      </c>
      <c r="E2009">
        <v>0.1</v>
      </c>
      <c r="F2009">
        <f t="shared" si="2135"/>
        <v>0</v>
      </c>
      <c r="G2009">
        <f t="shared" ref="G2009" si="2159">D2005+D2006+D2007+D2008+D2009</f>
        <v>93.2</v>
      </c>
      <c r="H2009">
        <f t="shared" si="2134"/>
        <v>2038</v>
      </c>
      <c r="I2009">
        <v>1</v>
      </c>
      <c r="J2009">
        <f t="shared" si="2137"/>
        <v>98.294899999999814</v>
      </c>
      <c r="K2009">
        <f t="shared" si="2138"/>
        <v>0</v>
      </c>
      <c r="L2009">
        <f t="shared" si="2139"/>
        <v>98.294899999999814</v>
      </c>
    </row>
    <row r="2010" spans="2:12">
      <c r="B2010" s="1">
        <v>50648</v>
      </c>
      <c r="C2010" t="s">
        <v>25</v>
      </c>
      <c r="D2010">
        <v>10.8</v>
      </c>
      <c r="E2010">
        <v>11.3</v>
      </c>
      <c r="F2010">
        <f t="shared" si="2135"/>
        <v>1.2204000000000002</v>
      </c>
      <c r="G2010">
        <f t="shared" ref="G2010" si="2160">D2005+D2006+D2007+D2008+D2009+D2010</f>
        <v>104</v>
      </c>
      <c r="H2010">
        <f t="shared" si="2134"/>
        <v>2038</v>
      </c>
      <c r="I2010">
        <v>1</v>
      </c>
      <c r="J2010">
        <f t="shared" si="2137"/>
        <v>99.515299999999812</v>
      </c>
      <c r="K2010">
        <f t="shared" si="2138"/>
        <v>0</v>
      </c>
      <c r="L2010">
        <f t="shared" si="2139"/>
        <v>99.515299999999812</v>
      </c>
    </row>
    <row r="2011" spans="2:12">
      <c r="B2011" s="1">
        <v>50649</v>
      </c>
      <c r="C2011" t="s">
        <v>25</v>
      </c>
      <c r="D2011">
        <v>26.4</v>
      </c>
      <c r="E2011">
        <v>18.7</v>
      </c>
      <c r="F2011">
        <f t="shared" si="2135"/>
        <v>4.9367999999999999</v>
      </c>
      <c r="G2011">
        <f t="shared" ref="G2011" si="2161">D2005+D2006+D2007+D2008+D2009+D2010+D2011</f>
        <v>130.4</v>
      </c>
      <c r="H2011">
        <f t="shared" si="2134"/>
        <v>2038</v>
      </c>
      <c r="I2011">
        <v>1</v>
      </c>
      <c r="J2011">
        <f t="shared" si="2137"/>
        <v>104.45209999999982</v>
      </c>
      <c r="K2011">
        <f t="shared" si="2138"/>
        <v>1</v>
      </c>
      <c r="L2011">
        <f t="shared" si="2139"/>
        <v>4.4520999999998168</v>
      </c>
    </row>
    <row r="2012" spans="2:12">
      <c r="B2012" s="1">
        <v>50650</v>
      </c>
      <c r="C2012" t="s">
        <v>50</v>
      </c>
      <c r="D2012">
        <v>26.7</v>
      </c>
      <c r="E2012">
        <v>3.9</v>
      </c>
      <c r="F2012">
        <f t="shared" si="2135"/>
        <v>1.0412999999999999</v>
      </c>
      <c r="G2012">
        <f t="shared" ref="G2012:G2043" si="2162">D2012</f>
        <v>26.7</v>
      </c>
      <c r="H2012">
        <f t="shared" si="2134"/>
        <v>2038</v>
      </c>
      <c r="I2012">
        <v>1</v>
      </c>
      <c r="J2012">
        <f t="shared" si="2137"/>
        <v>5.4933999999998164</v>
      </c>
      <c r="K2012">
        <f t="shared" si="2138"/>
        <v>0</v>
      </c>
      <c r="L2012">
        <f t="shared" si="2139"/>
        <v>5.4933999999998164</v>
      </c>
    </row>
    <row r="2013" spans="2:12">
      <c r="B2013" s="1">
        <v>50651</v>
      </c>
      <c r="C2013" t="s">
        <v>25</v>
      </c>
      <c r="D2013">
        <v>11.7</v>
      </c>
      <c r="E2013">
        <v>13</v>
      </c>
      <c r="F2013">
        <f t="shared" si="2135"/>
        <v>1.5209999999999999</v>
      </c>
      <c r="G2013">
        <f t="shared" ref="G2013:G2044" si="2163">D2012+D2013</f>
        <v>38.4</v>
      </c>
      <c r="H2013">
        <f t="shared" si="2134"/>
        <v>2038</v>
      </c>
      <c r="I2013">
        <v>1</v>
      </c>
      <c r="J2013">
        <f t="shared" si="2137"/>
        <v>7.0143999999998163</v>
      </c>
      <c r="K2013">
        <f t="shared" si="2138"/>
        <v>0</v>
      </c>
      <c r="L2013">
        <f t="shared" si="2139"/>
        <v>7.0143999999998163</v>
      </c>
    </row>
    <row r="2014" spans="2:12">
      <c r="B2014" s="1">
        <v>50652</v>
      </c>
      <c r="C2014" t="s">
        <v>39</v>
      </c>
      <c r="D2014">
        <v>12</v>
      </c>
      <c r="E2014">
        <v>0.4</v>
      </c>
      <c r="F2014">
        <f t="shared" si="2135"/>
        <v>0</v>
      </c>
      <c r="G2014">
        <f t="shared" ref="G2014" si="2164">D2012+D2013+D2014</f>
        <v>50.4</v>
      </c>
      <c r="H2014">
        <f t="shared" si="2134"/>
        <v>2038</v>
      </c>
      <c r="I2014">
        <v>1</v>
      </c>
      <c r="J2014">
        <f t="shared" si="2137"/>
        <v>7.0143999999998163</v>
      </c>
      <c r="K2014">
        <f t="shared" si="2138"/>
        <v>0</v>
      </c>
      <c r="L2014">
        <f t="shared" si="2139"/>
        <v>7.0143999999998163</v>
      </c>
    </row>
    <row r="2015" spans="2:12">
      <c r="B2015" s="1">
        <v>50653</v>
      </c>
      <c r="C2015" t="s">
        <v>46</v>
      </c>
      <c r="D2015">
        <v>24.2</v>
      </c>
      <c r="E2015">
        <v>0.7</v>
      </c>
      <c r="F2015">
        <f t="shared" si="2135"/>
        <v>0</v>
      </c>
      <c r="G2015">
        <f t="shared" ref="G2015" si="2165">D2012+D2013+D2014+D2015</f>
        <v>74.599999999999994</v>
      </c>
      <c r="H2015">
        <f t="shared" si="2134"/>
        <v>2038</v>
      </c>
      <c r="I2015">
        <v>1</v>
      </c>
      <c r="J2015">
        <f t="shared" si="2137"/>
        <v>7.0143999999998163</v>
      </c>
      <c r="K2015">
        <f t="shared" si="2138"/>
        <v>0</v>
      </c>
      <c r="L2015">
        <f t="shared" si="2139"/>
        <v>7.0143999999998163</v>
      </c>
    </row>
    <row r="2016" spans="2:12">
      <c r="B2016" s="1">
        <v>50654</v>
      </c>
      <c r="C2016" t="s">
        <v>36</v>
      </c>
      <c r="D2016">
        <v>27.3</v>
      </c>
      <c r="E2016">
        <v>3.7</v>
      </c>
      <c r="F2016">
        <f t="shared" si="2135"/>
        <v>1.0101</v>
      </c>
      <c r="G2016">
        <f t="shared" ref="G2016" si="2166">D2012+D2013+D2014+D2015+D2016</f>
        <v>101.89999999999999</v>
      </c>
      <c r="H2016">
        <f t="shared" si="2134"/>
        <v>2038</v>
      </c>
      <c r="I2016">
        <v>1</v>
      </c>
      <c r="J2016">
        <f t="shared" si="2137"/>
        <v>8.0244999999998168</v>
      </c>
      <c r="K2016">
        <f t="shared" si="2138"/>
        <v>0</v>
      </c>
      <c r="L2016">
        <f t="shared" si="2139"/>
        <v>8.0244999999998168</v>
      </c>
    </row>
    <row r="2017" spans="2:12">
      <c r="B2017" s="1">
        <v>50655</v>
      </c>
      <c r="C2017" t="s">
        <v>27</v>
      </c>
      <c r="D2017">
        <v>10.7</v>
      </c>
      <c r="E2017">
        <v>0</v>
      </c>
      <c r="F2017">
        <f t="shared" si="2135"/>
        <v>0</v>
      </c>
      <c r="G2017">
        <f t="shared" ref="G2017" si="2167">D2012+D2013+D2014+D2015+D2016+D2017</f>
        <v>112.6</v>
      </c>
      <c r="H2017">
        <f t="shared" si="2134"/>
        <v>2038</v>
      </c>
      <c r="I2017">
        <v>1</v>
      </c>
      <c r="J2017">
        <f t="shared" si="2137"/>
        <v>8.0244999999998168</v>
      </c>
      <c r="K2017">
        <f t="shared" si="2138"/>
        <v>0</v>
      </c>
      <c r="L2017">
        <f t="shared" si="2139"/>
        <v>8.0244999999998168</v>
      </c>
    </row>
    <row r="2018" spans="2:12">
      <c r="B2018" s="1">
        <v>50656</v>
      </c>
      <c r="C2018" t="s">
        <v>19</v>
      </c>
      <c r="D2018">
        <v>11.1</v>
      </c>
      <c r="E2018">
        <v>0</v>
      </c>
      <c r="F2018">
        <f t="shared" si="2135"/>
        <v>0</v>
      </c>
      <c r="G2018">
        <f t="shared" ref="G2018" si="2168">D2012+D2013+D2014+D2015+D2016+D2017+D2018</f>
        <v>123.69999999999999</v>
      </c>
      <c r="H2018">
        <f t="shared" si="2134"/>
        <v>2038</v>
      </c>
      <c r="I2018">
        <v>1</v>
      </c>
      <c r="J2018">
        <f t="shared" si="2137"/>
        <v>8.0244999999998168</v>
      </c>
      <c r="K2018">
        <f t="shared" si="2138"/>
        <v>0</v>
      </c>
      <c r="L2018">
        <f t="shared" si="2139"/>
        <v>8.0244999999998168</v>
      </c>
    </row>
    <row r="2019" spans="2:12">
      <c r="B2019" s="1">
        <v>50657</v>
      </c>
      <c r="C2019" t="s">
        <v>18</v>
      </c>
      <c r="D2019">
        <v>28.5</v>
      </c>
      <c r="E2019">
        <v>19.8</v>
      </c>
      <c r="F2019">
        <f t="shared" si="2135"/>
        <v>5.6430000000000007</v>
      </c>
      <c r="G2019">
        <f t="shared" ref="G2019:G2050" si="2169">D2019</f>
        <v>28.5</v>
      </c>
      <c r="H2019">
        <f t="shared" si="2134"/>
        <v>2038</v>
      </c>
      <c r="I2019">
        <v>1</v>
      </c>
      <c r="J2019">
        <f t="shared" si="2137"/>
        <v>13.667499999999817</v>
      </c>
      <c r="K2019">
        <f t="shared" si="2138"/>
        <v>0</v>
      </c>
      <c r="L2019">
        <f t="shared" si="2139"/>
        <v>13.667499999999817</v>
      </c>
    </row>
    <row r="2020" spans="2:12">
      <c r="B2020" s="1">
        <v>50658</v>
      </c>
      <c r="C2020" t="s">
        <v>50</v>
      </c>
      <c r="D2020">
        <v>10.1</v>
      </c>
      <c r="E2020">
        <v>0</v>
      </c>
      <c r="F2020">
        <f t="shared" si="2135"/>
        <v>0</v>
      </c>
      <c r="G2020">
        <f t="shared" ref="G2020:G2051" si="2170">D2019+D2020</f>
        <v>38.6</v>
      </c>
      <c r="H2020">
        <f t="shared" si="2134"/>
        <v>2038</v>
      </c>
      <c r="I2020">
        <v>1</v>
      </c>
      <c r="J2020">
        <f t="shared" si="2137"/>
        <v>13.667499999999817</v>
      </c>
      <c r="K2020">
        <f t="shared" si="2138"/>
        <v>0</v>
      </c>
      <c r="L2020">
        <f t="shared" si="2139"/>
        <v>13.667499999999817</v>
      </c>
    </row>
    <row r="2021" spans="2:12">
      <c r="B2021" s="1">
        <v>50659</v>
      </c>
      <c r="C2021" t="s">
        <v>21</v>
      </c>
      <c r="D2021">
        <v>20.8</v>
      </c>
      <c r="E2021">
        <v>11.2</v>
      </c>
      <c r="F2021">
        <f t="shared" si="2135"/>
        <v>2.3295999999999997</v>
      </c>
      <c r="G2021">
        <f t="shared" ref="G2021" si="2171">D2019+D2020+D2021</f>
        <v>59.400000000000006</v>
      </c>
      <c r="H2021">
        <f t="shared" si="2134"/>
        <v>2038</v>
      </c>
      <c r="I2021">
        <v>1</v>
      </c>
      <c r="J2021">
        <f t="shared" si="2137"/>
        <v>15.997099999999817</v>
      </c>
      <c r="K2021">
        <f t="shared" si="2138"/>
        <v>0</v>
      </c>
      <c r="L2021">
        <f t="shared" si="2139"/>
        <v>15.997099999999817</v>
      </c>
    </row>
    <row r="2022" spans="2:12">
      <c r="B2022" s="1">
        <v>50660</v>
      </c>
      <c r="C2022" t="s">
        <v>18</v>
      </c>
      <c r="D2022">
        <v>16.600000000000001</v>
      </c>
      <c r="E2022">
        <v>0</v>
      </c>
      <c r="F2022">
        <f t="shared" si="2135"/>
        <v>0</v>
      </c>
      <c r="G2022">
        <f t="shared" ref="G2022" si="2172">D2019+D2020+D2021+D2022</f>
        <v>76</v>
      </c>
      <c r="H2022">
        <f t="shared" si="2134"/>
        <v>2038</v>
      </c>
      <c r="I2022">
        <v>1</v>
      </c>
      <c r="J2022">
        <f t="shared" si="2137"/>
        <v>15.997099999999817</v>
      </c>
      <c r="K2022">
        <f t="shared" si="2138"/>
        <v>0</v>
      </c>
      <c r="L2022">
        <f t="shared" si="2139"/>
        <v>15.997099999999817</v>
      </c>
    </row>
    <row r="2023" spans="2:12">
      <c r="B2023" s="1">
        <v>50661</v>
      </c>
      <c r="C2023" t="s">
        <v>27</v>
      </c>
      <c r="D2023">
        <v>26.4</v>
      </c>
      <c r="E2023">
        <v>10</v>
      </c>
      <c r="F2023">
        <f t="shared" si="2135"/>
        <v>2.64</v>
      </c>
      <c r="G2023">
        <f t="shared" ref="G2023" si="2173">D2019+D2020+D2021+D2022+D2023</f>
        <v>102.4</v>
      </c>
      <c r="H2023">
        <f t="shared" si="2134"/>
        <v>2038</v>
      </c>
      <c r="I2023">
        <v>1</v>
      </c>
      <c r="J2023">
        <f t="shared" si="2137"/>
        <v>18.637099999999815</v>
      </c>
      <c r="K2023">
        <f t="shared" si="2138"/>
        <v>0</v>
      </c>
      <c r="L2023">
        <f t="shared" si="2139"/>
        <v>18.637099999999815</v>
      </c>
    </row>
    <row r="2024" spans="2:12">
      <c r="B2024" s="1">
        <v>50662</v>
      </c>
      <c r="C2024" t="s">
        <v>43</v>
      </c>
      <c r="D2024">
        <v>15.1</v>
      </c>
      <c r="E2024">
        <v>0</v>
      </c>
      <c r="F2024">
        <f t="shared" si="2135"/>
        <v>0</v>
      </c>
      <c r="G2024">
        <f t="shared" ref="G2024" si="2174">D2019+D2020+D2021+D2022+D2023+D2024</f>
        <v>117.5</v>
      </c>
      <c r="H2024">
        <f t="shared" si="2134"/>
        <v>2038</v>
      </c>
      <c r="I2024">
        <v>1</v>
      </c>
      <c r="J2024">
        <f t="shared" si="2137"/>
        <v>18.637099999999815</v>
      </c>
      <c r="K2024">
        <f t="shared" si="2138"/>
        <v>0</v>
      </c>
      <c r="L2024">
        <f t="shared" si="2139"/>
        <v>18.637099999999815</v>
      </c>
    </row>
    <row r="2025" spans="2:12">
      <c r="B2025" s="1">
        <v>50663</v>
      </c>
      <c r="C2025" t="s">
        <v>17</v>
      </c>
      <c r="D2025">
        <v>20.9</v>
      </c>
      <c r="E2025">
        <v>10.1</v>
      </c>
      <c r="F2025">
        <f t="shared" si="2135"/>
        <v>2.1108999999999996</v>
      </c>
      <c r="G2025">
        <f t="shared" ref="G2025" si="2175">D2019+D2020+D2021+D2022+D2023+D2024+D2025</f>
        <v>138.4</v>
      </c>
      <c r="H2025">
        <f t="shared" si="2134"/>
        <v>2038</v>
      </c>
      <c r="I2025">
        <v>1</v>
      </c>
      <c r="J2025">
        <f t="shared" si="2137"/>
        <v>20.747999999999816</v>
      </c>
      <c r="K2025">
        <f t="shared" si="2138"/>
        <v>0</v>
      </c>
      <c r="L2025">
        <f t="shared" si="2139"/>
        <v>20.747999999999816</v>
      </c>
    </row>
    <row r="2026" spans="2:12">
      <c r="B2026" s="1">
        <v>50664</v>
      </c>
      <c r="C2026" t="s">
        <v>27</v>
      </c>
      <c r="D2026">
        <v>27.3</v>
      </c>
      <c r="E2026">
        <v>5.3</v>
      </c>
      <c r="F2026">
        <f t="shared" si="2135"/>
        <v>1.4469000000000001</v>
      </c>
      <c r="G2026">
        <f t="shared" ref="G2026:G2057" si="2176">D2026</f>
        <v>27.3</v>
      </c>
      <c r="H2026">
        <f t="shared" si="2134"/>
        <v>2038</v>
      </c>
      <c r="I2026">
        <v>1</v>
      </c>
      <c r="J2026">
        <f t="shared" si="2137"/>
        <v>22.194899999999816</v>
      </c>
      <c r="K2026">
        <f t="shared" si="2138"/>
        <v>0</v>
      </c>
      <c r="L2026">
        <f t="shared" si="2139"/>
        <v>22.194899999999816</v>
      </c>
    </row>
    <row r="2027" spans="2:12">
      <c r="B2027" s="1">
        <v>50665</v>
      </c>
      <c r="C2027" t="s">
        <v>17</v>
      </c>
      <c r="D2027">
        <v>17.600000000000001</v>
      </c>
      <c r="E2027">
        <v>5.5</v>
      </c>
      <c r="F2027">
        <f t="shared" si="2135"/>
        <v>0.96800000000000008</v>
      </c>
      <c r="G2027">
        <f t="shared" ref="G2027:G2074" si="2177">D2026+D2027</f>
        <v>44.900000000000006</v>
      </c>
      <c r="H2027">
        <f t="shared" si="2134"/>
        <v>2038</v>
      </c>
      <c r="I2027">
        <v>1</v>
      </c>
      <c r="J2027">
        <f t="shared" si="2137"/>
        <v>23.162899999999816</v>
      </c>
      <c r="K2027">
        <f t="shared" si="2138"/>
        <v>0</v>
      </c>
      <c r="L2027">
        <f t="shared" si="2139"/>
        <v>23.162899999999816</v>
      </c>
    </row>
    <row r="2028" spans="2:12">
      <c r="B2028" s="1">
        <v>50666</v>
      </c>
      <c r="C2028" t="s">
        <v>50</v>
      </c>
      <c r="D2028">
        <v>27.8</v>
      </c>
      <c r="E2028">
        <v>0</v>
      </c>
      <c r="F2028">
        <f t="shared" si="2135"/>
        <v>0</v>
      </c>
      <c r="G2028">
        <f t="shared" ref="G2028" si="2178">D2026+D2027+D2028</f>
        <v>72.7</v>
      </c>
      <c r="H2028">
        <f t="shared" si="2134"/>
        <v>2038</v>
      </c>
      <c r="I2028">
        <v>1</v>
      </c>
      <c r="J2028">
        <f t="shared" si="2137"/>
        <v>23.162899999999816</v>
      </c>
      <c r="K2028">
        <f t="shared" si="2138"/>
        <v>0</v>
      </c>
      <c r="L2028">
        <f t="shared" si="2139"/>
        <v>23.162899999999816</v>
      </c>
    </row>
    <row r="2029" spans="2:12">
      <c r="B2029" s="1">
        <v>50667</v>
      </c>
      <c r="C2029" t="s">
        <v>24</v>
      </c>
      <c r="D2029">
        <v>25.8</v>
      </c>
      <c r="E2029">
        <v>12.1</v>
      </c>
      <c r="F2029">
        <f t="shared" si="2135"/>
        <v>3.1217999999999999</v>
      </c>
      <c r="G2029">
        <f t="shared" ref="G2029" si="2179">D2026+D2027+D2028+D2029</f>
        <v>98.5</v>
      </c>
      <c r="H2029">
        <f t="shared" si="2134"/>
        <v>2038</v>
      </c>
      <c r="I2029">
        <v>1</v>
      </c>
      <c r="J2029">
        <f t="shared" si="2137"/>
        <v>26.284699999999816</v>
      </c>
      <c r="K2029">
        <f t="shared" si="2138"/>
        <v>0</v>
      </c>
      <c r="L2029">
        <f t="shared" si="2139"/>
        <v>26.284699999999816</v>
      </c>
    </row>
    <row r="2030" spans="2:12">
      <c r="B2030" s="1">
        <v>50668</v>
      </c>
      <c r="C2030" t="s">
        <v>36</v>
      </c>
      <c r="D2030">
        <v>18.100000000000001</v>
      </c>
      <c r="E2030">
        <v>1.1000000000000001</v>
      </c>
      <c r="F2030">
        <f t="shared" si="2135"/>
        <v>0.19910000000000003</v>
      </c>
      <c r="G2030">
        <f t="shared" ref="G2030" si="2180">D2026+D2027+D2028+D2029+D2030</f>
        <v>116.6</v>
      </c>
      <c r="H2030">
        <f t="shared" si="2134"/>
        <v>2038</v>
      </c>
      <c r="I2030">
        <v>1</v>
      </c>
      <c r="J2030">
        <f t="shared" si="2137"/>
        <v>26.483799999999817</v>
      </c>
      <c r="K2030">
        <f t="shared" si="2138"/>
        <v>0</v>
      </c>
      <c r="L2030">
        <f t="shared" si="2139"/>
        <v>26.483799999999817</v>
      </c>
    </row>
    <row r="2031" spans="2:12">
      <c r="B2031" s="1">
        <v>50669</v>
      </c>
      <c r="C2031" t="s">
        <v>26</v>
      </c>
      <c r="D2031">
        <v>21.9</v>
      </c>
      <c r="E2031">
        <v>7.7</v>
      </c>
      <c r="F2031">
        <f t="shared" si="2135"/>
        <v>1.6862999999999999</v>
      </c>
      <c r="G2031">
        <f t="shared" ref="G2031" si="2181">D2026+D2027+D2028+D2029+D2030+D2031</f>
        <v>138.5</v>
      </c>
      <c r="H2031">
        <f t="shared" si="2134"/>
        <v>2038</v>
      </c>
      <c r="I2031">
        <v>1</v>
      </c>
      <c r="J2031">
        <f t="shared" si="2137"/>
        <v>28.170099999999817</v>
      </c>
      <c r="K2031">
        <f t="shared" si="2138"/>
        <v>0</v>
      </c>
      <c r="L2031">
        <f t="shared" si="2139"/>
        <v>28.170099999999817</v>
      </c>
    </row>
    <row r="2032" spans="2:12">
      <c r="B2032" s="1">
        <v>50670</v>
      </c>
      <c r="C2032" t="s">
        <v>38</v>
      </c>
      <c r="D2032">
        <v>23.2</v>
      </c>
      <c r="E2032">
        <v>5.0999999999999996</v>
      </c>
      <c r="F2032">
        <f t="shared" si="2135"/>
        <v>1.1832</v>
      </c>
      <c r="G2032">
        <f t="shared" ref="G2032" si="2182">D2026+D2027+D2028+D2029+D2030+D2031+D2032</f>
        <v>161.69999999999999</v>
      </c>
      <c r="H2032">
        <f t="shared" si="2134"/>
        <v>2038</v>
      </c>
      <c r="I2032">
        <v>1</v>
      </c>
      <c r="J2032">
        <f t="shared" si="2137"/>
        <v>29.353299999999816</v>
      </c>
      <c r="K2032">
        <f t="shared" si="2138"/>
        <v>0</v>
      </c>
      <c r="L2032">
        <f t="shared" si="2139"/>
        <v>29.353299999999816</v>
      </c>
    </row>
    <row r="2033" spans="2:12">
      <c r="B2033" s="1">
        <v>50671</v>
      </c>
      <c r="C2033" t="s">
        <v>41</v>
      </c>
      <c r="D2033">
        <v>26.6</v>
      </c>
      <c r="E2033">
        <v>0.3</v>
      </c>
      <c r="F2033">
        <f t="shared" si="2135"/>
        <v>0</v>
      </c>
      <c r="G2033">
        <f t="shared" ref="G2033:G2074" si="2183">D2033</f>
        <v>26.6</v>
      </c>
      <c r="H2033">
        <f t="shared" si="2134"/>
        <v>2038</v>
      </c>
      <c r="I2033">
        <v>1</v>
      </c>
      <c r="J2033">
        <f t="shared" si="2137"/>
        <v>29.353299999999816</v>
      </c>
      <c r="K2033">
        <f t="shared" si="2138"/>
        <v>0</v>
      </c>
      <c r="L2033">
        <f t="shared" si="2139"/>
        <v>29.353299999999816</v>
      </c>
    </row>
    <row r="2034" spans="2:12">
      <c r="B2034" s="1">
        <v>50672</v>
      </c>
      <c r="C2034" t="s">
        <v>25</v>
      </c>
      <c r="D2034">
        <v>23.2</v>
      </c>
      <c r="E2034">
        <v>0</v>
      </c>
      <c r="F2034">
        <f t="shared" si="2135"/>
        <v>0</v>
      </c>
      <c r="G2034">
        <f t="shared" ref="G2034:G2074" si="2184">D2033+D2034</f>
        <v>49.8</v>
      </c>
      <c r="H2034">
        <f t="shared" si="2134"/>
        <v>2038</v>
      </c>
      <c r="I2034">
        <v>1</v>
      </c>
      <c r="J2034">
        <f t="shared" si="2137"/>
        <v>29.353299999999816</v>
      </c>
      <c r="K2034">
        <f t="shared" si="2138"/>
        <v>0</v>
      </c>
      <c r="L2034">
        <f t="shared" si="2139"/>
        <v>29.353299999999816</v>
      </c>
    </row>
    <row r="2035" spans="2:12">
      <c r="B2035" s="1">
        <v>50673</v>
      </c>
      <c r="C2035" t="s">
        <v>24</v>
      </c>
      <c r="D2035">
        <v>11</v>
      </c>
      <c r="E2035">
        <v>40.9</v>
      </c>
      <c r="F2035">
        <f t="shared" si="2135"/>
        <v>4.4989999999999997</v>
      </c>
      <c r="G2035">
        <f t="shared" ref="G2035" si="2185">D2033+D2034+D2035</f>
        <v>60.8</v>
      </c>
      <c r="H2035">
        <f t="shared" si="2134"/>
        <v>2038</v>
      </c>
      <c r="I2035">
        <v>1</v>
      </c>
      <c r="J2035">
        <f t="shared" si="2137"/>
        <v>33.852299999999815</v>
      </c>
      <c r="K2035">
        <f t="shared" si="2138"/>
        <v>0</v>
      </c>
      <c r="L2035">
        <f t="shared" si="2139"/>
        <v>33.852299999999815</v>
      </c>
    </row>
    <row r="2036" spans="2:12">
      <c r="B2036" s="1">
        <v>50674</v>
      </c>
      <c r="C2036" t="s">
        <v>35</v>
      </c>
      <c r="D2036">
        <v>26.8</v>
      </c>
      <c r="E2036">
        <v>2.2999999999999998</v>
      </c>
      <c r="F2036">
        <f t="shared" si="2135"/>
        <v>0.61639999999999995</v>
      </c>
      <c r="G2036">
        <f t="shared" ref="G2036" si="2186">D2033+D2034+D2035+D2036</f>
        <v>87.6</v>
      </c>
      <c r="H2036">
        <f t="shared" si="2134"/>
        <v>2038</v>
      </c>
      <c r="I2036">
        <v>1</v>
      </c>
      <c r="J2036">
        <f t="shared" si="2137"/>
        <v>34.468699999999814</v>
      </c>
      <c r="K2036">
        <f t="shared" si="2138"/>
        <v>0</v>
      </c>
      <c r="L2036">
        <f t="shared" si="2139"/>
        <v>34.468699999999814</v>
      </c>
    </row>
    <row r="2037" spans="2:12">
      <c r="B2037" s="1">
        <v>50675</v>
      </c>
      <c r="C2037" t="s">
        <v>27</v>
      </c>
      <c r="D2037">
        <v>22.2</v>
      </c>
      <c r="E2037">
        <v>0</v>
      </c>
      <c r="F2037">
        <f t="shared" si="2135"/>
        <v>0</v>
      </c>
      <c r="G2037">
        <f t="shared" ref="G2037" si="2187">D2033+D2034+D2035+D2036+D2037</f>
        <v>109.8</v>
      </c>
      <c r="H2037">
        <f t="shared" si="2134"/>
        <v>2038</v>
      </c>
      <c r="I2037">
        <v>1</v>
      </c>
      <c r="J2037">
        <f t="shared" si="2137"/>
        <v>34.468699999999814</v>
      </c>
      <c r="K2037">
        <f t="shared" si="2138"/>
        <v>0</v>
      </c>
      <c r="L2037">
        <f t="shared" si="2139"/>
        <v>34.468699999999814</v>
      </c>
    </row>
    <row r="2038" spans="2:12">
      <c r="B2038" s="1">
        <v>50676</v>
      </c>
      <c r="C2038" t="s">
        <v>47</v>
      </c>
      <c r="D2038">
        <v>10.199999999999999</v>
      </c>
      <c r="E2038">
        <v>6.1</v>
      </c>
      <c r="F2038">
        <f t="shared" si="2135"/>
        <v>0.62219999999999986</v>
      </c>
      <c r="G2038">
        <f t="shared" ref="G2038" si="2188">D2033+D2034+D2035+D2036+D2037+D2038</f>
        <v>120</v>
      </c>
      <c r="H2038">
        <f t="shared" si="2134"/>
        <v>2038</v>
      </c>
      <c r="I2038">
        <v>1</v>
      </c>
      <c r="J2038">
        <f t="shared" si="2137"/>
        <v>35.090899999999813</v>
      </c>
      <c r="K2038">
        <f t="shared" si="2138"/>
        <v>0</v>
      </c>
      <c r="L2038">
        <f t="shared" si="2139"/>
        <v>35.090899999999813</v>
      </c>
    </row>
    <row r="2039" spans="2:12">
      <c r="B2039" s="1">
        <v>50677</v>
      </c>
      <c r="C2039" t="s">
        <v>48</v>
      </c>
      <c r="D2039">
        <v>18.399999999999999</v>
      </c>
      <c r="E2039">
        <v>1.5</v>
      </c>
      <c r="F2039">
        <f t="shared" si="2135"/>
        <v>0.27599999999999997</v>
      </c>
      <c r="G2039">
        <f t="shared" ref="G2039" si="2189">D2033+D2034+D2035+D2036+D2037+D2038+D2039</f>
        <v>138.4</v>
      </c>
      <c r="H2039">
        <f t="shared" si="2134"/>
        <v>2038</v>
      </c>
      <c r="I2039">
        <v>1</v>
      </c>
      <c r="J2039">
        <f t="shared" si="2137"/>
        <v>35.366899999999816</v>
      </c>
      <c r="K2039">
        <f t="shared" si="2138"/>
        <v>0</v>
      </c>
      <c r="L2039">
        <f t="shared" si="2139"/>
        <v>35.366899999999816</v>
      </c>
    </row>
    <row r="2040" spans="2:12">
      <c r="B2040" s="1">
        <v>50678</v>
      </c>
      <c r="C2040" t="s">
        <v>18</v>
      </c>
      <c r="D2040">
        <v>29.4</v>
      </c>
      <c r="E2040">
        <v>22.3</v>
      </c>
      <c r="F2040">
        <f t="shared" si="2135"/>
        <v>6.5562000000000005</v>
      </c>
      <c r="G2040">
        <f t="shared" ref="G2040:G2074" si="2190">D2040</f>
        <v>29.4</v>
      </c>
      <c r="H2040">
        <f t="shared" si="2134"/>
        <v>2038</v>
      </c>
      <c r="I2040">
        <v>1</v>
      </c>
      <c r="J2040">
        <f t="shared" si="2137"/>
        <v>41.92309999999982</v>
      </c>
      <c r="K2040">
        <f t="shared" si="2138"/>
        <v>0</v>
      </c>
      <c r="L2040">
        <f t="shared" si="2139"/>
        <v>41.92309999999982</v>
      </c>
    </row>
    <row r="2041" spans="2:12">
      <c r="B2041" s="1">
        <v>50679</v>
      </c>
      <c r="C2041" t="s">
        <v>35</v>
      </c>
      <c r="D2041">
        <v>23.4</v>
      </c>
      <c r="E2041">
        <v>0</v>
      </c>
      <c r="F2041">
        <f t="shared" si="2135"/>
        <v>0</v>
      </c>
      <c r="G2041">
        <f t="shared" ref="G2041:G2074" si="2191">D2040+D2041</f>
        <v>52.8</v>
      </c>
      <c r="H2041">
        <f t="shared" si="2134"/>
        <v>2038</v>
      </c>
      <c r="I2041">
        <v>1</v>
      </c>
      <c r="J2041">
        <f t="shared" si="2137"/>
        <v>41.92309999999982</v>
      </c>
      <c r="K2041">
        <f t="shared" si="2138"/>
        <v>0</v>
      </c>
      <c r="L2041">
        <f t="shared" si="2139"/>
        <v>41.92309999999982</v>
      </c>
    </row>
    <row r="2042" spans="2:12">
      <c r="B2042" s="1">
        <v>50680</v>
      </c>
      <c r="C2042" t="s">
        <v>15</v>
      </c>
      <c r="D2042">
        <v>13.6</v>
      </c>
      <c r="E2042">
        <v>6.1</v>
      </c>
      <c r="F2042">
        <f t="shared" si="2135"/>
        <v>0.82959999999999989</v>
      </c>
      <c r="G2042">
        <f t="shared" ref="G2042" si="2192">D2040+D2041+D2042</f>
        <v>66.399999999999991</v>
      </c>
      <c r="H2042">
        <f t="shared" si="2134"/>
        <v>2038</v>
      </c>
      <c r="I2042">
        <v>1</v>
      </c>
      <c r="J2042">
        <f t="shared" si="2137"/>
        <v>42.75269999999982</v>
      </c>
      <c r="K2042">
        <f t="shared" si="2138"/>
        <v>0</v>
      </c>
      <c r="L2042">
        <f t="shared" si="2139"/>
        <v>42.75269999999982</v>
      </c>
    </row>
    <row r="2043" spans="2:12">
      <c r="B2043" s="1">
        <v>50681</v>
      </c>
      <c r="C2043" t="s">
        <v>18</v>
      </c>
      <c r="D2043">
        <v>17.7</v>
      </c>
      <c r="E2043">
        <v>1.4</v>
      </c>
      <c r="F2043">
        <f t="shared" si="2135"/>
        <v>0.24779999999999996</v>
      </c>
      <c r="G2043">
        <f t="shared" ref="G2043" si="2193">D2040+D2041+D2042+D2043</f>
        <v>84.1</v>
      </c>
      <c r="H2043">
        <f t="shared" si="2134"/>
        <v>2038</v>
      </c>
      <c r="I2043">
        <v>1</v>
      </c>
      <c r="J2043">
        <f t="shared" si="2137"/>
        <v>43.000499999999818</v>
      </c>
      <c r="K2043">
        <f t="shared" si="2138"/>
        <v>0</v>
      </c>
      <c r="L2043">
        <f t="shared" si="2139"/>
        <v>43.000499999999818</v>
      </c>
    </row>
    <row r="2044" spans="2:12">
      <c r="B2044" s="1">
        <v>50682</v>
      </c>
      <c r="C2044" t="s">
        <v>35</v>
      </c>
      <c r="D2044">
        <v>17</v>
      </c>
      <c r="E2044">
        <v>5.9</v>
      </c>
      <c r="F2044">
        <f t="shared" si="2135"/>
        <v>1.0030000000000001</v>
      </c>
      <c r="G2044">
        <f t="shared" ref="G2044" si="2194">D2040+D2041+D2042+D2043+D2044</f>
        <v>101.1</v>
      </c>
      <c r="H2044">
        <f t="shared" si="2134"/>
        <v>2038</v>
      </c>
      <c r="I2044">
        <v>1</v>
      </c>
      <c r="J2044">
        <f t="shared" si="2137"/>
        <v>44.003499999999818</v>
      </c>
      <c r="K2044">
        <f t="shared" si="2138"/>
        <v>0</v>
      </c>
      <c r="L2044">
        <f t="shared" si="2139"/>
        <v>44.003499999999818</v>
      </c>
    </row>
    <row r="2045" spans="2:12">
      <c r="B2045" s="1">
        <v>50683</v>
      </c>
      <c r="C2045" t="s">
        <v>17</v>
      </c>
      <c r="D2045">
        <v>29.6</v>
      </c>
      <c r="E2045">
        <v>6.6</v>
      </c>
      <c r="F2045">
        <f t="shared" si="2135"/>
        <v>1.9535999999999998</v>
      </c>
      <c r="G2045">
        <f t="shared" ref="G2045" si="2195">D2040+D2041+D2042+D2043+D2044+D2045</f>
        <v>130.69999999999999</v>
      </c>
      <c r="H2045">
        <f t="shared" si="2134"/>
        <v>2038</v>
      </c>
      <c r="I2045">
        <v>1</v>
      </c>
      <c r="J2045">
        <f t="shared" si="2137"/>
        <v>45.957099999999819</v>
      </c>
      <c r="K2045">
        <f t="shared" si="2138"/>
        <v>0</v>
      </c>
      <c r="L2045">
        <f t="shared" si="2139"/>
        <v>45.957099999999819</v>
      </c>
    </row>
    <row r="2046" spans="2:12">
      <c r="B2046" s="1">
        <v>50684</v>
      </c>
      <c r="C2046" t="s">
        <v>24</v>
      </c>
      <c r="D2046">
        <v>23.4</v>
      </c>
      <c r="E2046">
        <v>0</v>
      </c>
      <c r="F2046">
        <f t="shared" si="2135"/>
        <v>0</v>
      </c>
      <c r="G2046">
        <f t="shared" ref="G2046" si="2196">D2040+D2041+D2042+D2043+D2044+D2045+D2046</f>
        <v>154.1</v>
      </c>
      <c r="H2046">
        <f t="shared" si="2134"/>
        <v>2038</v>
      </c>
      <c r="I2046">
        <v>1</v>
      </c>
      <c r="J2046">
        <f t="shared" si="2137"/>
        <v>45.957099999999819</v>
      </c>
      <c r="K2046">
        <f t="shared" si="2138"/>
        <v>0</v>
      </c>
      <c r="L2046">
        <f t="shared" si="2139"/>
        <v>45.957099999999819</v>
      </c>
    </row>
    <row r="2047" spans="2:12">
      <c r="B2047" s="1">
        <v>50685</v>
      </c>
      <c r="C2047" t="s">
        <v>18</v>
      </c>
      <c r="D2047">
        <v>21.3</v>
      </c>
      <c r="E2047">
        <v>22.4</v>
      </c>
      <c r="F2047">
        <f t="shared" si="2135"/>
        <v>4.7712000000000003</v>
      </c>
      <c r="G2047">
        <f t="shared" ref="G2047:G2074" si="2197">D2047</f>
        <v>21.3</v>
      </c>
      <c r="H2047">
        <f t="shared" si="2134"/>
        <v>2038</v>
      </c>
      <c r="I2047">
        <v>1</v>
      </c>
      <c r="J2047">
        <f t="shared" si="2137"/>
        <v>50.72829999999982</v>
      </c>
      <c r="K2047">
        <f t="shared" si="2138"/>
        <v>0</v>
      </c>
      <c r="L2047">
        <f t="shared" si="2139"/>
        <v>50.72829999999982</v>
      </c>
    </row>
    <row r="2048" spans="2:12">
      <c r="B2048" s="1">
        <v>50686</v>
      </c>
      <c r="C2048" t="s">
        <v>50</v>
      </c>
      <c r="D2048">
        <v>18.600000000000001</v>
      </c>
      <c r="E2048">
        <v>0</v>
      </c>
      <c r="F2048">
        <f t="shared" si="2135"/>
        <v>0</v>
      </c>
      <c r="G2048">
        <f t="shared" ref="G2048:G2074" si="2198">D2047+D2048</f>
        <v>39.900000000000006</v>
      </c>
      <c r="H2048">
        <f t="shared" si="2134"/>
        <v>2038</v>
      </c>
      <c r="I2048">
        <v>1</v>
      </c>
      <c r="J2048">
        <f t="shared" si="2137"/>
        <v>50.72829999999982</v>
      </c>
      <c r="K2048">
        <f t="shared" si="2138"/>
        <v>0</v>
      </c>
      <c r="L2048">
        <f t="shared" si="2139"/>
        <v>50.72829999999982</v>
      </c>
    </row>
    <row r="2049" spans="2:12">
      <c r="B2049" s="1">
        <v>50687</v>
      </c>
      <c r="C2049" t="s">
        <v>27</v>
      </c>
      <c r="D2049">
        <v>16.8</v>
      </c>
      <c r="E2049">
        <v>2.8</v>
      </c>
      <c r="F2049">
        <f t="shared" si="2135"/>
        <v>0.47039999999999998</v>
      </c>
      <c r="G2049">
        <f t="shared" ref="G2049" si="2199">D2047+D2048+D2049</f>
        <v>56.7</v>
      </c>
      <c r="H2049">
        <f t="shared" si="2134"/>
        <v>2038</v>
      </c>
      <c r="I2049">
        <v>1</v>
      </c>
      <c r="J2049">
        <f t="shared" si="2137"/>
        <v>51.198699999999818</v>
      </c>
      <c r="K2049">
        <f t="shared" si="2138"/>
        <v>0</v>
      </c>
      <c r="L2049">
        <f t="shared" si="2139"/>
        <v>51.198699999999818</v>
      </c>
    </row>
    <row r="2050" spans="2:12">
      <c r="B2050" s="1">
        <v>50688</v>
      </c>
      <c r="C2050" t="s">
        <v>40</v>
      </c>
      <c r="D2050">
        <v>13.2</v>
      </c>
      <c r="E2050">
        <v>4</v>
      </c>
      <c r="F2050">
        <f t="shared" si="2135"/>
        <v>0.52800000000000002</v>
      </c>
      <c r="G2050">
        <f t="shared" ref="G2050" si="2200">D2047+D2048+D2049+D2050</f>
        <v>69.900000000000006</v>
      </c>
      <c r="H2050">
        <f t="shared" si="2134"/>
        <v>2038</v>
      </c>
      <c r="I2050">
        <v>1</v>
      </c>
      <c r="J2050">
        <f t="shared" si="2137"/>
        <v>51.726699999999816</v>
      </c>
      <c r="K2050">
        <f t="shared" si="2138"/>
        <v>0</v>
      </c>
      <c r="L2050">
        <f t="shared" si="2139"/>
        <v>51.726699999999816</v>
      </c>
    </row>
    <row r="2051" spans="2:12">
      <c r="B2051" s="1">
        <v>50689</v>
      </c>
      <c r="C2051" t="s">
        <v>50</v>
      </c>
      <c r="D2051">
        <v>29.8</v>
      </c>
      <c r="E2051">
        <v>24.9</v>
      </c>
      <c r="F2051">
        <f t="shared" si="2135"/>
        <v>7.4201999999999995</v>
      </c>
      <c r="G2051">
        <f t="shared" ref="G2051" si="2201">D2047+D2048+D2049+D2050+D2051</f>
        <v>99.7</v>
      </c>
      <c r="H2051">
        <f t="shared" si="2134"/>
        <v>2038</v>
      </c>
      <c r="I2051">
        <v>1</v>
      </c>
      <c r="J2051">
        <f t="shared" si="2137"/>
        <v>59.146899999999818</v>
      </c>
      <c r="K2051">
        <f t="shared" si="2138"/>
        <v>0</v>
      </c>
      <c r="L2051">
        <f t="shared" si="2139"/>
        <v>59.146899999999818</v>
      </c>
    </row>
    <row r="2052" spans="2:12">
      <c r="B2052" s="1">
        <v>50690</v>
      </c>
      <c r="C2052" t="s">
        <v>24</v>
      </c>
      <c r="D2052">
        <v>10.6</v>
      </c>
      <c r="E2052">
        <v>31.8</v>
      </c>
      <c r="F2052">
        <f t="shared" si="2135"/>
        <v>3.3708</v>
      </c>
      <c r="G2052">
        <f t="shared" ref="G2052" si="2202">D2047+D2048+D2049+D2050+D2051+D2052</f>
        <v>110.3</v>
      </c>
      <c r="H2052">
        <f t="shared" ref="H2052:H2074" si="2203">YEAR(B2052)</f>
        <v>2038</v>
      </c>
      <c r="I2052">
        <v>1</v>
      </c>
      <c r="J2052">
        <f t="shared" si="2137"/>
        <v>62.51769999999982</v>
      </c>
      <c r="K2052">
        <f t="shared" si="2138"/>
        <v>0</v>
      </c>
      <c r="L2052">
        <f t="shared" si="2139"/>
        <v>62.51769999999982</v>
      </c>
    </row>
    <row r="2053" spans="2:12">
      <c r="B2053" s="1">
        <v>50691</v>
      </c>
      <c r="C2053" t="s">
        <v>32</v>
      </c>
      <c r="D2053">
        <v>11.9</v>
      </c>
      <c r="E2053">
        <v>12.3</v>
      </c>
      <c r="F2053">
        <f t="shared" ref="F2053:F2074" si="2204">IF(E2053&gt;=1,D2053*E2053/100,0)</f>
        <v>1.4637</v>
      </c>
      <c r="G2053">
        <f t="shared" ref="G2053" si="2205">D2047+D2048+D2049+D2050+D2051+D2052+D2053</f>
        <v>122.2</v>
      </c>
      <c r="H2053">
        <f t="shared" si="2203"/>
        <v>2038</v>
      </c>
      <c r="I2053">
        <v>1</v>
      </c>
      <c r="J2053">
        <f t="shared" ref="J2053:J2074" si="2206">L2052+F2053</f>
        <v>63.981399999999823</v>
      </c>
      <c r="K2053">
        <f t="shared" ref="K2053:K2074" si="2207">IF(J2053&gt;=100,1,0)</f>
        <v>0</v>
      </c>
      <c r="L2053">
        <f t="shared" ref="L2053:L2074" si="2208">IF(K2053=1,J2053-100,J2053)</f>
        <v>63.981399999999823</v>
      </c>
    </row>
    <row r="2054" spans="2:12">
      <c r="B2054" s="1">
        <v>50692</v>
      </c>
      <c r="C2054" t="s">
        <v>39</v>
      </c>
      <c r="D2054">
        <v>26.8</v>
      </c>
      <c r="E2054">
        <v>0.5</v>
      </c>
      <c r="F2054">
        <f t="shared" si="2204"/>
        <v>0</v>
      </c>
      <c r="G2054">
        <f t="shared" ref="G2054:G2074" si="2209">D2054</f>
        <v>26.8</v>
      </c>
      <c r="H2054">
        <f t="shared" si="2203"/>
        <v>2038</v>
      </c>
      <c r="I2054">
        <v>1</v>
      </c>
      <c r="J2054">
        <f t="shared" si="2206"/>
        <v>63.981399999999823</v>
      </c>
      <c r="K2054">
        <f t="shared" si="2207"/>
        <v>0</v>
      </c>
      <c r="L2054">
        <f t="shared" si="2208"/>
        <v>63.981399999999823</v>
      </c>
    </row>
    <row r="2055" spans="2:12">
      <c r="B2055" s="1">
        <v>50693</v>
      </c>
      <c r="C2055" t="s">
        <v>43</v>
      </c>
      <c r="D2055">
        <v>29</v>
      </c>
      <c r="E2055">
        <v>3.5</v>
      </c>
      <c r="F2055">
        <f t="shared" si="2204"/>
        <v>1.0149999999999999</v>
      </c>
      <c r="G2055">
        <f t="shared" ref="G2055:G2074" si="2210">D2054+D2055</f>
        <v>55.8</v>
      </c>
      <c r="H2055">
        <f t="shared" si="2203"/>
        <v>2038</v>
      </c>
      <c r="I2055">
        <v>1</v>
      </c>
      <c r="J2055">
        <f t="shared" si="2206"/>
        <v>64.996399999999824</v>
      </c>
      <c r="K2055">
        <f t="shared" si="2207"/>
        <v>0</v>
      </c>
      <c r="L2055">
        <f t="shared" si="2208"/>
        <v>64.996399999999824</v>
      </c>
    </row>
    <row r="2056" spans="2:12">
      <c r="B2056" s="1">
        <v>50694</v>
      </c>
      <c r="C2056" t="s">
        <v>40</v>
      </c>
      <c r="D2056">
        <v>22.9</v>
      </c>
      <c r="E2056">
        <v>2</v>
      </c>
      <c r="F2056">
        <f t="shared" si="2204"/>
        <v>0.45799999999999996</v>
      </c>
      <c r="G2056">
        <f t="shared" ref="G2056" si="2211">D2054+D2055+D2056</f>
        <v>78.699999999999989</v>
      </c>
      <c r="H2056">
        <f t="shared" si="2203"/>
        <v>2038</v>
      </c>
      <c r="I2056">
        <v>1</v>
      </c>
      <c r="J2056">
        <f t="shared" si="2206"/>
        <v>65.454399999999822</v>
      </c>
      <c r="K2056">
        <f t="shared" si="2207"/>
        <v>0</v>
      </c>
      <c r="L2056">
        <f t="shared" si="2208"/>
        <v>65.454399999999822</v>
      </c>
    </row>
    <row r="2057" spans="2:12">
      <c r="B2057" s="1">
        <v>50695</v>
      </c>
      <c r="C2057" t="s">
        <v>46</v>
      </c>
      <c r="D2057">
        <v>27.1</v>
      </c>
      <c r="E2057">
        <v>0</v>
      </c>
      <c r="F2057">
        <f t="shared" si="2204"/>
        <v>0</v>
      </c>
      <c r="G2057">
        <f t="shared" ref="G2057" si="2212">D2054+D2055+D2056+D2057</f>
        <v>105.79999999999998</v>
      </c>
      <c r="H2057">
        <f t="shared" si="2203"/>
        <v>2038</v>
      </c>
      <c r="I2057">
        <v>1</v>
      </c>
      <c r="J2057">
        <f t="shared" si="2206"/>
        <v>65.454399999999822</v>
      </c>
      <c r="K2057">
        <f t="shared" si="2207"/>
        <v>0</v>
      </c>
      <c r="L2057">
        <f t="shared" si="2208"/>
        <v>65.454399999999822</v>
      </c>
    </row>
    <row r="2058" spans="2:12">
      <c r="B2058" s="1">
        <v>50696</v>
      </c>
      <c r="C2058" t="s">
        <v>24</v>
      </c>
      <c r="D2058">
        <v>11.8</v>
      </c>
      <c r="E2058">
        <v>49</v>
      </c>
      <c r="F2058">
        <f t="shared" si="2204"/>
        <v>5.782</v>
      </c>
      <c r="G2058">
        <f t="shared" ref="G2058" si="2213">D2054+D2055+D2056+D2057+D2058</f>
        <v>117.59999999999998</v>
      </c>
      <c r="H2058">
        <f t="shared" si="2203"/>
        <v>2038</v>
      </c>
      <c r="I2058">
        <v>1</v>
      </c>
      <c r="J2058">
        <f t="shared" si="2206"/>
        <v>71.236399999999819</v>
      </c>
      <c r="K2058">
        <f t="shared" si="2207"/>
        <v>0</v>
      </c>
      <c r="L2058">
        <f t="shared" si="2208"/>
        <v>71.236399999999819</v>
      </c>
    </row>
    <row r="2059" spans="2:12">
      <c r="B2059" s="1">
        <v>50697</v>
      </c>
      <c r="C2059" t="s">
        <v>17</v>
      </c>
      <c r="D2059">
        <v>26.6</v>
      </c>
      <c r="E2059">
        <v>0</v>
      </c>
      <c r="F2059">
        <f t="shared" si="2204"/>
        <v>0</v>
      </c>
      <c r="G2059">
        <f t="shared" ref="G2059" si="2214">D2054+D2055+D2056+D2057+D2058+D2059</f>
        <v>144.19999999999999</v>
      </c>
      <c r="H2059">
        <f t="shared" si="2203"/>
        <v>2038</v>
      </c>
      <c r="I2059">
        <v>1</v>
      </c>
      <c r="J2059">
        <f t="shared" si="2206"/>
        <v>71.236399999999819</v>
      </c>
      <c r="K2059">
        <f t="shared" si="2207"/>
        <v>0</v>
      </c>
      <c r="L2059">
        <f t="shared" si="2208"/>
        <v>71.236399999999819</v>
      </c>
    </row>
    <row r="2060" spans="2:12">
      <c r="B2060" s="1">
        <v>50698</v>
      </c>
      <c r="C2060" t="s">
        <v>47</v>
      </c>
      <c r="D2060">
        <v>21.3</v>
      </c>
      <c r="E2060">
        <v>0</v>
      </c>
      <c r="F2060">
        <f t="shared" si="2204"/>
        <v>0</v>
      </c>
      <c r="G2060">
        <f t="shared" ref="G2060" si="2215">D2054+D2055+D2056+D2057+D2058+D2059+D2060</f>
        <v>165.5</v>
      </c>
      <c r="H2060">
        <f t="shared" si="2203"/>
        <v>2038</v>
      </c>
      <c r="I2060">
        <v>1</v>
      </c>
      <c r="J2060">
        <f t="shared" si="2206"/>
        <v>71.236399999999819</v>
      </c>
      <c r="K2060">
        <f t="shared" si="2207"/>
        <v>0</v>
      </c>
      <c r="L2060">
        <f t="shared" si="2208"/>
        <v>71.236399999999819</v>
      </c>
    </row>
    <row r="2061" spans="2:12">
      <c r="B2061" s="1">
        <v>50699</v>
      </c>
      <c r="C2061" t="s">
        <v>25</v>
      </c>
      <c r="D2061">
        <v>23.2</v>
      </c>
      <c r="E2061">
        <v>0</v>
      </c>
      <c r="F2061">
        <f t="shared" si="2204"/>
        <v>0</v>
      </c>
      <c r="G2061">
        <f t="shared" ref="G2061:G2074" si="2216">D2061</f>
        <v>23.2</v>
      </c>
      <c r="H2061">
        <f t="shared" si="2203"/>
        <v>2038</v>
      </c>
      <c r="I2061">
        <v>1</v>
      </c>
      <c r="J2061">
        <f t="shared" si="2206"/>
        <v>71.236399999999819</v>
      </c>
      <c r="K2061">
        <f t="shared" si="2207"/>
        <v>0</v>
      </c>
      <c r="L2061">
        <f t="shared" si="2208"/>
        <v>71.236399999999819</v>
      </c>
    </row>
    <row r="2062" spans="2:12">
      <c r="B2062" s="1">
        <v>50700</v>
      </c>
      <c r="C2062" t="s">
        <v>24</v>
      </c>
      <c r="D2062">
        <v>27.3</v>
      </c>
      <c r="E2062">
        <v>0</v>
      </c>
      <c r="F2062">
        <f t="shared" si="2204"/>
        <v>0</v>
      </c>
      <c r="G2062">
        <f t="shared" ref="G2062:G2074" si="2217">D2061+D2062</f>
        <v>50.5</v>
      </c>
      <c r="H2062">
        <f t="shared" si="2203"/>
        <v>2038</v>
      </c>
      <c r="I2062">
        <v>1</v>
      </c>
      <c r="J2062">
        <f t="shared" si="2206"/>
        <v>71.236399999999819</v>
      </c>
      <c r="K2062">
        <f t="shared" si="2207"/>
        <v>0</v>
      </c>
      <c r="L2062">
        <f t="shared" si="2208"/>
        <v>71.236399999999819</v>
      </c>
    </row>
    <row r="2063" spans="2:12">
      <c r="B2063" s="1">
        <v>50701</v>
      </c>
      <c r="C2063" t="s">
        <v>27</v>
      </c>
      <c r="D2063">
        <v>21.3</v>
      </c>
      <c r="E2063">
        <v>2.6</v>
      </c>
      <c r="F2063">
        <f t="shared" si="2204"/>
        <v>0.55380000000000007</v>
      </c>
      <c r="G2063">
        <f t="shared" ref="G2063" si="2218">D2061+D2062+D2063</f>
        <v>71.8</v>
      </c>
      <c r="H2063">
        <f t="shared" si="2203"/>
        <v>2038</v>
      </c>
      <c r="I2063">
        <v>1</v>
      </c>
      <c r="J2063">
        <f t="shared" si="2206"/>
        <v>71.790199999999814</v>
      </c>
      <c r="K2063">
        <f t="shared" si="2207"/>
        <v>0</v>
      </c>
      <c r="L2063">
        <f t="shared" si="2208"/>
        <v>71.790199999999814</v>
      </c>
    </row>
    <row r="2064" spans="2:12">
      <c r="B2064" s="1">
        <v>50702</v>
      </c>
      <c r="C2064" t="s">
        <v>50</v>
      </c>
      <c r="D2064">
        <v>22.9</v>
      </c>
      <c r="E2064">
        <v>5.3</v>
      </c>
      <c r="F2064">
        <f t="shared" si="2204"/>
        <v>1.2137</v>
      </c>
      <c r="G2064">
        <f t="shared" ref="G2064" si="2219">D2061+D2062+D2063+D2064</f>
        <v>94.699999999999989</v>
      </c>
      <c r="H2064">
        <f t="shared" si="2203"/>
        <v>2038</v>
      </c>
      <c r="I2064">
        <v>1</v>
      </c>
      <c r="J2064">
        <f t="shared" si="2206"/>
        <v>73.003899999999817</v>
      </c>
      <c r="K2064">
        <f t="shared" si="2207"/>
        <v>0</v>
      </c>
      <c r="L2064">
        <f t="shared" si="2208"/>
        <v>73.003899999999817</v>
      </c>
    </row>
    <row r="2065" spans="2:12">
      <c r="B2065" s="1">
        <v>50703</v>
      </c>
      <c r="C2065" t="s">
        <v>23</v>
      </c>
      <c r="D2065">
        <v>25</v>
      </c>
      <c r="E2065">
        <v>0</v>
      </c>
      <c r="F2065">
        <f t="shared" si="2204"/>
        <v>0</v>
      </c>
      <c r="G2065">
        <f t="shared" ref="G2065" si="2220">D2061+D2062+D2063+D2064+D2065</f>
        <v>119.69999999999999</v>
      </c>
      <c r="H2065">
        <f t="shared" si="2203"/>
        <v>2038</v>
      </c>
      <c r="I2065">
        <v>1</v>
      </c>
      <c r="J2065">
        <f t="shared" si="2206"/>
        <v>73.003899999999817</v>
      </c>
      <c r="K2065">
        <f t="shared" si="2207"/>
        <v>0</v>
      </c>
      <c r="L2065">
        <f t="shared" si="2208"/>
        <v>73.003899999999817</v>
      </c>
    </row>
    <row r="2066" spans="2:12">
      <c r="B2066" s="1">
        <v>50704</v>
      </c>
      <c r="C2066" t="s">
        <v>37</v>
      </c>
      <c r="D2066">
        <v>15.9</v>
      </c>
      <c r="E2066">
        <v>2.5</v>
      </c>
      <c r="F2066">
        <f t="shared" si="2204"/>
        <v>0.39750000000000002</v>
      </c>
      <c r="G2066">
        <f t="shared" ref="G2066" si="2221">D2061+D2062+D2063+D2064+D2065+D2066</f>
        <v>135.6</v>
      </c>
      <c r="H2066">
        <f t="shared" si="2203"/>
        <v>2038</v>
      </c>
      <c r="I2066">
        <v>1</v>
      </c>
      <c r="J2066">
        <f t="shared" si="2206"/>
        <v>73.401399999999811</v>
      </c>
      <c r="K2066">
        <f t="shared" si="2207"/>
        <v>0</v>
      </c>
      <c r="L2066">
        <f t="shared" si="2208"/>
        <v>73.401399999999811</v>
      </c>
    </row>
    <row r="2067" spans="2:12">
      <c r="B2067" s="1">
        <v>50705</v>
      </c>
      <c r="C2067" t="s">
        <v>43</v>
      </c>
      <c r="D2067">
        <v>19.2</v>
      </c>
      <c r="E2067">
        <v>1.3</v>
      </c>
      <c r="F2067">
        <f t="shared" si="2204"/>
        <v>0.24960000000000002</v>
      </c>
      <c r="G2067">
        <f t="shared" ref="G2067" si="2222">D2061+D2062+D2063+D2064+D2065+D2066+D2067</f>
        <v>154.79999999999998</v>
      </c>
      <c r="H2067">
        <f t="shared" si="2203"/>
        <v>2038</v>
      </c>
      <c r="I2067">
        <v>1</v>
      </c>
      <c r="J2067">
        <f t="shared" si="2206"/>
        <v>73.650999999999812</v>
      </c>
      <c r="K2067">
        <f t="shared" si="2207"/>
        <v>0</v>
      </c>
      <c r="L2067">
        <f t="shared" si="2208"/>
        <v>73.650999999999812</v>
      </c>
    </row>
    <row r="2068" spans="2:12">
      <c r="B2068" s="1">
        <v>50706</v>
      </c>
      <c r="C2068" t="s">
        <v>18</v>
      </c>
      <c r="D2068">
        <v>22.5</v>
      </c>
      <c r="E2068">
        <v>10.9</v>
      </c>
      <c r="F2068">
        <f t="shared" si="2204"/>
        <v>2.4525000000000001</v>
      </c>
      <c r="G2068">
        <f t="shared" ref="G2068:G2074" si="2223">D2068</f>
        <v>22.5</v>
      </c>
      <c r="H2068">
        <f t="shared" si="2203"/>
        <v>2038</v>
      </c>
      <c r="I2068">
        <v>1</v>
      </c>
      <c r="J2068">
        <f t="shared" si="2206"/>
        <v>76.103499999999812</v>
      </c>
      <c r="K2068">
        <f t="shared" si="2207"/>
        <v>0</v>
      </c>
      <c r="L2068">
        <f t="shared" si="2208"/>
        <v>76.103499999999812</v>
      </c>
    </row>
    <row r="2069" spans="2:12">
      <c r="B2069" s="1">
        <v>50707</v>
      </c>
      <c r="C2069" t="s">
        <v>27</v>
      </c>
      <c r="D2069">
        <v>28.7</v>
      </c>
      <c r="E2069">
        <v>13.3</v>
      </c>
      <c r="F2069">
        <f t="shared" si="2204"/>
        <v>3.8171000000000004</v>
      </c>
      <c r="G2069">
        <f t="shared" ref="G2069:G2074" si="2224">D2068+D2069</f>
        <v>51.2</v>
      </c>
      <c r="H2069">
        <f t="shared" si="2203"/>
        <v>2038</v>
      </c>
      <c r="I2069">
        <v>1</v>
      </c>
      <c r="J2069">
        <f t="shared" si="2206"/>
        <v>79.920599999999808</v>
      </c>
      <c r="K2069">
        <f t="shared" si="2207"/>
        <v>0</v>
      </c>
      <c r="L2069">
        <f t="shared" si="2208"/>
        <v>79.920599999999808</v>
      </c>
    </row>
    <row r="2070" spans="2:12">
      <c r="B2070" s="1">
        <v>50708</v>
      </c>
      <c r="C2070" t="s">
        <v>50</v>
      </c>
      <c r="D2070">
        <v>14.6</v>
      </c>
      <c r="E2070">
        <v>29.3</v>
      </c>
      <c r="F2070">
        <f t="shared" si="2204"/>
        <v>4.2778</v>
      </c>
      <c r="G2070">
        <f t="shared" ref="G2070" si="2225">D2068+D2069+D2070</f>
        <v>65.8</v>
      </c>
      <c r="H2070">
        <f t="shared" si="2203"/>
        <v>2038</v>
      </c>
      <c r="I2070">
        <v>1</v>
      </c>
      <c r="J2070">
        <f t="shared" si="2206"/>
        <v>84.198399999999808</v>
      </c>
      <c r="K2070">
        <f t="shared" si="2207"/>
        <v>0</v>
      </c>
      <c r="L2070">
        <f t="shared" si="2208"/>
        <v>84.198399999999808</v>
      </c>
    </row>
    <row r="2071" spans="2:12">
      <c r="B2071" s="1">
        <v>50709</v>
      </c>
      <c r="C2071" t="s">
        <v>47</v>
      </c>
      <c r="D2071">
        <v>12.1</v>
      </c>
      <c r="E2071">
        <v>6.5</v>
      </c>
      <c r="F2071">
        <f t="shared" si="2204"/>
        <v>0.78649999999999987</v>
      </c>
      <c r="G2071">
        <f t="shared" ref="G2071" si="2226">D2068+D2069+D2070+D2071</f>
        <v>77.899999999999991</v>
      </c>
      <c r="H2071">
        <f t="shared" si="2203"/>
        <v>2038</v>
      </c>
      <c r="I2071">
        <v>1</v>
      </c>
      <c r="J2071">
        <f t="shared" si="2206"/>
        <v>84.984899999999811</v>
      </c>
      <c r="K2071">
        <f t="shared" si="2207"/>
        <v>0</v>
      </c>
      <c r="L2071">
        <f t="shared" si="2208"/>
        <v>84.984899999999811</v>
      </c>
    </row>
    <row r="2072" spans="2:12">
      <c r="B2072" s="1">
        <v>50710</v>
      </c>
      <c r="C2072" t="s">
        <v>50</v>
      </c>
      <c r="D2072">
        <v>20</v>
      </c>
      <c r="E2072">
        <v>26.1</v>
      </c>
      <c r="F2072">
        <f t="shared" si="2204"/>
        <v>5.22</v>
      </c>
      <c r="G2072">
        <f t="shared" ref="G2072" si="2227">D2068+D2069+D2070+D2071+D2072</f>
        <v>97.899999999999991</v>
      </c>
      <c r="H2072">
        <f t="shared" si="2203"/>
        <v>2038</v>
      </c>
      <c r="I2072">
        <v>1</v>
      </c>
      <c r="J2072">
        <f t="shared" si="2206"/>
        <v>90.20489999999981</v>
      </c>
      <c r="K2072">
        <f t="shared" si="2207"/>
        <v>0</v>
      </c>
      <c r="L2072">
        <f t="shared" si="2208"/>
        <v>90.20489999999981</v>
      </c>
    </row>
    <row r="2073" spans="2:12">
      <c r="B2073" s="1">
        <v>50711</v>
      </c>
      <c r="C2073" t="s">
        <v>38</v>
      </c>
      <c r="D2073">
        <v>20.8</v>
      </c>
      <c r="E2073">
        <v>2.5</v>
      </c>
      <c r="F2073">
        <f t="shared" si="2204"/>
        <v>0.52</v>
      </c>
      <c r="G2073">
        <f t="shared" ref="G2073" si="2228">D2068+D2069+D2070+D2071+D2072+D2073</f>
        <v>118.69999999999999</v>
      </c>
      <c r="H2073">
        <f t="shared" si="2203"/>
        <v>2038</v>
      </c>
      <c r="I2073">
        <v>1</v>
      </c>
      <c r="J2073">
        <f t="shared" si="2206"/>
        <v>90.724899999999806</v>
      </c>
      <c r="K2073">
        <f t="shared" si="2207"/>
        <v>0</v>
      </c>
      <c r="L2073">
        <f t="shared" si="2208"/>
        <v>90.724899999999806</v>
      </c>
    </row>
    <row r="2074" spans="2:12">
      <c r="B2074" s="1">
        <v>50712</v>
      </c>
      <c r="C2074" t="s">
        <v>18</v>
      </c>
      <c r="D2074">
        <v>26.6</v>
      </c>
      <c r="E2074">
        <v>5.9</v>
      </c>
      <c r="F2074">
        <f t="shared" si="2204"/>
        <v>1.5694000000000004</v>
      </c>
      <c r="G2074">
        <f t="shared" ref="G2074" si="2229">D2068+D2069+D2070+D2071+D2072+D2073+D2074</f>
        <v>145.29999999999998</v>
      </c>
      <c r="H2074">
        <f t="shared" si="2203"/>
        <v>2038</v>
      </c>
      <c r="I2074">
        <v>1</v>
      </c>
      <c r="J2074">
        <f t="shared" si="2206"/>
        <v>92.294299999999808</v>
      </c>
      <c r="K2074">
        <f t="shared" si="2207"/>
        <v>0</v>
      </c>
      <c r="L2074">
        <f t="shared" si="2208"/>
        <v>92.294299999999808</v>
      </c>
    </row>
  </sheetData>
  <mergeCells count="8">
    <mergeCell ref="R14:R15"/>
    <mergeCell ref="N3:P3"/>
    <mergeCell ref="N4:P4"/>
    <mergeCell ref="N8:P9"/>
    <mergeCell ref="Q8:Q9"/>
    <mergeCell ref="N14:P15"/>
    <mergeCell ref="Q14:Q15"/>
    <mergeCell ref="N13:P13"/>
  </mergeCells>
  <conditionalFormatting sqref="G1:G1048576">
    <cfRule type="cellIs" dxfId="1" priority="3" operator="equal">
      <formula>$M$3</formula>
    </cfRule>
  </conditionalFormatting>
  <conditionalFormatting sqref="K1:K1048576">
    <cfRule type="cellIs" dxfId="0" priority="1" operator="equal">
      <formula>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B109-6DDC-41C6-8B9F-AB672C42A58D}">
  <dimension ref="A3:E34"/>
  <sheetViews>
    <sheetView topLeftCell="A6" workbookViewId="0">
      <selection activeCell="B33" sqref="B33"/>
    </sheetView>
  </sheetViews>
  <sheetFormatPr defaultRowHeight="15"/>
  <cols>
    <col min="1" max="1" width="18.140625" bestFit="1" customWidth="1"/>
    <col min="2" max="2" width="18.5703125" bestFit="1" customWidth="1"/>
    <col min="4" max="4" width="12.28515625" bestFit="1" customWidth="1"/>
  </cols>
  <sheetData>
    <row r="3" spans="1:5">
      <c r="A3" s="6" t="s">
        <v>1</v>
      </c>
      <c r="B3" t="s">
        <v>55</v>
      </c>
      <c r="D3" t="s">
        <v>56</v>
      </c>
      <c r="E3">
        <f>MIN(B:B)</f>
        <v>17.835714285714282</v>
      </c>
    </row>
    <row r="4" spans="1:5">
      <c r="A4" t="s">
        <v>35</v>
      </c>
      <c r="B4" s="7">
        <v>20.923255813953489</v>
      </c>
    </row>
    <row r="5" spans="1:5">
      <c r="A5" t="s">
        <v>25</v>
      </c>
      <c r="B5" s="7">
        <v>19.651449275362314</v>
      </c>
    </row>
    <row r="6" spans="1:5">
      <c r="A6" t="s">
        <v>15</v>
      </c>
      <c r="B6" s="7">
        <v>18.398214285714282</v>
      </c>
    </row>
    <row r="7" spans="1:5">
      <c r="A7" t="s">
        <v>31</v>
      </c>
      <c r="B7" s="7">
        <v>19.547457627118646</v>
      </c>
    </row>
    <row r="8" spans="1:5">
      <c r="A8" t="s">
        <v>36</v>
      </c>
      <c r="B8" s="7">
        <v>19.152830188679246</v>
      </c>
    </row>
    <row r="9" spans="1:5">
      <c r="A9" t="s">
        <v>37</v>
      </c>
      <c r="B9" s="7">
        <v>18.451612903225808</v>
      </c>
    </row>
    <row r="10" spans="1:5">
      <c r="A10" t="s">
        <v>38</v>
      </c>
      <c r="B10" s="7">
        <v>19.838000000000001</v>
      </c>
    </row>
    <row r="11" spans="1:5">
      <c r="A11" t="s">
        <v>12</v>
      </c>
      <c r="B11" s="7">
        <v>18.830769230769231</v>
      </c>
    </row>
    <row r="12" spans="1:5">
      <c r="A12" t="s">
        <v>18</v>
      </c>
      <c r="B12" s="7">
        <v>21.702631578947376</v>
      </c>
    </row>
    <row r="13" spans="1:5">
      <c r="A13" t="s">
        <v>39</v>
      </c>
      <c r="B13" s="7">
        <v>19.720000000000002</v>
      </c>
    </row>
    <row r="14" spans="1:5">
      <c r="A14" t="s">
        <v>40</v>
      </c>
      <c r="B14" s="7">
        <v>18.58717948717949</v>
      </c>
    </row>
    <row r="15" spans="1:5">
      <c r="A15" t="s">
        <v>27</v>
      </c>
      <c r="B15" s="7">
        <v>19.525000000000002</v>
      </c>
    </row>
    <row r="16" spans="1:5">
      <c r="A16" t="s">
        <v>41</v>
      </c>
      <c r="B16" s="7">
        <v>19.113333333333333</v>
      </c>
    </row>
    <row r="17" spans="1:2">
      <c r="A17" t="s">
        <v>24</v>
      </c>
      <c r="B17" s="7">
        <v>19.362251655629144</v>
      </c>
    </row>
    <row r="18" spans="1:2">
      <c r="A18" t="s">
        <v>19</v>
      </c>
      <c r="B18" s="7">
        <v>19.332499999999996</v>
      </c>
    </row>
    <row r="19" spans="1:2">
      <c r="A19" t="s">
        <v>42</v>
      </c>
      <c r="B19" s="7">
        <v>21.551851851851861</v>
      </c>
    </row>
    <row r="20" spans="1:2">
      <c r="A20" t="s">
        <v>43</v>
      </c>
      <c r="B20" s="7">
        <v>19.109375</v>
      </c>
    </row>
    <row r="21" spans="1:2">
      <c r="A21" t="s">
        <v>44</v>
      </c>
      <c r="B21" s="7">
        <v>23.428571428571427</v>
      </c>
    </row>
    <row r="22" spans="1:2">
      <c r="A22" t="s">
        <v>21</v>
      </c>
      <c r="B22" s="7">
        <v>20.128750000000004</v>
      </c>
    </row>
    <row r="23" spans="1:2">
      <c r="A23" t="s">
        <v>45</v>
      </c>
      <c r="B23" s="7">
        <v>22.371428571428567</v>
      </c>
    </row>
    <row r="24" spans="1:2">
      <c r="A24" t="s">
        <v>46</v>
      </c>
      <c r="B24" s="7">
        <v>21.487999999999996</v>
      </c>
    </row>
    <row r="25" spans="1:2">
      <c r="A25" t="s">
        <v>47</v>
      </c>
      <c r="B25" s="7">
        <v>19.852884615384614</v>
      </c>
    </row>
    <row r="26" spans="1:2">
      <c r="A26" t="s">
        <v>17</v>
      </c>
      <c r="B26" s="7">
        <v>20.26153846153845</v>
      </c>
    </row>
    <row r="27" spans="1:2">
      <c r="A27" t="s">
        <v>33</v>
      </c>
      <c r="B27" s="7">
        <v>22.430769230769233</v>
      </c>
    </row>
    <row r="28" spans="1:2">
      <c r="A28" t="s">
        <v>48</v>
      </c>
      <c r="B28" s="7">
        <v>21.426086956521736</v>
      </c>
    </row>
    <row r="29" spans="1:2">
      <c r="A29" t="s">
        <v>32</v>
      </c>
      <c r="B29" s="7">
        <v>20.084251968503942</v>
      </c>
    </row>
    <row r="30" spans="1:2">
      <c r="A30" t="s">
        <v>26</v>
      </c>
      <c r="B30" s="7">
        <v>20.698684210526313</v>
      </c>
    </row>
    <row r="31" spans="1:2">
      <c r="A31" t="s">
        <v>49</v>
      </c>
      <c r="B31" s="7">
        <v>20.065384615384616</v>
      </c>
    </row>
    <row r="32" spans="1:2">
      <c r="A32" t="s">
        <v>50</v>
      </c>
      <c r="B32" s="7">
        <v>20.515021459227452</v>
      </c>
    </row>
    <row r="33" spans="1:2">
      <c r="A33" t="s">
        <v>23</v>
      </c>
      <c r="B33" s="7">
        <v>17.835714285714282</v>
      </c>
    </row>
    <row r="34" spans="1:2">
      <c r="A34" t="s">
        <v>57</v>
      </c>
      <c r="B34" s="7">
        <v>20.028088803088796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9520B-8FBB-4253-B282-8E58C97B2287}">
  <dimension ref="A3:AF20"/>
  <sheetViews>
    <sheetView workbookViewId="0">
      <selection activeCell="A16" sqref="A14:AE20"/>
    </sheetView>
  </sheetViews>
  <sheetFormatPr defaultRowHeight="15"/>
  <cols>
    <col min="1" max="1" width="22" bestFit="1" customWidth="1"/>
    <col min="2" max="2" width="18.140625" bestFit="1" customWidth="1"/>
    <col min="3" max="3" width="9.7109375" bestFit="1" customWidth="1"/>
    <col min="4" max="4" width="10.28515625" bestFit="1" customWidth="1"/>
    <col min="5" max="5" width="7" bestFit="1" customWidth="1"/>
    <col min="6" max="6" width="7.85546875" bestFit="1" customWidth="1"/>
    <col min="7" max="7" width="7.140625" bestFit="1" customWidth="1"/>
    <col min="8" max="8" width="6.7109375" bestFit="1" customWidth="1"/>
    <col min="10" max="10" width="9.140625" bestFit="1" customWidth="1"/>
    <col min="11" max="11" width="7.28515625" bestFit="1" customWidth="1"/>
    <col min="12" max="12" width="8" bestFit="1" customWidth="1"/>
    <col min="13" max="13" width="8.42578125" bestFit="1" customWidth="1"/>
    <col min="14" max="14" width="6.5703125" bestFit="1" customWidth="1"/>
    <col min="15" max="15" width="7.5703125" bestFit="1" customWidth="1"/>
    <col min="16" max="16" width="14.5703125" bestFit="1" customWidth="1"/>
    <col min="17" max="17" width="11.7109375" bestFit="1" customWidth="1"/>
    <col min="18" max="18" width="15.42578125" bestFit="1" customWidth="1"/>
    <col min="19" max="19" width="14" bestFit="1" customWidth="1"/>
    <col min="20" max="20" width="13.5703125" bestFit="1" customWidth="1"/>
    <col min="21" max="21" width="16.42578125" bestFit="1" customWidth="1"/>
    <col min="22" max="22" width="17.42578125" bestFit="1" customWidth="1"/>
    <col min="23" max="23" width="10.85546875" bestFit="1" customWidth="1"/>
    <col min="24" max="24" width="8.140625" bestFit="1" customWidth="1"/>
    <col min="25" max="25" width="10.42578125" bestFit="1" customWidth="1"/>
    <col min="26" max="26" width="11.85546875" bestFit="1" customWidth="1"/>
    <col min="27" max="27" width="15.140625" bestFit="1" customWidth="1"/>
    <col min="28" max="28" width="13.85546875" bestFit="1" customWidth="1"/>
    <col min="29" max="29" width="12" bestFit="1" customWidth="1"/>
    <col min="30" max="30" width="7.42578125" bestFit="1" customWidth="1"/>
    <col min="31" max="31" width="10.85546875" bestFit="1" customWidth="1"/>
    <col min="32" max="32" width="14.7109375" bestFit="1" customWidth="1"/>
  </cols>
  <sheetData>
    <row r="3" spans="1:32">
      <c r="A3" s="6" t="s">
        <v>58</v>
      </c>
      <c r="B3" s="6" t="s">
        <v>1</v>
      </c>
    </row>
    <row r="4" spans="1:32">
      <c r="A4" s="6" t="s">
        <v>6</v>
      </c>
      <c r="B4" t="s">
        <v>35</v>
      </c>
      <c r="C4" t="s">
        <v>25</v>
      </c>
      <c r="D4" t="s">
        <v>15</v>
      </c>
      <c r="E4" t="s">
        <v>31</v>
      </c>
      <c r="F4" t="s">
        <v>36</v>
      </c>
      <c r="G4" t="s">
        <v>37</v>
      </c>
      <c r="H4" t="s">
        <v>38</v>
      </c>
      <c r="I4" t="s">
        <v>12</v>
      </c>
      <c r="J4" t="s">
        <v>18</v>
      </c>
      <c r="K4" t="s">
        <v>39</v>
      </c>
      <c r="L4" t="s">
        <v>40</v>
      </c>
      <c r="M4" t="s">
        <v>27</v>
      </c>
      <c r="N4" t="s">
        <v>41</v>
      </c>
      <c r="O4" t="s">
        <v>24</v>
      </c>
      <c r="P4" t="s">
        <v>19</v>
      </c>
      <c r="Q4" t="s">
        <v>42</v>
      </c>
      <c r="R4" t="s">
        <v>43</v>
      </c>
      <c r="S4" t="s">
        <v>44</v>
      </c>
      <c r="T4" t="s">
        <v>21</v>
      </c>
      <c r="U4" t="s">
        <v>45</v>
      </c>
      <c r="V4" t="s">
        <v>46</v>
      </c>
      <c r="W4" t="s">
        <v>47</v>
      </c>
      <c r="X4" t="s">
        <v>17</v>
      </c>
      <c r="Y4" t="s">
        <v>33</v>
      </c>
      <c r="Z4" t="s">
        <v>48</v>
      </c>
      <c r="AA4" t="s">
        <v>32</v>
      </c>
      <c r="AB4" t="s">
        <v>26</v>
      </c>
      <c r="AC4" t="s">
        <v>49</v>
      </c>
      <c r="AD4" t="s">
        <v>50</v>
      </c>
      <c r="AE4" t="s">
        <v>23</v>
      </c>
      <c r="AF4" t="s">
        <v>57</v>
      </c>
    </row>
    <row r="5" spans="1:32">
      <c r="A5">
        <v>2033</v>
      </c>
      <c r="B5" s="7">
        <v>5</v>
      </c>
      <c r="C5" s="7">
        <v>23</v>
      </c>
      <c r="D5" s="7">
        <v>10</v>
      </c>
      <c r="E5" s="7">
        <v>9</v>
      </c>
      <c r="F5" s="7">
        <v>7</v>
      </c>
      <c r="G5" s="7">
        <v>4</v>
      </c>
      <c r="H5" s="7">
        <v>6</v>
      </c>
      <c r="I5" s="7">
        <v>4</v>
      </c>
      <c r="J5" s="7">
        <v>21</v>
      </c>
      <c r="K5" s="7">
        <v>2</v>
      </c>
      <c r="L5" s="7">
        <v>6</v>
      </c>
      <c r="M5" s="7">
        <v>8</v>
      </c>
      <c r="N5" s="7">
        <v>1</v>
      </c>
      <c r="O5" s="7">
        <v>47</v>
      </c>
      <c r="P5" s="7">
        <v>6</v>
      </c>
      <c r="Q5" s="7">
        <v>11</v>
      </c>
      <c r="R5" s="7">
        <v>8</v>
      </c>
      <c r="S5" s="7">
        <v>2</v>
      </c>
      <c r="T5" s="7">
        <v>14</v>
      </c>
      <c r="U5" s="7">
        <v>2</v>
      </c>
      <c r="V5" s="7">
        <v>4</v>
      </c>
      <c r="W5" s="7">
        <v>11</v>
      </c>
      <c r="X5" s="7">
        <v>13</v>
      </c>
      <c r="Y5" s="7">
        <v>3</v>
      </c>
      <c r="Z5" s="7">
        <v>1</v>
      </c>
      <c r="AA5" s="7">
        <v>25</v>
      </c>
      <c r="AB5" s="7">
        <v>14</v>
      </c>
      <c r="AC5" s="7">
        <v>6</v>
      </c>
      <c r="AD5" s="7">
        <v>29</v>
      </c>
      <c r="AE5" s="7">
        <v>2</v>
      </c>
      <c r="AF5" s="7">
        <v>304</v>
      </c>
    </row>
    <row r="6" spans="1:32">
      <c r="A6">
        <v>2034</v>
      </c>
      <c r="B6" s="7">
        <v>7</v>
      </c>
      <c r="C6" s="7">
        <v>20</v>
      </c>
      <c r="D6" s="7">
        <v>5</v>
      </c>
      <c r="E6" s="7">
        <v>10</v>
      </c>
      <c r="F6" s="7">
        <v>7</v>
      </c>
      <c r="G6" s="7">
        <v>4</v>
      </c>
      <c r="H6" s="7">
        <v>10</v>
      </c>
      <c r="I6" s="7">
        <v>5</v>
      </c>
      <c r="J6" s="7">
        <v>27</v>
      </c>
      <c r="K6" s="7">
        <v>3</v>
      </c>
      <c r="L6" s="7">
        <v>9</v>
      </c>
      <c r="M6" s="7">
        <v>19</v>
      </c>
      <c r="N6" s="7">
        <v>4</v>
      </c>
      <c r="O6" s="7">
        <v>51</v>
      </c>
      <c r="P6" s="7">
        <v>4</v>
      </c>
      <c r="Q6" s="7">
        <v>11</v>
      </c>
      <c r="R6" s="7">
        <v>14</v>
      </c>
      <c r="S6" s="7">
        <v>3</v>
      </c>
      <c r="T6" s="7">
        <v>19</v>
      </c>
      <c r="U6" s="7">
        <v>5</v>
      </c>
      <c r="V6" s="7">
        <v>5</v>
      </c>
      <c r="W6" s="7">
        <v>24</v>
      </c>
      <c r="X6" s="7">
        <v>11</v>
      </c>
      <c r="Y6" s="7">
        <v>3</v>
      </c>
      <c r="Z6" s="7">
        <v>7</v>
      </c>
      <c r="AA6" s="7">
        <v>22</v>
      </c>
      <c r="AB6" s="7">
        <v>12</v>
      </c>
      <c r="AC6" s="7">
        <v>2</v>
      </c>
      <c r="AD6" s="7">
        <v>40</v>
      </c>
      <c r="AE6" s="7">
        <v>2</v>
      </c>
      <c r="AF6" s="7">
        <v>365</v>
      </c>
    </row>
    <row r="7" spans="1:32">
      <c r="A7">
        <v>2035</v>
      </c>
      <c r="B7" s="7">
        <v>11</v>
      </c>
      <c r="C7" s="7">
        <v>21</v>
      </c>
      <c r="D7" s="7">
        <v>9</v>
      </c>
      <c r="E7" s="7">
        <v>15</v>
      </c>
      <c r="F7" s="7">
        <v>11</v>
      </c>
      <c r="G7" s="7">
        <v>3</v>
      </c>
      <c r="H7" s="7">
        <v>7</v>
      </c>
      <c r="I7" s="7">
        <v>1</v>
      </c>
      <c r="J7" s="7">
        <v>18</v>
      </c>
      <c r="K7" s="7">
        <v>2</v>
      </c>
      <c r="L7" s="7">
        <v>5</v>
      </c>
      <c r="M7" s="7">
        <v>23</v>
      </c>
      <c r="N7" s="7">
        <v>2</v>
      </c>
      <c r="O7" s="7">
        <v>67</v>
      </c>
      <c r="P7" s="7">
        <v>5</v>
      </c>
      <c r="Q7" s="7">
        <v>9</v>
      </c>
      <c r="R7" s="7">
        <v>10</v>
      </c>
      <c r="S7" s="7">
        <v>2</v>
      </c>
      <c r="T7" s="7">
        <v>8</v>
      </c>
      <c r="U7" s="7">
        <v>3</v>
      </c>
      <c r="V7" s="7">
        <v>5</v>
      </c>
      <c r="W7" s="7">
        <v>23</v>
      </c>
      <c r="X7" s="7">
        <v>11</v>
      </c>
      <c r="Y7" s="7">
        <v>1</v>
      </c>
      <c r="Z7" s="7">
        <v>2</v>
      </c>
      <c r="AA7" s="7">
        <v>25</v>
      </c>
      <c r="AB7" s="7">
        <v>19</v>
      </c>
      <c r="AC7" s="7">
        <v>5</v>
      </c>
      <c r="AD7" s="7">
        <v>38</v>
      </c>
      <c r="AE7" s="7">
        <v>4</v>
      </c>
      <c r="AF7" s="7">
        <v>365</v>
      </c>
    </row>
    <row r="8" spans="1:32">
      <c r="A8">
        <v>2036</v>
      </c>
      <c r="B8" s="7">
        <v>2</v>
      </c>
      <c r="C8" s="7">
        <v>29</v>
      </c>
      <c r="D8" s="7">
        <v>12</v>
      </c>
      <c r="E8" s="7">
        <v>8</v>
      </c>
      <c r="F8" s="7">
        <v>14</v>
      </c>
      <c r="G8" s="7">
        <v>3</v>
      </c>
      <c r="H8" s="7">
        <v>13</v>
      </c>
      <c r="I8" s="7">
        <v>1</v>
      </c>
      <c r="J8" s="7">
        <v>33</v>
      </c>
      <c r="K8" s="7">
        <v>3</v>
      </c>
      <c r="L8" s="7">
        <v>4</v>
      </c>
      <c r="M8" s="7">
        <v>20</v>
      </c>
      <c r="N8" s="7">
        <v>1</v>
      </c>
      <c r="O8" s="7">
        <v>53</v>
      </c>
      <c r="P8" s="7">
        <v>3</v>
      </c>
      <c r="Q8" s="7">
        <v>10</v>
      </c>
      <c r="R8" s="7">
        <v>8</v>
      </c>
      <c r="S8" s="7">
        <v>3</v>
      </c>
      <c r="T8" s="7">
        <v>13</v>
      </c>
      <c r="U8" s="7">
        <v>2</v>
      </c>
      <c r="V8" s="7">
        <v>2</v>
      </c>
      <c r="W8" s="7">
        <v>19</v>
      </c>
      <c r="X8" s="7">
        <v>25</v>
      </c>
      <c r="Y8" s="7"/>
      <c r="Z8" s="7">
        <v>4</v>
      </c>
      <c r="AA8" s="7">
        <v>22</v>
      </c>
      <c r="AB8" s="7">
        <v>13</v>
      </c>
      <c r="AC8" s="7">
        <v>4</v>
      </c>
      <c r="AD8" s="7">
        <v>41</v>
      </c>
      <c r="AE8" s="7">
        <v>1</v>
      </c>
      <c r="AF8" s="7">
        <v>366</v>
      </c>
    </row>
    <row r="9" spans="1:32">
      <c r="A9">
        <v>2037</v>
      </c>
      <c r="B9" s="7">
        <v>13</v>
      </c>
      <c r="C9" s="7">
        <v>20</v>
      </c>
      <c r="D9" s="7">
        <v>10</v>
      </c>
      <c r="E9" s="7">
        <v>10</v>
      </c>
      <c r="F9" s="7">
        <v>5</v>
      </c>
      <c r="G9" s="7">
        <v>10</v>
      </c>
      <c r="H9" s="7">
        <v>7</v>
      </c>
      <c r="I9" s="7">
        <v>1</v>
      </c>
      <c r="J9" s="7">
        <v>30</v>
      </c>
      <c r="K9" s="7">
        <v>3</v>
      </c>
      <c r="L9" s="7">
        <v>8</v>
      </c>
      <c r="M9" s="7">
        <v>22</v>
      </c>
      <c r="N9" s="7">
        <v>3</v>
      </c>
      <c r="O9" s="7">
        <v>51</v>
      </c>
      <c r="P9" s="7">
        <v>9</v>
      </c>
      <c r="Q9" s="7">
        <v>10</v>
      </c>
      <c r="R9" s="7">
        <v>14</v>
      </c>
      <c r="S9" s="7">
        <v>2</v>
      </c>
      <c r="T9" s="7">
        <v>14</v>
      </c>
      <c r="U9" s="7"/>
      <c r="V9" s="7">
        <v>2</v>
      </c>
      <c r="W9" s="7">
        <v>14</v>
      </c>
      <c r="X9" s="7">
        <v>17</v>
      </c>
      <c r="Y9" s="7">
        <v>4</v>
      </c>
      <c r="Z9" s="7">
        <v>5</v>
      </c>
      <c r="AA9" s="7">
        <v>15</v>
      </c>
      <c r="AB9" s="7">
        <v>12</v>
      </c>
      <c r="AC9" s="7">
        <v>6</v>
      </c>
      <c r="AD9" s="7">
        <v>46</v>
      </c>
      <c r="AE9" s="7">
        <v>2</v>
      </c>
      <c r="AF9" s="7">
        <v>365</v>
      </c>
    </row>
    <row r="10" spans="1:32">
      <c r="A10">
        <v>2038</v>
      </c>
      <c r="B10" s="7">
        <v>5</v>
      </c>
      <c r="C10" s="7">
        <v>25</v>
      </c>
      <c r="D10" s="7">
        <v>10</v>
      </c>
      <c r="E10" s="7">
        <v>7</v>
      </c>
      <c r="F10" s="7">
        <v>9</v>
      </c>
      <c r="G10" s="7">
        <v>7</v>
      </c>
      <c r="H10" s="7">
        <v>7</v>
      </c>
      <c r="I10" s="7">
        <v>1</v>
      </c>
      <c r="J10" s="7">
        <v>23</v>
      </c>
      <c r="K10" s="7">
        <v>2</v>
      </c>
      <c r="L10" s="7">
        <v>7</v>
      </c>
      <c r="M10" s="7">
        <v>16</v>
      </c>
      <c r="N10" s="7">
        <v>4</v>
      </c>
      <c r="O10" s="7">
        <v>33</v>
      </c>
      <c r="P10" s="7">
        <v>13</v>
      </c>
      <c r="Q10" s="7">
        <v>3</v>
      </c>
      <c r="R10" s="7">
        <v>10</v>
      </c>
      <c r="S10" s="7">
        <v>2</v>
      </c>
      <c r="T10" s="7">
        <v>12</v>
      </c>
      <c r="U10" s="7">
        <v>2</v>
      </c>
      <c r="V10" s="7">
        <v>7</v>
      </c>
      <c r="W10" s="7">
        <v>13</v>
      </c>
      <c r="X10" s="7">
        <v>14</v>
      </c>
      <c r="Y10" s="7">
        <v>2</v>
      </c>
      <c r="Z10" s="7">
        <v>4</v>
      </c>
      <c r="AA10" s="7">
        <v>18</v>
      </c>
      <c r="AB10" s="7">
        <v>6</v>
      </c>
      <c r="AC10" s="7">
        <v>3</v>
      </c>
      <c r="AD10" s="7">
        <v>39</v>
      </c>
      <c r="AE10" s="7">
        <v>3</v>
      </c>
      <c r="AF10" s="7">
        <v>307</v>
      </c>
    </row>
    <row r="11" spans="1:32">
      <c r="A11" t="s">
        <v>57</v>
      </c>
      <c r="B11" s="7">
        <v>43</v>
      </c>
      <c r="C11" s="7">
        <v>138</v>
      </c>
      <c r="D11" s="7">
        <v>56</v>
      </c>
      <c r="E11" s="7">
        <v>59</v>
      </c>
      <c r="F11" s="7">
        <v>53</v>
      </c>
      <c r="G11" s="7">
        <v>31</v>
      </c>
      <c r="H11" s="7">
        <v>50</v>
      </c>
      <c r="I11" s="7">
        <v>13</v>
      </c>
      <c r="J11" s="7">
        <v>152</v>
      </c>
      <c r="K11" s="7">
        <v>15</v>
      </c>
      <c r="L11" s="7">
        <v>39</v>
      </c>
      <c r="M11" s="7">
        <v>108</v>
      </c>
      <c r="N11" s="7">
        <v>15</v>
      </c>
      <c r="O11" s="7">
        <v>302</v>
      </c>
      <c r="P11" s="7">
        <v>40</v>
      </c>
      <c r="Q11" s="7">
        <v>54</v>
      </c>
      <c r="R11" s="7">
        <v>64</v>
      </c>
      <c r="S11" s="7">
        <v>14</v>
      </c>
      <c r="T11" s="7">
        <v>80</v>
      </c>
      <c r="U11" s="7">
        <v>14</v>
      </c>
      <c r="V11" s="7">
        <v>25</v>
      </c>
      <c r="W11" s="7">
        <v>104</v>
      </c>
      <c r="X11" s="7">
        <v>91</v>
      </c>
      <c r="Y11" s="7">
        <v>13</v>
      </c>
      <c r="Z11" s="7">
        <v>23</v>
      </c>
      <c r="AA11" s="7">
        <v>127</v>
      </c>
      <c r="AB11" s="7">
        <v>76</v>
      </c>
      <c r="AC11" s="7">
        <v>26</v>
      </c>
      <c r="AD11" s="7">
        <v>233</v>
      </c>
      <c r="AE11" s="7">
        <v>14</v>
      </c>
      <c r="AF11" s="7">
        <v>2072</v>
      </c>
    </row>
    <row r="14" spans="1:32">
      <c r="A14" s="13"/>
      <c r="B14" s="13" t="s">
        <v>35</v>
      </c>
      <c r="C14" s="13" t="s">
        <v>25</v>
      </c>
      <c r="D14" s="13" t="s">
        <v>15</v>
      </c>
      <c r="E14" s="13" t="s">
        <v>31</v>
      </c>
      <c r="F14" s="13" t="s">
        <v>36</v>
      </c>
      <c r="G14" s="13" t="s">
        <v>37</v>
      </c>
      <c r="H14" s="13" t="s">
        <v>38</v>
      </c>
      <c r="I14" s="13" t="s">
        <v>12</v>
      </c>
      <c r="J14" s="13" t="s">
        <v>18</v>
      </c>
      <c r="K14" s="13" t="s">
        <v>39</v>
      </c>
      <c r="L14" s="13" t="s">
        <v>40</v>
      </c>
      <c r="M14" s="13" t="s">
        <v>27</v>
      </c>
      <c r="N14" s="13" t="s">
        <v>41</v>
      </c>
      <c r="O14" s="13" t="s">
        <v>24</v>
      </c>
      <c r="P14" s="13" t="s">
        <v>19</v>
      </c>
      <c r="Q14" s="13" t="s">
        <v>42</v>
      </c>
      <c r="R14" s="13" t="s">
        <v>43</v>
      </c>
      <c r="S14" s="13" t="s">
        <v>44</v>
      </c>
      <c r="T14" s="13" t="s">
        <v>21</v>
      </c>
      <c r="U14" s="13" t="s">
        <v>45</v>
      </c>
      <c r="V14" s="13" t="s">
        <v>46</v>
      </c>
      <c r="W14" s="13" t="s">
        <v>47</v>
      </c>
      <c r="X14" s="13" t="s">
        <v>17</v>
      </c>
      <c r="Y14" s="13" t="s">
        <v>33</v>
      </c>
      <c r="Z14" s="13" t="s">
        <v>48</v>
      </c>
      <c r="AA14" s="13" t="s">
        <v>32</v>
      </c>
      <c r="AB14" s="13" t="s">
        <v>26</v>
      </c>
      <c r="AC14" s="13" t="s">
        <v>49</v>
      </c>
      <c r="AD14" s="13" t="s">
        <v>50</v>
      </c>
      <c r="AE14" s="13" t="s">
        <v>23</v>
      </c>
      <c r="AF14" s="13"/>
    </row>
    <row r="15" spans="1:32">
      <c r="A15" s="14">
        <v>2033</v>
      </c>
      <c r="B15" s="15">
        <v>5</v>
      </c>
      <c r="C15" s="15">
        <v>23</v>
      </c>
      <c r="D15" s="15">
        <v>10</v>
      </c>
      <c r="E15" s="15">
        <v>9</v>
      </c>
      <c r="F15" s="15">
        <v>7</v>
      </c>
      <c r="G15" s="15">
        <v>4</v>
      </c>
      <c r="H15" s="15">
        <v>6</v>
      </c>
      <c r="I15" s="15">
        <v>4</v>
      </c>
      <c r="J15" s="15">
        <v>21</v>
      </c>
      <c r="K15" s="15">
        <v>2</v>
      </c>
      <c r="L15" s="15">
        <v>6</v>
      </c>
      <c r="M15" s="15">
        <v>8</v>
      </c>
      <c r="N15" s="15">
        <v>1</v>
      </c>
      <c r="O15" s="15">
        <v>47</v>
      </c>
      <c r="P15" s="15">
        <v>6</v>
      </c>
      <c r="Q15" s="15">
        <v>11</v>
      </c>
      <c r="R15" s="15">
        <v>8</v>
      </c>
      <c r="S15" s="15">
        <v>2</v>
      </c>
      <c r="T15" s="15">
        <v>14</v>
      </c>
      <c r="U15" s="15">
        <v>2</v>
      </c>
      <c r="V15" s="15">
        <v>4</v>
      </c>
      <c r="W15" s="15">
        <v>11</v>
      </c>
      <c r="X15" s="15">
        <v>13</v>
      </c>
      <c r="Y15" s="15">
        <v>3</v>
      </c>
      <c r="Z15" s="15">
        <v>1</v>
      </c>
      <c r="AA15" s="15">
        <v>25</v>
      </c>
      <c r="AB15" s="15">
        <v>14</v>
      </c>
      <c r="AC15" s="15">
        <v>6</v>
      </c>
      <c r="AD15" s="15">
        <v>29</v>
      </c>
      <c r="AE15" s="15">
        <v>2</v>
      </c>
      <c r="AF15" s="15"/>
    </row>
    <row r="16" spans="1:32">
      <c r="A16" s="14">
        <v>2034</v>
      </c>
      <c r="B16" s="15">
        <v>7</v>
      </c>
      <c r="C16" s="15">
        <v>20</v>
      </c>
      <c r="D16" s="15">
        <v>5</v>
      </c>
      <c r="E16" s="15">
        <v>10</v>
      </c>
      <c r="F16" s="15">
        <v>7</v>
      </c>
      <c r="G16" s="15">
        <v>4</v>
      </c>
      <c r="H16" s="15">
        <v>10</v>
      </c>
      <c r="I16" s="15">
        <v>5</v>
      </c>
      <c r="J16" s="15">
        <v>27</v>
      </c>
      <c r="K16" s="15">
        <v>3</v>
      </c>
      <c r="L16" s="15">
        <v>9</v>
      </c>
      <c r="M16" s="15">
        <v>19</v>
      </c>
      <c r="N16" s="15">
        <v>4</v>
      </c>
      <c r="O16" s="15">
        <v>51</v>
      </c>
      <c r="P16" s="15">
        <v>4</v>
      </c>
      <c r="Q16" s="15">
        <v>11</v>
      </c>
      <c r="R16" s="15">
        <v>14</v>
      </c>
      <c r="S16" s="15">
        <v>3</v>
      </c>
      <c r="T16" s="15">
        <v>19</v>
      </c>
      <c r="U16" s="15">
        <v>5</v>
      </c>
      <c r="V16" s="15">
        <v>5</v>
      </c>
      <c r="W16" s="15">
        <v>24</v>
      </c>
      <c r="X16" s="15">
        <v>11</v>
      </c>
      <c r="Y16" s="15">
        <v>3</v>
      </c>
      <c r="Z16" s="15">
        <v>7</v>
      </c>
      <c r="AA16" s="15">
        <v>22</v>
      </c>
      <c r="AB16" s="15">
        <v>12</v>
      </c>
      <c r="AC16" s="15">
        <v>2</v>
      </c>
      <c r="AD16" s="15">
        <v>40</v>
      </c>
      <c r="AE16" s="15">
        <v>2</v>
      </c>
      <c r="AF16" s="15"/>
    </row>
    <row r="17" spans="1:32">
      <c r="A17" s="14">
        <v>2035</v>
      </c>
      <c r="B17" s="15">
        <v>11</v>
      </c>
      <c r="C17" s="15">
        <v>21</v>
      </c>
      <c r="D17" s="15">
        <v>9</v>
      </c>
      <c r="E17" s="15">
        <v>15</v>
      </c>
      <c r="F17" s="15">
        <v>11</v>
      </c>
      <c r="G17" s="15">
        <v>3</v>
      </c>
      <c r="H17" s="15">
        <v>7</v>
      </c>
      <c r="I17" s="15">
        <v>1</v>
      </c>
      <c r="J17" s="15">
        <v>18</v>
      </c>
      <c r="K17" s="15">
        <v>2</v>
      </c>
      <c r="L17" s="15">
        <v>5</v>
      </c>
      <c r="M17" s="15">
        <v>23</v>
      </c>
      <c r="N17" s="15">
        <v>2</v>
      </c>
      <c r="O17" s="15">
        <v>67</v>
      </c>
      <c r="P17" s="15">
        <v>5</v>
      </c>
      <c r="Q17" s="15">
        <v>9</v>
      </c>
      <c r="R17" s="15">
        <v>10</v>
      </c>
      <c r="S17" s="15">
        <v>2</v>
      </c>
      <c r="T17" s="15">
        <v>8</v>
      </c>
      <c r="U17" s="15">
        <v>3</v>
      </c>
      <c r="V17" s="15">
        <v>5</v>
      </c>
      <c r="W17" s="15">
        <v>23</v>
      </c>
      <c r="X17" s="15">
        <v>11</v>
      </c>
      <c r="Y17" s="15">
        <v>1</v>
      </c>
      <c r="Z17" s="15">
        <v>2</v>
      </c>
      <c r="AA17" s="15">
        <v>25</v>
      </c>
      <c r="AB17" s="15">
        <v>19</v>
      </c>
      <c r="AC17" s="15">
        <v>5</v>
      </c>
      <c r="AD17" s="15">
        <v>38</v>
      </c>
      <c r="AE17" s="15">
        <v>4</v>
      </c>
      <c r="AF17" s="15"/>
    </row>
    <row r="18" spans="1:32">
      <c r="A18" s="14">
        <v>2036</v>
      </c>
      <c r="B18" s="15">
        <v>2</v>
      </c>
      <c r="C18" s="15">
        <v>29</v>
      </c>
      <c r="D18" s="15">
        <v>12</v>
      </c>
      <c r="E18" s="15">
        <v>8</v>
      </c>
      <c r="F18" s="15">
        <v>14</v>
      </c>
      <c r="G18" s="15">
        <v>3</v>
      </c>
      <c r="H18" s="15">
        <v>13</v>
      </c>
      <c r="I18" s="15">
        <v>1</v>
      </c>
      <c r="J18" s="15">
        <v>33</v>
      </c>
      <c r="K18" s="15">
        <v>3</v>
      </c>
      <c r="L18" s="15">
        <v>4</v>
      </c>
      <c r="M18" s="15">
        <v>20</v>
      </c>
      <c r="N18" s="15">
        <v>1</v>
      </c>
      <c r="O18" s="15">
        <v>53</v>
      </c>
      <c r="P18" s="15">
        <v>3</v>
      </c>
      <c r="Q18" s="15">
        <v>10</v>
      </c>
      <c r="R18" s="15">
        <v>8</v>
      </c>
      <c r="S18" s="15">
        <v>3</v>
      </c>
      <c r="T18" s="15">
        <v>13</v>
      </c>
      <c r="U18" s="15">
        <v>2</v>
      </c>
      <c r="V18" s="15">
        <v>2</v>
      </c>
      <c r="W18" s="15">
        <v>19</v>
      </c>
      <c r="X18" s="15">
        <v>25</v>
      </c>
      <c r="Y18" s="15"/>
      <c r="Z18" s="15">
        <v>4</v>
      </c>
      <c r="AA18" s="15">
        <v>22</v>
      </c>
      <c r="AB18" s="15">
        <v>13</v>
      </c>
      <c r="AC18" s="15">
        <v>4</v>
      </c>
      <c r="AD18" s="15">
        <v>41</v>
      </c>
      <c r="AE18" s="15">
        <v>1</v>
      </c>
      <c r="AF18" s="15"/>
    </row>
    <row r="19" spans="1:32">
      <c r="A19" s="14">
        <v>2037</v>
      </c>
      <c r="B19" s="15">
        <v>13</v>
      </c>
      <c r="C19" s="15">
        <v>20</v>
      </c>
      <c r="D19" s="15">
        <v>10</v>
      </c>
      <c r="E19" s="15">
        <v>10</v>
      </c>
      <c r="F19" s="15">
        <v>5</v>
      </c>
      <c r="G19" s="15">
        <v>10</v>
      </c>
      <c r="H19" s="15">
        <v>7</v>
      </c>
      <c r="I19" s="15">
        <v>1</v>
      </c>
      <c r="J19" s="15">
        <v>30</v>
      </c>
      <c r="K19" s="15">
        <v>3</v>
      </c>
      <c r="L19" s="15">
        <v>8</v>
      </c>
      <c r="M19" s="15">
        <v>22</v>
      </c>
      <c r="N19" s="15">
        <v>3</v>
      </c>
      <c r="O19" s="15">
        <v>51</v>
      </c>
      <c r="P19" s="15">
        <v>9</v>
      </c>
      <c r="Q19" s="15">
        <v>10</v>
      </c>
      <c r="R19" s="15">
        <v>14</v>
      </c>
      <c r="S19" s="15">
        <v>2</v>
      </c>
      <c r="T19" s="15">
        <v>14</v>
      </c>
      <c r="U19" s="15"/>
      <c r="V19" s="15">
        <v>2</v>
      </c>
      <c r="W19" s="15">
        <v>14</v>
      </c>
      <c r="X19" s="15">
        <v>17</v>
      </c>
      <c r="Y19" s="15">
        <v>4</v>
      </c>
      <c r="Z19" s="15">
        <v>5</v>
      </c>
      <c r="AA19" s="15">
        <v>15</v>
      </c>
      <c r="AB19" s="15">
        <v>12</v>
      </c>
      <c r="AC19" s="15">
        <v>6</v>
      </c>
      <c r="AD19" s="15">
        <v>46</v>
      </c>
      <c r="AE19" s="15">
        <v>2</v>
      </c>
      <c r="AF19" s="15"/>
    </row>
    <row r="20" spans="1:32">
      <c r="A20" s="14">
        <v>2038</v>
      </c>
      <c r="B20" s="15">
        <v>5</v>
      </c>
      <c r="C20" s="15">
        <v>25</v>
      </c>
      <c r="D20" s="15">
        <v>10</v>
      </c>
      <c r="E20" s="15">
        <v>7</v>
      </c>
      <c r="F20" s="15">
        <v>9</v>
      </c>
      <c r="G20" s="15">
        <v>7</v>
      </c>
      <c r="H20" s="15">
        <v>7</v>
      </c>
      <c r="I20" s="15">
        <v>1</v>
      </c>
      <c r="J20" s="15">
        <v>23</v>
      </c>
      <c r="K20" s="15">
        <v>2</v>
      </c>
      <c r="L20" s="15">
        <v>7</v>
      </c>
      <c r="M20" s="15">
        <v>16</v>
      </c>
      <c r="N20" s="15">
        <v>4</v>
      </c>
      <c r="O20" s="15">
        <v>33</v>
      </c>
      <c r="P20" s="15">
        <v>13</v>
      </c>
      <c r="Q20" s="15">
        <v>3</v>
      </c>
      <c r="R20" s="15">
        <v>10</v>
      </c>
      <c r="S20" s="15">
        <v>2</v>
      </c>
      <c r="T20" s="15">
        <v>12</v>
      </c>
      <c r="U20" s="15">
        <v>2</v>
      </c>
      <c r="V20" s="15">
        <v>7</v>
      </c>
      <c r="W20" s="15">
        <v>13</v>
      </c>
      <c r="X20" s="15">
        <v>14</v>
      </c>
      <c r="Y20" s="15">
        <v>2</v>
      </c>
      <c r="Z20" s="15">
        <v>4</v>
      </c>
      <c r="AA20" s="15">
        <v>18</v>
      </c>
      <c r="AB20" s="15">
        <v>6</v>
      </c>
      <c r="AC20" s="15">
        <v>3</v>
      </c>
      <c r="AD20" s="15">
        <v>39</v>
      </c>
      <c r="AE20" s="15">
        <v>3</v>
      </c>
      <c r="AF20" s="15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Aleksy Dobrodziej</cp:lastModifiedBy>
  <cp:revision/>
  <dcterms:created xsi:type="dcterms:W3CDTF">2026-02-03T15:26:35Z</dcterms:created>
  <dcterms:modified xsi:type="dcterms:W3CDTF">2026-02-03T16:24:14Z</dcterms:modified>
  <cp:category/>
  <cp:contentStatus/>
</cp:coreProperties>
</file>